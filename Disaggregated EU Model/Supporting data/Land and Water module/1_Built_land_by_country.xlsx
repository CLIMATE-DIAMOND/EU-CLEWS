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imperiallondon-my.sharepoint.com/personal/vsridhar_ic_ac_uk/Documents/Diamond/Data/"/>
    </mc:Choice>
  </mc:AlternateContent>
  <xr:revisionPtr revIDLastSave="8" documentId="13_ncr:1_{15445AA9-7988-4139-8D1D-8E9E2FD2D107}" xr6:coauthVersionLast="47" xr6:coauthVersionMax="47" xr10:uidLastSave="{4C373092-9026-40A6-AE3E-18F8BC0EDCDD}"/>
  <bookViews>
    <workbookView xWindow="30240" yWindow="-14610" windowWidth="21600" windowHeight="11205" xr2:uid="{00000000-000D-0000-FFFF-FFFF00000000}"/>
  </bookViews>
  <sheets>
    <sheet name="Overview" sheetId="2" r:id="rId1"/>
    <sheet name="Tabl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8" i="1"/>
</calcChain>
</file>

<file path=xl/sharedStrings.xml><?xml version="1.0" encoding="utf-8"?>
<sst xmlns="http://schemas.openxmlformats.org/spreadsheetml/2006/main" count="89" uniqueCount="50">
  <si>
    <t>Land cover and land cover change</t>
  </si>
  <si>
    <t>Frequency of observation: Quinquennial</t>
  </si>
  <si>
    <t>Measure: Total built-up area</t>
  </si>
  <si>
    <t>Time period</t>
  </si>
  <si>
    <t>2000</t>
  </si>
  <si>
    <t>2005</t>
  </si>
  <si>
    <t>2010</t>
  </si>
  <si>
    <t>2020</t>
  </si>
  <si>
    <t>Reference area</t>
  </si>
  <si>
    <t/>
  </si>
  <si>
    <t>Austria</t>
  </si>
  <si>
    <t>Belgium</t>
  </si>
  <si>
    <t>Denmark</t>
  </si>
  <si>
    <t>Estonia</t>
  </si>
  <si>
    <t>Finland</t>
  </si>
  <si>
    <t>France</t>
  </si>
  <si>
    <t>Germany</t>
  </si>
  <si>
    <t>Greece</t>
  </si>
  <si>
    <t>Hungary</t>
  </si>
  <si>
    <t>Iceland</t>
  </si>
  <si>
    <t>Ireland</t>
  </si>
  <si>
    <t>Italy</t>
  </si>
  <si>
    <t>Latvia</t>
  </si>
  <si>
    <t>Lithuania</t>
  </si>
  <si>
    <t>Luxembourg</t>
  </si>
  <si>
    <t>Netherlands</t>
  </si>
  <si>
    <t>Norway</t>
  </si>
  <si>
    <t>Poland</t>
  </si>
  <si>
    <t>Portugal</t>
  </si>
  <si>
    <t>Slovak Republic</t>
  </si>
  <si>
    <t>Slovenia</t>
  </si>
  <si>
    <t>Spain</t>
  </si>
  <si>
    <t>Sweden</t>
  </si>
  <si>
    <t>Switzerland</t>
  </si>
  <si>
    <t>United Kingdom</t>
  </si>
  <si>
    <t>Bosnia and Herzegovina</t>
  </si>
  <si>
    <t>Bulgaria</t>
  </si>
  <si>
    <t>Croatia</t>
  </si>
  <si>
    <t>Cyprus</t>
  </si>
  <si>
    <t>Liechtenstein</t>
  </si>
  <si>
    <t>Malta</t>
  </si>
  <si>
    <t xml:space="preserve">© Terms &amp; conditions </t>
  </si>
  <si>
    <t>The land cover dataset provides a global assessment of land cover and land cover change to monitor pressures on ecosystems and biodiversity. By using geospatial data with high spatio-temporal resolution, it develops a set of internationally comparable indicators with a long time series and a five-year interval from 2000 to 2022 for the Climate Change Initiative Land Cover dataset, and from 1975 to 2030 for the Global Human Settlement Layer dataset. Please see the &lt;a href="https://doi.org/10.1787/441a7a6c-en"&gt;working paper&lt;/a&gt; for a more complete description of the methods.
&lt;br&gt;&lt;/br&gt;The dataset has a global coverage on the national level, while on the sub-national TL2 level (i.e. large subnational regions) results are reported for all OECD countries as well as for Argentina, Brazil, China, India, Indonesia and South Africa. The following country aggregates are included: Euro area, European Union, Advanced economies, Emerging market economies, G7, G20, OECD, OECD Europe, OECD Asia Oceania, OECD Americas, the LAC region and the World. 
&lt;br&gt;&lt;/br&gt;&lt;b&gt;Data source(s)&lt;/b&gt;: &lt;a href="https://www.esa-landcover-cci.org/"&gt;Climate Change Initiative&lt;/a&gt; land cover data and &lt;a href="https://ghsl.jrc.ec.europa.eu/data.php"&gt;Global Human Settlement Layer&lt;/a&gt; built-up area data. 
&lt;br&gt;&lt;/br&gt;&lt;b&gt;Contact&lt;/b&gt;: &lt;a href="ENV.Stat@oecd.org"&gt;ENV.Stat@oecd.org&lt;/a&gt;
&lt;br&gt;&lt;/br&gt;Database documentation</t>
  </si>
  <si>
    <t>Topic: Environment and climate change &gt; Land and forest</t>
  </si>
  <si>
    <t xml:space="preserve">Number of unfiltered data points: 283122 </t>
  </si>
  <si>
    <t xml:space="preserve">Last updated: April 28, 2025 at 2:24:03 PM </t>
  </si>
  <si>
    <t>20 year CAGR</t>
  </si>
  <si>
    <t>10 year CAGR</t>
  </si>
  <si>
    <t>5 year CAGR</t>
  </si>
  <si>
    <t>Combined unit of measure: Square kilometres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</si>
</sst>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6" x14ac:knownFonts="1">
    <font>
      <sz val="11"/>
      <color theme="1"/>
      <name val="Calibri"/>
      <family val="2"/>
      <scheme val="minor"/>
    </font>
    <font>
      <b/>
      <sz val="11"/>
      <name val="Calibri"/>
      <family val="2"/>
    </font>
    <font>
      <sz val="11"/>
      <name val="Calibri"/>
      <family val="2"/>
    </font>
    <font>
      <sz val="11"/>
      <name val="Calibri"/>
      <family val="2"/>
    </font>
    <font>
      <b/>
      <sz val="11"/>
      <color rgb="FFFFFFFF"/>
      <name val="Calibri"/>
      <family val="2"/>
    </font>
    <font>
      <b/>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sz val="11"/>
      <color theme="1"/>
      <name val="Calibri"/>
      <family val="2"/>
      <scheme val="minor"/>
    </font>
  </fonts>
  <fills count="237">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236">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9" fontId="235" fillId="0" borderId="0" applyFont="0" applyFill="0" applyBorder="0" applyAlignment="0" applyProtection="0"/>
  </cellStyleXfs>
  <cellXfs count="238">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7" fillId="9" borderId="8" xfId="0" applyFont="1" applyFill="1" applyBorder="1" applyAlignment="1">
      <alignment horizontal="left" vertical="top" wrapText="1" readingOrder="1"/>
    </xf>
    <xf numFmtId="0" fontId="8" fillId="10" borderId="9" xfId="0" applyFont="1" applyFill="1" applyBorder="1" applyAlignment="1">
      <alignment horizontal="left" vertical="top" wrapText="1" readingOrder="1"/>
    </xf>
    <xf numFmtId="0" fontId="9" fillId="11" borderId="10" xfId="0" applyFont="1" applyFill="1" applyBorder="1" applyAlignment="1">
      <alignment horizontal="left" vertical="top" wrapText="1" readingOrder="1"/>
    </xf>
    <xf numFmtId="0" fontId="10" fillId="12" borderId="11" xfId="0" applyFont="1" applyFill="1" applyBorder="1" applyAlignment="1">
      <alignment horizontal="left" vertical="top" wrapText="1" readingOrder="1"/>
    </xf>
    <xf numFmtId="0" fontId="11" fillId="13" borderId="12" xfId="0" applyFont="1" applyFill="1" applyBorder="1" applyAlignment="1">
      <alignment horizontal="left" vertical="top" wrapText="1" readingOrder="1"/>
    </xf>
    <xf numFmtId="0" fontId="12" fillId="14" borderId="13" xfId="0" applyFont="1" applyFill="1" applyBorder="1" applyAlignment="1">
      <alignment horizontal="left" vertical="top" wrapText="1" readingOrder="1"/>
    </xf>
    <xf numFmtId="0" fontId="13" fillId="15" borderId="14" xfId="0" applyFont="1" applyFill="1" applyBorder="1" applyAlignment="1">
      <alignment horizontal="left" vertical="top" wrapText="1" readingOrder="1"/>
    </xf>
    <xf numFmtId="0" fontId="14" fillId="16" borderId="15" xfId="0" applyFont="1" applyFill="1" applyBorder="1" applyAlignment="1">
      <alignment horizontal="left" vertical="top" wrapText="1" readingOrder="1"/>
    </xf>
    <xf numFmtId="0" fontId="15" fillId="17" borderId="16" xfId="0" applyFont="1" applyFill="1" applyBorder="1" applyAlignment="1">
      <alignment horizontal="right" vertical="top" wrapText="1" readingOrder="1"/>
    </xf>
    <xf numFmtId="4" fontId="16" fillId="18" borderId="17" xfId="0" applyNumberFormat="1" applyFont="1" applyFill="1" applyBorder="1" applyAlignment="1">
      <alignment horizontal="right" wrapText="1" readingOrder="1"/>
    </xf>
    <xf numFmtId="4" fontId="17" fillId="19" borderId="18" xfId="0" applyNumberFormat="1" applyFont="1" applyFill="1" applyBorder="1" applyAlignment="1">
      <alignment horizontal="right" wrapText="1" readingOrder="1"/>
    </xf>
    <xf numFmtId="4" fontId="18" fillId="20" borderId="19" xfId="0" applyNumberFormat="1" applyFont="1" applyFill="1" applyBorder="1" applyAlignment="1">
      <alignment horizontal="right" wrapText="1" readingOrder="1"/>
    </xf>
    <xf numFmtId="4" fontId="19" fillId="21" borderId="20" xfId="0" applyNumberFormat="1" applyFont="1" applyFill="1" applyBorder="1" applyAlignment="1">
      <alignment horizontal="right" wrapText="1" readingOrder="1"/>
    </xf>
    <xf numFmtId="4" fontId="20" fillId="22" borderId="21" xfId="0" applyNumberFormat="1" applyFont="1" applyFill="1" applyBorder="1" applyAlignment="1">
      <alignment horizontal="right" wrapText="1" readingOrder="1"/>
    </xf>
    <xf numFmtId="0" fontId="21" fillId="23" borderId="22" xfId="0" applyFont="1" applyFill="1" applyBorder="1" applyAlignment="1">
      <alignment horizontal="left" vertical="top" wrapText="1" readingOrder="1"/>
    </xf>
    <xf numFmtId="0" fontId="22" fillId="24" borderId="23" xfId="0" applyFont="1" applyFill="1" applyBorder="1" applyAlignment="1">
      <alignment horizontal="right" vertical="top" wrapText="1" readingOrder="1"/>
    </xf>
    <xf numFmtId="4" fontId="23" fillId="25" borderId="24" xfId="0" applyNumberFormat="1" applyFont="1" applyFill="1" applyBorder="1" applyAlignment="1">
      <alignment horizontal="right" wrapText="1" readingOrder="1"/>
    </xf>
    <xf numFmtId="4" fontId="24" fillId="26" borderId="25" xfId="0" applyNumberFormat="1" applyFont="1" applyFill="1" applyBorder="1" applyAlignment="1">
      <alignment horizontal="right" wrapText="1" readingOrder="1"/>
    </xf>
    <xf numFmtId="4" fontId="25" fillId="27" borderId="26" xfId="0" applyNumberFormat="1" applyFont="1" applyFill="1" applyBorder="1" applyAlignment="1">
      <alignment horizontal="right" wrapText="1" readingOrder="1"/>
    </xf>
    <xf numFmtId="4" fontId="26" fillId="28" borderId="27" xfId="0" applyNumberFormat="1" applyFont="1" applyFill="1" applyBorder="1" applyAlignment="1">
      <alignment horizontal="right" wrapText="1" readingOrder="1"/>
    </xf>
    <xf numFmtId="4" fontId="27" fillId="29" borderId="28" xfId="0" applyNumberFormat="1" applyFont="1" applyFill="1" applyBorder="1" applyAlignment="1">
      <alignment horizontal="right" wrapText="1" readingOrder="1"/>
    </xf>
    <xf numFmtId="0" fontId="28" fillId="30" borderId="29" xfId="0" applyFont="1" applyFill="1" applyBorder="1" applyAlignment="1">
      <alignment horizontal="left" vertical="top" wrapText="1" readingOrder="1"/>
    </xf>
    <xf numFmtId="0" fontId="29" fillId="31" borderId="30" xfId="0" applyFont="1" applyFill="1" applyBorder="1" applyAlignment="1">
      <alignment horizontal="right" vertical="top" wrapText="1" readingOrder="1"/>
    </xf>
    <xf numFmtId="4" fontId="30" fillId="32" borderId="31" xfId="0" applyNumberFormat="1" applyFont="1" applyFill="1" applyBorder="1" applyAlignment="1">
      <alignment horizontal="right" wrapText="1" readingOrder="1"/>
    </xf>
    <xf numFmtId="4" fontId="31" fillId="33" borderId="32" xfId="0" applyNumberFormat="1" applyFont="1" applyFill="1" applyBorder="1" applyAlignment="1">
      <alignment horizontal="right" wrapText="1" readingOrder="1"/>
    </xf>
    <xf numFmtId="4" fontId="32" fillId="34" borderId="33" xfId="0" applyNumberFormat="1" applyFont="1" applyFill="1" applyBorder="1" applyAlignment="1">
      <alignment horizontal="right" wrapText="1" readingOrder="1"/>
    </xf>
    <xf numFmtId="4" fontId="33" fillId="35" borderId="34" xfId="0" applyNumberFormat="1" applyFont="1" applyFill="1" applyBorder="1" applyAlignment="1">
      <alignment horizontal="right" wrapText="1" readingOrder="1"/>
    </xf>
    <xf numFmtId="4" fontId="34" fillId="36" borderId="35" xfId="0" applyNumberFormat="1" applyFont="1" applyFill="1" applyBorder="1" applyAlignment="1">
      <alignment horizontal="right" wrapText="1" readingOrder="1"/>
    </xf>
    <xf numFmtId="0" fontId="35" fillId="37" borderId="36" xfId="0" applyFont="1" applyFill="1" applyBorder="1" applyAlignment="1">
      <alignment horizontal="left" vertical="top" wrapText="1" readingOrder="1"/>
    </xf>
    <xf numFmtId="0" fontId="36" fillId="38" borderId="37" xfId="0" applyFont="1" applyFill="1" applyBorder="1" applyAlignment="1">
      <alignment horizontal="right" vertical="top" wrapText="1" readingOrder="1"/>
    </xf>
    <xf numFmtId="4" fontId="37" fillId="39" borderId="38" xfId="0" applyNumberFormat="1" applyFont="1" applyFill="1" applyBorder="1" applyAlignment="1">
      <alignment horizontal="right" wrapText="1" readingOrder="1"/>
    </xf>
    <xf numFmtId="4" fontId="38" fillId="40" borderId="39" xfId="0" applyNumberFormat="1" applyFont="1" applyFill="1" applyBorder="1" applyAlignment="1">
      <alignment horizontal="right" wrapText="1" readingOrder="1"/>
    </xf>
    <xf numFmtId="4" fontId="39" fillId="41" borderId="40" xfId="0" applyNumberFormat="1" applyFont="1" applyFill="1" applyBorder="1" applyAlignment="1">
      <alignment horizontal="right" wrapText="1" readingOrder="1"/>
    </xf>
    <xf numFmtId="4" fontId="40" fillId="42" borderId="41" xfId="0" applyNumberFormat="1" applyFont="1" applyFill="1" applyBorder="1" applyAlignment="1">
      <alignment horizontal="right" wrapText="1" readingOrder="1"/>
    </xf>
    <xf numFmtId="4" fontId="41" fillId="43" borderId="42" xfId="0" applyNumberFormat="1" applyFont="1" applyFill="1" applyBorder="1" applyAlignment="1">
      <alignment horizontal="right" wrapText="1" readingOrder="1"/>
    </xf>
    <xf numFmtId="0" fontId="42" fillId="44" borderId="43" xfId="0" applyFont="1" applyFill="1" applyBorder="1" applyAlignment="1">
      <alignment horizontal="left" vertical="top" wrapText="1" readingOrder="1"/>
    </xf>
    <xf numFmtId="0" fontId="43" fillId="45" borderId="44" xfId="0" applyFont="1" applyFill="1" applyBorder="1" applyAlignment="1">
      <alignment horizontal="right" vertical="top" wrapText="1" readingOrder="1"/>
    </xf>
    <xf numFmtId="4" fontId="44" fillId="46" borderId="45" xfId="0" applyNumberFormat="1" applyFont="1" applyFill="1" applyBorder="1" applyAlignment="1">
      <alignment horizontal="right" wrapText="1" readingOrder="1"/>
    </xf>
    <xf numFmtId="4" fontId="45" fillId="47" borderId="46" xfId="0" applyNumberFormat="1" applyFont="1" applyFill="1" applyBorder="1" applyAlignment="1">
      <alignment horizontal="right" wrapText="1" readingOrder="1"/>
    </xf>
    <xf numFmtId="4" fontId="46" fillId="48" borderId="47" xfId="0" applyNumberFormat="1" applyFont="1" applyFill="1" applyBorder="1" applyAlignment="1">
      <alignment horizontal="right" wrapText="1" readingOrder="1"/>
    </xf>
    <xf numFmtId="4" fontId="47" fillId="49" borderId="48" xfId="0" applyNumberFormat="1" applyFont="1" applyFill="1" applyBorder="1" applyAlignment="1">
      <alignment horizontal="right" wrapText="1" readingOrder="1"/>
    </xf>
    <xf numFmtId="4" fontId="48" fillId="50" borderId="49" xfId="0" applyNumberFormat="1" applyFont="1" applyFill="1" applyBorder="1" applyAlignment="1">
      <alignment horizontal="right" wrapText="1" readingOrder="1"/>
    </xf>
    <xf numFmtId="0" fontId="49" fillId="51" borderId="50" xfId="0" applyFont="1" applyFill="1" applyBorder="1" applyAlignment="1">
      <alignment horizontal="left" vertical="top" wrapText="1" readingOrder="1"/>
    </xf>
    <xf numFmtId="0" fontId="50" fillId="52" borderId="51" xfId="0" applyFont="1" applyFill="1" applyBorder="1" applyAlignment="1">
      <alignment horizontal="right" vertical="top" wrapText="1" readingOrder="1"/>
    </xf>
    <xf numFmtId="4" fontId="51" fillId="53" borderId="52" xfId="0" applyNumberFormat="1" applyFont="1" applyFill="1" applyBorder="1" applyAlignment="1">
      <alignment horizontal="right" wrapText="1" readingOrder="1"/>
    </xf>
    <xf numFmtId="4" fontId="52" fillId="54" borderId="53" xfId="0" applyNumberFormat="1" applyFont="1" applyFill="1" applyBorder="1" applyAlignment="1">
      <alignment horizontal="right" wrapText="1" readingOrder="1"/>
    </xf>
    <xf numFmtId="4" fontId="53" fillId="55" borderId="54" xfId="0" applyNumberFormat="1" applyFont="1" applyFill="1" applyBorder="1" applyAlignment="1">
      <alignment horizontal="right" wrapText="1" readingOrder="1"/>
    </xf>
    <xf numFmtId="4" fontId="54" fillId="56" borderId="55" xfId="0" applyNumberFormat="1" applyFont="1" applyFill="1" applyBorder="1" applyAlignment="1">
      <alignment horizontal="right" wrapText="1" readingOrder="1"/>
    </xf>
    <xf numFmtId="4" fontId="55" fillId="57" borderId="56" xfId="0" applyNumberFormat="1" applyFont="1" applyFill="1" applyBorder="1" applyAlignment="1">
      <alignment horizontal="right" wrapText="1" readingOrder="1"/>
    </xf>
    <xf numFmtId="0" fontId="56" fillId="58" borderId="57" xfId="0" applyFont="1" applyFill="1" applyBorder="1" applyAlignment="1">
      <alignment horizontal="left" vertical="top" wrapText="1" readingOrder="1"/>
    </xf>
    <xf numFmtId="0" fontId="57" fillId="59" borderId="58" xfId="0" applyFont="1" applyFill="1" applyBorder="1" applyAlignment="1">
      <alignment horizontal="right" vertical="top" wrapText="1" readingOrder="1"/>
    </xf>
    <xf numFmtId="4" fontId="58" fillId="60" borderId="59" xfId="0" applyNumberFormat="1" applyFont="1" applyFill="1" applyBorder="1" applyAlignment="1">
      <alignment horizontal="right" wrapText="1" readingOrder="1"/>
    </xf>
    <xf numFmtId="4" fontId="59" fillId="61" borderId="60" xfId="0" applyNumberFormat="1" applyFont="1" applyFill="1" applyBorder="1" applyAlignment="1">
      <alignment horizontal="right" wrapText="1" readingOrder="1"/>
    </xf>
    <xf numFmtId="4" fontId="60" fillId="62" borderId="61" xfId="0" applyNumberFormat="1" applyFont="1" applyFill="1" applyBorder="1" applyAlignment="1">
      <alignment horizontal="right" wrapText="1" readingOrder="1"/>
    </xf>
    <xf numFmtId="4" fontId="61" fillId="63" borderId="62" xfId="0" applyNumberFormat="1" applyFont="1" applyFill="1" applyBorder="1" applyAlignment="1">
      <alignment horizontal="right" wrapText="1" readingOrder="1"/>
    </xf>
    <xf numFmtId="4" fontId="62" fillId="64" borderId="63" xfId="0" applyNumberFormat="1" applyFont="1" applyFill="1" applyBorder="1" applyAlignment="1">
      <alignment horizontal="right" wrapText="1" readingOrder="1"/>
    </xf>
    <xf numFmtId="0" fontId="63" fillId="65" borderId="64" xfId="0" applyFont="1" applyFill="1" applyBorder="1" applyAlignment="1">
      <alignment horizontal="left" vertical="top" wrapText="1" readingOrder="1"/>
    </xf>
    <xf numFmtId="0" fontId="64" fillId="66" borderId="65" xfId="0" applyFont="1" applyFill="1" applyBorder="1" applyAlignment="1">
      <alignment horizontal="right" vertical="top" wrapText="1" readingOrder="1"/>
    </xf>
    <xf numFmtId="4" fontId="65" fillId="67" borderId="66" xfId="0" applyNumberFormat="1" applyFont="1" applyFill="1" applyBorder="1" applyAlignment="1">
      <alignment horizontal="right" wrapText="1" readingOrder="1"/>
    </xf>
    <xf numFmtId="4" fontId="66" fillId="68" borderId="67" xfId="0" applyNumberFormat="1" applyFont="1" applyFill="1" applyBorder="1" applyAlignment="1">
      <alignment horizontal="right" wrapText="1" readingOrder="1"/>
    </xf>
    <xf numFmtId="4" fontId="67" fillId="69" borderId="68" xfId="0" applyNumberFormat="1" applyFont="1" applyFill="1" applyBorder="1" applyAlignment="1">
      <alignment horizontal="right" wrapText="1" readingOrder="1"/>
    </xf>
    <xf numFmtId="4" fontId="68" fillId="70" borderId="69" xfId="0" applyNumberFormat="1" applyFont="1" applyFill="1" applyBorder="1" applyAlignment="1">
      <alignment horizontal="right" wrapText="1" readingOrder="1"/>
    </xf>
    <xf numFmtId="4" fontId="69" fillId="71" borderId="70" xfId="0" applyNumberFormat="1" applyFont="1" applyFill="1" applyBorder="1" applyAlignment="1">
      <alignment horizontal="right" wrapText="1" readingOrder="1"/>
    </xf>
    <xf numFmtId="0" fontId="70" fillId="72" borderId="71" xfId="0" applyFont="1" applyFill="1" applyBorder="1" applyAlignment="1">
      <alignment horizontal="left" vertical="top" wrapText="1" readingOrder="1"/>
    </xf>
    <xf numFmtId="0" fontId="71" fillId="73" borderId="72" xfId="0" applyFont="1" applyFill="1" applyBorder="1" applyAlignment="1">
      <alignment horizontal="right" vertical="top" wrapText="1" readingOrder="1"/>
    </xf>
    <xf numFmtId="4" fontId="72" fillId="74" borderId="73" xfId="0" applyNumberFormat="1" applyFont="1" applyFill="1" applyBorder="1" applyAlignment="1">
      <alignment horizontal="right" wrapText="1" readingOrder="1"/>
    </xf>
    <xf numFmtId="4" fontId="73" fillId="75" borderId="74" xfId="0" applyNumberFormat="1" applyFont="1" applyFill="1" applyBorder="1" applyAlignment="1">
      <alignment horizontal="right" wrapText="1" readingOrder="1"/>
    </xf>
    <xf numFmtId="4" fontId="74" fillId="76" borderId="75" xfId="0" applyNumberFormat="1" applyFont="1" applyFill="1" applyBorder="1" applyAlignment="1">
      <alignment horizontal="right" wrapText="1" readingOrder="1"/>
    </xf>
    <xf numFmtId="4" fontId="75" fillId="77" borderId="76" xfId="0" applyNumberFormat="1" applyFont="1" applyFill="1" applyBorder="1" applyAlignment="1">
      <alignment horizontal="right" wrapText="1" readingOrder="1"/>
    </xf>
    <xf numFmtId="4" fontId="76" fillId="78" borderId="77" xfId="0" applyNumberFormat="1" applyFont="1" applyFill="1" applyBorder="1" applyAlignment="1">
      <alignment horizontal="right" wrapText="1" readingOrder="1"/>
    </xf>
    <xf numFmtId="0" fontId="77" fillId="79" borderId="78" xfId="0" applyFont="1" applyFill="1" applyBorder="1" applyAlignment="1">
      <alignment horizontal="left" vertical="top" wrapText="1" readingOrder="1"/>
    </xf>
    <xf numFmtId="0" fontId="78" fillId="80" borderId="79" xfId="0" applyFont="1" applyFill="1" applyBorder="1" applyAlignment="1">
      <alignment horizontal="right" vertical="top" wrapText="1" readingOrder="1"/>
    </xf>
    <xf numFmtId="4" fontId="79" fillId="81" borderId="80" xfId="0" applyNumberFormat="1" applyFont="1" applyFill="1" applyBorder="1" applyAlignment="1">
      <alignment horizontal="right" wrapText="1" readingOrder="1"/>
    </xf>
    <xf numFmtId="4" fontId="80" fillId="82" borderId="81" xfId="0" applyNumberFormat="1" applyFont="1" applyFill="1" applyBorder="1" applyAlignment="1">
      <alignment horizontal="right" wrapText="1" readingOrder="1"/>
    </xf>
    <xf numFmtId="4" fontId="81" fillId="83" borderId="82" xfId="0" applyNumberFormat="1" applyFont="1" applyFill="1" applyBorder="1" applyAlignment="1">
      <alignment horizontal="right" wrapText="1" readingOrder="1"/>
    </xf>
    <xf numFmtId="4" fontId="82" fillId="84" borderId="83" xfId="0" applyNumberFormat="1" applyFont="1" applyFill="1" applyBorder="1" applyAlignment="1">
      <alignment horizontal="right" wrapText="1" readingOrder="1"/>
    </xf>
    <xf numFmtId="4" fontId="83" fillId="85" borderId="84" xfId="0" applyNumberFormat="1" applyFont="1" applyFill="1" applyBorder="1" applyAlignment="1">
      <alignment horizontal="right" wrapText="1" readingOrder="1"/>
    </xf>
    <xf numFmtId="0" fontId="84" fillId="86" borderId="85" xfId="0" applyFont="1" applyFill="1" applyBorder="1" applyAlignment="1">
      <alignment horizontal="left" vertical="top" wrapText="1" readingOrder="1"/>
    </xf>
    <xf numFmtId="0" fontId="85" fillId="87" borderId="86" xfId="0" applyFont="1" applyFill="1" applyBorder="1" applyAlignment="1">
      <alignment horizontal="right" vertical="top" wrapText="1" readingOrder="1"/>
    </xf>
    <xf numFmtId="4" fontId="86" fillId="88" borderId="87" xfId="0" applyNumberFormat="1" applyFont="1" applyFill="1" applyBorder="1" applyAlignment="1">
      <alignment horizontal="right" wrapText="1" readingOrder="1"/>
    </xf>
    <xf numFmtId="4" fontId="87" fillId="89" borderId="88" xfId="0" applyNumberFormat="1" applyFont="1" applyFill="1" applyBorder="1" applyAlignment="1">
      <alignment horizontal="right" wrapText="1" readingOrder="1"/>
    </xf>
    <xf numFmtId="4" fontId="88" fillId="90" borderId="89" xfId="0" applyNumberFormat="1" applyFont="1" applyFill="1" applyBorder="1" applyAlignment="1">
      <alignment horizontal="right" wrapText="1" readingOrder="1"/>
    </xf>
    <xf numFmtId="4" fontId="89" fillId="91" borderId="90" xfId="0" applyNumberFormat="1" applyFont="1" applyFill="1" applyBorder="1" applyAlignment="1">
      <alignment horizontal="right" wrapText="1" readingOrder="1"/>
    </xf>
    <xf numFmtId="4" fontId="90" fillId="92" borderId="91" xfId="0" applyNumberFormat="1" applyFont="1" applyFill="1" applyBorder="1" applyAlignment="1">
      <alignment horizontal="right" wrapText="1" readingOrder="1"/>
    </xf>
    <xf numFmtId="0" fontId="91" fillId="93" borderId="92" xfId="0" applyFont="1" applyFill="1" applyBorder="1" applyAlignment="1">
      <alignment horizontal="left" vertical="top" wrapText="1" readingOrder="1"/>
    </xf>
    <xf numFmtId="0" fontId="92" fillId="94" borderId="93" xfId="0" applyFont="1" applyFill="1" applyBorder="1" applyAlignment="1">
      <alignment horizontal="right" vertical="top" wrapText="1" readingOrder="1"/>
    </xf>
    <xf numFmtId="4" fontId="93" fillId="95" borderId="94" xfId="0" applyNumberFormat="1" applyFont="1" applyFill="1" applyBorder="1" applyAlignment="1">
      <alignment horizontal="right" wrapText="1" readingOrder="1"/>
    </xf>
    <xf numFmtId="4" fontId="94" fillId="96" borderId="95" xfId="0" applyNumberFormat="1" applyFont="1" applyFill="1" applyBorder="1" applyAlignment="1">
      <alignment horizontal="right" wrapText="1" readingOrder="1"/>
    </xf>
    <xf numFmtId="4" fontId="95" fillId="97" borderId="96" xfId="0" applyNumberFormat="1" applyFont="1" applyFill="1" applyBorder="1" applyAlignment="1">
      <alignment horizontal="right" wrapText="1" readingOrder="1"/>
    </xf>
    <xf numFmtId="4" fontId="96" fillId="98" borderId="97" xfId="0" applyNumberFormat="1" applyFont="1" applyFill="1" applyBorder="1" applyAlignment="1">
      <alignment horizontal="right" wrapText="1" readingOrder="1"/>
    </xf>
    <xf numFmtId="4" fontId="97" fillId="99" borderId="98" xfId="0" applyNumberFormat="1" applyFont="1" applyFill="1" applyBorder="1" applyAlignment="1">
      <alignment horizontal="right" wrapText="1" readingOrder="1"/>
    </xf>
    <xf numFmtId="0" fontId="98" fillId="100" borderId="99" xfId="0" applyFont="1" applyFill="1" applyBorder="1" applyAlignment="1">
      <alignment horizontal="left" vertical="top" wrapText="1" readingOrder="1"/>
    </xf>
    <xf numFmtId="0" fontId="99" fillId="101" borderId="100" xfId="0" applyFont="1" applyFill="1" applyBorder="1" applyAlignment="1">
      <alignment horizontal="right" vertical="top" wrapText="1" readingOrder="1"/>
    </xf>
    <xf numFmtId="4" fontId="100" fillId="102" borderId="101" xfId="0" applyNumberFormat="1" applyFont="1" applyFill="1" applyBorder="1" applyAlignment="1">
      <alignment horizontal="right" wrapText="1" readingOrder="1"/>
    </xf>
    <xf numFmtId="4" fontId="101" fillId="103" borderId="102" xfId="0" applyNumberFormat="1" applyFont="1" applyFill="1" applyBorder="1" applyAlignment="1">
      <alignment horizontal="right" wrapText="1" readingOrder="1"/>
    </xf>
    <xf numFmtId="4" fontId="102" fillId="104" borderId="103" xfId="0" applyNumberFormat="1" applyFont="1" applyFill="1" applyBorder="1" applyAlignment="1">
      <alignment horizontal="right" wrapText="1" readingOrder="1"/>
    </xf>
    <xf numFmtId="4" fontId="103" fillId="105" borderId="104" xfId="0" applyNumberFormat="1" applyFont="1" applyFill="1" applyBorder="1" applyAlignment="1">
      <alignment horizontal="right" wrapText="1" readingOrder="1"/>
    </xf>
    <xf numFmtId="4" fontId="104" fillId="106" borderId="105" xfId="0" applyNumberFormat="1" applyFont="1" applyFill="1" applyBorder="1" applyAlignment="1">
      <alignment horizontal="right" wrapText="1" readingOrder="1"/>
    </xf>
    <xf numFmtId="0" fontId="105" fillId="107" borderId="106" xfId="0" applyFont="1" applyFill="1" applyBorder="1" applyAlignment="1">
      <alignment horizontal="left" vertical="top" wrapText="1" readingOrder="1"/>
    </xf>
    <xf numFmtId="0" fontId="106" fillId="108" borderId="107" xfId="0" applyFont="1" applyFill="1" applyBorder="1" applyAlignment="1">
      <alignment horizontal="right" vertical="top" wrapText="1" readingOrder="1"/>
    </xf>
    <xf numFmtId="4" fontId="107" fillId="109" borderId="108" xfId="0" applyNumberFormat="1" applyFont="1" applyFill="1" applyBorder="1" applyAlignment="1">
      <alignment horizontal="right" wrapText="1" readingOrder="1"/>
    </xf>
    <xf numFmtId="4" fontId="108" fillId="110" borderId="109" xfId="0" applyNumberFormat="1" applyFont="1" applyFill="1" applyBorder="1" applyAlignment="1">
      <alignment horizontal="right" wrapText="1" readingOrder="1"/>
    </xf>
    <xf numFmtId="4" fontId="109" fillId="111" borderId="110" xfId="0" applyNumberFormat="1" applyFont="1" applyFill="1" applyBorder="1" applyAlignment="1">
      <alignment horizontal="right" wrapText="1" readingOrder="1"/>
    </xf>
    <xf numFmtId="4" fontId="110" fillId="112" borderId="111" xfId="0" applyNumberFormat="1" applyFont="1" applyFill="1" applyBorder="1" applyAlignment="1">
      <alignment horizontal="right" wrapText="1" readingOrder="1"/>
    </xf>
    <xf numFmtId="4" fontId="111" fillId="113" borderId="112" xfId="0" applyNumberFormat="1" applyFont="1" applyFill="1" applyBorder="1" applyAlignment="1">
      <alignment horizontal="right" wrapText="1" readingOrder="1"/>
    </xf>
    <xf numFmtId="0" fontId="112" fillId="114" borderId="113" xfId="0" applyFont="1" applyFill="1" applyBorder="1" applyAlignment="1">
      <alignment horizontal="left" vertical="top" wrapText="1" readingOrder="1"/>
    </xf>
    <xf numFmtId="0" fontId="113" fillId="115" borderId="114" xfId="0" applyFont="1" applyFill="1" applyBorder="1" applyAlignment="1">
      <alignment horizontal="right" vertical="top" wrapText="1" readingOrder="1"/>
    </xf>
    <xf numFmtId="4" fontId="114" fillId="116" borderId="115" xfId="0" applyNumberFormat="1" applyFont="1" applyFill="1" applyBorder="1" applyAlignment="1">
      <alignment horizontal="right" wrapText="1" readingOrder="1"/>
    </xf>
    <xf numFmtId="4" fontId="115" fillId="117" borderId="116" xfId="0" applyNumberFormat="1" applyFont="1" applyFill="1" applyBorder="1" applyAlignment="1">
      <alignment horizontal="right" wrapText="1" readingOrder="1"/>
    </xf>
    <xf numFmtId="4" fontId="116" fillId="118" borderId="117" xfId="0" applyNumberFormat="1" applyFont="1" applyFill="1" applyBorder="1" applyAlignment="1">
      <alignment horizontal="right" wrapText="1" readingOrder="1"/>
    </xf>
    <xf numFmtId="4" fontId="117" fillId="119" borderId="118" xfId="0" applyNumberFormat="1" applyFont="1" applyFill="1" applyBorder="1" applyAlignment="1">
      <alignment horizontal="right" wrapText="1" readingOrder="1"/>
    </xf>
    <xf numFmtId="4" fontId="118" fillId="120" borderId="119" xfId="0" applyNumberFormat="1" applyFont="1" applyFill="1" applyBorder="1" applyAlignment="1">
      <alignment horizontal="right" wrapText="1" readingOrder="1"/>
    </xf>
    <xf numFmtId="0" fontId="119" fillId="121" borderId="120" xfId="0" applyFont="1" applyFill="1" applyBorder="1" applyAlignment="1">
      <alignment horizontal="left" vertical="top" wrapText="1" readingOrder="1"/>
    </xf>
    <xf numFmtId="0" fontId="120" fillId="122" borderId="121" xfId="0" applyFont="1" applyFill="1" applyBorder="1" applyAlignment="1">
      <alignment horizontal="right" vertical="top" wrapText="1" readingOrder="1"/>
    </xf>
    <xf numFmtId="4" fontId="121" fillId="123" borderId="122" xfId="0" applyNumberFormat="1" applyFont="1" applyFill="1" applyBorder="1" applyAlignment="1">
      <alignment horizontal="right" wrapText="1" readingOrder="1"/>
    </xf>
    <xf numFmtId="4" fontId="122" fillId="124" borderId="123" xfId="0" applyNumberFormat="1" applyFont="1" applyFill="1" applyBorder="1" applyAlignment="1">
      <alignment horizontal="right" wrapText="1" readingOrder="1"/>
    </xf>
    <xf numFmtId="4" fontId="123" fillId="125" borderId="124" xfId="0" applyNumberFormat="1" applyFont="1" applyFill="1" applyBorder="1" applyAlignment="1">
      <alignment horizontal="right" wrapText="1" readingOrder="1"/>
    </xf>
    <xf numFmtId="4" fontId="124" fillId="126" borderId="125" xfId="0" applyNumberFormat="1" applyFont="1" applyFill="1" applyBorder="1" applyAlignment="1">
      <alignment horizontal="right" wrapText="1" readingOrder="1"/>
    </xf>
    <xf numFmtId="4" fontId="125" fillId="127" borderId="126" xfId="0" applyNumberFormat="1" applyFont="1" applyFill="1" applyBorder="1" applyAlignment="1">
      <alignment horizontal="right" wrapText="1" readingOrder="1"/>
    </xf>
    <xf numFmtId="0" fontId="126" fillId="128" borderId="127" xfId="0" applyFont="1" applyFill="1" applyBorder="1" applyAlignment="1">
      <alignment horizontal="left" vertical="top" wrapText="1" readingOrder="1"/>
    </xf>
    <xf numFmtId="0" fontId="127" fillId="129" borderId="128" xfId="0" applyFont="1" applyFill="1" applyBorder="1" applyAlignment="1">
      <alignment horizontal="right" vertical="top" wrapText="1" readingOrder="1"/>
    </xf>
    <xf numFmtId="4" fontId="128" fillId="130" borderId="129" xfId="0" applyNumberFormat="1" applyFont="1" applyFill="1" applyBorder="1" applyAlignment="1">
      <alignment horizontal="right" wrapText="1" readingOrder="1"/>
    </xf>
    <xf numFmtId="4" fontId="129" fillId="131" borderId="130" xfId="0" applyNumberFormat="1" applyFont="1" applyFill="1" applyBorder="1" applyAlignment="1">
      <alignment horizontal="right" wrapText="1" readingOrder="1"/>
    </xf>
    <xf numFmtId="4" fontId="130" fillId="132" borderId="131" xfId="0" applyNumberFormat="1" applyFont="1" applyFill="1" applyBorder="1" applyAlignment="1">
      <alignment horizontal="right" wrapText="1" readingOrder="1"/>
    </xf>
    <xf numFmtId="4" fontId="131" fillId="133" borderId="132" xfId="0" applyNumberFormat="1" applyFont="1" applyFill="1" applyBorder="1" applyAlignment="1">
      <alignment horizontal="right" wrapText="1" readingOrder="1"/>
    </xf>
    <xf numFmtId="4" fontId="132" fillId="134" borderId="133" xfId="0" applyNumberFormat="1" applyFont="1" applyFill="1" applyBorder="1" applyAlignment="1">
      <alignment horizontal="right" wrapText="1" readingOrder="1"/>
    </xf>
    <xf numFmtId="0" fontId="133" fillId="135" borderId="134" xfId="0" applyFont="1" applyFill="1" applyBorder="1" applyAlignment="1">
      <alignment horizontal="left" vertical="top" wrapText="1" readingOrder="1"/>
    </xf>
    <xf numFmtId="0" fontId="134" fillId="136" borderId="135" xfId="0" applyFont="1" applyFill="1" applyBorder="1" applyAlignment="1">
      <alignment horizontal="right" vertical="top" wrapText="1" readingOrder="1"/>
    </xf>
    <xf numFmtId="4" fontId="135" fillId="137" borderId="136" xfId="0" applyNumberFormat="1" applyFont="1" applyFill="1" applyBorder="1" applyAlignment="1">
      <alignment horizontal="right" wrapText="1" readingOrder="1"/>
    </xf>
    <xf numFmtId="4" fontId="136" fillId="138" borderId="137" xfId="0" applyNumberFormat="1" applyFont="1" applyFill="1" applyBorder="1" applyAlignment="1">
      <alignment horizontal="right" wrapText="1" readingOrder="1"/>
    </xf>
    <xf numFmtId="4" fontId="137" fillId="139" borderId="138" xfId="0" applyNumberFormat="1" applyFont="1" applyFill="1" applyBorder="1" applyAlignment="1">
      <alignment horizontal="right" wrapText="1" readingOrder="1"/>
    </xf>
    <xf numFmtId="4" fontId="138" fillId="140" borderId="139" xfId="0" applyNumberFormat="1" applyFont="1" applyFill="1" applyBorder="1" applyAlignment="1">
      <alignment horizontal="right" wrapText="1" readingOrder="1"/>
    </xf>
    <xf numFmtId="4" fontId="139" fillId="141" borderId="140" xfId="0" applyNumberFormat="1" applyFont="1" applyFill="1" applyBorder="1" applyAlignment="1">
      <alignment horizontal="right" wrapText="1" readingOrder="1"/>
    </xf>
    <xf numFmtId="0" fontId="140" fillId="142" borderId="141" xfId="0" applyFont="1" applyFill="1" applyBorder="1" applyAlignment="1">
      <alignment horizontal="left" vertical="top" wrapText="1" readingOrder="1"/>
    </xf>
    <xf numFmtId="0" fontId="141" fillId="143" borderId="142" xfId="0" applyFont="1" applyFill="1" applyBorder="1" applyAlignment="1">
      <alignment horizontal="right" vertical="top" wrapText="1" readingOrder="1"/>
    </xf>
    <xf numFmtId="4" fontId="142" fillId="144" borderId="143" xfId="0" applyNumberFormat="1" applyFont="1" applyFill="1" applyBorder="1" applyAlignment="1">
      <alignment horizontal="right" wrapText="1" readingOrder="1"/>
    </xf>
    <xf numFmtId="4" fontId="143" fillId="145" borderId="144" xfId="0" applyNumberFormat="1" applyFont="1" applyFill="1" applyBorder="1" applyAlignment="1">
      <alignment horizontal="right" wrapText="1" readingOrder="1"/>
    </xf>
    <xf numFmtId="4" fontId="144" fillId="146" borderId="145" xfId="0" applyNumberFormat="1" applyFont="1" applyFill="1" applyBorder="1" applyAlignment="1">
      <alignment horizontal="right" wrapText="1" readingOrder="1"/>
    </xf>
    <xf numFmtId="4" fontId="145" fillId="147" borderId="146" xfId="0" applyNumberFormat="1" applyFont="1" applyFill="1" applyBorder="1" applyAlignment="1">
      <alignment horizontal="right" wrapText="1" readingOrder="1"/>
    </xf>
    <xf numFmtId="4" fontId="146" fillId="148" borderId="147" xfId="0" applyNumberFormat="1" applyFont="1" applyFill="1" applyBorder="1" applyAlignment="1">
      <alignment horizontal="right" wrapText="1" readingOrder="1"/>
    </xf>
    <xf numFmtId="0" fontId="147" fillId="149" borderId="148" xfId="0" applyFont="1" applyFill="1" applyBorder="1" applyAlignment="1">
      <alignment horizontal="left" vertical="top" wrapText="1" readingOrder="1"/>
    </xf>
    <xf numFmtId="0" fontId="148" fillId="150" borderId="149" xfId="0" applyFont="1" applyFill="1" applyBorder="1" applyAlignment="1">
      <alignment horizontal="right" vertical="top" wrapText="1" readingOrder="1"/>
    </xf>
    <xf numFmtId="4" fontId="149" fillId="151" borderId="150" xfId="0" applyNumberFormat="1" applyFont="1" applyFill="1" applyBorder="1" applyAlignment="1">
      <alignment horizontal="right" wrapText="1" readingOrder="1"/>
    </xf>
    <xf numFmtId="4" fontId="150" fillId="152" borderId="151" xfId="0" applyNumberFormat="1" applyFont="1" applyFill="1" applyBorder="1" applyAlignment="1">
      <alignment horizontal="right" wrapText="1" readingOrder="1"/>
    </xf>
    <xf numFmtId="4" fontId="151" fillId="153" borderId="152" xfId="0" applyNumberFormat="1" applyFont="1" applyFill="1" applyBorder="1" applyAlignment="1">
      <alignment horizontal="right" wrapText="1" readingOrder="1"/>
    </xf>
    <xf numFmtId="4" fontId="152" fillId="154" borderId="153" xfId="0" applyNumberFormat="1" applyFont="1" applyFill="1" applyBorder="1" applyAlignment="1">
      <alignment horizontal="right" wrapText="1" readingOrder="1"/>
    </xf>
    <xf numFmtId="4" fontId="153" fillId="155" borderId="154" xfId="0" applyNumberFormat="1" applyFont="1" applyFill="1" applyBorder="1" applyAlignment="1">
      <alignment horizontal="right" wrapText="1" readingOrder="1"/>
    </xf>
    <xf numFmtId="0" fontId="154" fillId="156" borderId="155" xfId="0" applyFont="1" applyFill="1" applyBorder="1" applyAlignment="1">
      <alignment horizontal="left" vertical="top" wrapText="1" readingOrder="1"/>
    </xf>
    <xf numFmtId="0" fontId="155" fillId="157" borderId="156" xfId="0" applyFont="1" applyFill="1" applyBorder="1" applyAlignment="1">
      <alignment horizontal="right" vertical="top" wrapText="1" readingOrder="1"/>
    </xf>
    <xf numFmtId="4" fontId="156" fillId="158" borderId="157" xfId="0" applyNumberFormat="1" applyFont="1" applyFill="1" applyBorder="1" applyAlignment="1">
      <alignment horizontal="right" wrapText="1" readingOrder="1"/>
    </xf>
    <xf numFmtId="4" fontId="157" fillId="159" borderId="158" xfId="0" applyNumberFormat="1" applyFont="1" applyFill="1" applyBorder="1" applyAlignment="1">
      <alignment horizontal="right" wrapText="1" readingOrder="1"/>
    </xf>
    <xf numFmtId="4" fontId="158" fillId="160" borderId="159" xfId="0" applyNumberFormat="1" applyFont="1" applyFill="1" applyBorder="1" applyAlignment="1">
      <alignment horizontal="right" wrapText="1" readingOrder="1"/>
    </xf>
    <xf numFmtId="4" fontId="159" fillId="161" borderId="160" xfId="0" applyNumberFormat="1" applyFont="1" applyFill="1" applyBorder="1" applyAlignment="1">
      <alignment horizontal="right" wrapText="1" readingOrder="1"/>
    </xf>
    <xf numFmtId="4" fontId="160" fillId="162" borderId="161" xfId="0" applyNumberFormat="1" applyFont="1" applyFill="1" applyBorder="1" applyAlignment="1">
      <alignment horizontal="right" wrapText="1" readingOrder="1"/>
    </xf>
    <xf numFmtId="0" fontId="161" fillId="163" borderId="162" xfId="0" applyFont="1" applyFill="1" applyBorder="1" applyAlignment="1">
      <alignment horizontal="left" vertical="top" wrapText="1" readingOrder="1"/>
    </xf>
    <xf numFmtId="0" fontId="162" fillId="164" borderId="163" xfId="0" applyFont="1" applyFill="1" applyBorder="1" applyAlignment="1">
      <alignment horizontal="right" vertical="top" wrapText="1" readingOrder="1"/>
    </xf>
    <xf numFmtId="4" fontId="163" fillId="165" borderId="164" xfId="0" applyNumberFormat="1" applyFont="1" applyFill="1" applyBorder="1" applyAlignment="1">
      <alignment horizontal="right" wrapText="1" readingOrder="1"/>
    </xf>
    <xf numFmtId="4" fontId="164" fillId="166" borderId="165" xfId="0" applyNumberFormat="1" applyFont="1" applyFill="1" applyBorder="1" applyAlignment="1">
      <alignment horizontal="right" wrapText="1" readingOrder="1"/>
    </xf>
    <xf numFmtId="4" fontId="165" fillId="167" borderId="166" xfId="0" applyNumberFormat="1" applyFont="1" applyFill="1" applyBorder="1" applyAlignment="1">
      <alignment horizontal="right" wrapText="1" readingOrder="1"/>
    </xf>
    <xf numFmtId="4" fontId="166" fillId="168" borderId="167" xfId="0" applyNumberFormat="1" applyFont="1" applyFill="1" applyBorder="1" applyAlignment="1">
      <alignment horizontal="right" wrapText="1" readingOrder="1"/>
    </xf>
    <xf numFmtId="4" fontId="167" fillId="169" borderId="168" xfId="0" applyNumberFormat="1" applyFont="1" applyFill="1" applyBorder="1" applyAlignment="1">
      <alignment horizontal="right" wrapText="1" readingOrder="1"/>
    </xf>
    <xf numFmtId="0" fontId="168" fillId="170" borderId="169" xfId="0" applyFont="1" applyFill="1" applyBorder="1" applyAlignment="1">
      <alignment horizontal="left" vertical="top" wrapText="1" readingOrder="1"/>
    </xf>
    <xf numFmtId="0" fontId="169" fillId="171" borderId="170" xfId="0" applyFont="1" applyFill="1" applyBorder="1" applyAlignment="1">
      <alignment horizontal="right" vertical="top" wrapText="1" readingOrder="1"/>
    </xf>
    <xf numFmtId="4" fontId="170" fillId="172" borderId="171" xfId="0" applyNumberFormat="1" applyFont="1" applyFill="1" applyBorder="1" applyAlignment="1">
      <alignment horizontal="right" wrapText="1" readingOrder="1"/>
    </xf>
    <xf numFmtId="4" fontId="171" fillId="173" borderId="172" xfId="0" applyNumberFormat="1" applyFont="1" applyFill="1" applyBorder="1" applyAlignment="1">
      <alignment horizontal="right" wrapText="1" readingOrder="1"/>
    </xf>
    <xf numFmtId="4" fontId="172" fillId="174" borderId="173" xfId="0" applyNumberFormat="1" applyFont="1" applyFill="1" applyBorder="1" applyAlignment="1">
      <alignment horizontal="right" wrapText="1" readingOrder="1"/>
    </xf>
    <xf numFmtId="4" fontId="173" fillId="175" borderId="174" xfId="0" applyNumberFormat="1" applyFont="1" applyFill="1" applyBorder="1" applyAlignment="1">
      <alignment horizontal="right" wrapText="1" readingOrder="1"/>
    </xf>
    <xf numFmtId="4" fontId="174" fillId="176" borderId="175" xfId="0" applyNumberFormat="1" applyFont="1" applyFill="1" applyBorder="1" applyAlignment="1">
      <alignment horizontal="right" wrapText="1" readingOrder="1"/>
    </xf>
    <xf numFmtId="0" fontId="175" fillId="177" borderId="176" xfId="0" applyFont="1" applyFill="1" applyBorder="1" applyAlignment="1">
      <alignment horizontal="left" vertical="top" wrapText="1" readingOrder="1"/>
    </xf>
    <xf numFmtId="0" fontId="176" fillId="178" borderId="177" xfId="0" applyFont="1" applyFill="1" applyBorder="1" applyAlignment="1">
      <alignment horizontal="right" vertical="top" wrapText="1" readingOrder="1"/>
    </xf>
    <xf numFmtId="4" fontId="177" fillId="179" borderId="178" xfId="0" applyNumberFormat="1" applyFont="1" applyFill="1" applyBorder="1" applyAlignment="1">
      <alignment horizontal="right" wrapText="1" readingOrder="1"/>
    </xf>
    <xf numFmtId="4" fontId="178" fillId="180" borderId="179" xfId="0" applyNumberFormat="1" applyFont="1" applyFill="1" applyBorder="1" applyAlignment="1">
      <alignment horizontal="right" wrapText="1" readingOrder="1"/>
    </xf>
    <xf numFmtId="4" fontId="179" fillId="181" borderId="180" xfId="0" applyNumberFormat="1" applyFont="1" applyFill="1" applyBorder="1" applyAlignment="1">
      <alignment horizontal="right" wrapText="1" readingOrder="1"/>
    </xf>
    <xf numFmtId="4" fontId="180" fillId="182" borderId="181" xfId="0" applyNumberFormat="1" applyFont="1" applyFill="1" applyBorder="1" applyAlignment="1">
      <alignment horizontal="right" wrapText="1" readingOrder="1"/>
    </xf>
    <xf numFmtId="4" fontId="181" fillId="183" borderId="182" xfId="0" applyNumberFormat="1" applyFont="1" applyFill="1" applyBorder="1" applyAlignment="1">
      <alignment horizontal="right" wrapText="1" readingOrder="1"/>
    </xf>
    <xf numFmtId="0" fontId="182" fillId="184" borderId="183" xfId="0" applyFont="1" applyFill="1" applyBorder="1" applyAlignment="1">
      <alignment horizontal="left" vertical="top" wrapText="1" readingOrder="1"/>
    </xf>
    <xf numFmtId="0" fontId="183" fillId="185" borderId="184" xfId="0" applyFont="1" applyFill="1" applyBorder="1" applyAlignment="1">
      <alignment horizontal="right" vertical="top" wrapText="1" readingOrder="1"/>
    </xf>
    <xf numFmtId="4" fontId="184" fillId="186" borderId="185" xfId="0" applyNumberFormat="1" applyFont="1" applyFill="1" applyBorder="1" applyAlignment="1">
      <alignment horizontal="right" wrapText="1" readingOrder="1"/>
    </xf>
    <xf numFmtId="4" fontId="185" fillId="187" borderId="186" xfId="0" applyNumberFormat="1" applyFont="1" applyFill="1" applyBorder="1" applyAlignment="1">
      <alignment horizontal="right" wrapText="1" readingOrder="1"/>
    </xf>
    <xf numFmtId="4" fontId="186" fillId="188" borderId="187" xfId="0" applyNumberFormat="1" applyFont="1" applyFill="1" applyBorder="1" applyAlignment="1">
      <alignment horizontal="right" wrapText="1" readingOrder="1"/>
    </xf>
    <xf numFmtId="4" fontId="187" fillId="189" borderId="188" xfId="0" applyNumberFormat="1" applyFont="1" applyFill="1" applyBorder="1" applyAlignment="1">
      <alignment horizontal="right" wrapText="1" readingOrder="1"/>
    </xf>
    <xf numFmtId="4" fontId="188" fillId="190" borderId="189" xfId="0" applyNumberFormat="1" applyFont="1" applyFill="1" applyBorder="1" applyAlignment="1">
      <alignment horizontal="right" wrapText="1" readingOrder="1"/>
    </xf>
    <xf numFmtId="0" fontId="189" fillId="191" borderId="190" xfId="0" applyFont="1" applyFill="1" applyBorder="1" applyAlignment="1">
      <alignment horizontal="left" vertical="top" wrapText="1" readingOrder="1"/>
    </xf>
    <xf numFmtId="0" fontId="190" fillId="192" borderId="191" xfId="0" applyFont="1" applyFill="1" applyBorder="1" applyAlignment="1">
      <alignment horizontal="right" vertical="top" wrapText="1" readingOrder="1"/>
    </xf>
    <xf numFmtId="4" fontId="191" fillId="193" borderId="192" xfId="0" applyNumberFormat="1" applyFont="1" applyFill="1" applyBorder="1" applyAlignment="1">
      <alignment horizontal="right" wrapText="1" readingOrder="1"/>
    </xf>
    <xf numFmtId="4" fontId="192" fillId="194" borderId="193" xfId="0" applyNumberFormat="1" applyFont="1" applyFill="1" applyBorder="1" applyAlignment="1">
      <alignment horizontal="right" wrapText="1" readingOrder="1"/>
    </xf>
    <xf numFmtId="4" fontId="193" fillId="195" borderId="194" xfId="0" applyNumberFormat="1" applyFont="1" applyFill="1" applyBorder="1" applyAlignment="1">
      <alignment horizontal="right" wrapText="1" readingOrder="1"/>
    </xf>
    <xf numFmtId="4" fontId="194" fillId="196" borderId="195" xfId="0" applyNumberFormat="1" applyFont="1" applyFill="1" applyBorder="1" applyAlignment="1">
      <alignment horizontal="right" wrapText="1" readingOrder="1"/>
    </xf>
    <xf numFmtId="4" fontId="195" fillId="197" borderId="196" xfId="0" applyNumberFormat="1" applyFont="1" applyFill="1" applyBorder="1" applyAlignment="1">
      <alignment horizontal="right" wrapText="1" readingOrder="1"/>
    </xf>
    <xf numFmtId="0" fontId="196" fillId="198" borderId="197" xfId="0" applyFont="1" applyFill="1" applyBorder="1" applyAlignment="1">
      <alignment horizontal="left" vertical="top" wrapText="1" readingOrder="1"/>
    </xf>
    <xf numFmtId="0" fontId="197" fillId="199" borderId="198" xfId="0" applyFont="1" applyFill="1" applyBorder="1" applyAlignment="1">
      <alignment horizontal="right" vertical="top" wrapText="1" readingOrder="1"/>
    </xf>
    <xf numFmtId="4" fontId="198" fillId="200" borderId="199" xfId="0" applyNumberFormat="1" applyFont="1" applyFill="1" applyBorder="1" applyAlignment="1">
      <alignment horizontal="right" wrapText="1" readingOrder="1"/>
    </xf>
    <xf numFmtId="4" fontId="199" fillId="201" borderId="200" xfId="0" applyNumberFormat="1" applyFont="1" applyFill="1" applyBorder="1" applyAlignment="1">
      <alignment horizontal="right" wrapText="1" readingOrder="1"/>
    </xf>
    <xf numFmtId="4" fontId="200" fillId="202" borderId="201" xfId="0" applyNumberFormat="1" applyFont="1" applyFill="1" applyBorder="1" applyAlignment="1">
      <alignment horizontal="right" wrapText="1" readingOrder="1"/>
    </xf>
    <xf numFmtId="4" fontId="201" fillId="203" borderId="202" xfId="0" applyNumberFormat="1" applyFont="1" applyFill="1" applyBorder="1" applyAlignment="1">
      <alignment horizontal="right" wrapText="1" readingOrder="1"/>
    </xf>
    <xf numFmtId="4" fontId="202" fillId="204" borderId="203" xfId="0" applyNumberFormat="1" applyFont="1" applyFill="1" applyBorder="1" applyAlignment="1">
      <alignment horizontal="right" wrapText="1" readingOrder="1"/>
    </xf>
    <xf numFmtId="0" fontId="203" fillId="205" borderId="204" xfId="0" applyFont="1" applyFill="1" applyBorder="1" applyAlignment="1">
      <alignment horizontal="left" vertical="top" wrapText="1" readingOrder="1"/>
    </xf>
    <xf numFmtId="0" fontId="204" fillId="206" borderId="205" xfId="0" applyFont="1" applyFill="1" applyBorder="1" applyAlignment="1">
      <alignment horizontal="right" vertical="top" wrapText="1" readingOrder="1"/>
    </xf>
    <xf numFmtId="4" fontId="205" fillId="207" borderId="206" xfId="0" applyNumberFormat="1" applyFont="1" applyFill="1" applyBorder="1" applyAlignment="1">
      <alignment horizontal="right" wrapText="1" readingOrder="1"/>
    </xf>
    <xf numFmtId="4" fontId="206" fillId="208" borderId="207" xfId="0" applyNumberFormat="1" applyFont="1" applyFill="1" applyBorder="1" applyAlignment="1">
      <alignment horizontal="right" wrapText="1" readingOrder="1"/>
    </xf>
    <xf numFmtId="4" fontId="207" fillId="209" borderId="208" xfId="0" applyNumberFormat="1" applyFont="1" applyFill="1" applyBorder="1" applyAlignment="1">
      <alignment horizontal="right" wrapText="1" readingOrder="1"/>
    </xf>
    <xf numFmtId="4" fontId="208" fillId="210" borderId="209" xfId="0" applyNumberFormat="1" applyFont="1" applyFill="1" applyBorder="1" applyAlignment="1">
      <alignment horizontal="right" wrapText="1" readingOrder="1"/>
    </xf>
    <xf numFmtId="4" fontId="209" fillId="211" borderId="210" xfId="0" applyNumberFormat="1" applyFont="1" applyFill="1" applyBorder="1" applyAlignment="1">
      <alignment horizontal="right" wrapText="1" readingOrder="1"/>
    </xf>
    <xf numFmtId="0" fontId="210" fillId="212" borderId="211" xfId="0" applyFont="1" applyFill="1" applyBorder="1" applyAlignment="1">
      <alignment horizontal="left" vertical="top" wrapText="1" readingOrder="1"/>
    </xf>
    <xf numFmtId="0" fontId="211" fillId="213" borderId="212" xfId="0" applyFont="1" applyFill="1" applyBorder="1" applyAlignment="1">
      <alignment horizontal="right" vertical="top" wrapText="1" readingOrder="1"/>
    </xf>
    <xf numFmtId="4" fontId="212" fillId="214" borderId="213" xfId="0" applyNumberFormat="1" applyFont="1" applyFill="1" applyBorder="1" applyAlignment="1">
      <alignment horizontal="right" wrapText="1" readingOrder="1"/>
    </xf>
    <xf numFmtId="4" fontId="213" fillId="215" borderId="214" xfId="0" applyNumberFormat="1" applyFont="1" applyFill="1" applyBorder="1" applyAlignment="1">
      <alignment horizontal="right" wrapText="1" readingOrder="1"/>
    </xf>
    <xf numFmtId="4" fontId="214" fillId="216" borderId="215" xfId="0" applyNumberFormat="1" applyFont="1" applyFill="1" applyBorder="1" applyAlignment="1">
      <alignment horizontal="right" wrapText="1" readingOrder="1"/>
    </xf>
    <xf numFmtId="4" fontId="215" fillId="217" borderId="216" xfId="0" applyNumberFormat="1" applyFont="1" applyFill="1" applyBorder="1" applyAlignment="1">
      <alignment horizontal="right" wrapText="1" readingOrder="1"/>
    </xf>
    <xf numFmtId="4" fontId="216" fillId="218" borderId="217" xfId="0" applyNumberFormat="1" applyFont="1" applyFill="1" applyBorder="1" applyAlignment="1">
      <alignment horizontal="right" wrapText="1" readingOrder="1"/>
    </xf>
    <xf numFmtId="0" fontId="217" fillId="219" borderId="218" xfId="0" applyFont="1" applyFill="1" applyBorder="1" applyAlignment="1">
      <alignment horizontal="left" vertical="top" wrapText="1" readingOrder="1"/>
    </xf>
    <xf numFmtId="0" fontId="218" fillId="220" borderId="219" xfId="0" applyFont="1" applyFill="1" applyBorder="1" applyAlignment="1">
      <alignment horizontal="right" vertical="top" wrapText="1" readingOrder="1"/>
    </xf>
    <xf numFmtId="4" fontId="219" fillId="221" borderId="220" xfId="0" applyNumberFormat="1" applyFont="1" applyFill="1" applyBorder="1" applyAlignment="1">
      <alignment horizontal="right" wrapText="1" readingOrder="1"/>
    </xf>
    <xf numFmtId="4" fontId="220" fillId="222" borderId="221" xfId="0" applyNumberFormat="1" applyFont="1" applyFill="1" applyBorder="1" applyAlignment="1">
      <alignment horizontal="right" wrapText="1" readingOrder="1"/>
    </xf>
    <xf numFmtId="4" fontId="221" fillId="223" borderId="222" xfId="0" applyNumberFormat="1" applyFont="1" applyFill="1" applyBorder="1" applyAlignment="1">
      <alignment horizontal="right" wrapText="1" readingOrder="1"/>
    </xf>
    <xf numFmtId="4" fontId="222" fillId="224" borderId="223" xfId="0" applyNumberFormat="1" applyFont="1" applyFill="1" applyBorder="1" applyAlignment="1">
      <alignment horizontal="right" wrapText="1" readingOrder="1"/>
    </xf>
    <xf numFmtId="4" fontId="223" fillId="225" borderId="224" xfId="0" applyNumberFormat="1" applyFont="1" applyFill="1" applyBorder="1" applyAlignment="1">
      <alignment horizontal="right" wrapText="1" readingOrder="1"/>
    </xf>
    <xf numFmtId="0" fontId="224" fillId="226" borderId="225" xfId="0" applyFont="1" applyFill="1" applyBorder="1" applyAlignment="1">
      <alignment horizontal="left" vertical="top" wrapText="1" readingOrder="1"/>
    </xf>
    <xf numFmtId="0" fontId="225" fillId="227" borderId="226" xfId="0" applyFont="1" applyFill="1" applyBorder="1" applyAlignment="1">
      <alignment horizontal="right" vertical="top" wrapText="1" readingOrder="1"/>
    </xf>
    <xf numFmtId="4" fontId="226" fillId="228" borderId="227" xfId="0" applyNumberFormat="1" applyFont="1" applyFill="1" applyBorder="1" applyAlignment="1">
      <alignment horizontal="right" wrapText="1" readingOrder="1"/>
    </xf>
    <xf numFmtId="4" fontId="227" fillId="229" borderId="228" xfId="0" applyNumberFormat="1" applyFont="1" applyFill="1" applyBorder="1" applyAlignment="1">
      <alignment horizontal="right" wrapText="1" readingOrder="1"/>
    </xf>
    <xf numFmtId="4" fontId="228" fillId="230" borderId="229" xfId="0" applyNumberFormat="1" applyFont="1" applyFill="1" applyBorder="1" applyAlignment="1">
      <alignment horizontal="right" wrapText="1" readingOrder="1"/>
    </xf>
    <xf numFmtId="4" fontId="229" fillId="231" borderId="230" xfId="0" applyNumberFormat="1" applyFont="1" applyFill="1" applyBorder="1" applyAlignment="1">
      <alignment horizontal="right" wrapText="1" readingOrder="1"/>
    </xf>
    <xf numFmtId="4" fontId="230" fillId="232" borderId="231" xfId="0" applyNumberFormat="1" applyFont="1" applyFill="1" applyBorder="1" applyAlignment="1">
      <alignment horizontal="right" wrapText="1" readingOrder="1"/>
    </xf>
    <xf numFmtId="0" fontId="231" fillId="233" borderId="232" xfId="0" applyFont="1" applyFill="1" applyBorder="1" applyAlignment="1">
      <alignment readingOrder="1"/>
    </xf>
    <xf numFmtId="0" fontId="232" fillId="234" borderId="233" xfId="0" applyFont="1" applyFill="1" applyBorder="1"/>
    <xf numFmtId="0" fontId="233" fillId="235" borderId="234" xfId="0" applyFont="1" applyFill="1" applyBorder="1" applyAlignment="1">
      <alignment horizontal="left" vertical="top" wrapText="1"/>
    </xf>
    <xf numFmtId="0" fontId="234" fillId="236" borderId="235" xfId="0" applyFont="1" applyFill="1" applyBorder="1" applyAlignment="1">
      <alignment horizontal="left" vertical="top" wrapText="1"/>
    </xf>
    <xf numFmtId="164" fontId="0" fillId="0" borderId="0" xfId="1" applyNumberFormat="1" applyFont="1"/>
    <xf numFmtId="0" fontId="6" fillId="8" borderId="7" xfId="0" applyFont="1" applyFill="1" applyBorder="1" applyAlignment="1">
      <alignment horizontal="center" vertical="top" wrapText="1" readingOrder="1"/>
    </xf>
    <xf numFmtId="0" fontId="2" fillId="235" borderId="234" xfId="0" applyFont="1" applyFill="1" applyBorder="1" applyAlignment="1">
      <alignment horizontal="left" vertical="top" wrapText="1"/>
    </xf>
    <xf numFmtId="0" fontId="4" fillId="6" borderId="5" xfId="0" applyFont="1" applyFill="1" applyBorder="1" applyAlignment="1">
      <alignment horizontal="left" vertical="top" wrapText="1" readingOrder="1"/>
    </xf>
    <xf numFmtId="0" fontId="5" fillId="7" borderId="6" xfId="0" applyFont="1" applyFill="1" applyBorder="1" applyAlignment="1">
      <alignment horizontal="left" vertical="top" wrapText="1" readingOrder="1"/>
    </xf>
    <xf numFmtId="0" fontId="2" fillId="5" borderId="4" xfId="0" applyFont="1" applyFill="1" applyBorder="1" applyAlignment="1">
      <alignment horizontal="left" readingOrder="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data-explorer.oecd.org/vis?lc=en&amp;pg=0&amp;tm=built%20up%20land%20national&amp;snb=11&amp;hc%5bUnit%20of%20measure%5d=&amp;vw=tb&amp;df%5bds%5d=dsDisseminateFinalDMZ&amp;df%5bid%5d=DSD_LAND%40DF_LAND_COVER&amp;df%5bag%5d=OECD.ENV.EPI&amp;df%5bvs%5d=1.0&amp;dq=LIE%2BCHE%2BSVK%2BLUX%2BHUN%2BAUT%2BBIH%2BBGR%2BHRV%2BCYP%2BMLT%2BBEL%2BDNK%2BEST%2BFIN%2BFRA%2BDEU%2BGRC%2BISL%2BIRL%2BITA%2BLVA%2BLTU%2BNLD%2BNOR%2BPOL%2BPRT%2BSVN%2BESP%2BSWE%2BGBR..TOTAL_BUILT.KM2&amp;pd=2000%2C2022&amp;to%5bTIME_PERIOD%5d=false" TargetMode="External"/><Relationship Id="rId1" Type="http://schemas.openxmlformats.org/officeDocument/2006/relationships/hyperlink" Target="https://www.oecd.org/en/about/terms-condi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8"/>
  <sheetViews>
    <sheetView tabSelected="1" topLeftCell="A2" workbookViewId="0">
      <selection activeCell="B4" sqref="B4"/>
    </sheetView>
  </sheetViews>
  <sheetFormatPr defaultRowHeight="14.4" x14ac:dyDescent="0.3"/>
  <cols>
    <col min="2" max="2" width="115" style="230" customWidth="1"/>
  </cols>
  <sheetData>
    <row r="1" spans="2:2" x14ac:dyDescent="0.3">
      <c r="B1" s="231" t="s">
        <v>0</v>
      </c>
    </row>
    <row r="2" spans="2:2" ht="244.8" x14ac:dyDescent="0.3">
      <c r="B2" s="234" t="s">
        <v>42</v>
      </c>
    </row>
    <row r="5" spans="2:2" ht="39.75" customHeight="1" x14ac:dyDescent="0.3">
      <c r="B5" s="230" t="s">
        <v>43</v>
      </c>
    </row>
    <row r="7" spans="2:2" x14ac:dyDescent="0.3">
      <c r="B7" s="230" t="s">
        <v>44</v>
      </c>
    </row>
    <row r="8" spans="2:2" x14ac:dyDescent="0.3">
      <c r="B8" s="230"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0"/>
  <sheetViews>
    <sheetView workbookViewId="0">
      <selection activeCell="B3" sqref="B3"/>
    </sheetView>
  </sheetViews>
  <sheetFormatPr defaultRowHeight="14.4" x14ac:dyDescent="0.3"/>
  <cols>
    <col min="2" max="2" width="26" customWidth="1"/>
    <col min="3" max="8" width="13" customWidth="1"/>
    <col min="10" max="11" width="12" bestFit="1" customWidth="1"/>
  </cols>
  <sheetData>
    <row r="1" spans="2:12" x14ac:dyDescent="0.3">
      <c r="B1" s="1" t="s">
        <v>0</v>
      </c>
    </row>
    <row r="2" spans="2:12" x14ac:dyDescent="0.3">
      <c r="B2" s="2" t="s">
        <v>1</v>
      </c>
    </row>
    <row r="3" spans="2:12" x14ac:dyDescent="0.3">
      <c r="B3" s="3" t="s">
        <v>2</v>
      </c>
    </row>
    <row r="4" spans="2:12" x14ac:dyDescent="0.3">
      <c r="B4" s="237" t="s">
        <v>49</v>
      </c>
    </row>
    <row r="6" spans="2:12" ht="30" customHeight="1" x14ac:dyDescent="0.3">
      <c r="B6" s="235" t="s">
        <v>3</v>
      </c>
      <c r="C6" s="236" t="s">
        <v>3</v>
      </c>
      <c r="D6" s="233" t="s">
        <v>4</v>
      </c>
      <c r="E6" s="233" t="s">
        <v>5</v>
      </c>
      <c r="F6" s="233" t="s">
        <v>6</v>
      </c>
      <c r="G6" s="233">
        <v>2015</v>
      </c>
      <c r="H6" s="233" t="s">
        <v>7</v>
      </c>
    </row>
    <row r="7" spans="2:12" x14ac:dyDescent="0.3">
      <c r="B7" s="4" t="s">
        <v>8</v>
      </c>
      <c r="C7" s="5" t="s">
        <v>9</v>
      </c>
      <c r="D7" s="6" t="s">
        <v>9</v>
      </c>
      <c r="E7" s="7" t="s">
        <v>9</v>
      </c>
      <c r="F7" s="8" t="s">
        <v>9</v>
      </c>
      <c r="G7" s="9" t="s">
        <v>9</v>
      </c>
      <c r="H7" s="10" t="s">
        <v>9</v>
      </c>
      <c r="J7" t="s">
        <v>48</v>
      </c>
      <c r="K7" t="s">
        <v>47</v>
      </c>
      <c r="L7" t="s">
        <v>46</v>
      </c>
    </row>
    <row r="8" spans="2:12" x14ac:dyDescent="0.3">
      <c r="B8" s="11" t="s">
        <v>10</v>
      </c>
      <c r="C8" s="12" t="s">
        <v>9</v>
      </c>
      <c r="D8" s="13">
        <v>884.22195799999997</v>
      </c>
      <c r="E8" s="14">
        <v>950.44807000000003</v>
      </c>
      <c r="F8" s="15">
        <v>1019.139107</v>
      </c>
      <c r="G8" s="16">
        <v>1086.0644890000001</v>
      </c>
      <c r="H8" s="17">
        <v>1141.8197299999999</v>
      </c>
      <c r="J8" s="232">
        <f>(H8/G8)^(1/5)-1</f>
        <v>1.0062821525950616E-2</v>
      </c>
      <c r="K8" s="232">
        <f t="shared" ref="K8:K38" si="0">(H8/F8)^(1/10)-1</f>
        <v>1.1431342691788471E-2</v>
      </c>
      <c r="L8" s="232">
        <f t="shared" ref="L8:L38" si="1">(H8/D8)^(1/20)-1</f>
        <v>1.2865578903875852E-2</v>
      </c>
    </row>
    <row r="9" spans="2:12" x14ac:dyDescent="0.3">
      <c r="B9" s="18" t="s">
        <v>11</v>
      </c>
      <c r="C9" s="19" t="s">
        <v>9</v>
      </c>
      <c r="D9" s="20">
        <v>1172.448441</v>
      </c>
      <c r="E9" s="21">
        <v>1266.7938650000001</v>
      </c>
      <c r="F9" s="22">
        <v>1364.535817</v>
      </c>
      <c r="G9" s="23">
        <v>1456.3376490000001</v>
      </c>
      <c r="H9" s="24">
        <v>1516.614628</v>
      </c>
      <c r="J9" s="232">
        <f t="shared" ref="J9:J38" si="2">(H9/G9)^(1/5)-1</f>
        <v>8.1441461562008488E-3</v>
      </c>
      <c r="K9" s="232">
        <f t="shared" si="0"/>
        <v>1.062265626305825E-2</v>
      </c>
      <c r="L9" s="232">
        <f t="shared" si="1"/>
        <v>1.2952485354386756E-2</v>
      </c>
    </row>
    <row r="10" spans="2:12" x14ac:dyDescent="0.3">
      <c r="B10" s="25" t="s">
        <v>12</v>
      </c>
      <c r="C10" s="26" t="s">
        <v>9</v>
      </c>
      <c r="D10" s="27">
        <v>636.44630199999995</v>
      </c>
      <c r="E10" s="28">
        <v>682.20613500000002</v>
      </c>
      <c r="F10" s="29">
        <v>730.50184000000002</v>
      </c>
      <c r="G10" s="30">
        <v>775.997929</v>
      </c>
      <c r="H10" s="31">
        <v>804.69109400000002</v>
      </c>
      <c r="J10" s="232">
        <f t="shared" si="2"/>
        <v>7.2881539022549013E-3</v>
      </c>
      <c r="K10" s="232">
        <f t="shared" si="0"/>
        <v>9.7196034471991322E-3</v>
      </c>
      <c r="L10" s="232">
        <f t="shared" si="1"/>
        <v>1.1796962689881729E-2</v>
      </c>
    </row>
    <row r="11" spans="2:12" x14ac:dyDescent="0.3">
      <c r="B11" s="32" t="s">
        <v>13</v>
      </c>
      <c r="C11" s="33" t="s">
        <v>9</v>
      </c>
      <c r="D11" s="34">
        <v>162.54795200000001</v>
      </c>
      <c r="E11" s="35">
        <v>168.564233</v>
      </c>
      <c r="F11" s="36">
        <v>174.92327599999999</v>
      </c>
      <c r="G11" s="37">
        <v>181.65443500000001</v>
      </c>
      <c r="H11" s="38">
        <v>189.60749200000001</v>
      </c>
      <c r="J11" s="232">
        <f t="shared" si="2"/>
        <v>8.606813530065871E-3</v>
      </c>
      <c r="K11" s="232">
        <f t="shared" si="0"/>
        <v>8.0934411311581744E-3</v>
      </c>
      <c r="L11" s="232">
        <f t="shared" si="1"/>
        <v>7.728867504295911E-3</v>
      </c>
    </row>
    <row r="12" spans="2:12" x14ac:dyDescent="0.3">
      <c r="B12" s="39" t="s">
        <v>14</v>
      </c>
      <c r="C12" s="40" t="s">
        <v>9</v>
      </c>
      <c r="D12" s="41">
        <v>417.23983500000003</v>
      </c>
      <c r="E12" s="42">
        <v>445.09805899999998</v>
      </c>
      <c r="F12" s="43">
        <v>474.71229399999999</v>
      </c>
      <c r="G12" s="44">
        <v>503.88508000000002</v>
      </c>
      <c r="H12" s="45">
        <v>528.35661900000002</v>
      </c>
      <c r="J12" s="232">
        <f t="shared" si="2"/>
        <v>9.5297706821027006E-3</v>
      </c>
      <c r="K12" s="232">
        <f t="shared" si="0"/>
        <v>1.0763771705849523E-2</v>
      </c>
      <c r="L12" s="232">
        <f t="shared" si="1"/>
        <v>1.1875473615388543E-2</v>
      </c>
    </row>
    <row r="13" spans="2:12" x14ac:dyDescent="0.3">
      <c r="B13" s="46" t="s">
        <v>15</v>
      </c>
      <c r="C13" s="47" t="s">
        <v>9</v>
      </c>
      <c r="D13" s="48">
        <v>7791.107532</v>
      </c>
      <c r="E13" s="49">
        <v>8416.4182880000008</v>
      </c>
      <c r="F13" s="50">
        <v>9074.4355149999992</v>
      </c>
      <c r="G13" s="51">
        <v>9703.6209560000007</v>
      </c>
      <c r="H13" s="52">
        <v>10142.773730000001</v>
      </c>
      <c r="J13" s="232">
        <f t="shared" si="2"/>
        <v>8.8917778421540028E-3</v>
      </c>
      <c r="K13" s="232">
        <f t="shared" si="0"/>
        <v>1.1192202063422529E-2</v>
      </c>
      <c r="L13" s="232">
        <f t="shared" si="1"/>
        <v>1.3276281527452971E-2</v>
      </c>
    </row>
    <row r="14" spans="2:12" x14ac:dyDescent="0.3">
      <c r="B14" s="53" t="s">
        <v>16</v>
      </c>
      <c r="C14" s="54" t="s">
        <v>9</v>
      </c>
      <c r="D14" s="55">
        <v>7628.0679559999999</v>
      </c>
      <c r="E14" s="56">
        <v>8125.5843750000004</v>
      </c>
      <c r="F14" s="57">
        <v>8643.770955</v>
      </c>
      <c r="G14" s="58">
        <v>9148.3568090000008</v>
      </c>
      <c r="H14" s="59">
        <v>9553.5607039999995</v>
      </c>
      <c r="J14" s="232">
        <f t="shared" si="2"/>
        <v>8.7056061181054467E-3</v>
      </c>
      <c r="K14" s="232">
        <f t="shared" si="0"/>
        <v>1.0057741768179085E-2</v>
      </c>
      <c r="L14" s="232">
        <f t="shared" si="1"/>
        <v>1.1317530967305478E-2</v>
      </c>
    </row>
    <row r="15" spans="2:12" x14ac:dyDescent="0.3">
      <c r="B15" s="60" t="s">
        <v>17</v>
      </c>
      <c r="C15" s="61" t="s">
        <v>9</v>
      </c>
      <c r="D15" s="62">
        <v>930.66165999999998</v>
      </c>
      <c r="E15" s="63">
        <v>994.45466499999998</v>
      </c>
      <c r="F15" s="64">
        <v>1061.204084</v>
      </c>
      <c r="G15" s="65">
        <v>1122.424268</v>
      </c>
      <c r="H15" s="66">
        <v>1155.906211</v>
      </c>
      <c r="J15" s="232">
        <f t="shared" si="2"/>
        <v>5.8960664794742712E-3</v>
      </c>
      <c r="K15" s="232">
        <f t="shared" si="0"/>
        <v>8.5846831388309841E-3</v>
      </c>
      <c r="L15" s="232">
        <f t="shared" si="1"/>
        <v>1.0896141123408309E-2</v>
      </c>
    </row>
    <row r="16" spans="2:12" x14ac:dyDescent="0.3">
      <c r="B16" s="67" t="s">
        <v>18</v>
      </c>
      <c r="C16" s="68" t="s">
        <v>9</v>
      </c>
      <c r="D16" s="69">
        <v>1063.913258</v>
      </c>
      <c r="E16" s="70">
        <v>1125.1414030000001</v>
      </c>
      <c r="F16" s="71">
        <v>1189.1492679999999</v>
      </c>
      <c r="G16" s="72">
        <v>1250.8663320000001</v>
      </c>
      <c r="H16" s="73">
        <v>1297.0854300000001</v>
      </c>
      <c r="J16" s="232">
        <f t="shared" si="2"/>
        <v>7.2830722368333323E-3</v>
      </c>
      <c r="K16" s="232">
        <f t="shared" si="0"/>
        <v>8.7260136135118849E-3</v>
      </c>
      <c r="L16" s="232">
        <f t="shared" si="1"/>
        <v>9.9575450538771371E-3</v>
      </c>
    </row>
    <row r="17" spans="2:12" x14ac:dyDescent="0.3">
      <c r="B17" s="74" t="s">
        <v>19</v>
      </c>
      <c r="C17" s="75" t="s">
        <v>9</v>
      </c>
      <c r="D17" s="76">
        <v>24.612987</v>
      </c>
      <c r="E17" s="77">
        <v>26.221432</v>
      </c>
      <c r="F17" s="78">
        <v>27.958434</v>
      </c>
      <c r="G17" s="79">
        <v>29.43834</v>
      </c>
      <c r="H17" s="80">
        <v>29.760197999999999</v>
      </c>
      <c r="J17" s="232">
        <f t="shared" si="2"/>
        <v>2.1771579274456609E-3</v>
      </c>
      <c r="K17" s="232">
        <f t="shared" si="0"/>
        <v>6.2648381158130206E-3</v>
      </c>
      <c r="L17" s="232">
        <f t="shared" si="1"/>
        <v>9.5401010281823684E-3</v>
      </c>
    </row>
    <row r="18" spans="2:12" x14ac:dyDescent="0.3">
      <c r="B18" s="81" t="s">
        <v>20</v>
      </c>
      <c r="C18" s="82" t="s">
        <v>9</v>
      </c>
      <c r="D18" s="83">
        <v>562.59220700000003</v>
      </c>
      <c r="E18" s="84">
        <v>607.01398600000005</v>
      </c>
      <c r="F18" s="85">
        <v>654.10974399999998</v>
      </c>
      <c r="G18" s="86">
        <v>698.64287400000001</v>
      </c>
      <c r="H18" s="87">
        <v>727.52442599999995</v>
      </c>
      <c r="J18" s="232">
        <f t="shared" si="2"/>
        <v>8.134480945945155E-3</v>
      </c>
      <c r="K18" s="232">
        <f t="shared" si="0"/>
        <v>1.0694019816358979E-2</v>
      </c>
      <c r="L18" s="232">
        <f t="shared" si="1"/>
        <v>1.2937602347999455E-2</v>
      </c>
    </row>
    <row r="19" spans="2:12" x14ac:dyDescent="0.3">
      <c r="B19" s="88" t="s">
        <v>21</v>
      </c>
      <c r="C19" s="89" t="s">
        <v>9</v>
      </c>
      <c r="D19" s="90">
        <v>5549.885499</v>
      </c>
      <c r="E19" s="91">
        <v>5916.1849380000003</v>
      </c>
      <c r="F19" s="92">
        <v>6299.9507960000001</v>
      </c>
      <c r="G19" s="93">
        <v>6658.5251529999996</v>
      </c>
      <c r="H19" s="94">
        <v>6882.8520939999999</v>
      </c>
      <c r="J19" s="232">
        <f t="shared" si="2"/>
        <v>6.6490279004469688E-3</v>
      </c>
      <c r="K19" s="232">
        <f t="shared" si="0"/>
        <v>8.8883984289915841E-3</v>
      </c>
      <c r="L19" s="232">
        <f t="shared" si="1"/>
        <v>1.0820918076414721E-2</v>
      </c>
    </row>
    <row r="20" spans="2:12" x14ac:dyDescent="0.3">
      <c r="B20" s="95" t="s">
        <v>22</v>
      </c>
      <c r="C20" s="96" t="s">
        <v>9</v>
      </c>
      <c r="D20" s="97">
        <v>222.89751999999999</v>
      </c>
      <c r="E20" s="98">
        <v>230.82364200000001</v>
      </c>
      <c r="F20" s="99">
        <v>239.10862599999999</v>
      </c>
      <c r="G20" s="100">
        <v>247.35888199999999</v>
      </c>
      <c r="H20" s="101">
        <v>255.39635200000001</v>
      </c>
      <c r="J20" s="232">
        <f t="shared" si="2"/>
        <v>6.4157763572283422E-3</v>
      </c>
      <c r="K20" s="232">
        <f t="shared" si="0"/>
        <v>6.6116318988884704E-3</v>
      </c>
      <c r="L20" s="232">
        <f t="shared" si="1"/>
        <v>6.8284354627403676E-3</v>
      </c>
    </row>
    <row r="21" spans="2:12" x14ac:dyDescent="0.3">
      <c r="B21" s="102" t="s">
        <v>23</v>
      </c>
      <c r="C21" s="103" t="s">
        <v>9</v>
      </c>
      <c r="D21" s="104">
        <v>389.93802699999998</v>
      </c>
      <c r="E21" s="105">
        <v>411.257655</v>
      </c>
      <c r="F21" s="106">
        <v>433.44827900000001</v>
      </c>
      <c r="G21" s="107">
        <v>455.65229900000003</v>
      </c>
      <c r="H21" s="108">
        <v>477.02367400000003</v>
      </c>
      <c r="J21" s="232">
        <f t="shared" si="2"/>
        <v>9.2093685059086994E-3</v>
      </c>
      <c r="K21" s="232">
        <f t="shared" si="0"/>
        <v>9.6253931524439285E-3</v>
      </c>
      <c r="L21" s="232">
        <f t="shared" si="1"/>
        <v>1.0129878303686501E-2</v>
      </c>
    </row>
    <row r="22" spans="2:12" x14ac:dyDescent="0.3">
      <c r="B22" s="109" t="s">
        <v>24</v>
      </c>
      <c r="C22" s="110" t="s">
        <v>9</v>
      </c>
      <c r="D22" s="111">
        <v>48.384399999999999</v>
      </c>
      <c r="E22" s="112">
        <v>53.134480000000003</v>
      </c>
      <c r="F22" s="113">
        <v>58.130038999999996</v>
      </c>
      <c r="G22" s="114">
        <v>63.109070000000003</v>
      </c>
      <c r="H22" s="115">
        <v>67.384798000000004</v>
      </c>
      <c r="J22" s="232">
        <f t="shared" si="2"/>
        <v>1.3197314714996855E-2</v>
      </c>
      <c r="K22" s="232">
        <f t="shared" si="0"/>
        <v>1.4883359447054989E-2</v>
      </c>
      <c r="L22" s="232">
        <f t="shared" si="1"/>
        <v>1.670001168282953E-2</v>
      </c>
    </row>
    <row r="23" spans="2:12" x14ac:dyDescent="0.3">
      <c r="B23" s="116" t="s">
        <v>25</v>
      </c>
      <c r="C23" s="117" t="s">
        <v>9</v>
      </c>
      <c r="D23" s="118">
        <v>1510.8010220000001</v>
      </c>
      <c r="E23" s="119">
        <v>1618.3183140000001</v>
      </c>
      <c r="F23" s="120">
        <v>1732.1109449999999</v>
      </c>
      <c r="G23" s="121">
        <v>1839.7245339999999</v>
      </c>
      <c r="H23" s="122">
        <v>1906.6745080000001</v>
      </c>
      <c r="J23" s="232">
        <f t="shared" si="2"/>
        <v>7.1745705217038935E-3</v>
      </c>
      <c r="K23" s="232">
        <f t="shared" si="0"/>
        <v>9.6482233994370503E-3</v>
      </c>
      <c r="L23" s="232">
        <f t="shared" si="1"/>
        <v>1.1703994016854846E-2</v>
      </c>
    </row>
    <row r="24" spans="2:12" x14ac:dyDescent="0.3">
      <c r="B24" s="123" t="s">
        <v>26</v>
      </c>
      <c r="C24" s="124" t="s">
        <v>9</v>
      </c>
      <c r="D24" s="125">
        <v>276.85836399999999</v>
      </c>
      <c r="E24" s="126">
        <v>299.37213100000002</v>
      </c>
      <c r="F24" s="127">
        <v>323.11221799999998</v>
      </c>
      <c r="G24" s="128">
        <v>347.24422499999997</v>
      </c>
      <c r="H24" s="129">
        <v>370.81889799999999</v>
      </c>
      <c r="J24" s="232">
        <f t="shared" si="2"/>
        <v>1.3223760085975922E-2</v>
      </c>
      <c r="K24" s="232">
        <f t="shared" si="0"/>
        <v>1.3866673763773818E-2</v>
      </c>
      <c r="L24" s="232">
        <f t="shared" si="1"/>
        <v>1.4717640595979464E-2</v>
      </c>
    </row>
    <row r="25" spans="2:12" x14ac:dyDescent="0.3">
      <c r="B25" s="130" t="s">
        <v>27</v>
      </c>
      <c r="C25" s="131" t="s">
        <v>9</v>
      </c>
      <c r="D25" s="132">
        <v>3315.2156110000001</v>
      </c>
      <c r="E25" s="133">
        <v>3620.3901409999999</v>
      </c>
      <c r="F25" s="134">
        <v>3939.7469219999998</v>
      </c>
      <c r="G25" s="135">
        <v>4258.2951030000004</v>
      </c>
      <c r="H25" s="136">
        <v>4545.68091</v>
      </c>
      <c r="J25" s="232">
        <f t="shared" si="2"/>
        <v>1.3147409445934288E-2</v>
      </c>
      <c r="K25" s="232">
        <f t="shared" si="0"/>
        <v>1.4408926386954235E-2</v>
      </c>
      <c r="L25" s="232">
        <f t="shared" si="1"/>
        <v>1.5907948774758207E-2</v>
      </c>
    </row>
    <row r="26" spans="2:12" x14ac:dyDescent="0.3">
      <c r="B26" s="137" t="s">
        <v>28</v>
      </c>
      <c r="C26" s="138" t="s">
        <v>9</v>
      </c>
      <c r="D26" s="139">
        <v>1010.632613</v>
      </c>
      <c r="E26" s="140">
        <v>1108.965158</v>
      </c>
      <c r="F26" s="141">
        <v>1211.9503279999999</v>
      </c>
      <c r="G26" s="142">
        <v>1308.4750349999999</v>
      </c>
      <c r="H26" s="143">
        <v>1367.6310980000001</v>
      </c>
      <c r="J26" s="232">
        <f t="shared" si="2"/>
        <v>8.8827705081835351E-3</v>
      </c>
      <c r="K26" s="232">
        <f t="shared" si="0"/>
        <v>1.2158239143650551E-2</v>
      </c>
      <c r="L26" s="232">
        <f t="shared" si="1"/>
        <v>1.5240146115634179E-2</v>
      </c>
    </row>
    <row r="27" spans="2:12" x14ac:dyDescent="0.3">
      <c r="B27" s="144" t="s">
        <v>29</v>
      </c>
      <c r="C27" s="145" t="s">
        <v>9</v>
      </c>
      <c r="D27" s="146">
        <v>528.44646899999998</v>
      </c>
      <c r="E27" s="147">
        <v>561.47261500000002</v>
      </c>
      <c r="F27" s="148">
        <v>595.95563100000004</v>
      </c>
      <c r="G27" s="149">
        <v>632.70170599999994</v>
      </c>
      <c r="H27" s="150">
        <v>675.33352000000002</v>
      </c>
      <c r="J27" s="232">
        <f t="shared" si="2"/>
        <v>1.3126931520273333E-2</v>
      </c>
      <c r="K27" s="232">
        <f t="shared" si="0"/>
        <v>1.2582547720768833E-2</v>
      </c>
      <c r="L27" s="232">
        <f t="shared" si="1"/>
        <v>1.2338760113038028E-2</v>
      </c>
    </row>
    <row r="28" spans="2:12" x14ac:dyDescent="0.3">
      <c r="B28" s="151" t="s">
        <v>30</v>
      </c>
      <c r="C28" s="152" t="s">
        <v>9</v>
      </c>
      <c r="D28" s="153">
        <v>206.78469100000001</v>
      </c>
      <c r="E28" s="154">
        <v>219.35445999999999</v>
      </c>
      <c r="F28" s="155">
        <v>232.406634</v>
      </c>
      <c r="G28" s="156">
        <v>245.043612</v>
      </c>
      <c r="H28" s="157">
        <v>255.295897</v>
      </c>
      <c r="J28" s="232">
        <f t="shared" si="2"/>
        <v>8.2311007540056824E-3</v>
      </c>
      <c r="K28" s="232">
        <f t="shared" si="0"/>
        <v>9.4377253551614082E-3</v>
      </c>
      <c r="L28" s="232">
        <f t="shared" si="1"/>
        <v>1.0592969455520906E-2</v>
      </c>
    </row>
    <row r="29" spans="2:12" x14ac:dyDescent="0.3">
      <c r="B29" s="158" t="s">
        <v>31</v>
      </c>
      <c r="C29" s="159" t="s">
        <v>9</v>
      </c>
      <c r="D29" s="160">
        <v>3408.0900849999998</v>
      </c>
      <c r="E29" s="161">
        <v>3676.5444929999999</v>
      </c>
      <c r="F29" s="162">
        <v>3962.4474500000001</v>
      </c>
      <c r="G29" s="163">
        <v>4230.1677110000001</v>
      </c>
      <c r="H29" s="164">
        <v>4387.6577299999999</v>
      </c>
      <c r="J29" s="232">
        <f t="shared" si="2"/>
        <v>7.3375685399301727E-3</v>
      </c>
      <c r="K29" s="232">
        <f t="shared" si="0"/>
        <v>1.0245495401578264E-2</v>
      </c>
      <c r="L29" s="232">
        <f t="shared" si="1"/>
        <v>1.2712297739980505E-2</v>
      </c>
    </row>
    <row r="30" spans="2:12" x14ac:dyDescent="0.3">
      <c r="B30" s="165" t="s">
        <v>32</v>
      </c>
      <c r="C30" s="166" t="s">
        <v>9</v>
      </c>
      <c r="D30" s="167">
        <v>719.44653500000004</v>
      </c>
      <c r="E30" s="168">
        <v>761.25871199999995</v>
      </c>
      <c r="F30" s="169">
        <v>805.47084700000005</v>
      </c>
      <c r="G30" s="170">
        <v>851.13078299999995</v>
      </c>
      <c r="H30" s="171">
        <v>898.46773700000006</v>
      </c>
      <c r="J30" s="232">
        <f t="shared" si="2"/>
        <v>1.0883802226151262E-2</v>
      </c>
      <c r="K30" s="232">
        <f t="shared" si="0"/>
        <v>1.0986289723480036E-2</v>
      </c>
      <c r="L30" s="232">
        <f t="shared" si="1"/>
        <v>1.1172379182643022E-2</v>
      </c>
    </row>
    <row r="31" spans="2:12" x14ac:dyDescent="0.3">
      <c r="B31" s="172" t="s">
        <v>33</v>
      </c>
      <c r="C31" s="173" t="s">
        <v>9</v>
      </c>
      <c r="D31" s="174">
        <v>608.005044</v>
      </c>
      <c r="E31" s="175">
        <v>654.11317399999996</v>
      </c>
      <c r="F31" s="176">
        <v>701.66066799999999</v>
      </c>
      <c r="G31" s="177">
        <v>747.60959100000002</v>
      </c>
      <c r="H31" s="178">
        <v>783.90732700000001</v>
      </c>
      <c r="J31" s="232">
        <f t="shared" si="2"/>
        <v>9.5270770914892555E-3</v>
      </c>
      <c r="K31" s="232">
        <f t="shared" si="0"/>
        <v>1.1145746091704156E-2</v>
      </c>
      <c r="L31" s="232">
        <f t="shared" si="1"/>
        <v>1.2786437780529125E-2</v>
      </c>
    </row>
    <row r="32" spans="2:12" x14ac:dyDescent="0.3">
      <c r="B32" s="179" t="s">
        <v>34</v>
      </c>
      <c r="C32" s="180" t="s">
        <v>9</v>
      </c>
      <c r="D32" s="181">
        <v>4676.0306010000004</v>
      </c>
      <c r="E32" s="182">
        <v>4901.2160359999998</v>
      </c>
      <c r="F32" s="183">
        <v>5136.1767980000004</v>
      </c>
      <c r="G32" s="184">
        <v>5364.6150909999997</v>
      </c>
      <c r="H32" s="185">
        <v>5547.1634450000001</v>
      </c>
      <c r="J32" s="232">
        <f t="shared" si="2"/>
        <v>6.7148596651898096E-3</v>
      </c>
      <c r="K32" s="232">
        <f t="shared" si="0"/>
        <v>7.7274757173242392E-3</v>
      </c>
      <c r="L32" s="232">
        <f t="shared" si="1"/>
        <v>8.5784416600269697E-3</v>
      </c>
    </row>
    <row r="33" spans="2:12" x14ac:dyDescent="0.3">
      <c r="B33" s="186" t="s">
        <v>35</v>
      </c>
      <c r="C33" s="187" t="s">
        <v>9</v>
      </c>
      <c r="D33" s="188">
        <v>269.14954599999999</v>
      </c>
      <c r="E33" s="189">
        <v>292.11585600000001</v>
      </c>
      <c r="F33" s="190">
        <v>316.27740799999998</v>
      </c>
      <c r="G33" s="191">
        <v>339.88806599999998</v>
      </c>
      <c r="H33" s="192">
        <v>359.32079199999998</v>
      </c>
      <c r="J33" s="232">
        <f t="shared" si="2"/>
        <v>1.1181898207815566E-2</v>
      </c>
      <c r="K33" s="232">
        <f t="shared" si="0"/>
        <v>1.2841336710270879E-2</v>
      </c>
      <c r="L33" s="232">
        <f t="shared" si="1"/>
        <v>1.4552288506695987E-2</v>
      </c>
    </row>
    <row r="34" spans="2:12" x14ac:dyDescent="0.3">
      <c r="B34" s="193" t="s">
        <v>36</v>
      </c>
      <c r="C34" s="194" t="s">
        <v>9</v>
      </c>
      <c r="D34" s="195">
        <v>688.36650699999996</v>
      </c>
      <c r="E34" s="196">
        <v>730.15374799999995</v>
      </c>
      <c r="F34" s="197">
        <v>773.518912</v>
      </c>
      <c r="G34" s="198">
        <v>817.51075200000002</v>
      </c>
      <c r="H34" s="199">
        <v>861.05446500000005</v>
      </c>
      <c r="J34" s="232">
        <f t="shared" si="2"/>
        <v>1.0432787005094868E-2</v>
      </c>
      <c r="K34" s="232">
        <f t="shared" si="0"/>
        <v>1.0778437372397143E-2</v>
      </c>
      <c r="L34" s="232">
        <f t="shared" si="1"/>
        <v>1.1254680212394064E-2</v>
      </c>
    </row>
    <row r="35" spans="2:12" x14ac:dyDescent="0.3">
      <c r="B35" s="200" t="s">
        <v>37</v>
      </c>
      <c r="C35" s="201" t="s">
        <v>9</v>
      </c>
      <c r="D35" s="202">
        <v>388.02945399999999</v>
      </c>
      <c r="E35" s="203">
        <v>416.11895399999997</v>
      </c>
      <c r="F35" s="204">
        <v>445.519159</v>
      </c>
      <c r="G35" s="205">
        <v>474.19941299999999</v>
      </c>
      <c r="H35" s="206">
        <v>497.78382199999999</v>
      </c>
      <c r="J35" s="232">
        <f t="shared" si="2"/>
        <v>9.7548624318648525E-3</v>
      </c>
      <c r="K35" s="232">
        <f t="shared" si="0"/>
        <v>1.1154314480870786E-2</v>
      </c>
      <c r="L35" s="232">
        <f t="shared" si="1"/>
        <v>1.2532108976219369E-2</v>
      </c>
    </row>
    <row r="36" spans="2:12" x14ac:dyDescent="0.3">
      <c r="B36" s="207" t="s">
        <v>38</v>
      </c>
      <c r="C36" s="208" t="s">
        <v>9</v>
      </c>
      <c r="D36" s="209">
        <v>107.81718499999999</v>
      </c>
      <c r="E36" s="210">
        <v>119.13236499999999</v>
      </c>
      <c r="F36" s="211">
        <v>131.21465499999999</v>
      </c>
      <c r="G36" s="212">
        <v>142.30626899999999</v>
      </c>
      <c r="H36" s="213">
        <v>147.32757599999999</v>
      </c>
      <c r="J36" s="232">
        <f t="shared" si="2"/>
        <v>6.9594968782471511E-3</v>
      </c>
      <c r="K36" s="232">
        <f t="shared" si="0"/>
        <v>1.1649730225875787E-2</v>
      </c>
      <c r="L36" s="232">
        <f t="shared" si="1"/>
        <v>1.5733562080875396E-2</v>
      </c>
    </row>
    <row r="37" spans="2:12" x14ac:dyDescent="0.3">
      <c r="B37" s="214" t="s">
        <v>39</v>
      </c>
      <c r="C37" s="215" t="s">
        <v>9</v>
      </c>
      <c r="D37" s="216">
        <v>3.5804840000000002</v>
      </c>
      <c r="E37" s="217">
        <v>3.9158729999999999</v>
      </c>
      <c r="F37" s="218">
        <v>4.2606900000000003</v>
      </c>
      <c r="G37" s="219">
        <v>4.6517660000000003</v>
      </c>
      <c r="H37" s="220">
        <v>5.2280899999999999</v>
      </c>
      <c r="J37" s="232">
        <f t="shared" si="2"/>
        <v>2.3634793092492279E-2</v>
      </c>
      <c r="K37" s="232">
        <f t="shared" si="0"/>
        <v>2.0672260541595211E-2</v>
      </c>
      <c r="L37" s="232">
        <f t="shared" si="1"/>
        <v>1.9107659928563558E-2</v>
      </c>
    </row>
    <row r="38" spans="2:12" x14ac:dyDescent="0.3">
      <c r="B38" s="221" t="s">
        <v>40</v>
      </c>
      <c r="C38" s="222" t="s">
        <v>9</v>
      </c>
      <c r="D38" s="223">
        <v>29.138565</v>
      </c>
      <c r="E38" s="224">
        <v>29.816457</v>
      </c>
      <c r="F38" s="225">
        <v>30.543669000000001</v>
      </c>
      <c r="G38" s="226">
        <v>31.453341000000002</v>
      </c>
      <c r="H38" s="227">
        <v>32.981789999999997</v>
      </c>
      <c r="J38" s="232">
        <f t="shared" si="2"/>
        <v>9.5352498325758095E-3</v>
      </c>
      <c r="K38" s="232">
        <f t="shared" si="0"/>
        <v>7.7093815125701681E-3</v>
      </c>
      <c r="L38" s="232">
        <f t="shared" si="1"/>
        <v>6.2138783579877011E-3</v>
      </c>
    </row>
    <row r="40" spans="2:12" x14ac:dyDescent="0.3">
      <c r="B40" s="228" t="s">
        <v>41</v>
      </c>
      <c r="I40" s="229" t="s">
        <v>0</v>
      </c>
    </row>
  </sheetData>
  <mergeCells count="1">
    <mergeCell ref="B6:C6"/>
  </mergeCells>
  <hyperlinks>
    <hyperlink ref="B40" r:id="rId1" xr:uid="{00000000-0004-0000-0000-000000000000}"/>
    <hyperlink ref="I40"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Sridharan, Vignesh</dc:creator>
  <cp:lastModifiedBy>Sridharan, Vignesh</cp:lastModifiedBy>
  <dcterms:created xsi:type="dcterms:W3CDTF">2025-08-22T13:41:44Z</dcterms:created>
  <dcterms:modified xsi:type="dcterms:W3CDTF">2025-11-25T12:32:30Z</dcterms:modified>
</cp:coreProperties>
</file>