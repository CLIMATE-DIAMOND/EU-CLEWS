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AD696AD6-AC58-4207-A1CC-43913B5E75B7}" xr6:coauthVersionLast="47" xr6:coauthVersionMax="47" xr10:uidLastSave="{00000000-0000-0000-0000-000000000000}"/>
  <bookViews>
    <workbookView xWindow="30360" yWindow="3165" windowWidth="21600" windowHeight="11205" activeTab="1" xr2:uid="{00000000-000D-0000-FFFF-FFFF00000000}"/>
  </bookViews>
  <sheets>
    <sheet name="Original data" sheetId="3" r:id="rId1"/>
    <sheet name="For model in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4" i="4"/>
  <c r="T39" i="3"/>
  <c r="F32" i="4"/>
  <c r="F9" i="4" l="1"/>
  <c r="C9" i="4"/>
  <c r="C32" i="4" s="1"/>
  <c r="B32" i="4"/>
  <c r="D32" i="4"/>
  <c r="H32" i="4"/>
  <c r="G32" i="4"/>
  <c r="E32" i="4"/>
  <c r="S14" i="3"/>
  <c r="S15" i="3"/>
  <c r="S16" i="3"/>
  <c r="S17" i="3"/>
  <c r="S18" i="3"/>
  <c r="S20" i="3"/>
  <c r="S21" i="3"/>
  <c r="S24" i="3"/>
  <c r="S25" i="3"/>
  <c r="S29" i="3"/>
  <c r="S35" i="3"/>
  <c r="S13" i="3"/>
</calcChain>
</file>

<file path=xl/sharedStrings.xml><?xml version="1.0" encoding="utf-8"?>
<sst xmlns="http://schemas.openxmlformats.org/spreadsheetml/2006/main" count="604" uniqueCount="67">
  <si>
    <t>Renewable freshwater resources – long term annual averages [env_wat_ltaa__custom_10989819]</t>
  </si>
  <si>
    <t>12/09/2023 23:00</t>
  </si>
  <si>
    <t>Time frequency</t>
  </si>
  <si>
    <t>Time</t>
  </si>
  <si>
    <t>Not applicable</t>
  </si>
  <si>
    <t>Latest available year</t>
  </si>
  <si>
    <t>Precipitation</t>
  </si>
  <si>
    <t>Actual evapotranspiration</t>
  </si>
  <si>
    <t>Internal Flow</t>
  </si>
  <si>
    <t>Actual external inflow from neighbouring territories</t>
  </si>
  <si>
    <t>Total actual outflow</t>
  </si>
  <si>
    <t>Total actual outflow into the sea</t>
  </si>
  <si>
    <t>Total actual outflow into neighbouring territories</t>
  </si>
  <si>
    <t>Renewable freshwater resources</t>
  </si>
  <si>
    <t>Recharge into the aquifer</t>
  </si>
  <si>
    <t>Groundwater available for annual abstraction</t>
  </si>
  <si>
    <t>Freshwater resources 95% of years, LTAA</t>
  </si>
  <si>
    <t>Million cubic metres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</si>
  <si>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</si>
  <si>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</si>
  <si>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</si>
  <si>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</si>
  <si>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</si>
  <si>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</si>
  <si>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</si>
  <si>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</si>
  <si>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</si>
  <si>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</si>
  <si>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</si>
  <si>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</si>
  <si>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</si>
  <si>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</si>
  <si>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</si>
  <si>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</si>
  <si>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</si>
  <si>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</si>
  <si>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</si>
  <si>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</si>
  <si>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</si>
  <si>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</si>
  <si>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</si>
  <si>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</si>
  <si>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</si>
  <si>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</si>
  <si>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</si>
  <si>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</si>
  <si>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Data extracted on 20/04/2024 19:29:51 from [ESTAT]</t>
  </si>
  <si>
    <t xml:space="preserve">Dataset: </t>
  </si>
  <si>
    <t xml:space="preserve">Last updated: </t>
  </si>
  <si>
    <t>UNIT (Labels)</t>
  </si>
  <si>
    <t/>
  </si>
  <si>
    <t>WAT_PROC (Labels)</t>
  </si>
  <si>
    <t>GEO (Labels)</t>
  </si>
  <si>
    <t>:</t>
  </si>
  <si>
    <t>z</t>
  </si>
  <si>
    <t>e</t>
  </si>
  <si>
    <t>d</t>
  </si>
  <si>
    <t>Special value</t>
  </si>
  <si>
    <t>not available</t>
  </si>
  <si>
    <t>Available flags:</t>
  </si>
  <si>
    <t>definition differs (see metadata)</t>
  </si>
  <si>
    <t>estimated</t>
  </si>
  <si>
    <t>not applicable</t>
  </si>
  <si>
    <t>% share of precipitation</t>
  </si>
  <si>
    <t>Total (BCM)</t>
  </si>
  <si>
    <t>Source</t>
  </si>
  <si>
    <t>https://ec.europa.eu/eurostat/databrowser/product/page/env_wat_ltaa__custom_10989819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</si>
</sst>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00"/>
  </numFmts>
  <fonts count="7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22"/>
      <color indexed="8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7" borderId="1" xfId="0" applyFont="1" applyFill="1" applyBorder="1"/>
    <xf numFmtId="0" fontId="5" fillId="7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5"/>
  <sheetViews>
    <sheetView workbookViewId="0">
      <pane xSplit="1" ySplit="10" topLeftCell="B11" activePane="bottomRight" state="frozen"/>
      <selection pane="topRight"/>
      <selection pane="bottomLeft"/>
      <selection pane="bottomRight" activeCell="D14" sqref="D14"/>
    </sheetView>
  </sheetViews>
  <sheetFormatPr defaultColWidth="12.140625" defaultRowHeight="11.45" customHeight="1" x14ac:dyDescent="0.25"/>
  <cols>
    <col min="1" max="1" width="41.7109375" bestFit="1" customWidth="1"/>
    <col min="2" max="2" width="9.140625" customWidth="1"/>
    <col min="3" max="3" width="16.7109375" bestFit="1" customWidth="1"/>
    <col min="4" max="4" width="9.5703125" bestFit="1" customWidth="1"/>
    <col min="5" max="5" width="1.85546875" bestFit="1" customWidth="1"/>
    <col min="6" max="6" width="9.5703125" bestFit="1" customWidth="1"/>
    <col min="7" max="7" width="1.85546875" customWidth="1"/>
    <col min="8" max="8" width="8.5703125" customWidth="1"/>
    <col min="9" max="9" width="1.85546875" bestFit="1" customWidth="1"/>
    <col min="10" max="10" width="9.5703125" bestFit="1" customWidth="1"/>
    <col min="11" max="11" width="1.85546875" bestFit="1" customWidth="1"/>
    <col min="12" max="12" width="9.5703125" bestFit="1" customWidth="1"/>
    <col min="13" max="13" width="1.85546875" bestFit="1" customWidth="1"/>
    <col min="14" max="14" width="9.5703125" bestFit="1" customWidth="1"/>
    <col min="15" max="15" width="1.85546875" bestFit="1" customWidth="1"/>
    <col min="16" max="16" width="9.5703125" bestFit="1" customWidth="1"/>
    <col min="17" max="17" width="1.85546875" bestFit="1" customWidth="1"/>
    <col min="18" max="18" width="9.5703125" bestFit="1" customWidth="1"/>
    <col min="19" max="19" width="7.28515625" bestFit="1" customWidth="1"/>
    <col min="20" max="20" width="8.5703125" bestFit="1" customWidth="1"/>
    <col min="21" max="21" width="1.85546875" bestFit="1" customWidth="1"/>
    <col min="22" max="22" width="9.5703125" bestFit="1" customWidth="1"/>
  </cols>
  <sheetData>
    <row r="1" spans="1:23" ht="15" x14ac:dyDescent="0.25">
      <c r="A1" s="2" t="s">
        <v>46</v>
      </c>
    </row>
    <row r="2" spans="1:23" ht="15" x14ac:dyDescent="0.25">
      <c r="A2" s="2" t="s">
        <v>47</v>
      </c>
      <c r="B2" s="1" t="s">
        <v>0</v>
      </c>
    </row>
    <row r="3" spans="1:23" ht="15" x14ac:dyDescent="0.25">
      <c r="A3" s="2" t="s">
        <v>48</v>
      </c>
      <c r="B3" s="2" t="s">
        <v>1</v>
      </c>
    </row>
    <row r="4" spans="1:23" ht="15" x14ac:dyDescent="0.25">
      <c r="A4" s="2" t="s">
        <v>65</v>
      </c>
      <c r="B4" t="s">
        <v>66</v>
      </c>
    </row>
    <row r="5" spans="1:23" ht="15" x14ac:dyDescent="0.25">
      <c r="A5" s="1" t="s">
        <v>2</v>
      </c>
      <c r="C5" s="2" t="s">
        <v>4</v>
      </c>
    </row>
    <row r="6" spans="1:23" ht="15" x14ac:dyDescent="0.25">
      <c r="A6" s="1" t="s">
        <v>3</v>
      </c>
      <c r="C6" s="2" t="s">
        <v>5</v>
      </c>
    </row>
    <row r="7" spans="1:23" ht="15" x14ac:dyDescent="0.25"/>
    <row r="8" spans="1:23" ht="15" x14ac:dyDescent="0.25">
      <c r="A8" s="3" t="s">
        <v>49</v>
      </c>
      <c r="B8" s="18" t="s">
        <v>17</v>
      </c>
      <c r="C8" s="18" t="s">
        <v>50</v>
      </c>
      <c r="D8" s="18" t="s">
        <v>17</v>
      </c>
      <c r="E8" s="18" t="s">
        <v>50</v>
      </c>
      <c r="F8" s="18" t="s">
        <v>17</v>
      </c>
      <c r="G8" s="18" t="s">
        <v>50</v>
      </c>
      <c r="H8" s="18" t="s">
        <v>17</v>
      </c>
      <c r="I8" s="18" t="s">
        <v>50</v>
      </c>
      <c r="J8" s="18" t="s">
        <v>17</v>
      </c>
      <c r="K8" s="18" t="s">
        <v>50</v>
      </c>
      <c r="L8" s="18" t="s">
        <v>17</v>
      </c>
      <c r="M8" s="18" t="s">
        <v>50</v>
      </c>
      <c r="N8" s="18" t="s">
        <v>17</v>
      </c>
      <c r="O8" s="18" t="s">
        <v>50</v>
      </c>
      <c r="P8" s="18" t="s">
        <v>17</v>
      </c>
      <c r="Q8" s="18" t="s">
        <v>50</v>
      </c>
      <c r="R8" s="18" t="s">
        <v>17</v>
      </c>
      <c r="S8" s="18" t="s">
        <v>50</v>
      </c>
      <c r="T8" s="18" t="s">
        <v>17</v>
      </c>
      <c r="U8" s="18" t="s">
        <v>50</v>
      </c>
      <c r="V8" s="18" t="s">
        <v>17</v>
      </c>
      <c r="W8" s="18" t="s">
        <v>50</v>
      </c>
    </row>
    <row r="9" spans="1:23" ht="15" x14ac:dyDescent="0.25">
      <c r="A9" s="3" t="s">
        <v>51</v>
      </c>
      <c r="B9" s="19" t="s">
        <v>6</v>
      </c>
      <c r="C9" s="19" t="s">
        <v>50</v>
      </c>
      <c r="D9" s="19" t="s">
        <v>7</v>
      </c>
      <c r="E9" s="19" t="s">
        <v>50</v>
      </c>
      <c r="F9" s="19" t="s">
        <v>8</v>
      </c>
      <c r="G9" s="19" t="s">
        <v>50</v>
      </c>
      <c r="H9" s="19" t="s">
        <v>9</v>
      </c>
      <c r="I9" s="19" t="s">
        <v>50</v>
      </c>
      <c r="J9" s="19" t="s">
        <v>10</v>
      </c>
      <c r="K9" s="19" t="s">
        <v>50</v>
      </c>
      <c r="L9" s="19" t="s">
        <v>11</v>
      </c>
      <c r="M9" s="19" t="s">
        <v>50</v>
      </c>
      <c r="N9" s="19" t="s">
        <v>12</v>
      </c>
      <c r="O9" s="19" t="s">
        <v>50</v>
      </c>
      <c r="P9" s="19" t="s">
        <v>13</v>
      </c>
      <c r="Q9" s="19" t="s">
        <v>50</v>
      </c>
      <c r="R9" s="19" t="s">
        <v>14</v>
      </c>
      <c r="S9" s="19" t="s">
        <v>50</v>
      </c>
      <c r="T9" s="19" t="s">
        <v>15</v>
      </c>
      <c r="U9" s="19" t="s">
        <v>50</v>
      </c>
      <c r="V9" s="19" t="s">
        <v>16</v>
      </c>
      <c r="W9" s="19" t="s">
        <v>50</v>
      </c>
    </row>
    <row r="10" spans="1:23" ht="15" x14ac:dyDescent="0.25">
      <c r="A10" s="4" t="s">
        <v>52</v>
      </c>
      <c r="B10" s="6" t="s">
        <v>50</v>
      </c>
      <c r="C10" s="6" t="s">
        <v>50</v>
      </c>
      <c r="D10" s="6" t="s">
        <v>50</v>
      </c>
      <c r="E10" s="6" t="s">
        <v>50</v>
      </c>
      <c r="F10" s="6" t="s">
        <v>50</v>
      </c>
      <c r="G10" s="6" t="s">
        <v>50</v>
      </c>
      <c r="H10" s="6" t="s">
        <v>50</v>
      </c>
      <c r="I10" s="6" t="s">
        <v>50</v>
      </c>
      <c r="J10" s="6" t="s">
        <v>50</v>
      </c>
      <c r="K10" s="6" t="s">
        <v>50</v>
      </c>
      <c r="L10" s="6" t="s">
        <v>50</v>
      </c>
      <c r="M10" s="6" t="s">
        <v>50</v>
      </c>
      <c r="N10" s="6" t="s">
        <v>50</v>
      </c>
      <c r="O10" s="6" t="s">
        <v>50</v>
      </c>
      <c r="P10" s="6" t="s">
        <v>50</v>
      </c>
      <c r="Q10" s="6" t="s">
        <v>50</v>
      </c>
      <c r="R10" s="6" t="s">
        <v>50</v>
      </c>
      <c r="S10" s="6" t="s">
        <v>50</v>
      </c>
      <c r="T10" s="6" t="s">
        <v>50</v>
      </c>
      <c r="U10" s="6" t="s">
        <v>50</v>
      </c>
      <c r="V10" s="6" t="s">
        <v>50</v>
      </c>
      <c r="W10" s="6" t="s">
        <v>50</v>
      </c>
    </row>
    <row r="11" spans="1:23" ht="15" x14ac:dyDescent="0.25">
      <c r="A11" s="5" t="s">
        <v>18</v>
      </c>
      <c r="B11" s="9">
        <v>3292852.59</v>
      </c>
      <c r="C11" s="7" t="s">
        <v>50</v>
      </c>
      <c r="D11" s="7" t="s">
        <v>53</v>
      </c>
      <c r="E11" s="7" t="s">
        <v>50</v>
      </c>
      <c r="F11" s="7" t="s">
        <v>53</v>
      </c>
      <c r="G11" s="7" t="s">
        <v>50</v>
      </c>
      <c r="H11" s="7" t="s">
        <v>53</v>
      </c>
      <c r="I11" s="7" t="s">
        <v>50</v>
      </c>
      <c r="J11" s="7" t="s">
        <v>53</v>
      </c>
      <c r="K11" s="7" t="s">
        <v>50</v>
      </c>
      <c r="L11" s="7" t="s">
        <v>53</v>
      </c>
      <c r="M11" s="7" t="s">
        <v>50</v>
      </c>
      <c r="N11" s="7" t="s">
        <v>53</v>
      </c>
      <c r="O11" s="7" t="s">
        <v>50</v>
      </c>
      <c r="P11" s="7" t="s">
        <v>53</v>
      </c>
      <c r="Q11" s="7" t="s">
        <v>50</v>
      </c>
      <c r="R11" s="7" t="s">
        <v>53</v>
      </c>
      <c r="S11" s="7" t="s">
        <v>50</v>
      </c>
      <c r="T11" s="7" t="s">
        <v>53</v>
      </c>
      <c r="U11" s="7" t="s">
        <v>50</v>
      </c>
      <c r="V11" s="7" t="s">
        <v>53</v>
      </c>
      <c r="W11" s="7" t="s">
        <v>50</v>
      </c>
    </row>
    <row r="12" spans="1:23" ht="15" x14ac:dyDescent="0.25">
      <c r="A12" s="5" t="s">
        <v>19</v>
      </c>
      <c r="B12" s="10">
        <v>27336.77</v>
      </c>
      <c r="C12" s="8" t="s">
        <v>50</v>
      </c>
      <c r="D12" s="10">
        <v>15815.11</v>
      </c>
      <c r="E12" s="8" t="s">
        <v>50</v>
      </c>
      <c r="F12" s="10">
        <v>11298.15</v>
      </c>
      <c r="G12" s="8" t="s">
        <v>50</v>
      </c>
      <c r="H12" s="10">
        <v>10783.56</v>
      </c>
      <c r="I12" s="8" t="s">
        <v>50</v>
      </c>
      <c r="J12" s="10">
        <v>19298.04</v>
      </c>
      <c r="K12" s="8" t="s">
        <v>50</v>
      </c>
      <c r="L12" s="10">
        <v>777.34</v>
      </c>
      <c r="M12" s="8" t="s">
        <v>50</v>
      </c>
      <c r="N12" s="10">
        <v>19751.919999999998</v>
      </c>
      <c r="O12" s="8" t="s">
        <v>50</v>
      </c>
      <c r="P12" s="12">
        <v>25330.1</v>
      </c>
      <c r="Q12" s="8" t="s">
        <v>50</v>
      </c>
      <c r="R12" s="8" t="s">
        <v>53</v>
      </c>
      <c r="S12" s="8" t="s">
        <v>50</v>
      </c>
      <c r="T12" s="8" t="s">
        <v>53</v>
      </c>
      <c r="U12" s="8" t="s">
        <v>50</v>
      </c>
      <c r="V12" s="8" t="s">
        <v>53</v>
      </c>
      <c r="W12" s="8" t="s">
        <v>50</v>
      </c>
    </row>
    <row r="13" spans="1:23" ht="15" x14ac:dyDescent="0.25">
      <c r="A13" s="5" t="s">
        <v>20</v>
      </c>
      <c r="B13" s="11">
        <v>72930</v>
      </c>
      <c r="C13" s="7" t="s">
        <v>50</v>
      </c>
      <c r="D13" s="11">
        <v>57141</v>
      </c>
      <c r="E13" s="7" t="s">
        <v>50</v>
      </c>
      <c r="F13" s="11">
        <v>15789</v>
      </c>
      <c r="G13" s="7" t="s">
        <v>50</v>
      </c>
      <c r="H13" s="11">
        <v>84064</v>
      </c>
      <c r="I13" s="7" t="s">
        <v>50</v>
      </c>
      <c r="J13" s="11">
        <v>102402</v>
      </c>
      <c r="K13" s="7" t="s">
        <v>50</v>
      </c>
      <c r="L13" s="11">
        <v>1710</v>
      </c>
      <c r="M13" s="7" t="s">
        <v>50</v>
      </c>
      <c r="N13" s="11">
        <v>100692</v>
      </c>
      <c r="O13" s="7" t="s">
        <v>50</v>
      </c>
      <c r="P13" s="11">
        <v>99853</v>
      </c>
      <c r="Q13" s="7" t="s">
        <v>50</v>
      </c>
      <c r="R13" s="11">
        <v>5846</v>
      </c>
      <c r="S13" s="13">
        <f>_xlfn.IFNA(R13/B13,0)</f>
        <v>8.015905662964487E-2</v>
      </c>
      <c r="T13" s="11">
        <v>5392</v>
      </c>
      <c r="U13" s="7" t="s">
        <v>50</v>
      </c>
      <c r="V13" s="11">
        <v>70865</v>
      </c>
      <c r="W13" s="7" t="s">
        <v>50</v>
      </c>
    </row>
    <row r="14" spans="1:23" ht="15" x14ac:dyDescent="0.25">
      <c r="A14" s="5" t="s">
        <v>21</v>
      </c>
      <c r="B14" s="12">
        <v>53454</v>
      </c>
      <c r="C14" s="8" t="s">
        <v>50</v>
      </c>
      <c r="D14" s="12">
        <v>39082</v>
      </c>
      <c r="E14" s="8" t="s">
        <v>50</v>
      </c>
      <c r="F14" s="12">
        <v>14372</v>
      </c>
      <c r="G14" s="8" t="s">
        <v>50</v>
      </c>
      <c r="H14" s="12">
        <v>829</v>
      </c>
      <c r="I14" s="8" t="s">
        <v>50</v>
      </c>
      <c r="J14" s="12">
        <v>14588</v>
      </c>
      <c r="K14" s="8" t="s">
        <v>50</v>
      </c>
      <c r="L14" s="8" t="s">
        <v>53</v>
      </c>
      <c r="M14" s="8" t="s">
        <v>54</v>
      </c>
      <c r="N14" s="12">
        <v>14588</v>
      </c>
      <c r="O14" s="8" t="s">
        <v>50</v>
      </c>
      <c r="P14" s="12">
        <v>15201</v>
      </c>
      <c r="Q14" s="8" t="s">
        <v>50</v>
      </c>
      <c r="R14" s="12">
        <v>6623</v>
      </c>
      <c r="S14" s="13">
        <f t="shared" ref="S14:S35" si="0">_xlfn.IFNA(R14/B14,0)</f>
        <v>0.12390092415909006</v>
      </c>
      <c r="T14" s="12">
        <v>1157</v>
      </c>
      <c r="U14" s="8" t="s">
        <v>50</v>
      </c>
      <c r="V14" s="12">
        <v>4200</v>
      </c>
      <c r="W14" s="8" t="s">
        <v>50</v>
      </c>
    </row>
    <row r="15" spans="1:23" ht="15" x14ac:dyDescent="0.25">
      <c r="A15" s="5" t="s">
        <v>22</v>
      </c>
      <c r="B15" s="11">
        <v>38485</v>
      </c>
      <c r="C15" s="7" t="s">
        <v>50</v>
      </c>
      <c r="D15" s="11">
        <v>22145</v>
      </c>
      <c r="E15" s="7" t="s">
        <v>50</v>
      </c>
      <c r="F15" s="11">
        <v>16340</v>
      </c>
      <c r="G15" s="7" t="s">
        <v>50</v>
      </c>
      <c r="H15" s="11">
        <v>0</v>
      </c>
      <c r="I15" s="7" t="s">
        <v>55</v>
      </c>
      <c r="J15" s="7" t="s">
        <v>53</v>
      </c>
      <c r="K15" s="7" t="s">
        <v>50</v>
      </c>
      <c r="L15" s="7" t="s">
        <v>53</v>
      </c>
      <c r="M15" s="7" t="s">
        <v>50</v>
      </c>
      <c r="N15" s="11">
        <v>0</v>
      </c>
      <c r="O15" s="7" t="s">
        <v>55</v>
      </c>
      <c r="P15" s="11">
        <v>16340</v>
      </c>
      <c r="Q15" s="7" t="s">
        <v>50</v>
      </c>
      <c r="R15" s="11">
        <v>4730</v>
      </c>
      <c r="S15" s="13">
        <f t="shared" si="0"/>
        <v>0.12290502793296089</v>
      </c>
      <c r="T15" s="11">
        <v>1000</v>
      </c>
      <c r="U15" s="7" t="s">
        <v>50</v>
      </c>
      <c r="V15" s="7" t="s">
        <v>53</v>
      </c>
      <c r="W15" s="7" t="s">
        <v>50</v>
      </c>
    </row>
    <row r="16" spans="1:23" ht="15" x14ac:dyDescent="0.25">
      <c r="A16" s="5" t="s">
        <v>23</v>
      </c>
      <c r="B16" s="12">
        <v>309000</v>
      </c>
      <c r="C16" s="8" t="s">
        <v>50</v>
      </c>
      <c r="D16" s="12">
        <v>205000</v>
      </c>
      <c r="E16" s="8" t="s">
        <v>50</v>
      </c>
      <c r="F16" s="12">
        <v>104000</v>
      </c>
      <c r="G16" s="8" t="s">
        <v>50</v>
      </c>
      <c r="H16" s="12">
        <v>69000</v>
      </c>
      <c r="I16" s="8" t="s">
        <v>50</v>
      </c>
      <c r="J16" s="12">
        <v>166000</v>
      </c>
      <c r="K16" s="8" t="s">
        <v>50</v>
      </c>
      <c r="L16" s="12">
        <v>49000</v>
      </c>
      <c r="M16" s="8" t="s">
        <v>50</v>
      </c>
      <c r="N16" s="12">
        <v>117000</v>
      </c>
      <c r="O16" s="8" t="s">
        <v>50</v>
      </c>
      <c r="P16" s="12">
        <v>173000</v>
      </c>
      <c r="Q16" s="8" t="s">
        <v>50</v>
      </c>
      <c r="R16" s="12">
        <v>46000</v>
      </c>
      <c r="S16" s="13">
        <f t="shared" si="0"/>
        <v>0.14886731391585761</v>
      </c>
      <c r="T16" s="8" t="s">
        <v>53</v>
      </c>
      <c r="U16" s="8" t="s">
        <v>50</v>
      </c>
      <c r="V16" s="12">
        <v>110000</v>
      </c>
      <c r="W16" s="8" t="s">
        <v>50</v>
      </c>
    </row>
    <row r="17" spans="1:23" ht="15" x14ac:dyDescent="0.25">
      <c r="A17" s="5" t="s">
        <v>24</v>
      </c>
      <c r="B17" s="11">
        <v>29017.7</v>
      </c>
      <c r="C17" s="7" t="s">
        <v>50</v>
      </c>
      <c r="D17" s="7" t="s">
        <v>53</v>
      </c>
      <c r="E17" s="7" t="s">
        <v>50</v>
      </c>
      <c r="F17" s="11">
        <v>12346.6</v>
      </c>
      <c r="G17" s="7" t="s">
        <v>50</v>
      </c>
      <c r="H17" s="7" t="s">
        <v>53</v>
      </c>
      <c r="I17" s="7" t="s">
        <v>50</v>
      </c>
      <c r="J17" s="7" t="s">
        <v>53</v>
      </c>
      <c r="K17" s="7" t="s">
        <v>50</v>
      </c>
      <c r="L17" s="11">
        <v>12074.1</v>
      </c>
      <c r="M17" s="7" t="s">
        <v>50</v>
      </c>
      <c r="N17" s="11">
        <v>340.6</v>
      </c>
      <c r="O17" s="7" t="s">
        <v>50</v>
      </c>
      <c r="P17" s="11">
        <v>12346.6</v>
      </c>
      <c r="Q17" s="7" t="s">
        <v>50</v>
      </c>
      <c r="R17" s="11">
        <v>2901.8</v>
      </c>
      <c r="S17" s="13">
        <f t="shared" si="0"/>
        <v>0.10000103385175256</v>
      </c>
      <c r="T17" s="11">
        <v>560</v>
      </c>
      <c r="U17" s="7" t="s">
        <v>50</v>
      </c>
      <c r="V17" s="7" t="s">
        <v>53</v>
      </c>
      <c r="W17" s="7" t="s">
        <v>50</v>
      </c>
    </row>
    <row r="18" spans="1:23" ht="15" x14ac:dyDescent="0.25">
      <c r="A18" s="5" t="s">
        <v>25</v>
      </c>
      <c r="B18" s="10">
        <v>89480.22</v>
      </c>
      <c r="C18" s="8" t="s">
        <v>50</v>
      </c>
      <c r="D18" s="12">
        <v>38178.199999999997</v>
      </c>
      <c r="E18" s="8" t="s">
        <v>50</v>
      </c>
      <c r="F18" s="10">
        <v>51302.02</v>
      </c>
      <c r="G18" s="8" t="s">
        <v>50</v>
      </c>
      <c r="H18" s="10">
        <v>3525.53</v>
      </c>
      <c r="I18" s="8" t="s">
        <v>55</v>
      </c>
      <c r="J18" s="8" t="s">
        <v>53</v>
      </c>
      <c r="K18" s="8" t="s">
        <v>50</v>
      </c>
      <c r="L18" s="8" t="s">
        <v>53</v>
      </c>
      <c r="M18" s="8" t="s">
        <v>50</v>
      </c>
      <c r="N18" s="10">
        <v>2788.33</v>
      </c>
      <c r="O18" s="8" t="s">
        <v>55</v>
      </c>
      <c r="P18" s="10">
        <v>54827.56</v>
      </c>
      <c r="Q18" s="8" t="s">
        <v>50</v>
      </c>
      <c r="R18" s="10">
        <v>11443.39</v>
      </c>
      <c r="S18" s="13">
        <f t="shared" si="0"/>
        <v>0.127887369968469</v>
      </c>
      <c r="T18" s="10">
        <v>1144.3399999999999</v>
      </c>
      <c r="U18" s="8" t="s">
        <v>55</v>
      </c>
      <c r="V18" s="10">
        <v>42949.64</v>
      </c>
      <c r="W18" s="8" t="s">
        <v>50</v>
      </c>
    </row>
    <row r="19" spans="1:23" ht="15" x14ac:dyDescent="0.25">
      <c r="A19" s="5" t="s">
        <v>26</v>
      </c>
      <c r="B19" s="11">
        <v>115000</v>
      </c>
      <c r="C19" s="7" t="s">
        <v>50</v>
      </c>
      <c r="D19" s="11">
        <v>55000</v>
      </c>
      <c r="E19" s="7" t="s">
        <v>50</v>
      </c>
      <c r="F19" s="11">
        <v>60000</v>
      </c>
      <c r="G19" s="7" t="s">
        <v>50</v>
      </c>
      <c r="H19" s="11">
        <v>12000</v>
      </c>
      <c r="I19" s="7" t="s">
        <v>50</v>
      </c>
      <c r="J19" s="7" t="s">
        <v>53</v>
      </c>
      <c r="K19" s="7" t="s">
        <v>50</v>
      </c>
      <c r="L19" s="7" t="s">
        <v>53</v>
      </c>
      <c r="M19" s="7" t="s">
        <v>50</v>
      </c>
      <c r="N19" s="11">
        <v>1600</v>
      </c>
      <c r="O19" s="7" t="s">
        <v>50</v>
      </c>
      <c r="P19" s="11">
        <v>72000</v>
      </c>
      <c r="Q19" s="7" t="s">
        <v>50</v>
      </c>
      <c r="R19" s="7" t="s">
        <v>53</v>
      </c>
      <c r="S19" s="13"/>
      <c r="T19" s="11">
        <v>3550</v>
      </c>
      <c r="U19" s="7" t="s">
        <v>50</v>
      </c>
      <c r="V19" s="7" t="s">
        <v>53</v>
      </c>
      <c r="W19" s="7" t="s">
        <v>50</v>
      </c>
    </row>
    <row r="20" spans="1:23" ht="15" x14ac:dyDescent="0.25">
      <c r="A20" s="5" t="s">
        <v>27</v>
      </c>
      <c r="B20" s="12">
        <v>333657</v>
      </c>
      <c r="C20" s="8" t="s">
        <v>50</v>
      </c>
      <c r="D20" s="12">
        <v>226453</v>
      </c>
      <c r="E20" s="8" t="s">
        <v>50</v>
      </c>
      <c r="F20" s="12">
        <v>107204</v>
      </c>
      <c r="G20" s="8" t="s">
        <v>50</v>
      </c>
      <c r="H20" s="12">
        <v>0</v>
      </c>
      <c r="I20" s="8" t="s">
        <v>50</v>
      </c>
      <c r="J20" s="10">
        <v>84269.89</v>
      </c>
      <c r="K20" s="8" t="s">
        <v>50</v>
      </c>
      <c r="L20" s="8" t="s">
        <v>53</v>
      </c>
      <c r="M20" s="8" t="s">
        <v>50</v>
      </c>
      <c r="N20" s="8" t="s">
        <v>53</v>
      </c>
      <c r="O20" s="8" t="s">
        <v>50</v>
      </c>
      <c r="P20" s="12">
        <v>107204</v>
      </c>
      <c r="Q20" s="8" t="s">
        <v>50</v>
      </c>
      <c r="R20" s="12">
        <v>45680</v>
      </c>
      <c r="S20" s="13">
        <f t="shared" si="0"/>
        <v>0.13690706324159241</v>
      </c>
      <c r="T20" s="8" t="s">
        <v>53</v>
      </c>
      <c r="U20" s="8" t="s">
        <v>50</v>
      </c>
      <c r="V20" s="12">
        <v>55616</v>
      </c>
      <c r="W20" s="8" t="s">
        <v>50</v>
      </c>
    </row>
    <row r="21" spans="1:23" ht="15" x14ac:dyDescent="0.25">
      <c r="A21" s="5" t="s">
        <v>28</v>
      </c>
      <c r="B21" s="9">
        <v>512863.76</v>
      </c>
      <c r="C21" s="7" t="s">
        <v>50</v>
      </c>
      <c r="D21" s="9">
        <v>312003.27</v>
      </c>
      <c r="E21" s="7" t="s">
        <v>50</v>
      </c>
      <c r="F21" s="9">
        <v>200860.49</v>
      </c>
      <c r="G21" s="7" t="s">
        <v>50</v>
      </c>
      <c r="H21" s="11">
        <v>11000</v>
      </c>
      <c r="I21" s="7" t="s">
        <v>50</v>
      </c>
      <c r="J21" s="11">
        <v>168000</v>
      </c>
      <c r="K21" s="7" t="s">
        <v>50</v>
      </c>
      <c r="L21" s="11">
        <v>150000</v>
      </c>
      <c r="M21" s="7" t="s">
        <v>50</v>
      </c>
      <c r="N21" s="11">
        <v>18000</v>
      </c>
      <c r="O21" s="7" t="s">
        <v>50</v>
      </c>
      <c r="P21" s="9">
        <v>206236.09</v>
      </c>
      <c r="Q21" s="7" t="s">
        <v>50</v>
      </c>
      <c r="R21" s="11">
        <v>100000</v>
      </c>
      <c r="S21" s="13">
        <f t="shared" si="0"/>
        <v>0.19498355664670086</v>
      </c>
      <c r="T21" s="7" t="s">
        <v>53</v>
      </c>
      <c r="U21" s="7" t="s">
        <v>50</v>
      </c>
      <c r="V21" s="7" t="s">
        <v>53</v>
      </c>
      <c r="W21" s="7" t="s">
        <v>50</v>
      </c>
    </row>
    <row r="22" spans="1:23" ht="15" x14ac:dyDescent="0.25">
      <c r="A22" s="5" t="s">
        <v>29</v>
      </c>
      <c r="B22" s="12">
        <v>63804.9</v>
      </c>
      <c r="C22" s="8" t="s">
        <v>55</v>
      </c>
      <c r="D22" s="12">
        <v>39275</v>
      </c>
      <c r="E22" s="8" t="s">
        <v>55</v>
      </c>
      <c r="F22" s="10">
        <v>24529.81</v>
      </c>
      <c r="G22" s="8" t="s">
        <v>55</v>
      </c>
      <c r="H22" s="10">
        <v>93782.95</v>
      </c>
      <c r="I22" s="8" t="s">
        <v>55</v>
      </c>
      <c r="J22" s="10">
        <v>118312.76</v>
      </c>
      <c r="K22" s="8" t="s">
        <v>55</v>
      </c>
      <c r="L22" s="10">
        <v>20791.98</v>
      </c>
      <c r="M22" s="8" t="s">
        <v>55</v>
      </c>
      <c r="N22" s="10">
        <v>97520.78</v>
      </c>
      <c r="O22" s="8" t="s">
        <v>55</v>
      </c>
      <c r="P22" s="10">
        <v>118312.76</v>
      </c>
      <c r="Q22" s="8" t="s">
        <v>55</v>
      </c>
      <c r="R22" s="8" t="s">
        <v>53</v>
      </c>
      <c r="S22" s="13"/>
      <c r="T22" s="12">
        <v>22430</v>
      </c>
      <c r="U22" s="8" t="s">
        <v>55</v>
      </c>
      <c r="V22" s="8" t="s">
        <v>53</v>
      </c>
      <c r="W22" s="8" t="s">
        <v>50</v>
      </c>
    </row>
    <row r="23" spans="1:23" ht="15" x14ac:dyDescent="0.25">
      <c r="A23" s="5" t="s">
        <v>30</v>
      </c>
      <c r="B23" s="9">
        <v>284611.71999999997</v>
      </c>
      <c r="C23" s="7" t="s">
        <v>50</v>
      </c>
      <c r="D23" s="9">
        <v>151465.67000000001</v>
      </c>
      <c r="E23" s="7" t="s">
        <v>50</v>
      </c>
      <c r="F23" s="9">
        <v>133146.06</v>
      </c>
      <c r="G23" s="7" t="s">
        <v>50</v>
      </c>
      <c r="H23" s="7" t="s">
        <v>53</v>
      </c>
      <c r="I23" s="7" t="s">
        <v>50</v>
      </c>
      <c r="J23" s="7" t="s">
        <v>53</v>
      </c>
      <c r="K23" s="7" t="s">
        <v>50</v>
      </c>
      <c r="L23" s="7" t="s">
        <v>53</v>
      </c>
      <c r="M23" s="7" t="s">
        <v>50</v>
      </c>
      <c r="N23" s="7" t="s">
        <v>53</v>
      </c>
      <c r="O23" s="7" t="s">
        <v>50</v>
      </c>
      <c r="P23" s="7" t="s">
        <v>53</v>
      </c>
      <c r="Q23" s="7" t="s">
        <v>50</v>
      </c>
      <c r="R23" s="7" t="s">
        <v>53</v>
      </c>
      <c r="S23" s="13"/>
      <c r="T23" s="7" t="s">
        <v>53</v>
      </c>
      <c r="U23" s="7" t="s">
        <v>50</v>
      </c>
      <c r="V23" s="7" t="s">
        <v>53</v>
      </c>
      <c r="W23" s="7" t="s">
        <v>50</v>
      </c>
    </row>
    <row r="24" spans="1:23" ht="15" x14ac:dyDescent="0.25">
      <c r="A24" s="5" t="s">
        <v>31</v>
      </c>
      <c r="B24" s="10">
        <v>3029.81</v>
      </c>
      <c r="C24" s="8" t="s">
        <v>50</v>
      </c>
      <c r="D24" s="10">
        <v>2708.96</v>
      </c>
      <c r="E24" s="8" t="s">
        <v>50</v>
      </c>
      <c r="F24" s="10">
        <v>320.85000000000002</v>
      </c>
      <c r="G24" s="8" t="s">
        <v>50</v>
      </c>
      <c r="H24" s="12">
        <v>0</v>
      </c>
      <c r="I24" s="8" t="s">
        <v>50</v>
      </c>
      <c r="J24" s="10">
        <v>80.16</v>
      </c>
      <c r="K24" s="8" t="s">
        <v>50</v>
      </c>
      <c r="L24" s="10">
        <v>80.16</v>
      </c>
      <c r="M24" s="8" t="s">
        <v>55</v>
      </c>
      <c r="N24" s="12">
        <v>0</v>
      </c>
      <c r="O24" s="8" t="s">
        <v>50</v>
      </c>
      <c r="P24" s="10">
        <v>320.85000000000002</v>
      </c>
      <c r="Q24" s="8" t="s">
        <v>50</v>
      </c>
      <c r="R24" s="10">
        <v>218.22</v>
      </c>
      <c r="S24" s="13">
        <f t="shared" si="0"/>
        <v>7.2024318356596617E-2</v>
      </c>
      <c r="T24" s="10">
        <v>138.06</v>
      </c>
      <c r="U24" s="8" t="s">
        <v>55</v>
      </c>
      <c r="V24" s="8" t="s">
        <v>53</v>
      </c>
      <c r="W24" s="8" t="s">
        <v>50</v>
      </c>
    </row>
    <row r="25" spans="1:23" ht="15" x14ac:dyDescent="0.25">
      <c r="A25" s="5" t="s">
        <v>32</v>
      </c>
      <c r="B25" s="11">
        <v>43220</v>
      </c>
      <c r="C25" s="7" t="s">
        <v>50</v>
      </c>
      <c r="D25" s="11">
        <v>23573</v>
      </c>
      <c r="E25" s="7" t="s">
        <v>50</v>
      </c>
      <c r="F25" s="11">
        <v>19647</v>
      </c>
      <c r="G25" s="7" t="s">
        <v>50</v>
      </c>
      <c r="H25" s="11">
        <v>16992</v>
      </c>
      <c r="I25" s="7" t="s">
        <v>50</v>
      </c>
      <c r="J25" s="11">
        <v>32934</v>
      </c>
      <c r="K25" s="7" t="s">
        <v>50</v>
      </c>
      <c r="L25" s="11">
        <v>31667</v>
      </c>
      <c r="M25" s="7" t="s">
        <v>50</v>
      </c>
      <c r="N25" s="11">
        <v>1267</v>
      </c>
      <c r="O25" s="7" t="s">
        <v>50</v>
      </c>
      <c r="P25" s="11">
        <v>36639</v>
      </c>
      <c r="Q25" s="7" t="s">
        <v>50</v>
      </c>
      <c r="R25" s="11">
        <v>10286</v>
      </c>
      <c r="S25" s="13">
        <f t="shared" si="0"/>
        <v>0.23799167052290607</v>
      </c>
      <c r="T25" s="11">
        <v>2000</v>
      </c>
      <c r="U25" s="7" t="s">
        <v>50</v>
      </c>
      <c r="V25" s="11">
        <v>25368</v>
      </c>
      <c r="W25" s="7" t="s">
        <v>50</v>
      </c>
    </row>
    <row r="26" spans="1:23" ht="15" x14ac:dyDescent="0.25">
      <c r="A26" s="5" t="s">
        <v>33</v>
      </c>
      <c r="B26" s="12">
        <v>45117.5</v>
      </c>
      <c r="C26" s="8" t="s">
        <v>50</v>
      </c>
      <c r="D26" s="8" t="s">
        <v>53</v>
      </c>
      <c r="E26" s="8" t="s">
        <v>50</v>
      </c>
      <c r="F26" s="8" t="s">
        <v>53</v>
      </c>
      <c r="G26" s="8" t="s">
        <v>50</v>
      </c>
      <c r="H26" s="10">
        <v>8404.66</v>
      </c>
      <c r="I26" s="8" t="s">
        <v>50</v>
      </c>
      <c r="J26" s="10">
        <v>22905.53</v>
      </c>
      <c r="K26" s="8" t="s">
        <v>50</v>
      </c>
      <c r="L26" s="12">
        <v>19735.599999999999</v>
      </c>
      <c r="M26" s="8" t="s">
        <v>50</v>
      </c>
      <c r="N26" s="10">
        <v>3170.29</v>
      </c>
      <c r="O26" s="8" t="s">
        <v>50</v>
      </c>
      <c r="P26" s="8" t="s">
        <v>53</v>
      </c>
      <c r="Q26" s="8" t="s">
        <v>50</v>
      </c>
      <c r="R26" s="8" t="s">
        <v>53</v>
      </c>
      <c r="S26" s="13"/>
      <c r="T26" s="8" t="s">
        <v>53</v>
      </c>
      <c r="U26" s="8" t="s">
        <v>50</v>
      </c>
      <c r="V26" s="8" t="s">
        <v>53</v>
      </c>
      <c r="W26" s="8" t="s">
        <v>50</v>
      </c>
    </row>
    <row r="27" spans="1:23" ht="15" x14ac:dyDescent="0.25">
      <c r="A27" s="5" t="s">
        <v>34</v>
      </c>
      <c r="B27" s="11">
        <v>2030</v>
      </c>
      <c r="C27" s="7" t="s">
        <v>50</v>
      </c>
      <c r="D27" s="11">
        <v>1124.9000000000001</v>
      </c>
      <c r="E27" s="7" t="s">
        <v>50</v>
      </c>
      <c r="F27" s="11">
        <v>905.1</v>
      </c>
      <c r="G27" s="7" t="s">
        <v>50</v>
      </c>
      <c r="H27" s="11">
        <v>739</v>
      </c>
      <c r="I27" s="7" t="s">
        <v>50</v>
      </c>
      <c r="J27" s="11">
        <v>1600</v>
      </c>
      <c r="K27" s="7" t="s">
        <v>50</v>
      </c>
      <c r="L27" s="11">
        <v>0</v>
      </c>
      <c r="M27" s="7" t="s">
        <v>50</v>
      </c>
      <c r="N27" s="11">
        <v>1600</v>
      </c>
      <c r="O27" s="7" t="s">
        <v>50</v>
      </c>
      <c r="P27" s="11">
        <v>1644.1</v>
      </c>
      <c r="Q27" s="7" t="s">
        <v>50</v>
      </c>
      <c r="R27" s="7" t="s">
        <v>53</v>
      </c>
      <c r="S27" s="13"/>
      <c r="T27" s="11">
        <v>86</v>
      </c>
      <c r="U27" s="7" t="s">
        <v>50</v>
      </c>
      <c r="V27" s="7" t="s">
        <v>53</v>
      </c>
      <c r="W27" s="7" t="s">
        <v>50</v>
      </c>
    </row>
    <row r="28" spans="1:23" ht="15" x14ac:dyDescent="0.25">
      <c r="A28" s="5" t="s">
        <v>35</v>
      </c>
      <c r="B28" s="12">
        <v>56172</v>
      </c>
      <c r="C28" s="8" t="s">
        <v>50</v>
      </c>
      <c r="D28" s="12">
        <v>50592</v>
      </c>
      <c r="E28" s="8" t="s">
        <v>50</v>
      </c>
      <c r="F28" s="12">
        <v>5580</v>
      </c>
      <c r="G28" s="8" t="s">
        <v>50</v>
      </c>
      <c r="H28" s="12">
        <v>91500</v>
      </c>
      <c r="I28" s="8" t="s">
        <v>50</v>
      </c>
      <c r="J28" s="12">
        <v>96850</v>
      </c>
      <c r="K28" s="8" t="s">
        <v>50</v>
      </c>
      <c r="L28" s="8" t="s">
        <v>53</v>
      </c>
      <c r="M28" s="8" t="s">
        <v>54</v>
      </c>
      <c r="N28" s="8" t="s">
        <v>53</v>
      </c>
      <c r="O28" s="8" t="s">
        <v>50</v>
      </c>
      <c r="P28" s="8" t="s">
        <v>53</v>
      </c>
      <c r="Q28" s="8" t="s">
        <v>50</v>
      </c>
      <c r="R28" s="8" t="s">
        <v>53</v>
      </c>
      <c r="S28" s="13"/>
      <c r="T28" s="12">
        <v>2400</v>
      </c>
      <c r="U28" s="8" t="s">
        <v>50</v>
      </c>
      <c r="V28" s="8" t="s">
        <v>53</v>
      </c>
      <c r="W28" s="8" t="s">
        <v>50</v>
      </c>
    </row>
    <row r="29" spans="1:23" ht="15" x14ac:dyDescent="0.25">
      <c r="A29" s="5" t="s">
        <v>36</v>
      </c>
      <c r="B29" s="9">
        <v>171.71</v>
      </c>
      <c r="C29" s="7" t="s">
        <v>50</v>
      </c>
      <c r="D29" s="9">
        <v>88.74</v>
      </c>
      <c r="E29" s="7" t="s">
        <v>50</v>
      </c>
      <c r="F29" s="9">
        <v>82.97</v>
      </c>
      <c r="G29" s="7" t="s">
        <v>50</v>
      </c>
      <c r="H29" s="11">
        <v>0</v>
      </c>
      <c r="I29" s="7" t="s">
        <v>50</v>
      </c>
      <c r="J29" s="9">
        <v>54.13</v>
      </c>
      <c r="K29" s="7" t="s">
        <v>50</v>
      </c>
      <c r="L29" s="9">
        <v>54.13</v>
      </c>
      <c r="M29" s="7" t="s">
        <v>50</v>
      </c>
      <c r="N29" s="11">
        <v>0</v>
      </c>
      <c r="O29" s="7" t="s">
        <v>50</v>
      </c>
      <c r="P29" s="9">
        <v>82.97</v>
      </c>
      <c r="Q29" s="7" t="s">
        <v>50</v>
      </c>
      <c r="R29" s="9">
        <v>70.760000000000005</v>
      </c>
      <c r="S29" s="13">
        <f t="shared" si="0"/>
        <v>0.41209015200046589</v>
      </c>
      <c r="T29" s="9">
        <v>47.49</v>
      </c>
      <c r="U29" s="7" t="s">
        <v>50</v>
      </c>
      <c r="V29" s="9">
        <v>34.229999999999997</v>
      </c>
      <c r="W29" s="7" t="s">
        <v>50</v>
      </c>
    </row>
    <row r="30" spans="1:23" ht="15" x14ac:dyDescent="0.25">
      <c r="A30" s="5" t="s">
        <v>37</v>
      </c>
      <c r="B30" s="12">
        <v>32017</v>
      </c>
      <c r="C30" s="8" t="s">
        <v>50</v>
      </c>
      <c r="D30" s="12">
        <v>22311</v>
      </c>
      <c r="E30" s="8" t="s">
        <v>56</v>
      </c>
      <c r="F30" s="12">
        <v>9706</v>
      </c>
      <c r="G30" s="8" t="s">
        <v>50</v>
      </c>
      <c r="H30" s="12">
        <v>78355</v>
      </c>
      <c r="I30" s="8" t="s">
        <v>50</v>
      </c>
      <c r="J30" s="12">
        <v>84350</v>
      </c>
      <c r="K30" s="8" t="s">
        <v>50</v>
      </c>
      <c r="L30" s="12">
        <v>84350</v>
      </c>
      <c r="M30" s="8" t="s">
        <v>50</v>
      </c>
      <c r="N30" s="12">
        <v>0</v>
      </c>
      <c r="O30" s="8" t="s">
        <v>50</v>
      </c>
      <c r="P30" s="12">
        <v>88061</v>
      </c>
      <c r="Q30" s="8" t="s">
        <v>50</v>
      </c>
      <c r="R30" s="8" t="s">
        <v>53</v>
      </c>
      <c r="S30" s="13"/>
      <c r="T30" s="8" t="s">
        <v>53</v>
      </c>
      <c r="U30" s="8" t="s">
        <v>50</v>
      </c>
      <c r="V30" s="8" t="s">
        <v>53</v>
      </c>
      <c r="W30" s="8" t="s">
        <v>50</v>
      </c>
    </row>
    <row r="31" spans="1:23" ht="15" x14ac:dyDescent="0.25">
      <c r="A31" s="5" t="s">
        <v>38</v>
      </c>
      <c r="B31" s="11">
        <v>99800</v>
      </c>
      <c r="C31" s="7" t="s">
        <v>50</v>
      </c>
      <c r="D31" s="11">
        <v>43100</v>
      </c>
      <c r="E31" s="7" t="s">
        <v>50</v>
      </c>
      <c r="F31" s="11">
        <v>56700</v>
      </c>
      <c r="G31" s="7" t="s">
        <v>50</v>
      </c>
      <c r="H31" s="11">
        <v>29300</v>
      </c>
      <c r="I31" s="7" t="s">
        <v>50</v>
      </c>
      <c r="J31" s="11">
        <v>86000</v>
      </c>
      <c r="K31" s="7" t="s">
        <v>50</v>
      </c>
      <c r="L31" s="7" t="s">
        <v>53</v>
      </c>
      <c r="M31" s="7" t="s">
        <v>54</v>
      </c>
      <c r="N31" s="11">
        <v>86000</v>
      </c>
      <c r="O31" s="7" t="s">
        <v>50</v>
      </c>
      <c r="P31" s="7" t="s">
        <v>53</v>
      </c>
      <c r="Q31" s="7" t="s">
        <v>50</v>
      </c>
      <c r="R31" s="7" t="s">
        <v>53</v>
      </c>
      <c r="S31" s="13"/>
      <c r="T31" s="7" t="s">
        <v>53</v>
      </c>
      <c r="U31" s="7" t="s">
        <v>50</v>
      </c>
      <c r="V31" s="7" t="s">
        <v>53</v>
      </c>
      <c r="W31" s="7" t="s">
        <v>50</v>
      </c>
    </row>
    <row r="32" spans="1:23" ht="15" x14ac:dyDescent="0.25">
      <c r="A32" s="5" t="s">
        <v>39</v>
      </c>
      <c r="B32" s="12">
        <v>201115.5</v>
      </c>
      <c r="C32" s="8" t="s">
        <v>50</v>
      </c>
      <c r="D32" s="12">
        <v>150796.29999999999</v>
      </c>
      <c r="E32" s="8" t="s">
        <v>50</v>
      </c>
      <c r="F32" s="12">
        <v>50319.199999999997</v>
      </c>
      <c r="G32" s="8" t="s">
        <v>50</v>
      </c>
      <c r="H32" s="12">
        <v>7504</v>
      </c>
      <c r="I32" s="8" t="s">
        <v>50</v>
      </c>
      <c r="J32" s="12">
        <v>57823.199999999997</v>
      </c>
      <c r="K32" s="8" t="s">
        <v>50</v>
      </c>
      <c r="L32" s="8" t="s">
        <v>53</v>
      </c>
      <c r="M32" s="8" t="s">
        <v>50</v>
      </c>
      <c r="N32" s="8" t="s">
        <v>53</v>
      </c>
      <c r="O32" s="8" t="s">
        <v>50</v>
      </c>
      <c r="P32" s="12">
        <v>57823.199999999997</v>
      </c>
      <c r="Q32" s="8" t="s">
        <v>50</v>
      </c>
      <c r="R32" s="8" t="s">
        <v>53</v>
      </c>
      <c r="S32" s="13"/>
      <c r="T32" s="10">
        <v>12326.45</v>
      </c>
      <c r="U32" s="8" t="s">
        <v>50</v>
      </c>
      <c r="V32" s="8" t="s">
        <v>53</v>
      </c>
      <c r="W32" s="8" t="s">
        <v>50</v>
      </c>
    </row>
    <row r="33" spans="1:23" ht="15" x14ac:dyDescent="0.25">
      <c r="A33" s="5" t="s">
        <v>40</v>
      </c>
      <c r="B33" s="11">
        <v>82164</v>
      </c>
      <c r="C33" s="7" t="s">
        <v>50</v>
      </c>
      <c r="D33" s="11">
        <v>43571</v>
      </c>
      <c r="E33" s="7" t="s">
        <v>50</v>
      </c>
      <c r="F33" s="11">
        <v>38593</v>
      </c>
      <c r="G33" s="7" t="s">
        <v>50</v>
      </c>
      <c r="H33" s="11">
        <v>35000</v>
      </c>
      <c r="I33" s="7" t="s">
        <v>50</v>
      </c>
      <c r="J33" s="11">
        <v>34000</v>
      </c>
      <c r="K33" s="7" t="s">
        <v>50</v>
      </c>
      <c r="L33" s="11">
        <v>34000</v>
      </c>
      <c r="M33" s="7" t="s">
        <v>50</v>
      </c>
      <c r="N33" s="11">
        <v>0</v>
      </c>
      <c r="O33" s="7" t="s">
        <v>55</v>
      </c>
      <c r="P33" s="11">
        <v>73593</v>
      </c>
      <c r="Q33" s="7" t="s">
        <v>50</v>
      </c>
      <c r="R33" s="7" t="s">
        <v>53</v>
      </c>
      <c r="S33" s="13"/>
      <c r="T33" s="11">
        <v>4000</v>
      </c>
      <c r="U33" s="7" t="s">
        <v>55</v>
      </c>
      <c r="V33" s="7" t="s">
        <v>53</v>
      </c>
      <c r="W33" s="7" t="s">
        <v>50</v>
      </c>
    </row>
    <row r="34" spans="1:23" ht="15" x14ac:dyDescent="0.25">
      <c r="A34" s="5" t="s">
        <v>41</v>
      </c>
      <c r="B34" s="12">
        <v>158884</v>
      </c>
      <c r="C34" s="8" t="s">
        <v>50</v>
      </c>
      <c r="D34" s="10">
        <v>119377.25</v>
      </c>
      <c r="E34" s="8" t="s">
        <v>50</v>
      </c>
      <c r="F34" s="10">
        <v>39508.720000000001</v>
      </c>
      <c r="G34" s="8" t="s">
        <v>50</v>
      </c>
      <c r="H34" s="10">
        <v>312.47000000000003</v>
      </c>
      <c r="I34" s="8" t="s">
        <v>50</v>
      </c>
      <c r="J34" s="10">
        <v>17271.73</v>
      </c>
      <c r="K34" s="8" t="s">
        <v>50</v>
      </c>
      <c r="L34" s="12">
        <v>64.5</v>
      </c>
      <c r="M34" s="8" t="s">
        <v>50</v>
      </c>
      <c r="N34" s="10">
        <v>17207.23</v>
      </c>
      <c r="O34" s="8" t="s">
        <v>50</v>
      </c>
      <c r="P34" s="10">
        <v>39821.19</v>
      </c>
      <c r="Q34" s="8" t="s">
        <v>50</v>
      </c>
      <c r="R34" s="8" t="s">
        <v>53</v>
      </c>
      <c r="S34" s="13"/>
      <c r="T34" s="12">
        <v>12514</v>
      </c>
      <c r="U34" s="8" t="s">
        <v>50</v>
      </c>
      <c r="V34" s="8" t="s">
        <v>53</v>
      </c>
      <c r="W34" s="8" t="s">
        <v>50</v>
      </c>
    </row>
    <row r="35" spans="1:23" ht="15" x14ac:dyDescent="0.25">
      <c r="A35" s="5" t="s">
        <v>42</v>
      </c>
      <c r="B35" s="11">
        <v>29448</v>
      </c>
      <c r="C35" s="7" t="s">
        <v>55</v>
      </c>
      <c r="D35" s="11">
        <v>13026</v>
      </c>
      <c r="E35" s="7" t="s">
        <v>55</v>
      </c>
      <c r="F35" s="11">
        <v>16422</v>
      </c>
      <c r="G35" s="7" t="s">
        <v>55</v>
      </c>
      <c r="H35" s="11">
        <v>15074</v>
      </c>
      <c r="I35" s="7" t="s">
        <v>55</v>
      </c>
      <c r="J35" s="11">
        <v>30371</v>
      </c>
      <c r="K35" s="7" t="s">
        <v>55</v>
      </c>
      <c r="L35" s="11">
        <v>196.8</v>
      </c>
      <c r="M35" s="7" t="s">
        <v>55</v>
      </c>
      <c r="N35" s="11">
        <v>30174</v>
      </c>
      <c r="O35" s="7" t="s">
        <v>55</v>
      </c>
      <c r="P35" s="11">
        <v>31496</v>
      </c>
      <c r="Q35" s="7" t="s">
        <v>55</v>
      </c>
      <c r="R35" s="11">
        <v>6410</v>
      </c>
      <c r="S35" s="13">
        <f t="shared" si="0"/>
        <v>0.21767182830752513</v>
      </c>
      <c r="T35" s="7" t="s">
        <v>53</v>
      </c>
      <c r="U35" s="7" t="s">
        <v>50</v>
      </c>
      <c r="V35" s="7" t="s">
        <v>53</v>
      </c>
      <c r="W35" s="7" t="s">
        <v>50</v>
      </c>
    </row>
    <row r="36" spans="1:23" ht="15" x14ac:dyDescent="0.25">
      <c r="A36" s="5" t="s">
        <v>43</v>
      </c>
      <c r="B36" s="12">
        <v>37352</v>
      </c>
      <c r="C36" s="8" t="s">
        <v>50</v>
      </c>
      <c r="D36" s="12">
        <v>24278</v>
      </c>
      <c r="E36" s="8" t="s">
        <v>50</v>
      </c>
      <c r="F36" s="12">
        <v>13074</v>
      </c>
      <c r="G36" s="8" t="s">
        <v>50</v>
      </c>
      <c r="H36" s="12">
        <v>67252</v>
      </c>
      <c r="I36" s="8" t="s">
        <v>50</v>
      </c>
      <c r="J36" s="12">
        <v>81680</v>
      </c>
      <c r="K36" s="8" t="s">
        <v>50</v>
      </c>
      <c r="L36" s="12">
        <v>0</v>
      </c>
      <c r="M36" s="8" t="s">
        <v>50</v>
      </c>
      <c r="N36" s="12">
        <v>81680</v>
      </c>
      <c r="O36" s="8" t="s">
        <v>50</v>
      </c>
      <c r="P36" s="12">
        <v>80326</v>
      </c>
      <c r="Q36" s="8" t="s">
        <v>50</v>
      </c>
      <c r="R36" s="8" t="s">
        <v>53</v>
      </c>
      <c r="S36" s="13"/>
      <c r="T36" s="12">
        <v>2335</v>
      </c>
      <c r="U36" s="8" t="s">
        <v>50</v>
      </c>
      <c r="V36" s="8" t="s">
        <v>53</v>
      </c>
      <c r="W36" s="8" t="s">
        <v>50</v>
      </c>
    </row>
    <row r="37" spans="1:23" ht="15" x14ac:dyDescent="0.25">
      <c r="A37" s="5" t="s">
        <v>44</v>
      </c>
      <c r="B37" s="11">
        <v>222000</v>
      </c>
      <c r="C37" s="7" t="s">
        <v>50</v>
      </c>
      <c r="D37" s="11">
        <v>115000</v>
      </c>
      <c r="E37" s="7" t="s">
        <v>50</v>
      </c>
      <c r="F37" s="11">
        <v>107000</v>
      </c>
      <c r="G37" s="7" t="s">
        <v>50</v>
      </c>
      <c r="H37" s="11">
        <v>3200</v>
      </c>
      <c r="I37" s="7" t="s">
        <v>50</v>
      </c>
      <c r="J37" s="11">
        <v>110000</v>
      </c>
      <c r="K37" s="7" t="s">
        <v>50</v>
      </c>
      <c r="L37" s="11">
        <v>80000</v>
      </c>
      <c r="M37" s="7" t="s">
        <v>50</v>
      </c>
      <c r="N37" s="11">
        <v>30000</v>
      </c>
      <c r="O37" s="7" t="s">
        <v>50</v>
      </c>
      <c r="P37" s="11">
        <v>110000</v>
      </c>
      <c r="Q37" s="7" t="s">
        <v>50</v>
      </c>
      <c r="R37" s="7" t="s">
        <v>53</v>
      </c>
      <c r="S37" s="13"/>
      <c r="T37" s="7" t="s">
        <v>53</v>
      </c>
      <c r="U37" s="7" t="s">
        <v>50</v>
      </c>
      <c r="V37" s="11">
        <v>1000</v>
      </c>
      <c r="W37" s="7" t="s">
        <v>50</v>
      </c>
    </row>
    <row r="38" spans="1:23" ht="15" x14ac:dyDescent="0.25">
      <c r="A38" s="5" t="s">
        <v>45</v>
      </c>
      <c r="B38" s="12">
        <v>350690</v>
      </c>
      <c r="C38" s="8" t="s">
        <v>50</v>
      </c>
      <c r="D38" s="12">
        <v>169512</v>
      </c>
      <c r="E38" s="8" t="s">
        <v>50</v>
      </c>
      <c r="F38" s="12">
        <v>181885</v>
      </c>
      <c r="G38" s="8" t="s">
        <v>50</v>
      </c>
      <c r="H38" s="12">
        <v>14951</v>
      </c>
      <c r="I38" s="8" t="s">
        <v>50</v>
      </c>
      <c r="J38" s="12">
        <v>196837</v>
      </c>
      <c r="K38" s="8" t="s">
        <v>50</v>
      </c>
      <c r="L38" s="12">
        <v>194450</v>
      </c>
      <c r="M38" s="8" t="s">
        <v>50</v>
      </c>
      <c r="N38" s="12">
        <v>2386</v>
      </c>
      <c r="O38" s="8" t="s">
        <v>50</v>
      </c>
      <c r="P38" s="12">
        <v>196837</v>
      </c>
      <c r="Q38" s="8" t="s">
        <v>50</v>
      </c>
      <c r="R38" s="8" t="s">
        <v>53</v>
      </c>
      <c r="S38" s="13"/>
      <c r="T38" s="8" t="s">
        <v>53</v>
      </c>
      <c r="U38" s="8" t="s">
        <v>50</v>
      </c>
      <c r="V38" s="8" t="s">
        <v>53</v>
      </c>
      <c r="W38" s="8" t="s">
        <v>50</v>
      </c>
    </row>
    <row r="39" spans="1:23" ht="11.45" customHeight="1" x14ac:dyDescent="0.25">
      <c r="S39" s="13"/>
      <c r="T39">
        <f>SUMIF(T12:T38,"&lt;&gt;")</f>
        <v>71080.34</v>
      </c>
    </row>
    <row r="40" spans="1:23" ht="15" x14ac:dyDescent="0.25">
      <c r="A40" s="1" t="s">
        <v>57</v>
      </c>
    </row>
    <row r="41" spans="1:23" ht="15" x14ac:dyDescent="0.25">
      <c r="A41" s="1" t="s">
        <v>53</v>
      </c>
      <c r="B41" s="2" t="s">
        <v>58</v>
      </c>
    </row>
    <row r="42" spans="1:23" ht="15" x14ac:dyDescent="0.25">
      <c r="A42" s="1" t="s">
        <v>59</v>
      </c>
    </row>
    <row r="43" spans="1:23" ht="15" x14ac:dyDescent="0.25">
      <c r="A43" s="1" t="s">
        <v>56</v>
      </c>
      <c r="B43" s="2" t="s">
        <v>60</v>
      </c>
    </row>
    <row r="44" spans="1:23" ht="15" x14ac:dyDescent="0.25">
      <c r="A44" s="1" t="s">
        <v>55</v>
      </c>
      <c r="B44" s="2" t="s">
        <v>61</v>
      </c>
    </row>
    <row r="45" spans="1:23" ht="15" x14ac:dyDescent="0.25">
      <c r="A45" s="1" t="s">
        <v>54</v>
      </c>
      <c r="B45" s="2" t="s">
        <v>62</v>
      </c>
    </row>
  </sheetData>
  <mergeCells count="12">
    <mergeCell ref="B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BE39-1588-4F18-AC0C-B1653D09C57F}">
  <dimension ref="A2:N3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1" sqref="F11"/>
    </sheetView>
  </sheetViews>
  <sheetFormatPr defaultRowHeight="15" x14ac:dyDescent="0.25"/>
  <cols>
    <col min="1" max="1" width="25" customWidth="1"/>
    <col min="2" max="2" width="12.42578125" bestFit="1" customWidth="1"/>
    <col min="3" max="3" width="24.28515625" bestFit="1" customWidth="1"/>
    <col min="4" max="4" width="12.7109375" bestFit="1" customWidth="1"/>
    <col min="5" max="5" width="27.5703125" customWidth="1"/>
    <col min="6" max="6" width="24.140625" bestFit="1" customWidth="1"/>
    <col min="7" max="7" width="15.85546875" customWidth="1"/>
    <col min="8" max="8" width="31.5703125" customWidth="1"/>
    <col min="9" max="9" width="17.85546875" customWidth="1"/>
    <col min="10" max="12" width="14" customWidth="1"/>
    <col min="13" max="13" width="37.7109375" bestFit="1" customWidth="1"/>
  </cols>
  <sheetData>
    <row r="2" spans="1:14" ht="47.25" customHeight="1" x14ac:dyDescent="0.25">
      <c r="A2" s="21" t="s">
        <v>51</v>
      </c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63</v>
      </c>
      <c r="M2" s="21" t="s">
        <v>16</v>
      </c>
      <c r="N2" s="14"/>
    </row>
    <row r="3" spans="1:14" x14ac:dyDescent="0.25">
      <c r="A3" s="20" t="s">
        <v>18</v>
      </c>
      <c r="B3" s="20">
        <v>3292852.59</v>
      </c>
      <c r="C3" s="20" t="s">
        <v>53</v>
      </c>
      <c r="D3" s="20" t="s">
        <v>53</v>
      </c>
      <c r="E3" s="20" t="s">
        <v>53</v>
      </c>
      <c r="F3" s="20" t="s">
        <v>53</v>
      </c>
      <c r="G3" s="20" t="s">
        <v>53</v>
      </c>
      <c r="H3" s="20" t="s">
        <v>53</v>
      </c>
      <c r="I3" s="20" t="s">
        <v>53</v>
      </c>
      <c r="J3" s="20" t="s">
        <v>53</v>
      </c>
      <c r="K3" s="20" t="s">
        <v>53</v>
      </c>
      <c r="L3" s="20"/>
      <c r="M3" s="20" t="s">
        <v>53</v>
      </c>
      <c r="N3" s="15"/>
    </row>
    <row r="4" spans="1:14" x14ac:dyDescent="0.25">
      <c r="A4" s="20" t="s">
        <v>19</v>
      </c>
      <c r="B4" s="20">
        <v>27336.77</v>
      </c>
      <c r="C4" s="20">
        <v>15815.11</v>
      </c>
      <c r="D4" s="20">
        <v>11298.15</v>
      </c>
      <c r="E4" s="20">
        <v>10783.56</v>
      </c>
      <c r="F4" s="20">
        <v>19298.04</v>
      </c>
      <c r="G4" s="20">
        <v>777.34</v>
      </c>
      <c r="H4" s="20">
        <v>19751.919999999998</v>
      </c>
      <c r="I4" s="20">
        <v>25330.1</v>
      </c>
      <c r="J4" s="20" t="s">
        <v>53</v>
      </c>
      <c r="K4" s="20" t="s">
        <v>53</v>
      </c>
      <c r="L4" s="20" t="str">
        <f>IFERROR(K4/B4,"NA")</f>
        <v>NA</v>
      </c>
      <c r="M4" s="20" t="s">
        <v>53</v>
      </c>
      <c r="N4" s="15"/>
    </row>
    <row r="5" spans="1:14" x14ac:dyDescent="0.25">
      <c r="A5" s="20" t="s">
        <v>20</v>
      </c>
      <c r="B5" s="20">
        <v>72930</v>
      </c>
      <c r="C5" s="20">
        <v>57141</v>
      </c>
      <c r="D5" s="20">
        <v>15789</v>
      </c>
      <c r="E5" s="20">
        <v>84064</v>
      </c>
      <c r="F5" s="20">
        <v>102402</v>
      </c>
      <c r="G5" s="20">
        <v>1710</v>
      </c>
      <c r="H5" s="20">
        <v>100692</v>
      </c>
      <c r="I5" s="20">
        <v>99853</v>
      </c>
      <c r="J5" s="20">
        <v>5846</v>
      </c>
      <c r="K5" s="20">
        <v>5392</v>
      </c>
      <c r="L5" s="20">
        <f t="shared" ref="L5:L30" si="0">IFERROR(K5/B5,"NA")</f>
        <v>7.3933909228026881E-2</v>
      </c>
      <c r="M5" s="20">
        <v>70865</v>
      </c>
      <c r="N5" s="15"/>
    </row>
    <row r="6" spans="1:14" x14ac:dyDescent="0.25">
      <c r="A6" s="20" t="s">
        <v>21</v>
      </c>
      <c r="B6" s="20">
        <v>53454</v>
      </c>
      <c r="C6" s="20">
        <v>39082</v>
      </c>
      <c r="D6" s="20">
        <v>14372</v>
      </c>
      <c r="E6" s="20">
        <v>829</v>
      </c>
      <c r="F6" s="20">
        <v>14588</v>
      </c>
      <c r="G6" s="20" t="s">
        <v>53</v>
      </c>
      <c r="H6" s="20">
        <v>14588</v>
      </c>
      <c r="I6" s="20">
        <v>15201</v>
      </c>
      <c r="J6" s="20">
        <v>6623</v>
      </c>
      <c r="K6" s="20">
        <v>1157</v>
      </c>
      <c r="L6" s="20">
        <f t="shared" si="0"/>
        <v>2.1644778688217906E-2</v>
      </c>
      <c r="M6" s="20">
        <v>4200</v>
      </c>
      <c r="N6" s="15"/>
    </row>
    <row r="7" spans="1:14" x14ac:dyDescent="0.25">
      <c r="A7" s="20" t="s">
        <v>22</v>
      </c>
      <c r="B7" s="20">
        <v>38485</v>
      </c>
      <c r="C7" s="20">
        <v>22145</v>
      </c>
      <c r="D7" s="20">
        <v>16340</v>
      </c>
      <c r="E7" s="20">
        <v>0</v>
      </c>
      <c r="F7" s="20" t="s">
        <v>53</v>
      </c>
      <c r="G7" s="20" t="s">
        <v>53</v>
      </c>
      <c r="H7" s="20">
        <v>0</v>
      </c>
      <c r="I7" s="20">
        <v>16340</v>
      </c>
      <c r="J7" s="20">
        <v>4730</v>
      </c>
      <c r="K7" s="20">
        <v>1000</v>
      </c>
      <c r="L7" s="20">
        <f t="shared" si="0"/>
        <v>2.5984149668702092E-2</v>
      </c>
      <c r="M7" s="20" t="s">
        <v>53</v>
      </c>
      <c r="N7" s="15"/>
    </row>
    <row r="8" spans="1:14" x14ac:dyDescent="0.25">
      <c r="A8" s="20" t="s">
        <v>23</v>
      </c>
      <c r="B8" s="20">
        <v>309000</v>
      </c>
      <c r="C8" s="20">
        <v>205000</v>
      </c>
      <c r="D8" s="20">
        <v>104000</v>
      </c>
      <c r="E8" s="20">
        <v>69000</v>
      </c>
      <c r="F8" s="20">
        <v>166000</v>
      </c>
      <c r="G8" s="20">
        <v>49000</v>
      </c>
      <c r="H8" s="20">
        <v>117000</v>
      </c>
      <c r="I8" s="20">
        <v>173000</v>
      </c>
      <c r="J8" s="20">
        <v>46000</v>
      </c>
      <c r="K8" s="20" t="s">
        <v>53</v>
      </c>
      <c r="L8" s="20" t="str">
        <f t="shared" si="0"/>
        <v>NA</v>
      </c>
      <c r="M8" s="20">
        <v>110000</v>
      </c>
      <c r="N8" s="15"/>
    </row>
    <row r="9" spans="1:14" x14ac:dyDescent="0.25">
      <c r="A9" s="20" t="s">
        <v>24</v>
      </c>
      <c r="B9" s="20">
        <v>29017.7</v>
      </c>
      <c r="C9" s="20">
        <f>B9-D9</f>
        <v>16671.099999999999</v>
      </c>
      <c r="D9" s="20">
        <v>12346.6</v>
      </c>
      <c r="E9" s="20" t="s">
        <v>53</v>
      </c>
      <c r="F9" s="20">
        <f>G9+H9</f>
        <v>12414.7</v>
      </c>
      <c r="G9" s="20">
        <v>12074.1</v>
      </c>
      <c r="H9" s="20">
        <v>340.6</v>
      </c>
      <c r="I9" s="20">
        <v>12346.6</v>
      </c>
      <c r="J9" s="20">
        <v>2901.8</v>
      </c>
      <c r="K9" s="20">
        <v>560</v>
      </c>
      <c r="L9" s="20">
        <f t="shared" si="0"/>
        <v>1.929856604761921E-2</v>
      </c>
      <c r="M9" s="20" t="s">
        <v>53</v>
      </c>
      <c r="N9" s="15"/>
    </row>
    <row r="10" spans="1:14" x14ac:dyDescent="0.25">
      <c r="A10" s="20" t="s">
        <v>25</v>
      </c>
      <c r="B10" s="20">
        <v>89480.22</v>
      </c>
      <c r="C10" s="20">
        <v>38178.199999999997</v>
      </c>
      <c r="D10" s="20">
        <v>51302.02</v>
      </c>
      <c r="E10" s="20">
        <v>3525.53</v>
      </c>
      <c r="F10" s="20" t="s">
        <v>53</v>
      </c>
      <c r="G10" s="20" t="s">
        <v>53</v>
      </c>
      <c r="H10" s="20">
        <v>2788.33</v>
      </c>
      <c r="I10" s="20">
        <v>54827.56</v>
      </c>
      <c r="J10" s="20">
        <v>11443.39</v>
      </c>
      <c r="K10" s="20">
        <v>1144.3399999999999</v>
      </c>
      <c r="L10" s="20">
        <f t="shared" si="0"/>
        <v>1.2788748172501139E-2</v>
      </c>
      <c r="M10" s="20">
        <v>42949.64</v>
      </c>
      <c r="N10" s="15"/>
    </row>
    <row r="11" spans="1:14" x14ac:dyDescent="0.25">
      <c r="A11" s="20" t="s">
        <v>26</v>
      </c>
      <c r="B11" s="20">
        <v>115000</v>
      </c>
      <c r="C11" s="20">
        <v>55000</v>
      </c>
      <c r="D11" s="20">
        <v>60000</v>
      </c>
      <c r="E11" s="20">
        <v>12000</v>
      </c>
      <c r="F11" s="20" t="s">
        <v>53</v>
      </c>
      <c r="G11" s="20" t="s">
        <v>53</v>
      </c>
      <c r="H11" s="20">
        <v>1600</v>
      </c>
      <c r="I11" s="20">
        <v>72000</v>
      </c>
      <c r="J11" s="20" t="s">
        <v>53</v>
      </c>
      <c r="K11" s="20">
        <v>3550</v>
      </c>
      <c r="L11" s="20">
        <f t="shared" si="0"/>
        <v>3.0869565217391304E-2</v>
      </c>
      <c r="M11" s="20" t="s">
        <v>53</v>
      </c>
      <c r="N11" s="15"/>
    </row>
    <row r="12" spans="1:14" x14ac:dyDescent="0.25">
      <c r="A12" s="20" t="s">
        <v>27</v>
      </c>
      <c r="B12" s="20">
        <v>333657</v>
      </c>
      <c r="C12" s="20">
        <v>226453</v>
      </c>
      <c r="D12" s="20">
        <v>107204</v>
      </c>
      <c r="E12" s="20">
        <v>0</v>
      </c>
      <c r="F12" s="20">
        <v>84269.89</v>
      </c>
      <c r="G12" s="20" t="s">
        <v>53</v>
      </c>
      <c r="H12" s="20" t="s">
        <v>53</v>
      </c>
      <c r="I12" s="20">
        <v>107204</v>
      </c>
      <c r="J12" s="20">
        <v>45680</v>
      </c>
      <c r="K12" s="20" t="s">
        <v>53</v>
      </c>
      <c r="L12" s="20" t="str">
        <f t="shared" si="0"/>
        <v>NA</v>
      </c>
      <c r="M12" s="20">
        <v>55616</v>
      </c>
      <c r="N12" s="15"/>
    </row>
    <row r="13" spans="1:14" x14ac:dyDescent="0.25">
      <c r="A13" s="20" t="s">
        <v>28</v>
      </c>
      <c r="B13" s="20">
        <v>512863.76</v>
      </c>
      <c r="C13" s="20">
        <v>312003.27</v>
      </c>
      <c r="D13" s="20">
        <v>200860.49</v>
      </c>
      <c r="E13" s="20">
        <v>11000</v>
      </c>
      <c r="F13" s="20">
        <v>168000</v>
      </c>
      <c r="G13" s="20">
        <v>150000</v>
      </c>
      <c r="H13" s="20">
        <v>18000</v>
      </c>
      <c r="I13" s="20">
        <v>206236.09</v>
      </c>
      <c r="J13" s="20">
        <v>100000</v>
      </c>
      <c r="K13" s="20" t="s">
        <v>53</v>
      </c>
      <c r="L13" s="20" t="str">
        <f t="shared" si="0"/>
        <v>NA</v>
      </c>
      <c r="M13" s="20" t="s">
        <v>53</v>
      </c>
      <c r="N13" s="15"/>
    </row>
    <row r="14" spans="1:14" x14ac:dyDescent="0.25">
      <c r="A14" s="20" t="s">
        <v>29</v>
      </c>
      <c r="B14" s="20">
        <v>63804.9</v>
      </c>
      <c r="C14" s="20">
        <v>39275</v>
      </c>
      <c r="D14" s="20">
        <v>24529.81</v>
      </c>
      <c r="E14" s="20">
        <v>93782.95</v>
      </c>
      <c r="F14" s="20">
        <v>118312.76</v>
      </c>
      <c r="G14" s="20">
        <v>20791.98</v>
      </c>
      <c r="H14" s="20">
        <v>97520.78</v>
      </c>
      <c r="I14" s="20">
        <v>118312.76</v>
      </c>
      <c r="J14" s="20" t="s">
        <v>53</v>
      </c>
      <c r="K14" s="20">
        <v>22430</v>
      </c>
      <c r="L14" s="20">
        <f t="shared" si="0"/>
        <v>0.35154039893487804</v>
      </c>
      <c r="M14" s="20" t="s">
        <v>53</v>
      </c>
      <c r="N14" s="15"/>
    </row>
    <row r="15" spans="1:14" x14ac:dyDescent="0.25">
      <c r="A15" s="20" t="s">
        <v>30</v>
      </c>
      <c r="B15" s="20">
        <v>284611.71999999997</v>
      </c>
      <c r="C15" s="20">
        <v>151465.67000000001</v>
      </c>
      <c r="D15" s="20">
        <v>133146.06</v>
      </c>
      <c r="E15" s="20" t="s">
        <v>53</v>
      </c>
      <c r="F15" s="20" t="s">
        <v>53</v>
      </c>
      <c r="G15" s="20" t="s">
        <v>53</v>
      </c>
      <c r="H15" s="20" t="s">
        <v>53</v>
      </c>
      <c r="I15" s="20" t="s">
        <v>53</v>
      </c>
      <c r="J15" s="20" t="s">
        <v>53</v>
      </c>
      <c r="K15" s="20" t="s">
        <v>53</v>
      </c>
      <c r="L15" s="20" t="str">
        <f t="shared" si="0"/>
        <v>NA</v>
      </c>
      <c r="M15" s="20" t="s">
        <v>53</v>
      </c>
      <c r="N15" s="15"/>
    </row>
    <row r="16" spans="1:14" x14ac:dyDescent="0.25">
      <c r="A16" s="20" t="s">
        <v>31</v>
      </c>
      <c r="B16" s="20">
        <v>3029.81</v>
      </c>
      <c r="C16" s="20">
        <v>2708.96</v>
      </c>
      <c r="D16" s="20">
        <v>320.85000000000002</v>
      </c>
      <c r="E16" s="20">
        <v>0</v>
      </c>
      <c r="F16" s="20">
        <v>80.16</v>
      </c>
      <c r="G16" s="20">
        <v>80.16</v>
      </c>
      <c r="H16" s="20">
        <v>0</v>
      </c>
      <c r="I16" s="20">
        <v>320.85000000000002</v>
      </c>
      <c r="J16" s="20">
        <v>218.22</v>
      </c>
      <c r="K16" s="20">
        <v>138.06</v>
      </c>
      <c r="L16" s="20">
        <f t="shared" si="0"/>
        <v>4.5567213785682931E-2</v>
      </c>
      <c r="M16" s="20" t="s">
        <v>53</v>
      </c>
      <c r="N16" s="15"/>
    </row>
    <row r="17" spans="1:14" x14ac:dyDescent="0.25">
      <c r="A17" s="20" t="s">
        <v>32</v>
      </c>
      <c r="B17" s="20">
        <v>43220</v>
      </c>
      <c r="C17" s="20">
        <v>23573</v>
      </c>
      <c r="D17" s="20">
        <v>19647</v>
      </c>
      <c r="E17" s="20">
        <v>16992</v>
      </c>
      <c r="F17" s="20">
        <v>32934</v>
      </c>
      <c r="G17" s="20">
        <v>31667</v>
      </c>
      <c r="H17" s="20">
        <v>1267</v>
      </c>
      <c r="I17" s="20">
        <v>36639</v>
      </c>
      <c r="J17" s="20">
        <v>10286</v>
      </c>
      <c r="K17" s="20">
        <v>2000</v>
      </c>
      <c r="L17" s="20">
        <f t="shared" si="0"/>
        <v>4.6274872744099957E-2</v>
      </c>
      <c r="M17" s="20">
        <v>25368</v>
      </c>
      <c r="N17" s="15"/>
    </row>
    <row r="18" spans="1:14" x14ac:dyDescent="0.25">
      <c r="A18" s="20" t="s">
        <v>33</v>
      </c>
      <c r="B18" s="20">
        <v>45117.5</v>
      </c>
      <c r="C18" s="20" t="s">
        <v>53</v>
      </c>
      <c r="D18" s="20" t="s">
        <v>53</v>
      </c>
      <c r="E18" s="20">
        <v>8404.66</v>
      </c>
      <c r="F18" s="20">
        <v>22905.53</v>
      </c>
      <c r="G18" s="20">
        <v>19735.599999999999</v>
      </c>
      <c r="H18" s="20">
        <v>3170.29</v>
      </c>
      <c r="I18" s="20" t="s">
        <v>53</v>
      </c>
      <c r="J18" s="20" t="s">
        <v>53</v>
      </c>
      <c r="K18" s="20" t="s">
        <v>53</v>
      </c>
      <c r="L18" s="20" t="str">
        <f t="shared" si="0"/>
        <v>NA</v>
      </c>
      <c r="M18" s="20" t="s">
        <v>53</v>
      </c>
      <c r="N18" s="15"/>
    </row>
    <row r="19" spans="1:14" x14ac:dyDescent="0.25">
      <c r="A19" s="20" t="s">
        <v>34</v>
      </c>
      <c r="B19" s="20">
        <v>2030</v>
      </c>
      <c r="C19" s="20">
        <v>1124.9000000000001</v>
      </c>
      <c r="D19" s="20">
        <v>905.1</v>
      </c>
      <c r="E19" s="20">
        <v>739</v>
      </c>
      <c r="F19" s="20">
        <v>1600</v>
      </c>
      <c r="G19" s="20">
        <v>0</v>
      </c>
      <c r="H19" s="20">
        <v>1600</v>
      </c>
      <c r="I19" s="20">
        <v>1644.1</v>
      </c>
      <c r="J19" s="20" t="s">
        <v>53</v>
      </c>
      <c r="K19" s="20">
        <v>86</v>
      </c>
      <c r="L19" s="20">
        <f t="shared" si="0"/>
        <v>4.2364532019704436E-2</v>
      </c>
      <c r="M19" s="20" t="s">
        <v>53</v>
      </c>
      <c r="N19" s="15"/>
    </row>
    <row r="20" spans="1:14" x14ac:dyDescent="0.25">
      <c r="A20" s="20" t="s">
        <v>35</v>
      </c>
      <c r="B20" s="20">
        <v>56172</v>
      </c>
      <c r="C20" s="20">
        <v>50592</v>
      </c>
      <c r="D20" s="20">
        <v>5580</v>
      </c>
      <c r="E20" s="20">
        <v>91500</v>
      </c>
      <c r="F20" s="20">
        <v>96850</v>
      </c>
      <c r="G20" s="20" t="s">
        <v>53</v>
      </c>
      <c r="H20" s="20" t="s">
        <v>53</v>
      </c>
      <c r="I20" s="20" t="s">
        <v>53</v>
      </c>
      <c r="J20" s="20" t="s">
        <v>53</v>
      </c>
      <c r="K20" s="20">
        <v>2400</v>
      </c>
      <c r="L20" s="20">
        <f t="shared" si="0"/>
        <v>4.2725913266396069E-2</v>
      </c>
      <c r="M20" s="20" t="s">
        <v>53</v>
      </c>
      <c r="N20" s="15"/>
    </row>
    <row r="21" spans="1:14" x14ac:dyDescent="0.25">
      <c r="A21" s="20" t="s">
        <v>36</v>
      </c>
      <c r="B21" s="20">
        <v>171.71</v>
      </c>
      <c r="C21" s="20">
        <v>88.74</v>
      </c>
      <c r="D21" s="20">
        <v>82.97</v>
      </c>
      <c r="E21" s="20">
        <v>0</v>
      </c>
      <c r="F21" s="20">
        <v>54.13</v>
      </c>
      <c r="G21" s="20">
        <v>54.13</v>
      </c>
      <c r="H21" s="20">
        <v>0</v>
      </c>
      <c r="I21" s="20">
        <v>82.97</v>
      </c>
      <c r="J21" s="20">
        <v>70.760000000000005</v>
      </c>
      <c r="K21" s="20">
        <v>47.49</v>
      </c>
      <c r="L21" s="20">
        <f t="shared" si="0"/>
        <v>0.27657096266961739</v>
      </c>
      <c r="M21" s="20">
        <v>34.229999999999997</v>
      </c>
      <c r="N21" s="15"/>
    </row>
    <row r="22" spans="1:14" x14ac:dyDescent="0.25">
      <c r="A22" s="20" t="s">
        <v>37</v>
      </c>
      <c r="B22" s="20">
        <v>32017</v>
      </c>
      <c r="C22" s="20">
        <v>22311</v>
      </c>
      <c r="D22" s="20">
        <v>9706</v>
      </c>
      <c r="E22" s="20">
        <v>78355</v>
      </c>
      <c r="F22" s="20">
        <v>84350</v>
      </c>
      <c r="G22" s="20">
        <v>84350</v>
      </c>
      <c r="H22" s="20">
        <v>0</v>
      </c>
      <c r="I22" s="20">
        <v>88061</v>
      </c>
      <c r="J22" s="20" t="s">
        <v>53</v>
      </c>
      <c r="K22" s="20" t="s">
        <v>53</v>
      </c>
      <c r="L22" s="20" t="str">
        <f t="shared" si="0"/>
        <v>NA</v>
      </c>
      <c r="M22" s="20" t="s">
        <v>53</v>
      </c>
      <c r="N22" s="15"/>
    </row>
    <row r="23" spans="1:14" x14ac:dyDescent="0.25">
      <c r="A23" s="20" t="s">
        <v>38</v>
      </c>
      <c r="B23" s="20">
        <v>99800</v>
      </c>
      <c r="C23" s="20">
        <v>43100</v>
      </c>
      <c r="D23" s="20">
        <v>56700</v>
      </c>
      <c r="E23" s="20">
        <v>29300</v>
      </c>
      <c r="F23" s="20">
        <v>86000</v>
      </c>
      <c r="G23" s="20" t="s">
        <v>53</v>
      </c>
      <c r="H23" s="20">
        <v>86000</v>
      </c>
      <c r="I23" s="20" t="s">
        <v>53</v>
      </c>
      <c r="J23" s="20" t="s">
        <v>53</v>
      </c>
      <c r="K23" s="20" t="s">
        <v>53</v>
      </c>
      <c r="L23" s="20" t="str">
        <f t="shared" si="0"/>
        <v>NA</v>
      </c>
      <c r="M23" s="20" t="s">
        <v>53</v>
      </c>
      <c r="N23" s="15"/>
    </row>
    <row r="24" spans="1:14" x14ac:dyDescent="0.25">
      <c r="A24" s="20" t="s">
        <v>39</v>
      </c>
      <c r="B24" s="20">
        <v>201115.5</v>
      </c>
      <c r="C24" s="20">
        <v>150796.29999999999</v>
      </c>
      <c r="D24" s="20">
        <v>50319.199999999997</v>
      </c>
      <c r="E24" s="20">
        <v>7504</v>
      </c>
      <c r="F24" s="20">
        <v>57823.199999999997</v>
      </c>
      <c r="G24" s="20" t="s">
        <v>53</v>
      </c>
      <c r="H24" s="20" t="s">
        <v>53</v>
      </c>
      <c r="I24" s="20">
        <v>57823.199999999997</v>
      </c>
      <c r="J24" s="20" t="s">
        <v>53</v>
      </c>
      <c r="K24" s="20">
        <v>12326.45</v>
      </c>
      <c r="L24" s="20">
        <f t="shared" si="0"/>
        <v>6.1290402778502902E-2</v>
      </c>
      <c r="M24" s="20" t="s">
        <v>53</v>
      </c>
      <c r="N24" s="15"/>
    </row>
    <row r="25" spans="1:14" x14ac:dyDescent="0.25">
      <c r="A25" s="20" t="s">
        <v>40</v>
      </c>
      <c r="B25" s="20">
        <v>82164</v>
      </c>
      <c r="C25" s="20">
        <v>43571</v>
      </c>
      <c r="D25" s="20">
        <v>38593</v>
      </c>
      <c r="E25" s="20">
        <v>35000</v>
      </c>
      <c r="F25" s="20">
        <v>34000</v>
      </c>
      <c r="G25" s="20">
        <v>34000</v>
      </c>
      <c r="H25" s="20">
        <v>0</v>
      </c>
      <c r="I25" s="20">
        <v>73593</v>
      </c>
      <c r="J25" s="20" t="s">
        <v>53</v>
      </c>
      <c r="K25" s="20">
        <v>4000</v>
      </c>
      <c r="L25" s="20">
        <f t="shared" si="0"/>
        <v>4.8683121561754542E-2</v>
      </c>
      <c r="M25" s="20" t="s">
        <v>53</v>
      </c>
      <c r="N25" s="15"/>
    </row>
    <row r="26" spans="1:14" x14ac:dyDescent="0.25">
      <c r="A26" s="20" t="s">
        <v>41</v>
      </c>
      <c r="B26" s="20">
        <v>158884</v>
      </c>
      <c r="C26" s="20">
        <v>119377.25</v>
      </c>
      <c r="D26" s="20">
        <v>39508.720000000001</v>
      </c>
      <c r="E26" s="20">
        <v>312.47000000000003</v>
      </c>
      <c r="F26" s="20">
        <v>17271.73</v>
      </c>
      <c r="G26" s="20">
        <v>64.5</v>
      </c>
      <c r="H26" s="20">
        <v>17207.23</v>
      </c>
      <c r="I26" s="20">
        <v>39821.19</v>
      </c>
      <c r="J26" s="20" t="s">
        <v>53</v>
      </c>
      <c r="K26" s="20">
        <v>12514</v>
      </c>
      <c r="L26" s="20">
        <f t="shared" si="0"/>
        <v>7.8761864001409831E-2</v>
      </c>
      <c r="M26" s="20" t="s">
        <v>53</v>
      </c>
      <c r="N26" s="15"/>
    </row>
    <row r="27" spans="1:14" x14ac:dyDescent="0.25">
      <c r="A27" s="20" t="s">
        <v>42</v>
      </c>
      <c r="B27" s="20">
        <v>29448</v>
      </c>
      <c r="C27" s="20">
        <v>13026</v>
      </c>
      <c r="D27" s="20">
        <v>16422</v>
      </c>
      <c r="E27" s="20">
        <v>15074</v>
      </c>
      <c r="F27" s="20">
        <v>30371</v>
      </c>
      <c r="G27" s="20">
        <v>196.8</v>
      </c>
      <c r="H27" s="20">
        <v>30174</v>
      </c>
      <c r="I27" s="20">
        <v>31496</v>
      </c>
      <c r="J27" s="20">
        <v>6410</v>
      </c>
      <c r="K27" s="20" t="s">
        <v>53</v>
      </c>
      <c r="L27" s="20" t="str">
        <f t="shared" si="0"/>
        <v>NA</v>
      </c>
      <c r="M27" s="20" t="s">
        <v>53</v>
      </c>
      <c r="N27" s="15"/>
    </row>
    <row r="28" spans="1:14" x14ac:dyDescent="0.25">
      <c r="A28" s="20" t="s">
        <v>43</v>
      </c>
      <c r="B28" s="20">
        <v>37352</v>
      </c>
      <c r="C28" s="20">
        <v>24278</v>
      </c>
      <c r="D28" s="20">
        <v>13074</v>
      </c>
      <c r="E28" s="20">
        <v>67252</v>
      </c>
      <c r="F28" s="20">
        <v>81680</v>
      </c>
      <c r="G28" s="20">
        <v>0</v>
      </c>
      <c r="H28" s="20">
        <v>81680</v>
      </c>
      <c r="I28" s="20">
        <v>80326</v>
      </c>
      <c r="J28" s="20" t="s">
        <v>53</v>
      </c>
      <c r="K28" s="20">
        <v>2335</v>
      </c>
      <c r="L28" s="20">
        <f t="shared" si="0"/>
        <v>6.2513386164060825E-2</v>
      </c>
      <c r="M28" s="20" t="s">
        <v>53</v>
      </c>
      <c r="N28" s="15"/>
    </row>
    <row r="29" spans="1:14" x14ac:dyDescent="0.25">
      <c r="A29" s="20" t="s">
        <v>44</v>
      </c>
      <c r="B29" s="20">
        <v>222000</v>
      </c>
      <c r="C29" s="20">
        <v>115000</v>
      </c>
      <c r="D29" s="20">
        <v>107000</v>
      </c>
      <c r="E29" s="20">
        <v>3200</v>
      </c>
      <c r="F29" s="20">
        <v>110000</v>
      </c>
      <c r="G29" s="20">
        <v>80000</v>
      </c>
      <c r="H29" s="20">
        <v>30000</v>
      </c>
      <c r="I29" s="20">
        <v>110000</v>
      </c>
      <c r="J29" s="20" t="s">
        <v>53</v>
      </c>
      <c r="K29" s="20" t="s">
        <v>53</v>
      </c>
      <c r="L29" s="20" t="str">
        <f t="shared" si="0"/>
        <v>NA</v>
      </c>
      <c r="M29" s="20">
        <v>1000</v>
      </c>
      <c r="N29" s="15"/>
    </row>
    <row r="30" spans="1:14" x14ac:dyDescent="0.25">
      <c r="A30" s="20" t="s">
        <v>45</v>
      </c>
      <c r="B30" s="20">
        <v>350690</v>
      </c>
      <c r="C30" s="20">
        <v>169512</v>
      </c>
      <c r="D30" s="20">
        <v>181885</v>
      </c>
      <c r="E30" s="20">
        <v>14951</v>
      </c>
      <c r="F30" s="20">
        <v>196837</v>
      </c>
      <c r="G30" s="20">
        <v>194450</v>
      </c>
      <c r="H30" s="20">
        <v>2386</v>
      </c>
      <c r="I30" s="20">
        <v>196837</v>
      </c>
      <c r="J30" s="20" t="s">
        <v>53</v>
      </c>
      <c r="K30" s="20" t="s">
        <v>53</v>
      </c>
      <c r="L30" s="20" t="str">
        <f t="shared" si="0"/>
        <v>NA</v>
      </c>
      <c r="M30" s="20" t="s">
        <v>53</v>
      </c>
      <c r="N30" s="15"/>
    </row>
    <row r="31" spans="1:14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5"/>
    </row>
    <row r="32" spans="1:14" ht="31.5" x14ac:dyDescent="0.5">
      <c r="A32" s="16" t="s">
        <v>64</v>
      </c>
      <c r="B32" s="17">
        <f t="shared" ref="B32:H32" si="1">SUM(B4:B30)/1000</f>
        <v>3292.85259</v>
      </c>
      <c r="C32" s="17">
        <f t="shared" si="1"/>
        <v>1957.2884999999997</v>
      </c>
      <c r="D32" s="17">
        <f t="shared" si="1"/>
        <v>1290.9319699999999</v>
      </c>
      <c r="E32" s="17">
        <f t="shared" si="1"/>
        <v>653.56916999999987</v>
      </c>
      <c r="F32" s="17">
        <f t="shared" si="1"/>
        <v>1538.04214</v>
      </c>
      <c r="G32" s="17">
        <f t="shared" si="1"/>
        <v>678.95160999999996</v>
      </c>
      <c r="H32" s="17">
        <f t="shared" si="1"/>
        <v>625.76614999999993</v>
      </c>
      <c r="I32" s="17"/>
      <c r="J32" s="17"/>
      <c r="K32" s="17"/>
      <c r="L32" s="15"/>
      <c r="M32" s="15"/>
      <c r="N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For model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Sridharan, Vignesh</cp:lastModifiedBy>
  <dcterms:created xsi:type="dcterms:W3CDTF">2024-04-20T17:29:51Z</dcterms:created>
  <dcterms:modified xsi:type="dcterms:W3CDTF">2025-11-25T18:57:39Z</dcterms:modified>
</cp:coreProperties>
</file>