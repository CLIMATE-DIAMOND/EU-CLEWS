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vsridhar_ic_ac_uk/Documents/Diamond/Data/"/>
    </mc:Choice>
  </mc:AlternateContent>
  <xr:revisionPtr revIDLastSave="7" documentId="11_F25DC773A252ABDACC10488AA1DC60C45ADE58F1" xr6:coauthVersionLast="47" xr6:coauthVersionMax="47" xr10:uidLastSave="{9340709E-DCAA-4770-B6D9-327035EECB0F}"/>
  <bookViews>
    <workbookView xWindow="28680" yWindow="-120" windowWidth="29040" windowHeight="15840" xr2:uid="{00000000-000D-0000-FFFF-FFFF00000000}"/>
  </bookViews>
  <sheets>
    <sheet name="Water T&amp;D" sheetId="4" r:id="rId1"/>
    <sheet name="Desalination" sheetId="3" r:id="rId2"/>
    <sheet name="Water treatment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12" i="3"/>
  <c r="B10" i="3"/>
  <c r="B8" i="3"/>
  <c r="C7" i="3"/>
  <c r="C8" i="3" s="1"/>
  <c r="B5" i="2"/>
  <c r="C5" i="2" s="1"/>
  <c r="B6" i="2"/>
  <c r="C6" i="2" s="1"/>
</calcChain>
</file>

<file path=xl/sharedStrings.xml><?xml version="1.0" encoding="utf-8"?>
<sst xmlns="http://schemas.openxmlformats.org/spreadsheetml/2006/main" count="70" uniqueCount="69">
  <si>
    <t>Unit</t>
  </si>
  <si>
    <t>Kwh</t>
  </si>
  <si>
    <t>PJ</t>
  </si>
  <si>
    <t>Conversion</t>
  </si>
  <si>
    <t>Consolidated energy intensity (kwh/m3)</t>
  </si>
  <si>
    <t>kWh/m3</t>
  </si>
  <si>
    <t>PJ/BCM</t>
  </si>
  <si>
    <t>Average Energy intensity of Waste water treatment Plants</t>
  </si>
  <si>
    <t>Average Energy intensity of Drining water treatment Plants</t>
  </si>
  <si>
    <t>Source</t>
  </si>
  <si>
    <t>https://www.sciencedirect.com/science/article/pii/S2352484723012179</t>
  </si>
  <si>
    <t>https://www.mdpi.com/2173986</t>
  </si>
  <si>
    <t>https://www.eea.europa.eu/themes/water/european-waters/water-use-and-environmental-pressures/uwwtd/data-viewer-urban-wastewater-treatment-directive-1/urban-waste-water-directive-treatment</t>
  </si>
  <si>
    <t>EUREAU figure (PDF)</t>
  </si>
  <si>
    <t>https://pdf.sciencedirectassets.com/785634/1-s2.0-S1944398610X18136/1-s2.0-S1944398624181775/main.pdf?X-Amz-Security-Token=IQoJb3JpZ2luX2VjEEEaCXVzLWVhc3QtMSJIMEYCIQDOVXcb0frt2U6rNUf6FBx%2BfEhOqke%2BIPIuZpaKdux4EAIhALyMyybMEGvLlOwSOy0auiW1qgSSh1xm5yfMqyDii9mQKrsFCOn%2F%2F%2F%2F%2F%2F%2F%2F%2F%2FwEQBRoMMDU5MDAzNTQ2ODY1IgyP3LscAnJHihwV%2BzkqjwUlzKCH8T0HbYEbnww2QPGWOJ8z1sRAcnPR2uJWleQEFA0chlqxoc4x7w%2BbZP1P571BZCjm13ntNJZDqbxvIXq47N0CAy8bJ5z5aScGqcxv9GP5Gmv%2Bomkgj0zML6ybvv2n6XNhQTGfq8WUvu%2BPGjL864RAjN1XV8eKgQAb1VEZecjUeZ8%2BEn%2B6tXXapx1h0UGc%2FedsO8I52NDQA%2F8%2BpXCH2lBIYKocsPsf3wABoinDm%2B47gQO63eOq3IW3V97XJRikSP8y7wOTjRRrvwfwMq57D6tUtUxKQJsBcobZt2hgtRm3rl1PztifVDig9amXJsnKDvv1dKc9RO%2F5iAVOkLasKPOr7JkFJty0p5IddVnl5q%2FVtUykncAm8xco5bHmCbYx8YsjerdXw4bN10x9bLOo%2FEzdXUSE%2BcSiANup8P4NAttosAOll%2BQtwHluuHCngxmyv%2FJJmrIbwVL%2B57ThnMYQM%2Fp5f4gF05jJmMaOKw01D1gzTDqyW14FJfLCmu8InMfiCUSiX5jezmKHpT1oiZapAQr%2BfhA4AtAgnpCX7n0aaaJ5TIYueaLe3u3wm80RlWoIaevXa2faejGdOF6npzOVYyepXoBJ08cqKx9CQ3ZZrsjWkdZ075dQgsmnnxoNDJENze6fm9ORJQESKlwPVYnahB8%2Bnb0XHspO0xH9lUcqoX5J7Oax28DtEw4hiQIMBq2jrMSXiLc08SwhTfhk5gx6XMGUrmncTvXzfduv4C3ppDgH%2FcUc70LVkCyvi%2BEVAAz2c4qKuVAKrAcgEI64%2FnWojl22TxCLfVKxUmFL0qEvYZEIZyTXj754ykEB57NPvM2BdosqXSW8QXI50mo396VAwETk0lNbfSMQOysuZxbDMJqBjMEGOrABaeiyncpuHb3uIjs45CUAq84TX6RtAyJos6vmYZVEbvZKxO7Toogq%2Bi1Qca0QW7C4t8q3aMRo%2F0qkiBhOlxeJ%2FvYx0H%2B58yFBvjHGBc3s1UfHKIS9j745YCgcEUbWtmhCwJ%2BLrHqJL3p6nMbIdoxkTuDid2j64G4PovNWzENHhrrF5NIRCAbXPA%2FRZMWwSEyL3E0a61Rd%2FWzU1Bc0xKRRdP9KsOQPMsvedCihUGF0wms%3D&amp;X-Amz-Algorithm=AWS4-HMAC-SHA256&amp;X-Amz-Date=20250513T092746Z&amp;X-Amz-SignedHeaders=host&amp;X-Amz-Expires=300&amp;X-Amz-Credential=ASIAQ3PHCVTYSFKU5FEP%2F20250513%2Fus-east-1%2Fs3%2Faws4_request&amp;X-Amz-Signature=9e75164b817071b05fff180540c55b68243bc46000c104bd847e115e779efc05&amp;hash=20d127ace08cf6d0e4a2963cc4584d071af3227ac793ae1a59ac85adc6d33348&amp;host=68042c943591013ac2b2430a89b270f6af2c76d8dfd086a07176afe7c76c2c61&amp;pii=S1944398624181775&amp;tid=spdf-1a12dba6-c1cc-442e-b56b-4f368a121eba&amp;sid=7f8faddc6a825345ef8a8c00a2d61dfcd247gxrqb&amp;type=client&amp;tsoh=d3d3LnNjaWVuY2VkaXJlY3QuY29t&amp;rh=d3d3LnNjaWVuY2VkaXJlY3QuY29t&amp;ua=1d045b5604565305505e57&amp;rr=93f11f317835cca2&amp;cc=gb</t>
  </si>
  <si>
    <t>Energy intensity (kWh/m3)</t>
  </si>
  <si>
    <t>Waste water (collection &amp;treatment)</t>
  </si>
  <si>
    <t>Drinking water treatment</t>
  </si>
  <si>
    <t>Drinking water distribution</t>
  </si>
  <si>
    <t>DW-combined reporting</t>
  </si>
  <si>
    <t>IE</t>
  </si>
  <si>
    <t>IT</t>
  </si>
  <si>
    <t>LU</t>
  </si>
  <si>
    <t>MT</t>
  </si>
  <si>
    <t>NL</t>
  </si>
  <si>
    <t>NO</t>
  </si>
  <si>
    <t>PL</t>
  </si>
  <si>
    <t>PT</t>
  </si>
  <si>
    <t>RO</t>
  </si>
  <si>
    <t>RD</t>
  </si>
  <si>
    <t>SI</t>
  </si>
  <si>
    <t>SE</t>
  </si>
  <si>
    <t>SK</t>
  </si>
  <si>
    <t>UK</t>
  </si>
  <si>
    <t>AT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</si>
  <si>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</si>
  <si>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</si>
  <si>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</si>
  <si>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</si>
  <si>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</si>
  <si>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</si>
  <si>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</si>
  <si>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</si>
  <si>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</si>
  <si>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</si>
  <si>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</si>
  <si>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</si>
  <si>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HU</t>
  </si>
  <si>
    <t>HR</t>
  </si>
  <si>
    <t>Country</t>
  </si>
  <si>
    <t xml:space="preserve">Most of the assumptions for desaliantion technologis are from Hannah Ritchie's article.  </t>
  </si>
  <si>
    <t>https://www.sustainabilitybynumbers.com/p/how-much-energy-does-desalinisation#footnote-9-149042009</t>
  </si>
  <si>
    <t>https://www.sciencedirect.com/science/article/pii/S1944398624203921</t>
  </si>
  <si>
    <t>https://www.desware.net/Energy-Requirements-Desalination-Processes.aspx#:~:text=Theoretically%2C%20about%200.86%20kWh%20of,the%20type%20of%20process%20used.</t>
  </si>
  <si>
    <t>Cost of Desalination (USD/m3)</t>
  </si>
  <si>
    <t>https://www.in2013dollars.com/us/inflation/2023?endYear=2018&amp;amount=1</t>
  </si>
  <si>
    <t>Cost of Desalination (EUR/m3) or billion EUR/BCM</t>
  </si>
  <si>
    <t>https://www.poundsterlinglive.com/history/USD-EUR-2018</t>
  </si>
  <si>
    <t>Cost of Desalination (EUR/m3) or million EUR/BCM</t>
  </si>
  <si>
    <t>Avg Electricity consumption (kwh/m3)</t>
  </si>
  <si>
    <t>Avg Electricity consumption (PJ/BCM)</t>
  </si>
  <si>
    <t>Average conversion efficiency</t>
  </si>
  <si>
    <t>Input Activity ratio</t>
  </si>
  <si>
    <t>Output Activity Ratio</t>
  </si>
  <si>
    <t>https://www.economist.com/graphic-detail/2023/07/18/in-drought-stricken-europe-leaky-pipes-are-worsening-the-problem#:~:text=EurEau%2C%20an%20umbrella%20group%20of,sized%20pools%20(see%20chart).</t>
  </si>
  <si>
    <t>https://environment.ec.europa.eu/news/improved-quality-and-access-drinking-water-all-europeans-2023-01-12_en</t>
  </si>
  <si>
    <t>Output Activity Ratio for EUWTRNPUB000</t>
  </si>
  <si>
    <t>Input Activity Ratio for EUWTRNPUB000</t>
  </si>
  <si>
    <t>Average loss of water in Distribution channels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</si>
</sst>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" fillId="0" borderId="0"/>
  </cellStyleXfs>
  <cellXfs count="20">
    <xf numFmtId="0" fontId="0" fillId="0" borderId="0" xfId="0"/>
    <xf numFmtId="0" fontId="3" fillId="0" borderId="0" xfId="2"/>
    <xf numFmtId="0" fontId="3" fillId="0" borderId="1" xfId="2" applyBorder="1"/>
    <xf numFmtId="0" fontId="3" fillId="0" borderId="1" xfId="2" applyBorder="1" applyAlignment="1">
      <alignment horizontal="center" vertical="center"/>
    </xf>
    <xf numFmtId="0" fontId="3" fillId="0" borderId="0" xfId="2" applyAlignment="1">
      <alignment horizontal="center" vertical="center"/>
    </xf>
    <xf numFmtId="11" fontId="3" fillId="0" borderId="1" xfId="2" applyNumberFormat="1" applyBorder="1" applyAlignment="1">
      <alignment horizontal="center" vertical="center"/>
    </xf>
    <xf numFmtId="11" fontId="3" fillId="0" borderId="0" xfId="2" applyNumberFormat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/>
    <xf numFmtId="2" fontId="3" fillId="0" borderId="1" xfId="2" applyNumberFormat="1" applyBorder="1" applyAlignment="1">
      <alignment horizontal="center" vertical="center"/>
    </xf>
    <xf numFmtId="2" fontId="3" fillId="0" borderId="0" xfId="2" applyNumberFormat="1"/>
    <xf numFmtId="0" fontId="2" fillId="0" borderId="0" xfId="1"/>
    <xf numFmtId="0" fontId="3" fillId="0" borderId="2" xfId="2" applyBorder="1" applyAlignment="1">
      <alignment horizontal="center"/>
    </xf>
    <xf numFmtId="0" fontId="5" fillId="0" borderId="0" xfId="3" applyFont="1"/>
    <xf numFmtId="0" fontId="1" fillId="0" borderId="0" xfId="3"/>
    <xf numFmtId="0" fontId="1" fillId="0" borderId="1" xfId="3" applyBorder="1"/>
    <xf numFmtId="0" fontId="1" fillId="2" borderId="1" xfId="3" applyFill="1" applyBorder="1"/>
    <xf numFmtId="2" fontId="1" fillId="0" borderId="1" xfId="3" applyNumberFormat="1" applyBorder="1"/>
    <xf numFmtId="9" fontId="1" fillId="0" borderId="1" xfId="3" applyNumberFormat="1" applyBorder="1"/>
    <xf numFmtId="10" fontId="3" fillId="0" borderId="0" xfId="2" applyNumberFormat="1"/>
  </cellXfs>
  <cellStyles count="4">
    <cellStyle name="Hyperlink" xfId="1" builtinId="8"/>
    <cellStyle name="Normal" xfId="0" builtinId="0"/>
    <cellStyle name="Normal 2" xfId="2" xr:uid="{D1CE9A25-D6BD-4CB3-8463-8B59C31F0D9E}"/>
    <cellStyle name="Normal 2 2" xfId="3" xr:uid="{74C9F8D2-8F55-4544-A236-B85B2D9AE7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mperiallondon-my.sharepoint.com/personal/vsridhar_ic_ac_uk/Documents/Diamond/Data/Water_Demands.xlsx" TargetMode="External"/><Relationship Id="rId1" Type="http://schemas.openxmlformats.org/officeDocument/2006/relationships/externalLinkPath" Target="Water_Deman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tro"/>
      <sheetName val="Units"/>
      <sheetName val="Summary"/>
      <sheetName val="Structure"/>
      <sheetName val="Sheet 1"/>
      <sheetName val="EU27"/>
      <sheetName val="Population_EU 27 "/>
      <sheetName val="Water_Demand"/>
      <sheetName val="Water treatment"/>
      <sheetName val="ELC pricing"/>
      <sheetName val="Desalination"/>
      <sheetName val="SUR and GWT pumping"/>
      <sheetName val="UDC_PUB and AGR water shares"/>
    </sheetNames>
    <sheetDataSet>
      <sheetData sheetId="0"/>
      <sheetData sheetId="1">
        <row r="2">
          <cell r="B2">
            <v>3.6E-9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ustainabilitybynumbers.com/p/how-much-energy-does-desalinis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iencedirect.com/science/article/pii/S23524847230121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3F40-9877-4C52-9B41-CB5F070474DB}">
  <dimension ref="A2:B8"/>
  <sheetViews>
    <sheetView tabSelected="1" workbookViewId="0">
      <selection activeCell="A8" sqref="A8"/>
    </sheetView>
  </sheetViews>
  <sheetFormatPr defaultRowHeight="15" x14ac:dyDescent="0.25"/>
  <cols>
    <col min="1" max="1" width="48" style="1" customWidth="1"/>
    <col min="2" max="16384" width="9.140625" style="1"/>
  </cols>
  <sheetData>
    <row r="2" spans="1:2" x14ac:dyDescent="0.25">
      <c r="A2" s="1" t="s">
        <v>68</v>
      </c>
      <c r="B2" s="19">
        <v>0.23</v>
      </c>
    </row>
    <row r="3" spans="1:2" x14ac:dyDescent="0.25">
      <c r="A3" s="1" t="s">
        <v>67</v>
      </c>
      <c r="B3" s="10">
        <f>1/(1-B2)</f>
        <v>1.2987012987012987</v>
      </c>
    </row>
    <row r="4" spans="1:2" x14ac:dyDescent="0.25">
      <c r="A4" s="1" t="s">
        <v>66</v>
      </c>
      <c r="B4" s="10">
        <v>1</v>
      </c>
    </row>
    <row r="6" spans="1:2" x14ac:dyDescent="0.25">
      <c r="A6" s="1" t="s">
        <v>9</v>
      </c>
    </row>
    <row r="7" spans="1:2" x14ac:dyDescent="0.25">
      <c r="A7" s="1" t="s">
        <v>65</v>
      </c>
    </row>
    <row r="8" spans="1:2" x14ac:dyDescent="0.25">
      <c r="A8" s="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8E46-95EF-4A07-8726-5C725D9752A8}">
  <dimension ref="A1:D13"/>
  <sheetViews>
    <sheetView workbookViewId="0">
      <selection activeCell="H13" sqref="H13"/>
    </sheetView>
  </sheetViews>
  <sheetFormatPr defaultColWidth="8.85546875" defaultRowHeight="15" x14ac:dyDescent="0.25"/>
  <cols>
    <col min="1" max="1" width="48.28515625" style="14" customWidth="1"/>
    <col min="2" max="16384" width="8.85546875" style="14"/>
  </cols>
  <sheetData>
    <row r="1" spans="1:4" x14ac:dyDescent="0.25">
      <c r="A1" s="13" t="s">
        <v>50</v>
      </c>
    </row>
    <row r="2" spans="1:4" x14ac:dyDescent="0.25">
      <c r="A2" s="11" t="s">
        <v>51</v>
      </c>
    </row>
    <row r="3" spans="1:4" x14ac:dyDescent="0.25">
      <c r="A3" s="14" t="s">
        <v>52</v>
      </c>
    </row>
    <row r="4" spans="1:4" x14ac:dyDescent="0.25">
      <c r="A4" s="14" t="s">
        <v>53</v>
      </c>
    </row>
    <row r="5" spans="1:4" x14ac:dyDescent="0.25">
      <c r="A5" s="15"/>
      <c r="B5" s="15">
        <v>2023</v>
      </c>
      <c r="C5" s="15">
        <v>2018</v>
      </c>
    </row>
    <row r="6" spans="1:4" x14ac:dyDescent="0.25">
      <c r="A6" s="15" t="s">
        <v>54</v>
      </c>
      <c r="B6" s="15">
        <v>1</v>
      </c>
      <c r="C6" s="15">
        <v>0.82</v>
      </c>
      <c r="D6" s="14" t="s">
        <v>55</v>
      </c>
    </row>
    <row r="7" spans="1:4" x14ac:dyDescent="0.25">
      <c r="A7" s="15" t="s">
        <v>56</v>
      </c>
      <c r="B7" s="15">
        <v>0.91</v>
      </c>
      <c r="C7" s="15">
        <f>C6*0.8472</f>
        <v>0.69470399999999988</v>
      </c>
      <c r="D7" s="14" t="s">
        <v>57</v>
      </c>
    </row>
    <row r="8" spans="1:4" x14ac:dyDescent="0.25">
      <c r="A8" s="15" t="s">
        <v>58</v>
      </c>
      <c r="B8" s="15">
        <f>B7*1000</f>
        <v>910</v>
      </c>
      <c r="C8" s="16">
        <f>C7*1000</f>
        <v>694.70399999999984</v>
      </c>
    </row>
    <row r="9" spans="1:4" x14ac:dyDescent="0.25">
      <c r="A9" s="15" t="s">
        <v>59</v>
      </c>
      <c r="B9" s="15">
        <v>3.5</v>
      </c>
      <c r="C9" s="15"/>
    </row>
    <row r="10" spans="1:4" x14ac:dyDescent="0.25">
      <c r="A10" s="15" t="s">
        <v>60</v>
      </c>
      <c r="B10" s="17">
        <f>(B9*[1]Units!B2)*1000000000</f>
        <v>12.6</v>
      </c>
      <c r="C10" s="15"/>
    </row>
    <row r="11" spans="1:4" x14ac:dyDescent="0.25">
      <c r="A11" s="15" t="s">
        <v>61</v>
      </c>
      <c r="B11" s="18">
        <v>0.75</v>
      </c>
      <c r="C11" s="15"/>
    </row>
    <row r="12" spans="1:4" x14ac:dyDescent="0.25">
      <c r="A12" s="15" t="s">
        <v>62</v>
      </c>
      <c r="B12" s="15">
        <f>1/B11</f>
        <v>1.3333333333333333</v>
      </c>
      <c r="C12" s="15"/>
    </row>
    <row r="13" spans="1:4" x14ac:dyDescent="0.25">
      <c r="A13" s="15" t="s">
        <v>63</v>
      </c>
      <c r="B13" s="15">
        <v>1</v>
      </c>
      <c r="C13" s="15"/>
    </row>
  </sheetData>
  <hyperlinks>
    <hyperlink ref="A2" r:id="rId1" location="footnote-9-149042009" xr:uid="{82B99755-E137-4CE2-BC44-1743C95B8B5C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A645-34AF-4872-B275-C21C5169360A}">
  <dimension ref="A1:G48"/>
  <sheetViews>
    <sheetView topLeftCell="A34" workbookViewId="0">
      <selection activeCell="C50" sqref="C50"/>
    </sheetView>
  </sheetViews>
  <sheetFormatPr defaultRowHeight="15" x14ac:dyDescent="0.25"/>
  <cols>
    <col min="1" max="1" width="52.140625" style="1" bestFit="1" customWidth="1"/>
    <col min="2" max="2" width="31.5703125" style="1" bestFit="1" customWidth="1"/>
    <col min="3" max="3" width="21.7109375" style="1" bestFit="1" customWidth="1"/>
    <col min="4" max="4" width="22.7109375" style="1" bestFit="1" customWidth="1"/>
    <col min="5" max="5" width="20.7109375" style="1" bestFit="1" customWidth="1"/>
    <col min="6" max="16384" width="9.140625" style="1"/>
  </cols>
  <sheetData>
    <row r="1" spans="1:7" x14ac:dyDescent="0.25">
      <c r="C1" s="2" t="s">
        <v>0</v>
      </c>
      <c r="D1" s="3" t="s">
        <v>1</v>
      </c>
      <c r="E1" s="3" t="s">
        <v>2</v>
      </c>
      <c r="F1" s="4"/>
      <c r="G1" s="4"/>
    </row>
    <row r="2" spans="1:7" x14ac:dyDescent="0.25">
      <c r="C2" s="2" t="s">
        <v>3</v>
      </c>
      <c r="D2" s="3">
        <v>1</v>
      </c>
      <c r="E2" s="5">
        <v>3.6E-9</v>
      </c>
      <c r="F2" s="4"/>
      <c r="G2" s="6"/>
    </row>
    <row r="4" spans="1:7" x14ac:dyDescent="0.25">
      <c r="A4" s="2" t="s">
        <v>4</v>
      </c>
      <c r="B4" s="7" t="s">
        <v>5</v>
      </c>
      <c r="C4" s="7" t="s">
        <v>6</v>
      </c>
    </row>
    <row r="5" spans="1:7" x14ac:dyDescent="0.25">
      <c r="A5" s="8" t="s">
        <v>7</v>
      </c>
      <c r="B5" s="3">
        <f>AVERAGE(B20:B47)</f>
        <v>0.77733333333333332</v>
      </c>
      <c r="C5" s="9">
        <f>$B5*$E$2*1000000000</f>
        <v>2.7983999999999996</v>
      </c>
      <c r="D5" s="10"/>
    </row>
    <row r="6" spans="1:7" x14ac:dyDescent="0.25">
      <c r="A6" s="8" t="s">
        <v>8</v>
      </c>
      <c r="B6" s="3">
        <f>AVERAGE(C20:C48)</f>
        <v>0.38784615384615378</v>
      </c>
      <c r="C6" s="9">
        <f>$B6*$E$2*1000000000</f>
        <v>1.3962461538461537</v>
      </c>
    </row>
    <row r="11" spans="1:7" x14ac:dyDescent="0.25">
      <c r="A11" s="1" t="s">
        <v>9</v>
      </c>
    </row>
    <row r="12" spans="1:7" x14ac:dyDescent="0.25">
      <c r="A12" s="11" t="s">
        <v>10</v>
      </c>
    </row>
    <row r="13" spans="1:7" x14ac:dyDescent="0.25">
      <c r="A13" s="1" t="s">
        <v>11</v>
      </c>
    </row>
    <row r="14" spans="1:7" x14ac:dyDescent="0.25">
      <c r="A14" s="1" t="s">
        <v>12</v>
      </c>
    </row>
    <row r="15" spans="1:7" x14ac:dyDescent="0.25">
      <c r="A15" s="1" t="s">
        <v>13</v>
      </c>
    </row>
    <row r="16" spans="1:7" x14ac:dyDescent="0.25">
      <c r="A16" s="1" t="s">
        <v>14</v>
      </c>
    </row>
    <row r="18" spans="1:5" x14ac:dyDescent="0.25">
      <c r="B18" s="12" t="s">
        <v>15</v>
      </c>
      <c r="C18" s="12"/>
      <c r="D18" s="12"/>
      <c r="E18" s="12"/>
    </row>
    <row r="19" spans="1:5" x14ac:dyDescent="0.25">
      <c r="A19" s="2" t="s">
        <v>49</v>
      </c>
      <c r="B19" s="2" t="s">
        <v>16</v>
      </c>
      <c r="C19" s="2" t="s">
        <v>17</v>
      </c>
      <c r="D19" s="2" t="s">
        <v>18</v>
      </c>
      <c r="E19" s="2" t="s">
        <v>19</v>
      </c>
    </row>
    <row r="20" spans="1:5" x14ac:dyDescent="0.25">
      <c r="A20" s="2" t="s">
        <v>20</v>
      </c>
      <c r="B20" s="2">
        <v>0.47</v>
      </c>
      <c r="C20" s="2"/>
      <c r="D20" s="2"/>
      <c r="E20" s="2">
        <v>0.54</v>
      </c>
    </row>
    <row r="21" spans="1:5" x14ac:dyDescent="0.25">
      <c r="A21" s="2" t="s">
        <v>21</v>
      </c>
      <c r="B21" s="2"/>
      <c r="C21" s="2"/>
      <c r="D21" s="2"/>
      <c r="E21" s="2"/>
    </row>
    <row r="22" spans="1:5" x14ac:dyDescent="0.25">
      <c r="A22" s="2" t="s">
        <v>22</v>
      </c>
      <c r="B22" s="2"/>
      <c r="C22" s="2"/>
      <c r="D22" s="2"/>
      <c r="E22" s="2"/>
    </row>
    <row r="23" spans="1:5" x14ac:dyDescent="0.25">
      <c r="A23" s="2" t="s">
        <v>23</v>
      </c>
      <c r="B23" s="2">
        <v>1.21</v>
      </c>
      <c r="C23" s="2">
        <v>0.29799999999999999</v>
      </c>
      <c r="D23" s="2">
        <v>0.13</v>
      </c>
      <c r="E23" s="2"/>
    </row>
    <row r="24" spans="1:5" x14ac:dyDescent="0.25">
      <c r="A24" s="2" t="s">
        <v>24</v>
      </c>
      <c r="B24" s="2"/>
      <c r="C24" s="2">
        <v>0.32</v>
      </c>
      <c r="D24" s="2">
        <v>0.18</v>
      </c>
      <c r="E24" s="2"/>
    </row>
    <row r="25" spans="1:5" x14ac:dyDescent="0.25">
      <c r="A25" s="2" t="s">
        <v>25</v>
      </c>
      <c r="B25" s="2"/>
      <c r="C25" s="2"/>
      <c r="D25" s="2"/>
      <c r="E25" s="2"/>
    </row>
    <row r="26" spans="1:5" x14ac:dyDescent="0.25">
      <c r="A26" s="2" t="s">
        <v>26</v>
      </c>
      <c r="B26" s="2">
        <v>1.05</v>
      </c>
      <c r="C26" s="2">
        <v>0.46</v>
      </c>
      <c r="D26" s="2">
        <v>0.19</v>
      </c>
      <c r="E26" s="2"/>
    </row>
    <row r="27" spans="1:5" x14ac:dyDescent="0.25">
      <c r="A27" s="2" t="s">
        <v>27</v>
      </c>
      <c r="B27" s="2">
        <v>0.627</v>
      </c>
      <c r="C27" s="2">
        <v>0.245</v>
      </c>
      <c r="D27" s="2">
        <v>0.68500000000000005</v>
      </c>
      <c r="E27" s="2"/>
    </row>
    <row r="28" spans="1:5" x14ac:dyDescent="0.25">
      <c r="A28" s="2" t="s">
        <v>28</v>
      </c>
      <c r="B28" s="2"/>
      <c r="C28" s="2"/>
      <c r="D28" s="2"/>
      <c r="E28" s="2"/>
    </row>
    <row r="29" spans="1:5" x14ac:dyDescent="0.25">
      <c r="A29" s="2" t="s">
        <v>29</v>
      </c>
      <c r="B29" s="2"/>
      <c r="C29" s="2"/>
      <c r="D29" s="2"/>
      <c r="E29" s="2"/>
    </row>
    <row r="30" spans="1:5" x14ac:dyDescent="0.25">
      <c r="A30" s="2" t="s">
        <v>30</v>
      </c>
      <c r="B30" s="2"/>
      <c r="C30" s="2"/>
      <c r="D30" s="2"/>
      <c r="E30" s="2"/>
    </row>
    <row r="31" spans="1:5" x14ac:dyDescent="0.25">
      <c r="A31" s="2" t="s">
        <v>31</v>
      </c>
      <c r="B31" s="2">
        <v>0.8</v>
      </c>
      <c r="C31" s="2">
        <v>0.6</v>
      </c>
      <c r="D31" s="2">
        <v>0.1</v>
      </c>
      <c r="E31" s="2"/>
    </row>
    <row r="32" spans="1:5" x14ac:dyDescent="0.25">
      <c r="A32" s="2" t="s">
        <v>32</v>
      </c>
      <c r="B32" s="2"/>
      <c r="C32" s="2"/>
      <c r="D32" s="2"/>
      <c r="E32" s="2"/>
    </row>
    <row r="33" spans="1:5" x14ac:dyDescent="0.25">
      <c r="A33" s="2" t="s">
        <v>33</v>
      </c>
      <c r="B33" s="2"/>
      <c r="C33" s="2"/>
      <c r="D33" s="2"/>
      <c r="E33" s="2"/>
    </row>
    <row r="34" spans="1:5" x14ac:dyDescent="0.25">
      <c r="A34" s="2" t="s">
        <v>34</v>
      </c>
      <c r="B34" s="2"/>
      <c r="C34" s="2">
        <v>0.03</v>
      </c>
      <c r="D34" s="2">
        <v>0.3</v>
      </c>
      <c r="E34" s="2"/>
    </row>
    <row r="35" spans="1:5" x14ac:dyDescent="0.25">
      <c r="A35" s="2" t="s">
        <v>35</v>
      </c>
      <c r="B35" s="2">
        <v>0.43</v>
      </c>
      <c r="C35" s="2">
        <v>0.22</v>
      </c>
      <c r="D35" s="2">
        <v>0.67</v>
      </c>
      <c r="E35" s="2"/>
    </row>
    <row r="36" spans="1:5" x14ac:dyDescent="0.25">
      <c r="A36" s="2" t="s">
        <v>36</v>
      </c>
      <c r="B36" s="2">
        <v>0.252</v>
      </c>
      <c r="C36" s="2">
        <v>0.54</v>
      </c>
      <c r="D36" s="2">
        <v>0.54</v>
      </c>
      <c r="E36" s="2"/>
    </row>
    <row r="37" spans="1:5" x14ac:dyDescent="0.25">
      <c r="A37" s="2" t="s">
        <v>37</v>
      </c>
      <c r="B37" s="2"/>
      <c r="C37" s="2"/>
      <c r="D37" s="2"/>
      <c r="E37" s="2">
        <v>0.46</v>
      </c>
    </row>
    <row r="38" spans="1:5" x14ac:dyDescent="0.25">
      <c r="A38" s="2" t="s">
        <v>38</v>
      </c>
      <c r="B38" s="2"/>
      <c r="C38" s="2">
        <v>0.63</v>
      </c>
      <c r="D38" s="2">
        <v>0.1</v>
      </c>
      <c r="E38" s="2"/>
    </row>
    <row r="39" spans="1:5" x14ac:dyDescent="0.25">
      <c r="A39" s="2" t="s">
        <v>39</v>
      </c>
      <c r="B39" s="2">
        <v>0.6</v>
      </c>
      <c r="C39" s="2">
        <v>0.38</v>
      </c>
      <c r="D39" s="2">
        <v>0.2</v>
      </c>
      <c r="E39" s="2"/>
    </row>
    <row r="40" spans="1:5" x14ac:dyDescent="0.25">
      <c r="A40" s="2" t="s">
        <v>40</v>
      </c>
      <c r="B40" s="2"/>
      <c r="C40" s="2"/>
      <c r="D40" s="2"/>
      <c r="E40" s="2"/>
    </row>
    <row r="41" spans="1:5" x14ac:dyDescent="0.25">
      <c r="A41" s="2" t="s">
        <v>41</v>
      </c>
      <c r="B41" s="2">
        <v>1.44</v>
      </c>
      <c r="C41" s="2">
        <v>0.35</v>
      </c>
      <c r="D41" s="2">
        <v>0.05</v>
      </c>
      <c r="E41" s="2"/>
    </row>
    <row r="42" spans="1:5" x14ac:dyDescent="0.25">
      <c r="A42" s="2" t="s">
        <v>42</v>
      </c>
      <c r="B42" s="2"/>
      <c r="C42" s="2"/>
      <c r="D42" s="2"/>
      <c r="E42" s="2"/>
    </row>
    <row r="43" spans="1:5" x14ac:dyDescent="0.25">
      <c r="A43" s="2" t="s">
        <v>43</v>
      </c>
      <c r="B43" s="2"/>
      <c r="C43" s="2"/>
      <c r="D43" s="2"/>
      <c r="E43" s="2"/>
    </row>
    <row r="44" spans="1:5" x14ac:dyDescent="0.25">
      <c r="A44" s="2" t="s">
        <v>44</v>
      </c>
      <c r="B44" s="2">
        <v>0.55000000000000004</v>
      </c>
      <c r="C44" s="2"/>
      <c r="D44" s="2"/>
      <c r="E44" s="2">
        <v>0.39</v>
      </c>
    </row>
    <row r="45" spans="1:5" x14ac:dyDescent="0.25">
      <c r="A45" s="2" t="s">
        <v>45</v>
      </c>
      <c r="B45" s="2">
        <v>1.079</v>
      </c>
      <c r="C45" s="2">
        <v>0.56000000000000005</v>
      </c>
      <c r="D45" s="2">
        <v>0.23699999999999999</v>
      </c>
      <c r="E45" s="2"/>
    </row>
    <row r="46" spans="1:5" x14ac:dyDescent="0.25">
      <c r="A46" s="2" t="s">
        <v>46</v>
      </c>
      <c r="B46" s="2"/>
      <c r="C46" s="2"/>
      <c r="D46" s="2"/>
      <c r="E46" s="2"/>
    </row>
    <row r="47" spans="1:5" x14ac:dyDescent="0.25">
      <c r="A47" s="2" t="s">
        <v>47</v>
      </c>
      <c r="B47" s="2">
        <v>0.82</v>
      </c>
      <c r="C47" s="2">
        <v>0.40899999999999997</v>
      </c>
      <c r="D47" s="2">
        <v>0.154</v>
      </c>
      <c r="E47" s="2"/>
    </row>
    <row r="48" spans="1:5" x14ac:dyDescent="0.25">
      <c r="A48" s="2" t="s">
        <v>48</v>
      </c>
      <c r="B48" s="2"/>
      <c r="C48" s="2"/>
      <c r="D48" s="2"/>
      <c r="E48" s="2"/>
    </row>
  </sheetData>
  <mergeCells count="1">
    <mergeCell ref="B18:E18"/>
  </mergeCells>
  <hyperlinks>
    <hyperlink ref="A12" r:id="rId1" xr:uid="{1902A3D0-58B3-4704-AB0F-A774F07335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Water T&amp;D</vt:lpstr>
      <vt:lpstr>Desalination</vt:lpstr>
      <vt:lpstr>Water 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Sridharan, Vignesh</dc:creator>
  <cp:lastModifiedBy>Sridharan, Vignesh</cp:lastModifiedBy>
  <dcterms:created xsi:type="dcterms:W3CDTF">2015-06-05T18:17:20Z</dcterms:created>
  <dcterms:modified xsi:type="dcterms:W3CDTF">2025-11-25T18:15:48Z</dcterms:modified>
</cp:coreProperties>
</file>