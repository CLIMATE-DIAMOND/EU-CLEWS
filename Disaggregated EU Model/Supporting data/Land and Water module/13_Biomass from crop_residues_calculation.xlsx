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9C63FAC8-6A5B-45DD-ACBE-8F54946D3006}" xr6:coauthVersionLast="47" xr6:coauthVersionMax="47" xr10:uidLastSave="{00000000-0000-0000-0000-000000000000}"/>
  <bookViews>
    <workbookView xWindow="30990" yWindow="2085" windowWidth="21600" windowHeight="11205" firstSheet="1" activeTab="1" xr2:uid="{36DE368B-9E8B-4398-9E24-6B6C196D58F6}"/>
  </bookViews>
  <sheets>
    <sheet name="crop_codes" sheetId="4" state="hidden" r:id="rId1"/>
    <sheet name="Crop_residue_biomass potential" sheetId="7" r:id="rId2"/>
    <sheet name="crop_residues_BEPMAT" sheetId="1" r:id="rId3"/>
    <sheet name="Intermediate calculation" sheetId="2" state="hidden" r:id="rId4"/>
    <sheet name="Non BEPMAT source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2" i="7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2" i="4"/>
  <c r="R10" i="4"/>
  <c r="R8" i="4"/>
  <c r="R6" i="4"/>
  <c r="E7" i="8"/>
  <c r="E6" i="8"/>
  <c r="E5" i="8"/>
  <c r="E4" i="8"/>
  <c r="E3" i="8"/>
  <c r="E2" i="8"/>
  <c r="R11" i="4"/>
  <c r="R13" i="4"/>
  <c r="R12" i="4"/>
  <c r="R2" i="4"/>
  <c r="R7" i="4"/>
  <c r="R5" i="4"/>
  <c r="R3" i="4"/>
  <c r="R31" i="4"/>
  <c r="R20" i="4"/>
  <c r="R19" i="4"/>
  <c r="R25" i="4"/>
  <c r="R17" i="4"/>
  <c r="R16" i="4"/>
  <c r="R14" i="4"/>
  <c r="R4" i="4"/>
  <c r="R9" i="4"/>
  <c r="R15" i="4"/>
  <c r="R18" i="4"/>
  <c r="R21" i="4"/>
  <c r="R22" i="4"/>
  <c r="R23" i="4"/>
  <c r="R24" i="4"/>
  <c r="R27" i="4"/>
  <c r="R28" i="4"/>
  <c r="R29" i="4"/>
  <c r="R32" i="4"/>
  <c r="R33" i="4"/>
  <c r="R34" i="4"/>
  <c r="R36" i="4"/>
  <c r="R30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2" i="4"/>
  <c r="B4" i="2"/>
  <c r="B5" i="2"/>
  <c r="B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C32" i="2" l="1"/>
  <c r="F5" i="1"/>
  <c r="F6" i="1"/>
  <c r="F7" i="1"/>
  <c r="F8" i="1"/>
  <c r="F9" i="1"/>
  <c r="C4" i="2" s="1"/>
  <c r="F10" i="1"/>
  <c r="F11" i="1"/>
  <c r="C5" i="2" s="1"/>
  <c r="F12" i="1"/>
  <c r="F13" i="1"/>
  <c r="C6" i="2" s="1"/>
  <c r="F14" i="1"/>
  <c r="F15" i="1"/>
  <c r="C7" i="2" s="1"/>
  <c r="F16" i="1"/>
  <c r="F17" i="1"/>
  <c r="C8" i="2" s="1"/>
  <c r="F18" i="1"/>
  <c r="C9" i="2" s="1"/>
  <c r="F19" i="1"/>
  <c r="C10" i="2" s="1"/>
  <c r="F20" i="1"/>
  <c r="C11" i="2" s="1"/>
  <c r="F21" i="1"/>
  <c r="C12" i="2" s="1"/>
  <c r="F22" i="1"/>
  <c r="F23" i="1"/>
  <c r="F24" i="1"/>
  <c r="F25" i="1"/>
  <c r="F26" i="1"/>
  <c r="F27" i="1"/>
  <c r="F28" i="1"/>
  <c r="C14" i="2" s="1"/>
  <c r="F29" i="1"/>
  <c r="C15" i="2" s="1"/>
  <c r="F30" i="1"/>
  <c r="F31" i="1"/>
  <c r="C16" i="2" s="1"/>
  <c r="F32" i="1"/>
  <c r="F33" i="1"/>
  <c r="F34" i="1"/>
  <c r="F35" i="1"/>
  <c r="F36" i="1"/>
  <c r="F37" i="1"/>
  <c r="C18" i="2" s="1"/>
  <c r="F38" i="1"/>
  <c r="F39" i="1"/>
  <c r="C19" i="2" s="1"/>
  <c r="F40" i="1"/>
  <c r="C20" i="2" s="1"/>
  <c r="F41" i="1"/>
  <c r="C21" i="2" s="1"/>
  <c r="F42" i="1"/>
  <c r="F43" i="1"/>
  <c r="F44" i="1"/>
  <c r="C23" i="2" s="1"/>
  <c r="F45" i="1"/>
  <c r="C24" i="2" s="1"/>
  <c r="F46" i="1"/>
  <c r="C25" i="2" s="1"/>
  <c r="F47" i="1"/>
  <c r="C26" i="2" s="1"/>
  <c r="F48" i="1"/>
  <c r="C27" i="2" s="1"/>
  <c r="F49" i="1"/>
  <c r="C28" i="2" s="1"/>
  <c r="F50" i="1"/>
  <c r="F51" i="1"/>
  <c r="F52" i="1"/>
  <c r="C30" i="2" s="1"/>
  <c r="F53" i="1"/>
  <c r="C31" i="2" s="1"/>
  <c r="F54" i="1"/>
  <c r="F55" i="1"/>
  <c r="C33" i="2" s="1"/>
  <c r="F56" i="1"/>
  <c r="C34" i="2" s="1"/>
  <c r="F57" i="1"/>
  <c r="C35" i="2" s="1"/>
  <c r="F58" i="1"/>
  <c r="C36" i="2" s="1"/>
  <c r="F59" i="1"/>
  <c r="C37" i="2" s="1"/>
  <c r="F60" i="1"/>
  <c r="C38" i="2" s="1"/>
  <c r="F61" i="1"/>
  <c r="C39" i="2" s="1"/>
  <c r="F4" i="1"/>
  <c r="C2" i="2" s="1"/>
  <c r="C3" i="2" l="1"/>
  <c r="C17" i="2"/>
  <c r="C29" i="2"/>
  <c r="C22" i="2"/>
  <c r="C13" i="2"/>
</calcChain>
</file>

<file path=xl/sharedStrings.xml><?xml version="1.0" encoding="utf-8"?>
<sst xmlns="http://schemas.openxmlformats.org/spreadsheetml/2006/main" count="681" uniqueCount="327">
  <si>
    <t>Crop</t>
  </si>
  <si>
    <t>Residue Type</t>
  </si>
  <si>
    <t>RPR</t>
  </si>
  <si>
    <t>SAF</t>
  </si>
  <si>
    <t>LHV (MJ/kg)</t>
  </si>
  <si>
    <t>Maize</t>
  </si>
  <si>
    <t>Stalk</t>
  </si>
  <si>
    <t>Cob</t>
  </si>
  <si>
    <t>Husk</t>
  </si>
  <si>
    <t>Rice</t>
  </si>
  <si>
    <t>Straw</t>
  </si>
  <si>
    <t>Sorghum</t>
  </si>
  <si>
    <t>Millet</t>
  </si>
  <si>
    <t>Wheat</t>
  </si>
  <si>
    <t>Cassava</t>
  </si>
  <si>
    <t>Peelings</t>
  </si>
  <si>
    <t>Cocoyam</t>
  </si>
  <si>
    <t>Sweet potato</t>
  </si>
  <si>
    <t>Yam</t>
  </si>
  <si>
    <t>Potatoes</t>
  </si>
  <si>
    <t>Groundnuts</t>
  </si>
  <si>
    <t>Shells/husks</t>
  </si>
  <si>
    <t>Palm oil</t>
  </si>
  <si>
    <t>Fiber</t>
  </si>
  <si>
    <t>Shells</t>
  </si>
  <si>
    <t>Fronds</t>
  </si>
  <si>
    <t>Empty bunches</t>
  </si>
  <si>
    <t>Male bunches</t>
  </si>
  <si>
    <t>Beans(In Pulses)</t>
  </si>
  <si>
    <t>Soybean</t>
  </si>
  <si>
    <t>Pods</t>
  </si>
  <si>
    <t>Banana</t>
  </si>
  <si>
    <t>leaves</t>
  </si>
  <si>
    <t>stem</t>
  </si>
  <si>
    <t>peels</t>
  </si>
  <si>
    <t>Plantain(With Bananas)</t>
  </si>
  <si>
    <t>Sugar Cane</t>
  </si>
  <si>
    <t>baggase</t>
  </si>
  <si>
    <t>tops/leaves</t>
  </si>
  <si>
    <t>Coffee</t>
  </si>
  <si>
    <t>husk</t>
  </si>
  <si>
    <t>Cocoa</t>
  </si>
  <si>
    <t>pods/husks</t>
  </si>
  <si>
    <t>Cotton</t>
  </si>
  <si>
    <t>stalk</t>
  </si>
  <si>
    <t>Barley</t>
  </si>
  <si>
    <t>straw</t>
  </si>
  <si>
    <t>Tobacco</t>
  </si>
  <si>
    <t>Sunflower</t>
  </si>
  <si>
    <t>Sugarbeet</t>
  </si>
  <si>
    <t>residue</t>
  </si>
  <si>
    <t>Rapeseed</t>
  </si>
  <si>
    <t>Olives</t>
  </si>
  <si>
    <t>cake</t>
  </si>
  <si>
    <t>Lettuce</t>
  </si>
  <si>
    <t>waste</t>
  </si>
  <si>
    <t>Tomatoes</t>
  </si>
  <si>
    <t>Green peppers</t>
  </si>
  <si>
    <t>residues</t>
  </si>
  <si>
    <t>Red Peppers</t>
  </si>
  <si>
    <t>Other Cereals</t>
  </si>
  <si>
    <t>Rest of Crops</t>
  </si>
  <si>
    <t>Fodder Crops</t>
  </si>
  <si>
    <t>Tur</t>
  </si>
  <si>
    <t>Lentils</t>
  </si>
  <si>
    <t>Gaur</t>
  </si>
  <si>
    <t>Gram</t>
  </si>
  <si>
    <t>Fruits and Nuts</t>
  </si>
  <si>
    <t>pruning</t>
  </si>
  <si>
    <t>BRL</t>
  </si>
  <si>
    <t>GRP</t>
  </si>
  <si>
    <t>MAI</t>
  </si>
  <si>
    <t>OTH</t>
  </si>
  <si>
    <t>OTO</t>
  </si>
  <si>
    <t>RAP</t>
  </si>
  <si>
    <t>RYE</t>
  </si>
  <si>
    <t>SOY</t>
  </si>
  <si>
    <t>SUG</t>
  </si>
  <si>
    <t>WHE</t>
  </si>
  <si>
    <t>FLX</t>
  </si>
  <si>
    <t>LET</t>
  </si>
  <si>
    <t>PEA</t>
  </si>
  <si>
    <t>PER</t>
  </si>
  <si>
    <t>POT</t>
  </si>
  <si>
    <t>OTP</t>
  </si>
  <si>
    <t>SUN</t>
  </si>
  <si>
    <t>ALM</t>
  </si>
  <si>
    <t>OLI</t>
  </si>
  <si>
    <t>ORA</t>
  </si>
  <si>
    <t>TAN</t>
  </si>
  <si>
    <t>OAT</t>
  </si>
  <si>
    <t>BRO</t>
  </si>
  <si>
    <t>CER</t>
  </si>
  <si>
    <t>SEE</t>
  </si>
  <si>
    <t>MIX</t>
  </si>
  <si>
    <t>GRE</t>
  </si>
  <si>
    <t>APP</t>
  </si>
  <si>
    <t>CAB</t>
  </si>
  <si>
    <t>CAR</t>
  </si>
  <si>
    <t>CAU</t>
  </si>
  <si>
    <t>RIC</t>
  </si>
  <si>
    <t>ONI</t>
  </si>
  <si>
    <t>CHE</t>
  </si>
  <si>
    <t>OTN</t>
  </si>
  <si>
    <t>Weighted LHV</t>
  </si>
  <si>
    <t>Energy content (MJ/kg of residue)</t>
  </si>
  <si>
    <t>Code</t>
  </si>
  <si>
    <t>GAEZ_name</t>
  </si>
  <si>
    <t>Crop Name</t>
  </si>
  <si>
    <t>Crop Code</t>
  </si>
  <si>
    <t>Countries</t>
  </si>
  <si>
    <t>Alfalfa</t>
  </si>
  <si>
    <t>ALF</t>
  </si>
  <si>
    <t>Almonds, in shell</t>
  </si>
  <si>
    <t>Cyprus, Portugal, Spain</t>
  </si>
  <si>
    <t>Arecanut</t>
  </si>
  <si>
    <t>ARE</t>
  </si>
  <si>
    <t>Apples</t>
  </si>
  <si>
    <t>Hungary, Luxembourg, Slovenia</t>
  </si>
  <si>
    <t>Bananas</t>
  </si>
  <si>
    <t>BAN</t>
  </si>
  <si>
    <t>Austria, Belgium, Bulgaria, Croatia, Cyprus, Czechia, Denmark, Estonia, Finland, France , Germany, Greece, Hungary, Ireland , Italy, Latvia, Lithuania, Luxembourg, Netherlands, Poland, Romania, Slovakia, Slovenia, Spain, Sweden</t>
  </si>
  <si>
    <t>Broad beans and horse beans, dry</t>
  </si>
  <si>
    <t>Denmark, Estonia, Finland, Ireland , Latvia, Lithuania, Sweden</t>
  </si>
  <si>
    <t>Beans, dry</t>
  </si>
  <si>
    <t>Phaseolus bean</t>
  </si>
  <si>
    <t>BEA</t>
  </si>
  <si>
    <t>Buckwheat</t>
  </si>
  <si>
    <t>BUC</t>
  </si>
  <si>
    <t>Lithuania</t>
  </si>
  <si>
    <t>BMX</t>
  </si>
  <si>
    <t>Cabbages</t>
  </si>
  <si>
    <t xml:space="preserve">Ireland </t>
  </si>
  <si>
    <t>Carrots and turnips</t>
  </si>
  <si>
    <t>Ireland , Netherlands</t>
  </si>
  <si>
    <t>Cabbage</t>
  </si>
  <si>
    <t>Cauliflowers and broccoli</t>
  </si>
  <si>
    <t>Cardamom</t>
  </si>
  <si>
    <t>CRD</t>
  </si>
  <si>
    <t>Cereals n.e.c.</t>
  </si>
  <si>
    <t>Latvia, Lithuania, Slovenia</t>
  </si>
  <si>
    <t>Carrot</t>
  </si>
  <si>
    <t>Flax, raw or retted</t>
  </si>
  <si>
    <t>Belgium</t>
  </si>
  <si>
    <t>Cassava, fresh</t>
  </si>
  <si>
    <t>CAS</t>
  </si>
  <si>
    <t>Green corn (maize)</t>
  </si>
  <si>
    <t>Croatia</t>
  </si>
  <si>
    <t>Cereals</t>
  </si>
  <si>
    <t>Grapes</t>
  </si>
  <si>
    <t>Austria, Bulgaria, Croatia, Cyprus, France , Germany, Greece, Hungary, Italy, Luxembourg, Malta, Portugal, Romania, Slovenia, Spain</t>
  </si>
  <si>
    <t>Chick peas, dry</t>
  </si>
  <si>
    <t>Chickpea</t>
  </si>
  <si>
    <t>CHI</t>
  </si>
  <si>
    <t>Lemons and limes</t>
  </si>
  <si>
    <t>LEM</t>
  </si>
  <si>
    <t>Cyprus</t>
  </si>
  <si>
    <t>Cocoa beans</t>
  </si>
  <si>
    <t>COC</t>
  </si>
  <si>
    <t>Lettuce and chicory</t>
  </si>
  <si>
    <t>Belgium, Netherlands</t>
  </si>
  <si>
    <t>Coconuts, in shell</t>
  </si>
  <si>
    <t>Coconut</t>
  </si>
  <si>
    <t>CON</t>
  </si>
  <si>
    <t>Maize (corn)</t>
  </si>
  <si>
    <t>Austria, Belgium, Bulgaria, Croatia, Czechia, France , Germany, Greece, Hungary, Italy, Netherlands, Poland, Portugal, Romania, Slovakia, Slovenia, Spain</t>
  </si>
  <si>
    <t>Coffee, green</t>
  </si>
  <si>
    <t>COF</t>
  </si>
  <si>
    <t>Mixed grain</t>
  </si>
  <si>
    <t>Denmark, Finland, Poland</t>
  </si>
  <si>
    <t>Cow peas, dry</t>
  </si>
  <si>
    <t>Cowpea</t>
  </si>
  <si>
    <t>COW</t>
  </si>
  <si>
    <t>Minor Oil Seeds</t>
  </si>
  <si>
    <t>MOS</t>
  </si>
  <si>
    <t>Austria</t>
  </si>
  <si>
    <t>Dryland rice</t>
  </si>
  <si>
    <t>RCD</t>
  </si>
  <si>
    <t>Oats</t>
  </si>
  <si>
    <t>Czechia, Denmark, Estonia, Finland, Germany, Greece, Ireland , Italy, Latvia, Lithuania, Luxembourg, Poland, Portugal, Romania, Slovakia, Spain, Sweden</t>
  </si>
  <si>
    <t>Flax, processed but not spun</t>
  </si>
  <si>
    <t>Flax</t>
  </si>
  <si>
    <t>FLA</t>
  </si>
  <si>
    <t>Croatia, Cyprus, Greece, Italy, Portugal, Spain</t>
  </si>
  <si>
    <t>Foxtail millet</t>
  </si>
  <si>
    <t>MTF</t>
  </si>
  <si>
    <t>Onions and shallots, dry (excluding dehydrated)</t>
  </si>
  <si>
    <t>Netherlands</t>
  </si>
  <si>
    <t>Fruits</t>
  </si>
  <si>
    <t>FRU</t>
  </si>
  <si>
    <t>Oranges</t>
  </si>
  <si>
    <t>GRM</t>
  </si>
  <si>
    <t>All other crops</t>
  </si>
  <si>
    <t>Austria, Belgium, Bulgaria, Croatia, Cyprus, Czechia, Denmark, Estonia, Finland, France , Germany, Greece, Hungary, Ireland , Italy, Latvia, Lithuania, Luxembourg, Malta, Netherlands, Poland, Portugal, Romania, Slovakia, Slovenia, Spain, Sweden</t>
  </si>
  <si>
    <t>Groundnuts, excluding shelled</t>
  </si>
  <si>
    <t>Groundnut</t>
  </si>
  <si>
    <t>GRO</t>
  </si>
  <si>
    <t>Chestnuts, in shell</t>
  </si>
  <si>
    <t>Portugal</t>
  </si>
  <si>
    <t>Jatropha</t>
  </si>
  <si>
    <t>JAT</t>
  </si>
  <si>
    <t>Other nuts (excluding wild edible nuts and groundnuts), in shell, n.e.c.</t>
  </si>
  <si>
    <t>MZE</t>
  </si>
  <si>
    <t>Other oil seeds, n.e.c.</t>
  </si>
  <si>
    <t>Czechia, Estonia, Slovenia</t>
  </si>
  <si>
    <t>Miscanthus</t>
  </si>
  <si>
    <t>MIS</t>
  </si>
  <si>
    <t>Other pulses n.e.c.</t>
  </si>
  <si>
    <t>Bulgaria, Greece, Spain</t>
  </si>
  <si>
    <t>Oat</t>
  </si>
  <si>
    <t>Peas, dry</t>
  </si>
  <si>
    <t>Bulgaria, Czechia, Estonia, France , Latvia, Lithuania, Luxembourg, Sweden</t>
  </si>
  <si>
    <t>Oil palm fruit</t>
  </si>
  <si>
    <t>Oil palm</t>
  </si>
  <si>
    <t>OIL</t>
  </si>
  <si>
    <t>Peas, green</t>
  </si>
  <si>
    <t>Olive</t>
  </si>
  <si>
    <t>Pears</t>
  </si>
  <si>
    <t>Onions and shallots</t>
  </si>
  <si>
    <t>Onion</t>
  </si>
  <si>
    <t>Belgium, Bulgaria, Cyprus, Denmark, Estonia, Finland, France , Germany, Ireland , Latvia, Luxembourg, Malta, Netherlands, Poland, Romania, Slovenia, Sweden</t>
  </si>
  <si>
    <t>Other citrus fruit, n.e.c.</t>
  </si>
  <si>
    <t>Citrus</t>
  </si>
  <si>
    <t>CIT</t>
  </si>
  <si>
    <t>Rape or colza seed</t>
  </si>
  <si>
    <t>Austria, Belgium, Bulgaria, Croatia, Czechia, Denmark, Estonia, Finland, France , Germany, Hungary, Ireland , Latvia, Lithuania, Luxembourg, Poland, Romania, Slovakia, Slovenia, Sweden</t>
  </si>
  <si>
    <t>Other sugar crops n.e.c.</t>
  </si>
  <si>
    <t>Sugar beet</t>
  </si>
  <si>
    <t>Italy, Portugal</t>
  </si>
  <si>
    <t>Pearl millet</t>
  </si>
  <si>
    <t>MTP</t>
  </si>
  <si>
    <t>Rye</t>
  </si>
  <si>
    <t>Austria, Czechia, Denmark, Estonia, Finland, Germany, Hungary, Latvia, Lithuania, Luxembourg, Poland, Slovakia, Sweden</t>
  </si>
  <si>
    <t>Dry pea</t>
  </si>
  <si>
    <t>Seed cotton, unginned</t>
  </si>
  <si>
    <t>Greece</t>
  </si>
  <si>
    <t>Pigeon peas, dry</t>
  </si>
  <si>
    <t>Pigeonpea</t>
  </si>
  <si>
    <t>PIG</t>
  </si>
  <si>
    <t>Shrubland</t>
  </si>
  <si>
    <t>SHR</t>
  </si>
  <si>
    <t>Malta</t>
  </si>
  <si>
    <t>White potato</t>
  </si>
  <si>
    <t>PTW</t>
  </si>
  <si>
    <t>Soya beans</t>
  </si>
  <si>
    <t>Austria, Croatia, Hungary, Italy, Romania, Slovakia</t>
  </si>
  <si>
    <t>Strawberries</t>
  </si>
  <si>
    <t>STR</t>
  </si>
  <si>
    <t>Finland</t>
  </si>
  <si>
    <t>Reed</t>
  </si>
  <si>
    <t>Reed canary grass</t>
  </si>
  <si>
    <t>REE</t>
  </si>
  <si>
    <t>Austria, Belgium, Czechia, Denmark, France , Germany, Netherlands, Poland, Slovakia, Sweden</t>
  </si>
  <si>
    <t>Rubber</t>
  </si>
  <si>
    <t>RUB</t>
  </si>
  <si>
    <t>Sunflower seed</t>
  </si>
  <si>
    <t>Bulgaria, Croatia, France , Greece, Hungary, Italy, Romania, Slovakia, Spain</t>
  </si>
  <si>
    <t>Tangerines, mandarins, clementines</t>
  </si>
  <si>
    <t>COT</t>
  </si>
  <si>
    <t>Austria, Belgium, Bulgaria, Croatia, Cyprus, Czechia, Denmark, Estonia, Finland, France , Germany, Greece, Hungary, Ireland , Italy, Latvia, Lithuania, Luxembourg, Netherlands, Poland, Portugal, Romania, Slovakia, Slovenia, Spain, Sweden</t>
  </si>
  <si>
    <t>SOR</t>
  </si>
  <si>
    <t>Other Crops</t>
  </si>
  <si>
    <t>All</t>
  </si>
  <si>
    <t>Sugar cane</t>
  </si>
  <si>
    <t>Sugarcane</t>
  </si>
  <si>
    <t>SGC</t>
  </si>
  <si>
    <t>Sweet potatoes</t>
  </si>
  <si>
    <t>PTS</t>
  </si>
  <si>
    <t>Switchgrass</t>
  </si>
  <si>
    <t>SWI</t>
  </si>
  <si>
    <t>Tea leaves</t>
  </si>
  <si>
    <t>Tea</t>
  </si>
  <si>
    <t>TEA</t>
  </si>
  <si>
    <t>Tomato</t>
  </si>
  <si>
    <t>TOM</t>
  </si>
  <si>
    <t>Unmanufactured tobacco</t>
  </si>
  <si>
    <t>TOB</t>
  </si>
  <si>
    <t>Vegetables</t>
  </si>
  <si>
    <t>VEG</t>
  </si>
  <si>
    <t>Warm C4</t>
  </si>
  <si>
    <t>Warm C4</t>
  </si>
  <si>
    <t>TEF</t>
  </si>
  <si>
    <t>Wetland rice</t>
  </si>
  <si>
    <t>RCP</t>
  </si>
  <si>
    <t>Yams</t>
  </si>
  <si>
    <t>YAM</t>
  </si>
  <si>
    <t>MLT</t>
  </si>
  <si>
    <t>PJ/Million tonnes</t>
  </si>
  <si>
    <t>Crop / Residue</t>
  </si>
  <si>
    <t>RPR (Residue-to-Product Ratio)</t>
  </si>
  <si>
    <t>SAF (Surplus Availability Fraction)</t>
  </si>
  <si>
    <t>LHV (MJ/kg, dry basis)</t>
  </si>
  <si>
    <t>Sources / Notes</t>
  </si>
  <si>
    <t>Wheat straw</t>
  </si>
  <si>
    <t>Barley straw</t>
  </si>
  <si>
    <t>Noori et al. (EJ-Eng, 2024); similar to wheat straw range</t>
  </si>
  <si>
    <t>Maize (corn) stover</t>
  </si>
  <si>
    <t>Rice straw</t>
  </si>
  <si>
    <t>Olive pruning residues</t>
  </si>
  <si>
    <t>MDPI (2024) 'Lignocellulosic Residues from Fruit Trees'; PMC8198515 'Pyrolysis of Pruning Residues'</t>
  </si>
  <si>
    <t>Fruit tree pruning residues (apple, pear, etc.)</t>
  </si>
  <si>
    <t>Assumed coffee</t>
  </si>
  <si>
    <t>RPR: 0.5, SAF:1, LHV (20MJ/kg)</t>
  </si>
  <si>
    <t>Assumptions</t>
  </si>
  <si>
    <t>Cichy et al. (BioResources</t>
  </si>
  <si>
    <t xml:space="preserve"> 2024)</t>
  </si>
  <si>
    <t>BEPMAT</t>
  </si>
  <si>
    <t>Assumed Lettuce</t>
  </si>
  <si>
    <t>Assumed potatoes</t>
  </si>
  <si>
    <t>Assuned Rapeseed</t>
  </si>
  <si>
    <t>Assumed Wheat</t>
  </si>
  <si>
    <t>Assumed Maize</t>
  </si>
  <si>
    <t>Assumed Olives</t>
  </si>
  <si>
    <t>Assumed other cereals</t>
  </si>
  <si>
    <t>Assumed sugarbewet</t>
  </si>
  <si>
    <t>Asumed apples</t>
  </si>
  <si>
    <t>Assumed wheat</t>
  </si>
  <si>
    <t>Assumed apples</t>
  </si>
  <si>
    <t>Crop_code</t>
  </si>
  <si>
    <t>Residue Production potential (PJ/Million tonnes)</t>
  </si>
  <si>
    <t>Biomass Energy Potential Mapping and Analysis Tool (BEPMAT)</t>
  </si>
  <si>
    <t>Source: https://zenodo.org/records/10881926</t>
  </si>
  <si>
    <t>Weighted LHV value</t>
  </si>
  <si>
    <t>Noori et al. (EJ-Eng, 2024); rice stalks ~12.8MJ/kg</t>
  </si>
  <si>
    <t>Noori et al. (EJ-Eng, 2024); maize stalks LHV 13–14MJ/kg</t>
  </si>
  <si>
    <t>Noori et al. (EJ-Eng, 2024); typical EU cereal straw RPR, LHV range 13–15MJ/kg</t>
  </si>
  <si>
    <t>Cichy etal. (BioResources, 2024) 'Fuel properties of woody biomass from pruning operations in fruit orchards'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</si>
</sst>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33" borderId="0" xfId="0" applyFill="1"/>
    <xf numFmtId="0" fontId="0" fillId="0" borderId="10" xfId="0" applyBorder="1"/>
    <xf numFmtId="0" fontId="16" fillId="0" borderId="10" xfId="0" applyFont="1" applyBorder="1" applyAlignment="1">
      <alignment horizontal="center" vertical="top"/>
    </xf>
    <xf numFmtId="0" fontId="16" fillId="33" borderId="10" xfId="0" applyFont="1" applyFill="1" applyBorder="1" applyAlignment="1">
      <alignment horizontal="left" vertical="top"/>
    </xf>
    <xf numFmtId="0" fontId="18" fillId="0" borderId="0" xfId="0" applyFont="1"/>
    <xf numFmtId="0" fontId="16" fillId="33" borderId="10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E2AE-0715-4CD8-9934-F3BAD23861B1}">
  <sheetPr>
    <tabColor rgb="FF00B050"/>
  </sheetPr>
  <dimension ref="A1:U58"/>
  <sheetViews>
    <sheetView topLeftCell="A28" workbookViewId="0">
      <selection activeCell="I14" sqref="I14"/>
    </sheetView>
  </sheetViews>
  <sheetFormatPr defaultRowHeight="15" x14ac:dyDescent="0.25"/>
  <cols>
    <col min="1" max="1" width="27.42578125" bestFit="1" customWidth="1"/>
    <col min="2" max="2" width="16.7109375" bestFit="1" customWidth="1"/>
    <col min="4" max="4" width="8.85546875" style="2" customWidth="1"/>
    <col min="6" max="6" width="44.85546875" customWidth="1"/>
    <col min="7" max="7" width="10.42578125" bestFit="1" customWidth="1"/>
    <col min="8" max="8" width="66.7109375" hidden="1" customWidth="1"/>
    <col min="11" max="11" width="21.85546875" bestFit="1" customWidth="1"/>
    <col min="13" max="13" width="30.42578125" bestFit="1" customWidth="1"/>
    <col min="16" max="16" width="9.42578125" customWidth="1"/>
    <col min="17" max="17" width="17.5703125" customWidth="1"/>
    <col min="18" max="18" width="15.7109375" bestFit="1" customWidth="1"/>
    <col min="19" max="19" width="27.42578125" bestFit="1" customWidth="1"/>
  </cols>
  <sheetData>
    <row r="1" spans="1:21" x14ac:dyDescent="0.25">
      <c r="A1" s="1" t="s">
        <v>108</v>
      </c>
      <c r="B1" s="1" t="s">
        <v>107</v>
      </c>
      <c r="C1" s="1" t="s">
        <v>106</v>
      </c>
      <c r="F1" s="1" t="s">
        <v>108</v>
      </c>
      <c r="G1" s="1" t="s">
        <v>109</v>
      </c>
      <c r="H1" s="1" t="s">
        <v>110</v>
      </c>
      <c r="K1" t="s">
        <v>0</v>
      </c>
      <c r="L1" t="s">
        <v>106</v>
      </c>
      <c r="M1" t="s">
        <v>105</v>
      </c>
      <c r="P1" t="s">
        <v>318</v>
      </c>
      <c r="R1" t="s">
        <v>287</v>
      </c>
      <c r="S1" t="s">
        <v>303</v>
      </c>
    </row>
    <row r="2" spans="1:21" x14ac:dyDescent="0.25">
      <c r="A2" s="3" t="s">
        <v>111</v>
      </c>
      <c r="B2" s="3" t="s">
        <v>111</v>
      </c>
      <c r="C2" s="3" t="s">
        <v>112</v>
      </c>
      <c r="E2" t="str">
        <f>G2</f>
        <v>ALM</v>
      </c>
      <c r="F2" s="3" t="s">
        <v>113</v>
      </c>
      <c r="G2" s="3" t="s">
        <v>86</v>
      </c>
      <c r="H2" s="3" t="s">
        <v>114</v>
      </c>
      <c r="K2" t="s">
        <v>5</v>
      </c>
      <c r="L2" t="s">
        <v>71</v>
      </c>
      <c r="M2">
        <v>33.731990000000003</v>
      </c>
      <c r="P2" t="s">
        <v>86</v>
      </c>
      <c r="Q2" t="str">
        <f>VLOOKUP(P2,$E$2:$F$43,2,FALSE)</f>
        <v>Almonds, in shell</v>
      </c>
      <c r="R2">
        <f>M19</f>
        <v>12.8</v>
      </c>
      <c r="S2" t="s">
        <v>301</v>
      </c>
    </row>
    <row r="3" spans="1:21" x14ac:dyDescent="0.25">
      <c r="A3" s="3" t="s">
        <v>115</v>
      </c>
      <c r="B3" s="3" t="s">
        <v>115</v>
      </c>
      <c r="C3" s="3" t="s">
        <v>116</v>
      </c>
      <c r="E3" t="str">
        <f t="shared" ref="E3:E43" si="0">G3</f>
        <v>APP</v>
      </c>
      <c r="F3" s="3" t="s">
        <v>117</v>
      </c>
      <c r="G3" s="3" t="s">
        <v>96</v>
      </c>
      <c r="H3" s="3" t="s">
        <v>118</v>
      </c>
      <c r="K3" t="s">
        <v>9</v>
      </c>
      <c r="L3" t="s">
        <v>100</v>
      </c>
      <c r="M3">
        <v>13.07439804</v>
      </c>
      <c r="P3" t="s">
        <v>96</v>
      </c>
      <c r="Q3" t="str">
        <f t="shared" ref="Q3:Q36" si="1">VLOOKUP(P3,$E$2:$F$43,2,FALSE)</f>
        <v>Apples</v>
      </c>
      <c r="R3">
        <f>10</f>
        <v>10</v>
      </c>
      <c r="S3" t="s">
        <v>302</v>
      </c>
      <c r="T3" t="s">
        <v>304</v>
      </c>
      <c r="U3" t="s">
        <v>305</v>
      </c>
    </row>
    <row r="4" spans="1:21" x14ac:dyDescent="0.25">
      <c r="A4" s="3" t="s">
        <v>119</v>
      </c>
      <c r="B4" s="3" t="s">
        <v>31</v>
      </c>
      <c r="C4" s="3" t="s">
        <v>120</v>
      </c>
      <c r="E4" t="str">
        <f t="shared" si="0"/>
        <v>BRL</v>
      </c>
      <c r="F4" s="3" t="s">
        <v>45</v>
      </c>
      <c r="G4" s="3" t="s">
        <v>69</v>
      </c>
      <c r="H4" s="3" t="s">
        <v>121</v>
      </c>
      <c r="K4" t="s">
        <v>11</v>
      </c>
      <c r="L4" t="s">
        <v>260</v>
      </c>
      <c r="M4">
        <v>30.58</v>
      </c>
      <c r="P4" t="s">
        <v>69</v>
      </c>
      <c r="Q4" t="str">
        <f t="shared" si="1"/>
        <v>Barley</v>
      </c>
      <c r="R4">
        <f t="shared" ref="R4:R36" si="2">VLOOKUP(P4,$L$2:$M$39,2,FALSE)</f>
        <v>19.728749999999998</v>
      </c>
      <c r="S4" t="s">
        <v>306</v>
      </c>
    </row>
    <row r="5" spans="1:21" x14ac:dyDescent="0.25">
      <c r="A5" s="3" t="s">
        <v>45</v>
      </c>
      <c r="B5" s="3" t="s">
        <v>45</v>
      </c>
      <c r="C5" s="3" t="s">
        <v>69</v>
      </c>
      <c r="E5" t="str">
        <f t="shared" si="0"/>
        <v>BRO</v>
      </c>
      <c r="F5" s="3" t="s">
        <v>122</v>
      </c>
      <c r="G5" s="3" t="s">
        <v>91</v>
      </c>
      <c r="H5" s="3" t="s">
        <v>123</v>
      </c>
      <c r="K5" t="s">
        <v>12</v>
      </c>
      <c r="L5" t="s">
        <v>286</v>
      </c>
      <c r="M5">
        <v>39.914000000000001</v>
      </c>
      <c r="P5" t="s">
        <v>91</v>
      </c>
      <c r="Q5" t="str">
        <f t="shared" si="1"/>
        <v>Broad beans and horse beans, dry</v>
      </c>
      <c r="R5">
        <f>M28</f>
        <v>7.68</v>
      </c>
      <c r="S5" t="s">
        <v>307</v>
      </c>
    </row>
    <row r="6" spans="1:21" x14ac:dyDescent="0.25">
      <c r="A6" s="3" t="s">
        <v>124</v>
      </c>
      <c r="B6" s="3" t="s">
        <v>125</v>
      </c>
      <c r="C6" s="3" t="s">
        <v>126</v>
      </c>
      <c r="E6" t="str">
        <f t="shared" si="0"/>
        <v>BUC</v>
      </c>
      <c r="F6" s="3" t="s">
        <v>127</v>
      </c>
      <c r="G6" s="3" t="s">
        <v>128</v>
      </c>
      <c r="H6" s="3" t="s">
        <v>129</v>
      </c>
      <c r="K6" t="s">
        <v>13</v>
      </c>
      <c r="L6" t="s">
        <v>78</v>
      </c>
      <c r="M6">
        <v>6.2892299999999999</v>
      </c>
      <c r="P6" t="s">
        <v>97</v>
      </c>
      <c r="Q6" t="str">
        <f t="shared" si="1"/>
        <v>Cabbages</v>
      </c>
      <c r="R6">
        <f>M28</f>
        <v>7.68</v>
      </c>
      <c r="S6" t="s">
        <v>307</v>
      </c>
    </row>
    <row r="7" spans="1:21" x14ac:dyDescent="0.25">
      <c r="A7" s="3" t="s">
        <v>130</v>
      </c>
      <c r="B7" s="3" t="s">
        <v>130</v>
      </c>
      <c r="C7" s="3" t="s">
        <v>130</v>
      </c>
      <c r="E7" t="str">
        <f t="shared" si="0"/>
        <v>CAB</v>
      </c>
      <c r="F7" s="3" t="s">
        <v>131</v>
      </c>
      <c r="G7" s="3" t="s">
        <v>97</v>
      </c>
      <c r="H7" s="3" t="s">
        <v>132</v>
      </c>
      <c r="K7" t="s">
        <v>14</v>
      </c>
      <c r="L7" t="s">
        <v>145</v>
      </c>
      <c r="M7">
        <v>6.7947256600000001</v>
      </c>
      <c r="P7" t="s">
        <v>98</v>
      </c>
      <c r="Q7" t="str">
        <f t="shared" si="1"/>
        <v>Carrots and turnips</v>
      </c>
      <c r="R7">
        <f>M11</f>
        <v>6.3660000000000005</v>
      </c>
      <c r="S7" t="s">
        <v>308</v>
      </c>
    </row>
    <row r="8" spans="1:21" x14ac:dyDescent="0.25">
      <c r="A8" s="3" t="s">
        <v>127</v>
      </c>
      <c r="B8" s="3" t="s">
        <v>127</v>
      </c>
      <c r="C8" s="3" t="s">
        <v>128</v>
      </c>
      <c r="E8" t="str">
        <f t="shared" si="0"/>
        <v>CAR</v>
      </c>
      <c r="F8" s="3" t="s">
        <v>133</v>
      </c>
      <c r="G8" s="3" t="s">
        <v>98</v>
      </c>
      <c r="H8" s="3" t="s">
        <v>134</v>
      </c>
      <c r="K8" t="s">
        <v>16</v>
      </c>
      <c r="L8" t="s">
        <v>285</v>
      </c>
      <c r="M8">
        <v>1.6976000000000002</v>
      </c>
      <c r="P8" t="s">
        <v>99</v>
      </c>
      <c r="Q8" t="str">
        <f t="shared" si="1"/>
        <v>Cauliflowers and broccoli</v>
      </c>
      <c r="R8">
        <f>M28</f>
        <v>7.68</v>
      </c>
      <c r="S8" t="s">
        <v>307</v>
      </c>
    </row>
    <row r="9" spans="1:21" x14ac:dyDescent="0.25">
      <c r="A9" s="3" t="s">
        <v>131</v>
      </c>
      <c r="B9" s="3" t="s">
        <v>135</v>
      </c>
      <c r="C9" s="3" t="s">
        <v>97</v>
      </c>
      <c r="E9" t="str">
        <f t="shared" si="0"/>
        <v>CAU</v>
      </c>
      <c r="F9" s="3" t="s">
        <v>136</v>
      </c>
      <c r="G9" s="3" t="s">
        <v>99</v>
      </c>
      <c r="H9" s="3" t="s">
        <v>132</v>
      </c>
      <c r="K9" t="s">
        <v>17</v>
      </c>
      <c r="L9" t="s">
        <v>83</v>
      </c>
      <c r="M9">
        <v>5.0927999999999995</v>
      </c>
      <c r="P9" t="s">
        <v>92</v>
      </c>
      <c r="Q9" t="str">
        <f t="shared" si="1"/>
        <v>Cereals n.e.c.</v>
      </c>
      <c r="R9">
        <f t="shared" si="2"/>
        <v>8.0855999999999995</v>
      </c>
      <c r="S9" t="s">
        <v>306</v>
      </c>
    </row>
    <row r="10" spans="1:21" x14ac:dyDescent="0.25">
      <c r="A10" s="3" t="s">
        <v>137</v>
      </c>
      <c r="B10" s="3" t="s">
        <v>137</v>
      </c>
      <c r="C10" s="3" t="s">
        <v>138</v>
      </c>
      <c r="E10" t="str">
        <f t="shared" si="0"/>
        <v>CER</v>
      </c>
      <c r="F10" s="3" t="s">
        <v>139</v>
      </c>
      <c r="G10" s="3" t="s">
        <v>92</v>
      </c>
      <c r="H10" s="3" t="s">
        <v>140</v>
      </c>
      <c r="K10" t="s">
        <v>18</v>
      </c>
      <c r="L10" t="s">
        <v>285</v>
      </c>
      <c r="M10">
        <v>1.6976000000000002</v>
      </c>
      <c r="P10" t="s">
        <v>102</v>
      </c>
      <c r="Q10" t="e">
        <f t="shared" si="1"/>
        <v>#N/A</v>
      </c>
      <c r="R10">
        <f>M26</f>
        <v>5.2874700000000008</v>
      </c>
      <c r="S10" t="s">
        <v>309</v>
      </c>
    </row>
    <row r="11" spans="1:21" x14ac:dyDescent="0.25">
      <c r="A11" s="3" t="s">
        <v>133</v>
      </c>
      <c r="B11" s="3" t="s">
        <v>141</v>
      </c>
      <c r="C11" s="3" t="s">
        <v>98</v>
      </c>
      <c r="E11" t="str">
        <f t="shared" si="0"/>
        <v>FLX</v>
      </c>
      <c r="F11" s="3" t="s">
        <v>142</v>
      </c>
      <c r="G11" s="3" t="s">
        <v>79</v>
      </c>
      <c r="H11" s="3" t="s">
        <v>143</v>
      </c>
      <c r="K11" t="s">
        <v>19</v>
      </c>
      <c r="L11" t="s">
        <v>83</v>
      </c>
      <c r="M11">
        <v>6.3660000000000005</v>
      </c>
      <c r="P11" t="s">
        <v>79</v>
      </c>
      <c r="Q11" t="str">
        <f t="shared" si="1"/>
        <v>Flax, raw or retted</v>
      </c>
      <c r="R11">
        <f>M6</f>
        <v>6.2892299999999999</v>
      </c>
      <c r="S11" t="s">
        <v>310</v>
      </c>
    </row>
    <row r="12" spans="1:21" x14ac:dyDescent="0.25">
      <c r="A12" s="3" t="s">
        <v>144</v>
      </c>
      <c r="B12" s="3" t="s">
        <v>14</v>
      </c>
      <c r="C12" s="3" t="s">
        <v>145</v>
      </c>
      <c r="E12" t="str">
        <f t="shared" si="0"/>
        <v>GRE</v>
      </c>
      <c r="F12" s="3" t="s">
        <v>146</v>
      </c>
      <c r="G12" s="3" t="s">
        <v>95</v>
      </c>
      <c r="H12" s="3" t="s">
        <v>147</v>
      </c>
      <c r="K12" t="s">
        <v>20</v>
      </c>
      <c r="L12" t="s">
        <v>103</v>
      </c>
      <c r="M12">
        <v>47.85611999999999</v>
      </c>
      <c r="P12" t="s">
        <v>95</v>
      </c>
      <c r="Q12" t="str">
        <f t="shared" si="1"/>
        <v>Green corn (maize)</v>
      </c>
      <c r="R12">
        <f>M2</f>
        <v>33.731990000000003</v>
      </c>
      <c r="S12" t="s">
        <v>311</v>
      </c>
    </row>
    <row r="13" spans="1:21" x14ac:dyDescent="0.25">
      <c r="A13" s="3" t="s">
        <v>139</v>
      </c>
      <c r="B13" s="3" t="s">
        <v>148</v>
      </c>
      <c r="C13" s="3" t="s">
        <v>92</v>
      </c>
      <c r="E13" t="str">
        <f t="shared" si="0"/>
        <v>GRP</v>
      </c>
      <c r="F13" s="3" t="s">
        <v>149</v>
      </c>
      <c r="G13" s="3" t="s">
        <v>70</v>
      </c>
      <c r="H13" s="3" t="s">
        <v>150</v>
      </c>
      <c r="K13" t="s">
        <v>22</v>
      </c>
      <c r="L13" t="s">
        <v>73</v>
      </c>
      <c r="M13">
        <v>36.488820000000004</v>
      </c>
      <c r="P13" t="s">
        <v>70</v>
      </c>
      <c r="Q13" t="str">
        <f t="shared" si="1"/>
        <v>Grapes</v>
      </c>
      <c r="R13">
        <f>M27</f>
        <v>7.0920000000000005</v>
      </c>
      <c r="S13" t="s">
        <v>312</v>
      </c>
    </row>
    <row r="14" spans="1:21" x14ac:dyDescent="0.25">
      <c r="A14" s="3" t="s">
        <v>151</v>
      </c>
      <c r="B14" s="3" t="s">
        <v>152</v>
      </c>
      <c r="C14" s="3" t="s">
        <v>153</v>
      </c>
      <c r="E14" t="str">
        <f t="shared" si="0"/>
        <v>LEM</v>
      </c>
      <c r="F14" s="3" t="s">
        <v>154</v>
      </c>
      <c r="G14" s="3" t="s">
        <v>155</v>
      </c>
      <c r="H14" s="3" t="s">
        <v>156</v>
      </c>
      <c r="K14" t="s">
        <v>28</v>
      </c>
      <c r="L14" t="s">
        <v>84</v>
      </c>
      <c r="M14">
        <v>30.950000000000003</v>
      </c>
      <c r="P14" t="s">
        <v>80</v>
      </c>
      <c r="Q14" t="str">
        <f t="shared" si="1"/>
        <v>Lettuce and chicory</v>
      </c>
      <c r="R14">
        <f>M28</f>
        <v>7.68</v>
      </c>
      <c r="S14" t="s">
        <v>306</v>
      </c>
    </row>
    <row r="15" spans="1:21" x14ac:dyDescent="0.25">
      <c r="A15" s="3" t="s">
        <v>157</v>
      </c>
      <c r="B15" s="3" t="s">
        <v>41</v>
      </c>
      <c r="C15" s="3" t="s">
        <v>158</v>
      </c>
      <c r="E15" t="str">
        <f t="shared" si="0"/>
        <v>LET</v>
      </c>
      <c r="F15" s="3" t="s">
        <v>159</v>
      </c>
      <c r="G15" s="3" t="s">
        <v>80</v>
      </c>
      <c r="H15" s="3" t="s">
        <v>160</v>
      </c>
      <c r="K15" t="s">
        <v>29</v>
      </c>
      <c r="L15" t="s">
        <v>76</v>
      </c>
      <c r="M15">
        <v>52.704000000000001</v>
      </c>
      <c r="P15" t="s">
        <v>71</v>
      </c>
      <c r="Q15" t="str">
        <f t="shared" si="1"/>
        <v>Maize (corn)</v>
      </c>
      <c r="R15">
        <f t="shared" si="2"/>
        <v>33.731990000000003</v>
      </c>
      <c r="S15" t="s">
        <v>306</v>
      </c>
    </row>
    <row r="16" spans="1:21" x14ac:dyDescent="0.25">
      <c r="A16" s="3" t="s">
        <v>161</v>
      </c>
      <c r="B16" s="3" t="s">
        <v>162</v>
      </c>
      <c r="C16" s="3" t="s">
        <v>163</v>
      </c>
      <c r="E16" t="str">
        <f t="shared" si="0"/>
        <v>MAI</v>
      </c>
      <c r="F16" s="3" t="s">
        <v>164</v>
      </c>
      <c r="G16" s="3" t="s">
        <v>71</v>
      </c>
      <c r="H16" s="3" t="s">
        <v>165</v>
      </c>
      <c r="K16" t="s">
        <v>31</v>
      </c>
      <c r="L16" t="s">
        <v>120</v>
      </c>
      <c r="M16">
        <v>73.525499999999994</v>
      </c>
      <c r="P16" t="s">
        <v>94</v>
      </c>
      <c r="Q16" t="str">
        <f t="shared" si="1"/>
        <v>Mixed grain</v>
      </c>
      <c r="R16">
        <f>M32</f>
        <v>8.0855999999999995</v>
      </c>
      <c r="S16" t="s">
        <v>313</v>
      </c>
    </row>
    <row r="17" spans="1:19" x14ac:dyDescent="0.25">
      <c r="A17" s="3" t="s">
        <v>166</v>
      </c>
      <c r="B17" s="3" t="s">
        <v>39</v>
      </c>
      <c r="C17" s="3" t="s">
        <v>167</v>
      </c>
      <c r="E17" t="str">
        <f t="shared" si="0"/>
        <v>MIX</v>
      </c>
      <c r="F17" s="3" t="s">
        <v>168</v>
      </c>
      <c r="G17" s="3" t="s">
        <v>94</v>
      </c>
      <c r="H17" s="3" t="s">
        <v>169</v>
      </c>
      <c r="K17" t="s">
        <v>35</v>
      </c>
      <c r="L17" t="s">
        <v>120</v>
      </c>
      <c r="M17">
        <v>40.628800000000005</v>
      </c>
      <c r="P17" t="s">
        <v>90</v>
      </c>
      <c r="Q17" t="str">
        <f t="shared" si="1"/>
        <v>Oats</v>
      </c>
      <c r="R17">
        <f>M32</f>
        <v>8.0855999999999995</v>
      </c>
      <c r="S17" t="s">
        <v>313</v>
      </c>
    </row>
    <row r="18" spans="1:19" x14ac:dyDescent="0.25">
      <c r="A18" s="3" t="s">
        <v>170</v>
      </c>
      <c r="B18" s="3" t="s">
        <v>171</v>
      </c>
      <c r="C18" s="3" t="s">
        <v>172</v>
      </c>
      <c r="E18" t="str">
        <f t="shared" si="0"/>
        <v>MOS</v>
      </c>
      <c r="F18" s="3" t="s">
        <v>173</v>
      </c>
      <c r="G18" s="3" t="s">
        <v>174</v>
      </c>
      <c r="H18" s="3" t="s">
        <v>175</v>
      </c>
      <c r="K18" t="s">
        <v>36</v>
      </c>
      <c r="L18" t="s">
        <v>265</v>
      </c>
      <c r="M18">
        <v>5.6523000000000003</v>
      </c>
      <c r="P18" t="s">
        <v>87</v>
      </c>
      <c r="Q18" t="str">
        <f t="shared" si="1"/>
        <v>Olives</v>
      </c>
      <c r="R18">
        <f t="shared" si="2"/>
        <v>7.0920000000000005</v>
      </c>
      <c r="S18" t="s">
        <v>306</v>
      </c>
    </row>
    <row r="19" spans="1:19" x14ac:dyDescent="0.25">
      <c r="A19" s="3" t="s">
        <v>176</v>
      </c>
      <c r="B19" s="3" t="s">
        <v>176</v>
      </c>
      <c r="C19" s="3" t="s">
        <v>177</v>
      </c>
      <c r="E19" t="str">
        <f t="shared" si="0"/>
        <v>OAT</v>
      </c>
      <c r="F19" s="3" t="s">
        <v>178</v>
      </c>
      <c r="G19" s="3" t="s">
        <v>90</v>
      </c>
      <c r="H19" s="3" t="s">
        <v>179</v>
      </c>
      <c r="K19" t="s">
        <v>39</v>
      </c>
      <c r="L19" t="s">
        <v>167</v>
      </c>
      <c r="M19">
        <v>12.8</v>
      </c>
      <c r="P19" t="s">
        <v>101</v>
      </c>
      <c r="Q19" t="str">
        <f t="shared" si="1"/>
        <v>Onions and shallots, dry (excluding dehydrated)</v>
      </c>
      <c r="R19">
        <f>M25</f>
        <v>1.2384900000000001</v>
      </c>
      <c r="S19" t="s">
        <v>314</v>
      </c>
    </row>
    <row r="20" spans="1:19" x14ac:dyDescent="0.25">
      <c r="A20" s="3" t="s">
        <v>180</v>
      </c>
      <c r="B20" s="3" t="s">
        <v>181</v>
      </c>
      <c r="C20" s="3" t="s">
        <v>182</v>
      </c>
      <c r="E20" t="str">
        <f t="shared" si="0"/>
        <v>OLI</v>
      </c>
      <c r="F20" s="3" t="s">
        <v>52</v>
      </c>
      <c r="G20" s="3" t="s">
        <v>87</v>
      </c>
      <c r="H20" s="3" t="s">
        <v>183</v>
      </c>
      <c r="K20" t="s">
        <v>41</v>
      </c>
      <c r="L20" t="s">
        <v>158</v>
      </c>
      <c r="M20">
        <v>15.48</v>
      </c>
      <c r="P20" t="s">
        <v>88</v>
      </c>
      <c r="Q20" t="str">
        <f t="shared" si="1"/>
        <v>Oranges</v>
      </c>
      <c r="R20">
        <f>10</f>
        <v>10</v>
      </c>
      <c r="S20" t="s">
        <v>315</v>
      </c>
    </row>
    <row r="21" spans="1:19" x14ac:dyDescent="0.25">
      <c r="A21" s="3" t="s">
        <v>184</v>
      </c>
      <c r="B21" s="3" t="s">
        <v>184</v>
      </c>
      <c r="C21" s="3" t="s">
        <v>185</v>
      </c>
      <c r="E21" t="str">
        <f t="shared" si="0"/>
        <v>ONI</v>
      </c>
      <c r="F21" s="3" t="s">
        <v>186</v>
      </c>
      <c r="G21" s="3" t="s">
        <v>101</v>
      </c>
      <c r="H21" s="3" t="s">
        <v>187</v>
      </c>
      <c r="K21" t="s">
        <v>43</v>
      </c>
      <c r="L21" t="s">
        <v>72</v>
      </c>
      <c r="M21">
        <v>33.39</v>
      </c>
      <c r="P21" t="s">
        <v>72</v>
      </c>
      <c r="Q21" t="str">
        <f t="shared" si="1"/>
        <v>All other crops</v>
      </c>
      <c r="R21">
        <f t="shared" si="2"/>
        <v>33.39</v>
      </c>
      <c r="S21" t="s">
        <v>306</v>
      </c>
    </row>
    <row r="22" spans="1:19" x14ac:dyDescent="0.25">
      <c r="A22" s="3" t="s">
        <v>188</v>
      </c>
      <c r="B22" s="3" t="s">
        <v>188</v>
      </c>
      <c r="C22" s="3" t="s">
        <v>189</v>
      </c>
      <c r="E22" t="str">
        <f t="shared" si="0"/>
        <v>ORA</v>
      </c>
      <c r="F22" s="3" t="s">
        <v>190</v>
      </c>
      <c r="G22" s="3" t="s">
        <v>88</v>
      </c>
      <c r="H22" s="3" t="s">
        <v>156</v>
      </c>
      <c r="K22" t="s">
        <v>45</v>
      </c>
      <c r="L22" t="s">
        <v>69</v>
      </c>
      <c r="M22">
        <v>19.728749999999998</v>
      </c>
      <c r="P22" t="s">
        <v>103</v>
      </c>
      <c r="Q22" t="str">
        <f t="shared" si="1"/>
        <v>Chestnuts, in shell</v>
      </c>
      <c r="R22">
        <f t="shared" si="2"/>
        <v>47.85611999999999</v>
      </c>
      <c r="S22" t="s">
        <v>306</v>
      </c>
    </row>
    <row r="23" spans="1:19" x14ac:dyDescent="0.25">
      <c r="A23" s="3" t="s">
        <v>66</v>
      </c>
      <c r="B23" s="3" t="s">
        <v>66</v>
      </c>
      <c r="C23" s="3" t="s">
        <v>191</v>
      </c>
      <c r="E23" t="str">
        <f t="shared" si="0"/>
        <v>OTH</v>
      </c>
      <c r="F23" s="3" t="s">
        <v>192</v>
      </c>
      <c r="G23" s="3" t="s">
        <v>72</v>
      </c>
      <c r="H23" s="3" t="s">
        <v>193</v>
      </c>
      <c r="K23" t="s">
        <v>47</v>
      </c>
      <c r="L23" t="s">
        <v>72</v>
      </c>
      <c r="M23">
        <v>11.592000000000001</v>
      </c>
      <c r="P23" t="s">
        <v>73</v>
      </c>
      <c r="Q23" t="str">
        <f t="shared" si="1"/>
        <v>Other oil seeds, n.e.c.</v>
      </c>
      <c r="R23">
        <f t="shared" si="2"/>
        <v>36.488820000000004</v>
      </c>
      <c r="S23" t="s">
        <v>306</v>
      </c>
    </row>
    <row r="24" spans="1:19" x14ac:dyDescent="0.25">
      <c r="A24" s="3" t="s">
        <v>194</v>
      </c>
      <c r="B24" s="3" t="s">
        <v>195</v>
      </c>
      <c r="C24" s="3" t="s">
        <v>196</v>
      </c>
      <c r="E24" t="str">
        <f t="shared" si="0"/>
        <v>OTN</v>
      </c>
      <c r="F24" s="3" t="s">
        <v>197</v>
      </c>
      <c r="G24" s="3" t="s">
        <v>103</v>
      </c>
      <c r="H24" s="3" t="s">
        <v>198</v>
      </c>
      <c r="K24" t="s">
        <v>48</v>
      </c>
      <c r="L24" t="s">
        <v>85</v>
      </c>
      <c r="M24">
        <v>21.299999999999997</v>
      </c>
      <c r="P24" t="s">
        <v>84</v>
      </c>
      <c r="Q24" t="str">
        <f t="shared" si="1"/>
        <v>Other pulses n.e.c.</v>
      </c>
      <c r="R24">
        <f t="shared" si="2"/>
        <v>30.950000000000003</v>
      </c>
      <c r="S24" t="s">
        <v>306</v>
      </c>
    </row>
    <row r="25" spans="1:19" x14ac:dyDescent="0.25">
      <c r="A25" s="3" t="s">
        <v>199</v>
      </c>
      <c r="B25" s="3" t="s">
        <v>199</v>
      </c>
      <c r="C25" s="3" t="s">
        <v>200</v>
      </c>
      <c r="E25" t="str">
        <f t="shared" si="0"/>
        <v>OTN</v>
      </c>
      <c r="F25" s="3" t="s">
        <v>201</v>
      </c>
      <c r="G25" s="3" t="s">
        <v>103</v>
      </c>
      <c r="H25" s="3" t="s">
        <v>198</v>
      </c>
      <c r="K25" t="s">
        <v>49</v>
      </c>
      <c r="L25" t="s">
        <v>77</v>
      </c>
      <c r="M25">
        <v>1.2384900000000001</v>
      </c>
      <c r="P25" t="s">
        <v>81</v>
      </c>
      <c r="Q25" t="str">
        <f t="shared" si="1"/>
        <v>Peas, dry</v>
      </c>
      <c r="R25">
        <f>10</f>
        <v>10</v>
      </c>
      <c r="S25" t="s">
        <v>117</v>
      </c>
    </row>
    <row r="26" spans="1:19" x14ac:dyDescent="0.25">
      <c r="A26" s="3" t="s">
        <v>164</v>
      </c>
      <c r="B26" s="3" t="s">
        <v>5</v>
      </c>
      <c r="C26" s="3" t="s">
        <v>202</v>
      </c>
      <c r="E26" t="str">
        <f t="shared" si="0"/>
        <v>OTO</v>
      </c>
      <c r="F26" s="3" t="s">
        <v>203</v>
      </c>
      <c r="G26" s="3" t="s">
        <v>73</v>
      </c>
      <c r="H26" s="3" t="s">
        <v>204</v>
      </c>
      <c r="K26" t="s">
        <v>51</v>
      </c>
      <c r="L26" t="s">
        <v>74</v>
      </c>
      <c r="M26">
        <v>5.2874700000000008</v>
      </c>
      <c r="P26" t="s">
        <v>82</v>
      </c>
      <c r="Q26" t="str">
        <f t="shared" si="1"/>
        <v>Pears</v>
      </c>
      <c r="R26">
        <v>10</v>
      </c>
      <c r="S26" t="s">
        <v>117</v>
      </c>
    </row>
    <row r="27" spans="1:19" x14ac:dyDescent="0.25">
      <c r="A27" s="3" t="s">
        <v>205</v>
      </c>
      <c r="B27" s="3" t="s">
        <v>205</v>
      </c>
      <c r="C27" s="3" t="s">
        <v>206</v>
      </c>
      <c r="E27" t="str">
        <f t="shared" si="0"/>
        <v>OTP</v>
      </c>
      <c r="F27" s="3" t="s">
        <v>207</v>
      </c>
      <c r="G27" s="3" t="s">
        <v>84</v>
      </c>
      <c r="H27" s="3" t="s">
        <v>208</v>
      </c>
      <c r="K27" t="s">
        <v>52</v>
      </c>
      <c r="L27" t="s">
        <v>87</v>
      </c>
      <c r="M27">
        <v>7.0920000000000005</v>
      </c>
      <c r="P27" t="s">
        <v>83</v>
      </c>
      <c r="Q27" t="str">
        <f t="shared" si="1"/>
        <v>Potatoes</v>
      </c>
      <c r="R27">
        <f t="shared" si="2"/>
        <v>5.0927999999999995</v>
      </c>
      <c r="S27" t="s">
        <v>306</v>
      </c>
    </row>
    <row r="28" spans="1:19" x14ac:dyDescent="0.25">
      <c r="A28" s="3" t="s">
        <v>178</v>
      </c>
      <c r="B28" s="3" t="s">
        <v>209</v>
      </c>
      <c r="C28" s="3" t="s">
        <v>90</v>
      </c>
      <c r="E28" t="str">
        <f t="shared" si="0"/>
        <v>PEA</v>
      </c>
      <c r="F28" s="3" t="s">
        <v>210</v>
      </c>
      <c r="G28" s="3" t="s">
        <v>81</v>
      </c>
      <c r="H28" s="3" t="s">
        <v>211</v>
      </c>
      <c r="K28" t="s">
        <v>54</v>
      </c>
      <c r="L28" t="s">
        <v>72</v>
      </c>
      <c r="M28">
        <v>7.68</v>
      </c>
      <c r="P28" t="s">
        <v>74</v>
      </c>
      <c r="Q28" t="str">
        <f t="shared" si="1"/>
        <v>Rape or colza seed</v>
      </c>
      <c r="R28">
        <f t="shared" si="2"/>
        <v>5.2874700000000008</v>
      </c>
      <c r="S28" t="s">
        <v>306</v>
      </c>
    </row>
    <row r="29" spans="1:19" x14ac:dyDescent="0.25">
      <c r="A29" s="3" t="s">
        <v>212</v>
      </c>
      <c r="B29" s="3" t="s">
        <v>213</v>
      </c>
      <c r="C29" s="3" t="s">
        <v>214</v>
      </c>
      <c r="E29" t="str">
        <f t="shared" si="0"/>
        <v>PEA</v>
      </c>
      <c r="F29" s="3" t="s">
        <v>215</v>
      </c>
      <c r="G29" s="3" t="s">
        <v>81</v>
      </c>
      <c r="H29" s="3" t="s">
        <v>143</v>
      </c>
      <c r="K29" t="s">
        <v>56</v>
      </c>
      <c r="L29" t="s">
        <v>274</v>
      </c>
      <c r="M29">
        <v>4.1099999999999994</v>
      </c>
      <c r="P29" t="s">
        <v>100</v>
      </c>
      <c r="Q29" t="str">
        <f t="shared" si="1"/>
        <v>Rice</v>
      </c>
      <c r="R29">
        <f t="shared" si="2"/>
        <v>13.07439804</v>
      </c>
      <c r="S29" t="s">
        <v>306</v>
      </c>
    </row>
    <row r="30" spans="1:19" x14ac:dyDescent="0.25">
      <c r="A30" s="3" t="s">
        <v>52</v>
      </c>
      <c r="B30" s="3" t="s">
        <v>216</v>
      </c>
      <c r="C30" s="3" t="s">
        <v>87</v>
      </c>
      <c r="E30" t="str">
        <f t="shared" si="0"/>
        <v>PER</v>
      </c>
      <c r="F30" s="3" t="s">
        <v>217</v>
      </c>
      <c r="G30" s="3" t="s">
        <v>82</v>
      </c>
      <c r="H30" s="3" t="s">
        <v>187</v>
      </c>
      <c r="K30" t="s">
        <v>57</v>
      </c>
      <c r="L30" t="s">
        <v>72</v>
      </c>
      <c r="M30">
        <v>2.7</v>
      </c>
      <c r="P30" t="s">
        <v>75</v>
      </c>
      <c r="Q30" t="str">
        <f t="shared" si="1"/>
        <v>Rye</v>
      </c>
      <c r="R30">
        <f>R36</f>
        <v>6.2892299999999999</v>
      </c>
      <c r="S30" t="s">
        <v>316</v>
      </c>
    </row>
    <row r="31" spans="1:19" x14ac:dyDescent="0.25">
      <c r="A31" s="3" t="s">
        <v>218</v>
      </c>
      <c r="B31" s="3" t="s">
        <v>219</v>
      </c>
      <c r="C31" s="3" t="s">
        <v>101</v>
      </c>
      <c r="E31" t="str">
        <f t="shared" si="0"/>
        <v>POT</v>
      </c>
      <c r="F31" s="3" t="s">
        <v>19</v>
      </c>
      <c r="G31" s="3" t="s">
        <v>83</v>
      </c>
      <c r="H31" s="3" t="s">
        <v>220</v>
      </c>
      <c r="K31" t="s">
        <v>59</v>
      </c>
      <c r="L31" t="s">
        <v>72</v>
      </c>
      <c r="M31">
        <v>2.7</v>
      </c>
      <c r="P31" t="s">
        <v>93</v>
      </c>
      <c r="Q31" t="str">
        <f t="shared" si="1"/>
        <v>Seed cotton, unginned</v>
      </c>
      <c r="R31">
        <f>M21</f>
        <v>33.39</v>
      </c>
      <c r="S31" t="s">
        <v>43</v>
      </c>
    </row>
    <row r="32" spans="1:19" x14ac:dyDescent="0.25">
      <c r="A32" s="3" t="s">
        <v>221</v>
      </c>
      <c r="B32" s="3" t="s">
        <v>222</v>
      </c>
      <c r="C32" s="3" t="s">
        <v>223</v>
      </c>
      <c r="E32" t="str">
        <f t="shared" si="0"/>
        <v>RAP</v>
      </c>
      <c r="F32" s="3" t="s">
        <v>224</v>
      </c>
      <c r="G32" s="3" t="s">
        <v>74</v>
      </c>
      <c r="H32" s="3" t="s">
        <v>225</v>
      </c>
      <c r="K32" t="s">
        <v>60</v>
      </c>
      <c r="L32" t="s">
        <v>92</v>
      </c>
      <c r="M32">
        <v>8.0855999999999995</v>
      </c>
      <c r="P32" t="s">
        <v>76</v>
      </c>
      <c r="Q32" t="str">
        <f t="shared" si="1"/>
        <v>Soya beans</v>
      </c>
      <c r="R32">
        <f t="shared" si="2"/>
        <v>52.704000000000001</v>
      </c>
      <c r="S32" t="s">
        <v>306</v>
      </c>
    </row>
    <row r="33" spans="1:19" x14ac:dyDescent="0.25">
      <c r="A33" s="3" t="s">
        <v>226</v>
      </c>
      <c r="B33" s="3" t="s">
        <v>227</v>
      </c>
      <c r="C33" s="3" t="s">
        <v>77</v>
      </c>
      <c r="E33" t="str">
        <f t="shared" si="0"/>
        <v>RIC</v>
      </c>
      <c r="F33" s="3" t="s">
        <v>9</v>
      </c>
      <c r="G33" s="3" t="s">
        <v>100</v>
      </c>
      <c r="H33" s="3" t="s">
        <v>228</v>
      </c>
      <c r="K33" t="s">
        <v>61</v>
      </c>
      <c r="L33" t="s">
        <v>72</v>
      </c>
      <c r="M33">
        <v>0</v>
      </c>
      <c r="P33" t="s">
        <v>77</v>
      </c>
      <c r="Q33" t="str">
        <f t="shared" si="1"/>
        <v>Sugar beet</v>
      </c>
      <c r="R33">
        <f t="shared" si="2"/>
        <v>1.2384900000000001</v>
      </c>
      <c r="S33" t="s">
        <v>306</v>
      </c>
    </row>
    <row r="34" spans="1:19" x14ac:dyDescent="0.25">
      <c r="A34" s="3" t="s">
        <v>217</v>
      </c>
      <c r="B34" s="3" t="s">
        <v>229</v>
      </c>
      <c r="C34" s="3" t="s">
        <v>230</v>
      </c>
      <c r="E34" t="str">
        <f t="shared" si="0"/>
        <v>RYE</v>
      </c>
      <c r="F34" s="3" t="s">
        <v>231</v>
      </c>
      <c r="G34" s="3" t="s">
        <v>75</v>
      </c>
      <c r="H34" s="3" t="s">
        <v>232</v>
      </c>
      <c r="K34" t="s">
        <v>62</v>
      </c>
      <c r="L34" t="s">
        <v>72</v>
      </c>
      <c r="M34">
        <v>0</v>
      </c>
      <c r="P34" t="s">
        <v>85</v>
      </c>
      <c r="Q34" t="str">
        <f t="shared" si="1"/>
        <v>Sunflower seed</v>
      </c>
      <c r="R34">
        <f t="shared" si="2"/>
        <v>21.299999999999997</v>
      </c>
      <c r="S34" t="s">
        <v>306</v>
      </c>
    </row>
    <row r="35" spans="1:19" x14ac:dyDescent="0.25">
      <c r="A35" s="3" t="s">
        <v>210</v>
      </c>
      <c r="B35" s="3" t="s">
        <v>233</v>
      </c>
      <c r="C35" s="3" t="s">
        <v>81</v>
      </c>
      <c r="E35" t="str">
        <f t="shared" si="0"/>
        <v>SEE</v>
      </c>
      <c r="F35" s="3" t="s">
        <v>234</v>
      </c>
      <c r="G35" s="3" t="s">
        <v>93</v>
      </c>
      <c r="H35" s="3" t="s">
        <v>235</v>
      </c>
      <c r="K35" t="s">
        <v>63</v>
      </c>
      <c r="L35" t="s">
        <v>84</v>
      </c>
      <c r="M35">
        <v>17.650999999999996</v>
      </c>
      <c r="P35" t="s">
        <v>89</v>
      </c>
      <c r="Q35" t="str">
        <f t="shared" si="1"/>
        <v>Tangerines, mandarins, clementines</v>
      </c>
      <c r="R35">
        <v>10</v>
      </c>
      <c r="S35" t="s">
        <v>317</v>
      </c>
    </row>
    <row r="36" spans="1:19" x14ac:dyDescent="0.25">
      <c r="A36" s="3" t="s">
        <v>236</v>
      </c>
      <c r="B36" s="3" t="s">
        <v>237</v>
      </c>
      <c r="C36" s="3" t="s">
        <v>238</v>
      </c>
      <c r="E36" t="str">
        <f t="shared" si="0"/>
        <v>SHR</v>
      </c>
      <c r="F36" s="3" t="s">
        <v>239</v>
      </c>
      <c r="G36" s="3" t="s">
        <v>240</v>
      </c>
      <c r="H36" s="3" t="s">
        <v>241</v>
      </c>
      <c r="K36" t="s">
        <v>64</v>
      </c>
      <c r="L36" t="s">
        <v>84</v>
      </c>
      <c r="M36">
        <v>10.020600000000002</v>
      </c>
      <c r="P36" t="s">
        <v>78</v>
      </c>
      <c r="Q36" t="str">
        <f t="shared" si="1"/>
        <v>Wheat</v>
      </c>
      <c r="R36">
        <f t="shared" si="2"/>
        <v>6.2892299999999999</v>
      </c>
      <c r="S36" t="s">
        <v>306</v>
      </c>
    </row>
    <row r="37" spans="1:19" x14ac:dyDescent="0.25">
      <c r="A37" s="3" t="s">
        <v>19</v>
      </c>
      <c r="B37" s="3" t="s">
        <v>242</v>
      </c>
      <c r="C37" s="3" t="s">
        <v>243</v>
      </c>
      <c r="E37" t="str">
        <f t="shared" si="0"/>
        <v>SOY</v>
      </c>
      <c r="F37" s="3" t="s">
        <v>244</v>
      </c>
      <c r="G37" s="3" t="s">
        <v>76</v>
      </c>
      <c r="H37" s="3" t="s">
        <v>245</v>
      </c>
      <c r="K37" t="s">
        <v>65</v>
      </c>
      <c r="L37" t="s">
        <v>84</v>
      </c>
      <c r="M37">
        <v>6.0876000000000001</v>
      </c>
    </row>
    <row r="38" spans="1:19" x14ac:dyDescent="0.25">
      <c r="A38" s="3" t="s">
        <v>224</v>
      </c>
      <c r="B38" s="3" t="s">
        <v>51</v>
      </c>
      <c r="C38" s="3" t="s">
        <v>74</v>
      </c>
      <c r="E38" t="str">
        <f t="shared" si="0"/>
        <v>STR</v>
      </c>
      <c r="F38" s="3" t="s">
        <v>246</v>
      </c>
      <c r="G38" s="3" t="s">
        <v>247</v>
      </c>
      <c r="H38" s="3" t="s">
        <v>248</v>
      </c>
      <c r="K38" t="s">
        <v>66</v>
      </c>
      <c r="L38" t="s">
        <v>84</v>
      </c>
      <c r="M38">
        <v>6.6963600000000003</v>
      </c>
    </row>
    <row r="39" spans="1:19" x14ac:dyDescent="0.25">
      <c r="A39" s="3" t="s">
        <v>249</v>
      </c>
      <c r="B39" s="3" t="s">
        <v>250</v>
      </c>
      <c r="C39" s="3" t="s">
        <v>251</v>
      </c>
      <c r="E39" t="str">
        <f t="shared" si="0"/>
        <v>SUG</v>
      </c>
      <c r="F39" s="3" t="s">
        <v>227</v>
      </c>
      <c r="G39" s="3" t="s">
        <v>77</v>
      </c>
      <c r="H39" s="3" t="s">
        <v>252</v>
      </c>
      <c r="K39" t="s">
        <v>67</v>
      </c>
      <c r="L39" t="s">
        <v>72</v>
      </c>
      <c r="M39">
        <v>0</v>
      </c>
    </row>
    <row r="40" spans="1:19" x14ac:dyDescent="0.25">
      <c r="A40" s="3" t="s">
        <v>253</v>
      </c>
      <c r="B40" s="3" t="s">
        <v>253</v>
      </c>
      <c r="C40" s="3" t="s">
        <v>254</v>
      </c>
      <c r="E40" t="str">
        <f t="shared" si="0"/>
        <v>SUN</v>
      </c>
      <c r="F40" s="3" t="s">
        <v>255</v>
      </c>
      <c r="G40" s="3" t="s">
        <v>85</v>
      </c>
      <c r="H40" s="3" t="s">
        <v>256</v>
      </c>
    </row>
    <row r="41" spans="1:19" x14ac:dyDescent="0.25">
      <c r="A41" s="3" t="s">
        <v>231</v>
      </c>
      <c r="B41" s="3" t="s">
        <v>231</v>
      </c>
      <c r="C41" s="3" t="s">
        <v>75</v>
      </c>
      <c r="E41" t="str">
        <f t="shared" si="0"/>
        <v>TAN</v>
      </c>
      <c r="F41" s="3" t="s">
        <v>257</v>
      </c>
      <c r="G41" s="3" t="s">
        <v>89</v>
      </c>
      <c r="H41" s="3" t="s">
        <v>156</v>
      </c>
    </row>
    <row r="42" spans="1:19" x14ac:dyDescent="0.25">
      <c r="A42" s="3" t="s">
        <v>234</v>
      </c>
      <c r="B42" s="3" t="s">
        <v>43</v>
      </c>
      <c r="C42" s="3" t="s">
        <v>258</v>
      </c>
      <c r="E42" t="str">
        <f t="shared" si="0"/>
        <v>WHE</v>
      </c>
      <c r="F42" s="3" t="s">
        <v>13</v>
      </c>
      <c r="G42" s="3" t="s">
        <v>78</v>
      </c>
      <c r="H42" s="3" t="s">
        <v>259</v>
      </c>
    </row>
    <row r="43" spans="1:19" x14ac:dyDescent="0.25">
      <c r="A43" s="3" t="s">
        <v>11</v>
      </c>
      <c r="B43" s="3" t="s">
        <v>11</v>
      </c>
      <c r="C43" s="3" t="s">
        <v>260</v>
      </c>
      <c r="E43" t="str">
        <f t="shared" si="0"/>
        <v>OTH</v>
      </c>
      <c r="F43" s="3" t="s">
        <v>261</v>
      </c>
      <c r="G43" s="3" t="s">
        <v>72</v>
      </c>
      <c r="H43" s="3" t="s">
        <v>262</v>
      </c>
    </row>
    <row r="44" spans="1:19" x14ac:dyDescent="0.25">
      <c r="A44" s="3" t="s">
        <v>244</v>
      </c>
      <c r="B44" s="3" t="s">
        <v>29</v>
      </c>
      <c r="C44" s="3" t="s">
        <v>76</v>
      </c>
    </row>
    <row r="45" spans="1:19" x14ac:dyDescent="0.25">
      <c r="A45" s="3" t="s">
        <v>263</v>
      </c>
      <c r="B45" s="3" t="s">
        <v>264</v>
      </c>
      <c r="C45" s="3" t="s">
        <v>265</v>
      </c>
    </row>
    <row r="46" spans="1:19" x14ac:dyDescent="0.25">
      <c r="A46" s="3" t="s">
        <v>255</v>
      </c>
      <c r="B46" s="3" t="s">
        <v>48</v>
      </c>
      <c r="C46" s="3" t="s">
        <v>85</v>
      </c>
    </row>
    <row r="47" spans="1:19" x14ac:dyDescent="0.25">
      <c r="A47" s="3" t="s">
        <v>266</v>
      </c>
      <c r="B47" s="3" t="s">
        <v>17</v>
      </c>
      <c r="C47" s="3" t="s">
        <v>267</v>
      </c>
    </row>
    <row r="48" spans="1:19" x14ac:dyDescent="0.25">
      <c r="A48" s="3" t="s">
        <v>268</v>
      </c>
      <c r="B48" s="3" t="s">
        <v>268</v>
      </c>
      <c r="C48" s="3" t="s">
        <v>269</v>
      </c>
    </row>
    <row r="49" spans="1:3" x14ac:dyDescent="0.25">
      <c r="A49" s="3" t="s">
        <v>270</v>
      </c>
      <c r="B49" s="3" t="s">
        <v>271</v>
      </c>
      <c r="C49" s="3" t="s">
        <v>272</v>
      </c>
    </row>
    <row r="50" spans="1:3" x14ac:dyDescent="0.25">
      <c r="A50" s="3" t="s">
        <v>56</v>
      </c>
      <c r="B50" s="3" t="s">
        <v>273</v>
      </c>
      <c r="C50" s="3" t="s">
        <v>274</v>
      </c>
    </row>
    <row r="51" spans="1:3" x14ac:dyDescent="0.25">
      <c r="A51" s="3" t="s">
        <v>275</v>
      </c>
      <c r="B51" s="3" t="s">
        <v>47</v>
      </c>
      <c r="C51" s="3" t="s">
        <v>276</v>
      </c>
    </row>
    <row r="52" spans="1:3" x14ac:dyDescent="0.25">
      <c r="A52" s="3" t="s">
        <v>277</v>
      </c>
      <c r="B52" s="3" t="s">
        <v>277</v>
      </c>
      <c r="C52" s="3" t="s">
        <v>278</v>
      </c>
    </row>
    <row r="53" spans="1:3" x14ac:dyDescent="0.25">
      <c r="A53" s="3" t="s">
        <v>279</v>
      </c>
      <c r="B53" s="3" t="s">
        <v>280</v>
      </c>
      <c r="C53" s="3" t="s">
        <v>281</v>
      </c>
    </row>
    <row r="54" spans="1:3" x14ac:dyDescent="0.25">
      <c r="A54" s="3" t="s">
        <v>282</v>
      </c>
      <c r="B54" s="3" t="s">
        <v>282</v>
      </c>
      <c r="C54" s="3" t="s">
        <v>283</v>
      </c>
    </row>
    <row r="55" spans="1:3" x14ac:dyDescent="0.25">
      <c r="A55" s="3" t="s">
        <v>13</v>
      </c>
      <c r="B55" s="3" t="s">
        <v>13</v>
      </c>
      <c r="C55" s="3" t="s">
        <v>78</v>
      </c>
    </row>
    <row r="56" spans="1:3" x14ac:dyDescent="0.25">
      <c r="A56" s="3" t="s">
        <v>284</v>
      </c>
      <c r="B56" s="3" t="s">
        <v>18</v>
      </c>
      <c r="C56" s="3" t="s">
        <v>285</v>
      </c>
    </row>
    <row r="57" spans="1:3" x14ac:dyDescent="0.25">
      <c r="A57" s="3" t="s">
        <v>12</v>
      </c>
      <c r="B57" s="3" t="s">
        <v>12</v>
      </c>
      <c r="C57" s="3" t="s">
        <v>286</v>
      </c>
    </row>
    <row r="58" spans="1:3" x14ac:dyDescent="0.25">
      <c r="A58" s="3" t="s">
        <v>261</v>
      </c>
      <c r="B58" s="3" t="s">
        <v>261</v>
      </c>
      <c r="C58" s="3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9A45-79DE-48CF-BA91-2DD26A6055A9}">
  <sheetPr>
    <tabColor rgb="FF00B050"/>
  </sheetPr>
  <dimension ref="A1:C35"/>
  <sheetViews>
    <sheetView tabSelected="1" topLeftCell="A26" workbookViewId="0">
      <selection activeCell="J11" sqref="J11"/>
    </sheetView>
  </sheetViews>
  <sheetFormatPr defaultRowHeight="15" x14ac:dyDescent="0.25"/>
  <cols>
    <col min="1" max="1" width="10.7109375" bestFit="1" customWidth="1"/>
    <col min="2" max="2" width="44.28515625" bestFit="1" customWidth="1"/>
    <col min="3" max="3" width="26.42578125" customWidth="1"/>
  </cols>
  <sheetData>
    <row r="1" spans="1:3" ht="39.75" customHeight="1" x14ac:dyDescent="0.25">
      <c r="A1" s="7" t="s">
        <v>318</v>
      </c>
      <c r="B1" s="7" t="s">
        <v>0</v>
      </c>
      <c r="C1" s="7" t="s">
        <v>319</v>
      </c>
    </row>
    <row r="2" spans="1:3" x14ac:dyDescent="0.25">
      <c r="A2" s="3" t="s">
        <v>86</v>
      </c>
      <c r="B2" s="3" t="str">
        <f>VLOOKUP(A2,crop_codes!$E$2:$F$43,2,FALSE)</f>
        <v>Almonds, in shell</v>
      </c>
      <c r="C2" s="3">
        <v>12.8</v>
      </c>
    </row>
    <row r="3" spans="1:3" x14ac:dyDescent="0.25">
      <c r="A3" s="3" t="s">
        <v>96</v>
      </c>
      <c r="B3" s="3" t="str">
        <f>VLOOKUP(A3,crop_codes!$E$2:$F$43,2,FALSE)</f>
        <v>Apples</v>
      </c>
      <c r="C3" s="3">
        <v>10</v>
      </c>
    </row>
    <row r="4" spans="1:3" x14ac:dyDescent="0.25">
      <c r="A4" s="3" t="s">
        <v>69</v>
      </c>
      <c r="B4" s="3" t="str">
        <f>VLOOKUP(A4,crop_codes!$E$2:$F$43,2,FALSE)</f>
        <v>Barley</v>
      </c>
      <c r="C4" s="3">
        <v>19.728999999999999</v>
      </c>
    </row>
    <row r="5" spans="1:3" x14ac:dyDescent="0.25">
      <c r="A5" s="3" t="s">
        <v>91</v>
      </c>
      <c r="B5" s="3" t="str">
        <f>VLOOKUP(A5,crop_codes!$E$2:$F$43,2,FALSE)</f>
        <v>Broad beans and horse beans, dry</v>
      </c>
      <c r="C5" s="3">
        <v>7.68</v>
      </c>
    </row>
    <row r="6" spans="1:3" x14ac:dyDescent="0.25">
      <c r="A6" s="3" t="s">
        <v>97</v>
      </c>
      <c r="B6" s="3" t="str">
        <f>VLOOKUP(A6,crop_codes!$E$2:$F$43,2,FALSE)</f>
        <v>Cabbages</v>
      </c>
      <c r="C6" s="3">
        <v>7.68</v>
      </c>
    </row>
    <row r="7" spans="1:3" x14ac:dyDescent="0.25">
      <c r="A7" s="3" t="s">
        <v>98</v>
      </c>
      <c r="B7" s="3" t="str">
        <f>VLOOKUP(A7,crop_codes!$E$2:$F$43,2,FALSE)</f>
        <v>Carrots and turnips</v>
      </c>
      <c r="C7" s="3">
        <v>6.3659999999999997</v>
      </c>
    </row>
    <row r="8" spans="1:3" x14ac:dyDescent="0.25">
      <c r="A8" s="3" t="s">
        <v>99</v>
      </c>
      <c r="B8" s="3" t="str">
        <f>VLOOKUP(A8,crop_codes!$E$2:$F$43,2,FALSE)</f>
        <v>Cauliflowers and broccoli</v>
      </c>
      <c r="C8" s="3">
        <v>7.68</v>
      </c>
    </row>
    <row r="9" spans="1:3" x14ac:dyDescent="0.25">
      <c r="A9" s="3" t="s">
        <v>92</v>
      </c>
      <c r="B9" s="3" t="str">
        <f>VLOOKUP(A9,crop_codes!$E$2:$F$43,2,FALSE)</f>
        <v>Cereals n.e.c.</v>
      </c>
      <c r="C9" s="3">
        <v>8.0860000000000003</v>
      </c>
    </row>
    <row r="10" spans="1:3" x14ac:dyDescent="0.25">
      <c r="A10" s="3" t="s">
        <v>79</v>
      </c>
      <c r="B10" s="3" t="str">
        <f>VLOOKUP(A10,crop_codes!$E$2:$F$43,2,FALSE)</f>
        <v>Flax, raw or retted</v>
      </c>
      <c r="C10" s="3">
        <v>6.2889999999999997</v>
      </c>
    </row>
    <row r="11" spans="1:3" x14ac:dyDescent="0.25">
      <c r="A11" s="3" t="s">
        <v>95</v>
      </c>
      <c r="B11" s="3" t="str">
        <f>VLOOKUP(A11,crop_codes!$E$2:$F$43,2,FALSE)</f>
        <v>Green corn (maize)</v>
      </c>
      <c r="C11" s="3">
        <v>33.731999999999999</v>
      </c>
    </row>
    <row r="12" spans="1:3" x14ac:dyDescent="0.25">
      <c r="A12" s="3" t="s">
        <v>70</v>
      </c>
      <c r="B12" s="3" t="str">
        <f>VLOOKUP(A12,crop_codes!$E$2:$F$43,2,FALSE)</f>
        <v>Grapes</v>
      </c>
      <c r="C12" s="3">
        <v>7.0919999999999996</v>
      </c>
    </row>
    <row r="13" spans="1:3" x14ac:dyDescent="0.25">
      <c r="A13" s="3" t="s">
        <v>80</v>
      </c>
      <c r="B13" s="3" t="str">
        <f>VLOOKUP(A13,crop_codes!$E$2:$F$43,2,FALSE)</f>
        <v>Lettuce and chicory</v>
      </c>
      <c r="C13" s="3">
        <v>7.68</v>
      </c>
    </row>
    <row r="14" spans="1:3" x14ac:dyDescent="0.25">
      <c r="A14" s="3" t="s">
        <v>71</v>
      </c>
      <c r="B14" s="3" t="str">
        <f>VLOOKUP(A14,crop_codes!$E$2:$F$43,2,FALSE)</f>
        <v>Maize (corn)</v>
      </c>
      <c r="C14" s="3">
        <v>33.731999999999999</v>
      </c>
    </row>
    <row r="15" spans="1:3" x14ac:dyDescent="0.25">
      <c r="A15" s="3" t="s">
        <v>94</v>
      </c>
      <c r="B15" s="3" t="str">
        <f>VLOOKUP(A15,crop_codes!$E$2:$F$43,2,FALSE)</f>
        <v>Mixed grain</v>
      </c>
      <c r="C15" s="3">
        <v>8.0860000000000003</v>
      </c>
    </row>
    <row r="16" spans="1:3" x14ac:dyDescent="0.25">
      <c r="A16" s="3" t="s">
        <v>90</v>
      </c>
      <c r="B16" s="3" t="str">
        <f>VLOOKUP(A16,crop_codes!$E$2:$F$43,2,FALSE)</f>
        <v>Oats</v>
      </c>
      <c r="C16" s="3">
        <v>8.0860000000000003</v>
      </c>
    </row>
    <row r="17" spans="1:3" x14ac:dyDescent="0.25">
      <c r="A17" s="3" t="s">
        <v>87</v>
      </c>
      <c r="B17" s="3" t="str">
        <f>VLOOKUP(A17,crop_codes!$E$2:$F$43,2,FALSE)</f>
        <v>Olives</v>
      </c>
      <c r="C17" s="3">
        <v>7.0919999999999996</v>
      </c>
    </row>
    <row r="18" spans="1:3" x14ac:dyDescent="0.25">
      <c r="A18" s="3" t="s">
        <v>101</v>
      </c>
      <c r="B18" s="3" t="str">
        <f>VLOOKUP(A18,crop_codes!$E$2:$F$43,2,FALSE)</f>
        <v>Onions and shallots, dry (excluding dehydrated)</v>
      </c>
      <c r="C18" s="3">
        <v>1.238</v>
      </c>
    </row>
    <row r="19" spans="1:3" x14ac:dyDescent="0.25">
      <c r="A19" s="3" t="s">
        <v>88</v>
      </c>
      <c r="B19" s="3" t="str">
        <f>VLOOKUP(A19,crop_codes!$E$2:$F$43,2,FALSE)</f>
        <v>Oranges</v>
      </c>
      <c r="C19" s="3">
        <v>10</v>
      </c>
    </row>
    <row r="20" spans="1:3" x14ac:dyDescent="0.25">
      <c r="A20" s="3" t="s">
        <v>72</v>
      </c>
      <c r="B20" s="3" t="str">
        <f>VLOOKUP(A20,crop_codes!$E$2:$F$43,2,FALSE)</f>
        <v>All other crops</v>
      </c>
      <c r="C20" s="3">
        <v>33.39</v>
      </c>
    </row>
    <row r="21" spans="1:3" x14ac:dyDescent="0.25">
      <c r="A21" s="3" t="s">
        <v>103</v>
      </c>
      <c r="B21" s="3" t="str">
        <f>VLOOKUP(A21,crop_codes!$E$2:$F$43,2,FALSE)</f>
        <v>Chestnuts, in shell</v>
      </c>
      <c r="C21" s="3">
        <v>47.856000000000002</v>
      </c>
    </row>
    <row r="22" spans="1:3" x14ac:dyDescent="0.25">
      <c r="A22" s="3" t="s">
        <v>73</v>
      </c>
      <c r="B22" s="3" t="str">
        <f>VLOOKUP(A22,crop_codes!$E$2:$F$43,2,FALSE)</f>
        <v>Other oil seeds, n.e.c.</v>
      </c>
      <c r="C22" s="3">
        <v>36.488999999999997</v>
      </c>
    </row>
    <row r="23" spans="1:3" x14ac:dyDescent="0.25">
      <c r="A23" s="3" t="s">
        <v>84</v>
      </c>
      <c r="B23" s="3" t="str">
        <f>VLOOKUP(A23,crop_codes!$E$2:$F$43,2,FALSE)</f>
        <v>Other pulses n.e.c.</v>
      </c>
      <c r="C23" s="3">
        <v>30.95</v>
      </c>
    </row>
    <row r="24" spans="1:3" x14ac:dyDescent="0.25">
      <c r="A24" s="3" t="s">
        <v>81</v>
      </c>
      <c r="B24" s="3" t="str">
        <f>VLOOKUP(A24,crop_codes!$E$2:$F$43,2,FALSE)</f>
        <v>Peas, dry</v>
      </c>
      <c r="C24" s="3">
        <v>10</v>
      </c>
    </row>
    <row r="25" spans="1:3" x14ac:dyDescent="0.25">
      <c r="A25" s="3" t="s">
        <v>82</v>
      </c>
      <c r="B25" s="3" t="str">
        <f>VLOOKUP(A25,crop_codes!$E$2:$F$43,2,FALSE)</f>
        <v>Pears</v>
      </c>
      <c r="C25" s="3">
        <v>10</v>
      </c>
    </row>
    <row r="26" spans="1:3" x14ac:dyDescent="0.25">
      <c r="A26" s="3" t="s">
        <v>83</v>
      </c>
      <c r="B26" s="3" t="str">
        <f>VLOOKUP(A26,crop_codes!$E$2:$F$43,2,FALSE)</f>
        <v>Potatoes</v>
      </c>
      <c r="C26" s="3">
        <v>5.093</v>
      </c>
    </row>
    <row r="27" spans="1:3" x14ac:dyDescent="0.25">
      <c r="A27" s="3" t="s">
        <v>74</v>
      </c>
      <c r="B27" s="3" t="str">
        <f>VLOOKUP(A27,crop_codes!$E$2:$F$43,2,FALSE)</f>
        <v>Rape or colza seed</v>
      </c>
      <c r="C27" s="3">
        <v>5.2869999999999999</v>
      </c>
    </row>
    <row r="28" spans="1:3" x14ac:dyDescent="0.25">
      <c r="A28" s="3" t="s">
        <v>100</v>
      </c>
      <c r="B28" s="3" t="str">
        <f>VLOOKUP(A28,crop_codes!$E$2:$F$43,2,FALSE)</f>
        <v>Rice</v>
      </c>
      <c r="C28" s="3">
        <v>13.074</v>
      </c>
    </row>
    <row r="29" spans="1:3" x14ac:dyDescent="0.25">
      <c r="A29" s="3" t="s">
        <v>75</v>
      </c>
      <c r="B29" s="3" t="str">
        <f>VLOOKUP(A29,crop_codes!$E$2:$F$43,2,FALSE)</f>
        <v>Rye</v>
      </c>
      <c r="C29" s="3">
        <v>6.2889999999999997</v>
      </c>
    </row>
    <row r="30" spans="1:3" x14ac:dyDescent="0.25">
      <c r="A30" s="3" t="s">
        <v>93</v>
      </c>
      <c r="B30" s="3" t="str">
        <f>VLOOKUP(A30,crop_codes!$E$2:$F$43,2,FALSE)</f>
        <v>Seed cotton, unginned</v>
      </c>
      <c r="C30" s="3">
        <v>33.39</v>
      </c>
    </row>
    <row r="31" spans="1:3" x14ac:dyDescent="0.25">
      <c r="A31" s="3" t="s">
        <v>76</v>
      </c>
      <c r="B31" s="3" t="str">
        <f>VLOOKUP(A31,crop_codes!$E$2:$F$43,2,FALSE)</f>
        <v>Soya beans</v>
      </c>
      <c r="C31" s="3">
        <v>52.704000000000001</v>
      </c>
    </row>
    <row r="32" spans="1:3" x14ac:dyDescent="0.25">
      <c r="A32" s="3" t="s">
        <v>77</v>
      </c>
      <c r="B32" s="3" t="str">
        <f>VLOOKUP(A32,crop_codes!$E$2:$F$43,2,FALSE)</f>
        <v>Sugar beet</v>
      </c>
      <c r="C32" s="3">
        <v>1.238</v>
      </c>
    </row>
    <row r="33" spans="1:3" x14ac:dyDescent="0.25">
      <c r="A33" s="3" t="s">
        <v>85</v>
      </c>
      <c r="B33" s="3" t="str">
        <f>VLOOKUP(A33,crop_codes!$E$2:$F$43,2,FALSE)</f>
        <v>Sunflower seed</v>
      </c>
      <c r="C33" s="3">
        <v>21.3</v>
      </c>
    </row>
    <row r="34" spans="1:3" x14ac:dyDescent="0.25">
      <c r="A34" s="3" t="s">
        <v>89</v>
      </c>
      <c r="B34" s="3" t="str">
        <f>VLOOKUP(A34,crop_codes!$E$2:$F$43,2,FALSE)</f>
        <v>Tangerines, mandarins, clementines</v>
      </c>
      <c r="C34" s="3">
        <v>10</v>
      </c>
    </row>
    <row r="35" spans="1:3" x14ac:dyDescent="0.25">
      <c r="A35" s="3" t="s">
        <v>78</v>
      </c>
      <c r="B35" s="3" t="str">
        <f>VLOOKUP(A35,crop_codes!$E$2:$F$43,2,FALSE)</f>
        <v>Wheat</v>
      </c>
      <c r="C35" s="3">
        <v>6.2889999999999997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D9F6-77BC-4D2B-B5C5-516C71A2DD90}">
  <dimension ref="A1:F61"/>
  <sheetViews>
    <sheetView workbookViewId="0">
      <selection activeCell="I13" sqref="I13"/>
    </sheetView>
  </sheetViews>
  <sheetFormatPr defaultRowHeight="15" x14ac:dyDescent="0.25"/>
  <cols>
    <col min="1" max="1" width="21.85546875" bestFit="1" customWidth="1"/>
    <col min="2" max="2" width="14" bestFit="1" customWidth="1"/>
    <col min="5" max="5" width="11.42578125" bestFit="1" customWidth="1"/>
    <col min="6" max="6" width="12.85546875" bestFit="1" customWidth="1"/>
  </cols>
  <sheetData>
    <row r="1" spans="1:6" ht="18.75" x14ac:dyDescent="0.3">
      <c r="A1" s="6" t="s">
        <v>320</v>
      </c>
    </row>
    <row r="2" spans="1:6" x14ac:dyDescent="0.25">
      <c r="A2" t="s">
        <v>321</v>
      </c>
    </row>
    <row r="3" spans="1:6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104</v>
      </c>
    </row>
    <row r="4" spans="1:6" x14ac:dyDescent="0.25">
      <c r="A4" s="3" t="s">
        <v>5</v>
      </c>
      <c r="B4" s="3" t="s">
        <v>6</v>
      </c>
      <c r="C4" s="3">
        <v>2</v>
      </c>
      <c r="D4" s="3">
        <v>0.8</v>
      </c>
      <c r="E4" s="3">
        <v>16.3</v>
      </c>
      <c r="F4" s="3">
        <f>C4*D4*E4</f>
        <v>26.080000000000002</v>
      </c>
    </row>
    <row r="5" spans="1:6" x14ac:dyDescent="0.25">
      <c r="A5" s="3" t="s">
        <v>5</v>
      </c>
      <c r="B5" s="3" t="s">
        <v>7</v>
      </c>
      <c r="C5" s="3">
        <v>0.27300000000000002</v>
      </c>
      <c r="D5" s="3">
        <v>1</v>
      </c>
      <c r="E5" s="3">
        <v>16.63</v>
      </c>
      <c r="F5" s="3">
        <f t="shared" ref="F5:F61" si="0">C5*D5*E5</f>
        <v>4.5399900000000004</v>
      </c>
    </row>
    <row r="6" spans="1:6" x14ac:dyDescent="0.25">
      <c r="A6" s="3" t="s">
        <v>5</v>
      </c>
      <c r="B6" s="3" t="s">
        <v>8</v>
      </c>
      <c r="C6" s="3">
        <v>0.2</v>
      </c>
      <c r="D6" s="3">
        <v>1</v>
      </c>
      <c r="E6" s="3">
        <v>15.56</v>
      </c>
      <c r="F6" s="3">
        <f t="shared" si="0"/>
        <v>3.1120000000000001</v>
      </c>
    </row>
    <row r="7" spans="1:6" x14ac:dyDescent="0.25">
      <c r="A7" s="3" t="s">
        <v>9</v>
      </c>
      <c r="B7" s="3" t="s">
        <v>10</v>
      </c>
      <c r="C7" s="3">
        <v>1.7569999999999999</v>
      </c>
      <c r="D7" s="3">
        <v>0.68400000000000005</v>
      </c>
      <c r="E7" s="3">
        <v>8.83</v>
      </c>
      <c r="F7" s="3">
        <f t="shared" si="0"/>
        <v>10.61178804</v>
      </c>
    </row>
    <row r="8" spans="1:6" x14ac:dyDescent="0.25">
      <c r="A8" s="3" t="s">
        <v>9</v>
      </c>
      <c r="B8" s="3" t="s">
        <v>8</v>
      </c>
      <c r="C8" s="3">
        <v>0.23</v>
      </c>
      <c r="D8" s="3">
        <v>0.83</v>
      </c>
      <c r="E8" s="3">
        <v>12.9</v>
      </c>
      <c r="F8" s="3">
        <f t="shared" si="0"/>
        <v>2.4626099999999997</v>
      </c>
    </row>
    <row r="9" spans="1:6" x14ac:dyDescent="0.25">
      <c r="A9" s="3" t="s">
        <v>11</v>
      </c>
      <c r="B9" s="3" t="s">
        <v>10</v>
      </c>
      <c r="C9" s="3">
        <v>1.25</v>
      </c>
      <c r="D9" s="3">
        <v>0.8</v>
      </c>
      <c r="E9" s="3">
        <v>12.38</v>
      </c>
      <c r="F9" s="3">
        <f t="shared" si="0"/>
        <v>12.38</v>
      </c>
    </row>
    <row r="10" spans="1:6" x14ac:dyDescent="0.25">
      <c r="A10" s="3" t="s">
        <v>11</v>
      </c>
      <c r="B10" s="3" t="s">
        <v>8</v>
      </c>
      <c r="C10" s="3">
        <v>1.4</v>
      </c>
      <c r="D10" s="3">
        <v>1</v>
      </c>
      <c r="E10" s="3">
        <v>13</v>
      </c>
      <c r="F10" s="3">
        <f t="shared" si="0"/>
        <v>18.2</v>
      </c>
    </row>
    <row r="11" spans="1:6" x14ac:dyDescent="0.25">
      <c r="A11" s="3" t="s">
        <v>12</v>
      </c>
      <c r="B11" s="3" t="s">
        <v>10</v>
      </c>
      <c r="C11" s="3">
        <v>1.4</v>
      </c>
      <c r="D11" s="3">
        <v>1</v>
      </c>
      <c r="E11" s="3">
        <v>13</v>
      </c>
      <c r="F11" s="3">
        <f t="shared" si="0"/>
        <v>18.2</v>
      </c>
    </row>
    <row r="12" spans="1:6" x14ac:dyDescent="0.25">
      <c r="A12" s="3" t="s">
        <v>12</v>
      </c>
      <c r="B12" s="3" t="s">
        <v>6</v>
      </c>
      <c r="C12" s="3">
        <v>1.75</v>
      </c>
      <c r="D12" s="3">
        <v>0.8</v>
      </c>
      <c r="E12" s="3">
        <v>15.51</v>
      </c>
      <c r="F12" s="3">
        <f t="shared" si="0"/>
        <v>21.714000000000002</v>
      </c>
    </row>
    <row r="13" spans="1:6" x14ac:dyDescent="0.25">
      <c r="A13" s="3" t="s">
        <v>13</v>
      </c>
      <c r="B13" s="3" t="s">
        <v>10</v>
      </c>
      <c r="C13" s="3">
        <v>1.2</v>
      </c>
      <c r="D13" s="3">
        <v>0.28999999999999998</v>
      </c>
      <c r="E13" s="3">
        <v>15.6</v>
      </c>
      <c r="F13" s="3">
        <f t="shared" si="0"/>
        <v>5.4287999999999998</v>
      </c>
    </row>
    <row r="14" spans="1:6" x14ac:dyDescent="0.25">
      <c r="A14" s="3" t="s">
        <v>13</v>
      </c>
      <c r="B14" s="3" t="s">
        <v>8</v>
      </c>
      <c r="C14" s="3">
        <v>0.23</v>
      </c>
      <c r="D14" s="3">
        <v>0.28999999999999998</v>
      </c>
      <c r="E14" s="3">
        <v>12.9</v>
      </c>
      <c r="F14" s="3">
        <f t="shared" si="0"/>
        <v>0.86042999999999992</v>
      </c>
    </row>
    <row r="15" spans="1:6" x14ac:dyDescent="0.25">
      <c r="A15" s="3" t="s">
        <v>14</v>
      </c>
      <c r="B15" s="3" t="s">
        <v>6</v>
      </c>
      <c r="C15" s="3">
        <v>6.2E-2</v>
      </c>
      <c r="D15" s="3">
        <v>0.40699999999999997</v>
      </c>
      <c r="E15" s="3">
        <v>16.989999999999998</v>
      </c>
      <c r="F15" s="3">
        <f t="shared" si="0"/>
        <v>0.42872565999999995</v>
      </c>
    </row>
    <row r="16" spans="1:6" x14ac:dyDescent="0.25">
      <c r="A16" s="3" t="s">
        <v>14</v>
      </c>
      <c r="B16" s="3" t="s">
        <v>15</v>
      </c>
      <c r="C16" s="3">
        <v>3</v>
      </c>
      <c r="D16" s="3">
        <v>0.2</v>
      </c>
      <c r="E16" s="3">
        <v>10.61</v>
      </c>
      <c r="F16" s="3">
        <f t="shared" si="0"/>
        <v>6.3660000000000005</v>
      </c>
    </row>
    <row r="17" spans="1:6" x14ac:dyDescent="0.25">
      <c r="A17" s="3" t="s">
        <v>16</v>
      </c>
      <c r="B17" s="3" t="s">
        <v>15</v>
      </c>
      <c r="C17" s="3">
        <v>0.2</v>
      </c>
      <c r="D17" s="3">
        <v>0.8</v>
      </c>
      <c r="E17" s="3">
        <v>10.61</v>
      </c>
      <c r="F17" s="3">
        <f t="shared" si="0"/>
        <v>1.6976000000000002</v>
      </c>
    </row>
    <row r="18" spans="1:6" x14ac:dyDescent="0.25">
      <c r="A18" s="3" t="s">
        <v>17</v>
      </c>
      <c r="B18" s="3" t="s">
        <v>15</v>
      </c>
      <c r="C18" s="3">
        <v>0.6</v>
      </c>
      <c r="D18" s="3">
        <v>0.8</v>
      </c>
      <c r="E18" s="3">
        <v>10.61</v>
      </c>
      <c r="F18" s="3">
        <f t="shared" si="0"/>
        <v>5.0927999999999995</v>
      </c>
    </row>
    <row r="19" spans="1:6" x14ac:dyDescent="0.25">
      <c r="A19" s="3" t="s">
        <v>18</v>
      </c>
      <c r="B19" s="3" t="s">
        <v>15</v>
      </c>
      <c r="C19" s="3">
        <v>0.2</v>
      </c>
      <c r="D19" s="3">
        <v>0.8</v>
      </c>
      <c r="E19" s="3">
        <v>10.61</v>
      </c>
      <c r="F19" s="3">
        <f t="shared" si="0"/>
        <v>1.6976000000000002</v>
      </c>
    </row>
    <row r="20" spans="1:6" x14ac:dyDescent="0.25">
      <c r="A20" s="3" t="s">
        <v>19</v>
      </c>
      <c r="B20" s="3" t="s">
        <v>15</v>
      </c>
      <c r="C20" s="3">
        <v>0.75</v>
      </c>
      <c r="D20" s="3">
        <v>0.8</v>
      </c>
      <c r="E20" s="3">
        <v>10.61</v>
      </c>
      <c r="F20" s="3">
        <f t="shared" si="0"/>
        <v>6.3660000000000005</v>
      </c>
    </row>
    <row r="21" spans="1:6" x14ac:dyDescent="0.25">
      <c r="A21" s="3" t="s">
        <v>20</v>
      </c>
      <c r="B21" s="3" t="s">
        <v>21</v>
      </c>
      <c r="C21" s="3">
        <v>0.47699999999999998</v>
      </c>
      <c r="D21" s="3">
        <v>1</v>
      </c>
      <c r="E21" s="3">
        <v>15.56</v>
      </c>
      <c r="F21" s="3">
        <f t="shared" si="0"/>
        <v>7.4221199999999996</v>
      </c>
    </row>
    <row r="22" spans="1:6" x14ac:dyDescent="0.25">
      <c r="A22" s="3" t="s">
        <v>20</v>
      </c>
      <c r="B22" s="3" t="s">
        <v>10</v>
      </c>
      <c r="C22" s="3">
        <v>2.2999999999999998</v>
      </c>
      <c r="D22" s="3">
        <v>1</v>
      </c>
      <c r="E22" s="3">
        <v>17.579999999999998</v>
      </c>
      <c r="F22" s="3">
        <f t="shared" si="0"/>
        <v>40.43399999999999</v>
      </c>
    </row>
    <row r="23" spans="1:6" x14ac:dyDescent="0.25">
      <c r="A23" s="3" t="s">
        <v>22</v>
      </c>
      <c r="B23" s="3" t="s">
        <v>23</v>
      </c>
      <c r="C23" s="3">
        <v>0.14699999999999999</v>
      </c>
      <c r="D23" s="3">
        <v>1</v>
      </c>
      <c r="E23" s="3">
        <v>19.940000000000001</v>
      </c>
      <c r="F23" s="3">
        <f t="shared" si="0"/>
        <v>2.9311799999999999</v>
      </c>
    </row>
    <row r="24" spans="1:6" x14ac:dyDescent="0.25">
      <c r="A24" s="3" t="s">
        <v>22</v>
      </c>
      <c r="B24" s="3" t="s">
        <v>24</v>
      </c>
      <c r="C24" s="3">
        <v>4.9000000000000002E-2</v>
      </c>
      <c r="D24" s="3">
        <v>1</v>
      </c>
      <c r="E24" s="3">
        <v>21.1</v>
      </c>
      <c r="F24" s="3">
        <f t="shared" si="0"/>
        <v>1.0339</v>
      </c>
    </row>
    <row r="25" spans="1:6" x14ac:dyDescent="0.25">
      <c r="A25" s="3" t="s">
        <v>22</v>
      </c>
      <c r="B25" s="3" t="s">
        <v>25</v>
      </c>
      <c r="C25" s="3">
        <v>2.6040000000000001</v>
      </c>
      <c r="D25" s="3">
        <v>1</v>
      </c>
      <c r="E25" s="3">
        <v>7.97</v>
      </c>
      <c r="F25" s="3">
        <f t="shared" si="0"/>
        <v>20.753879999999999</v>
      </c>
    </row>
    <row r="26" spans="1:6" x14ac:dyDescent="0.25">
      <c r="A26" s="3" t="s">
        <v>22</v>
      </c>
      <c r="B26" s="3" t="s">
        <v>26</v>
      </c>
      <c r="C26" s="3">
        <v>0.42799999999999999</v>
      </c>
      <c r="D26" s="3">
        <v>1</v>
      </c>
      <c r="E26" s="3">
        <v>19.41</v>
      </c>
      <c r="F26" s="3">
        <f t="shared" si="0"/>
        <v>8.30748</v>
      </c>
    </row>
    <row r="27" spans="1:6" x14ac:dyDescent="0.25">
      <c r="A27" s="3" t="s">
        <v>22</v>
      </c>
      <c r="B27" s="3" t="s">
        <v>27</v>
      </c>
      <c r="C27" s="3">
        <v>0.23300000000000001</v>
      </c>
      <c r="D27" s="3">
        <v>1</v>
      </c>
      <c r="E27" s="3">
        <v>14.86</v>
      </c>
      <c r="F27" s="3">
        <f t="shared" si="0"/>
        <v>3.46238</v>
      </c>
    </row>
    <row r="28" spans="1:6" x14ac:dyDescent="0.25">
      <c r="A28" s="3" t="s">
        <v>28</v>
      </c>
      <c r="B28" s="3" t="s">
        <v>10</v>
      </c>
      <c r="C28" s="3">
        <v>2.5</v>
      </c>
      <c r="D28" s="3">
        <v>1</v>
      </c>
      <c r="E28" s="3">
        <v>12.38</v>
      </c>
      <c r="F28" s="3">
        <f t="shared" si="0"/>
        <v>30.950000000000003</v>
      </c>
    </row>
    <row r="29" spans="1:6" x14ac:dyDescent="0.25">
      <c r="A29" s="3" t="s">
        <v>29</v>
      </c>
      <c r="B29" s="3" t="s">
        <v>10</v>
      </c>
      <c r="C29" s="3">
        <v>2.66</v>
      </c>
      <c r="D29" s="3">
        <v>0.8</v>
      </c>
      <c r="E29" s="3">
        <v>18</v>
      </c>
      <c r="F29" s="3">
        <f t="shared" si="0"/>
        <v>38.304000000000002</v>
      </c>
    </row>
    <row r="30" spans="1:6" x14ac:dyDescent="0.25">
      <c r="A30" s="3" t="s">
        <v>29</v>
      </c>
      <c r="B30" s="3" t="s">
        <v>30</v>
      </c>
      <c r="C30" s="3">
        <v>1</v>
      </c>
      <c r="D30" s="3">
        <v>0.8</v>
      </c>
      <c r="E30" s="3">
        <v>18</v>
      </c>
      <c r="F30" s="3">
        <f t="shared" si="0"/>
        <v>14.4</v>
      </c>
    </row>
    <row r="31" spans="1:6" x14ac:dyDescent="0.25">
      <c r="A31" s="3" t="s">
        <v>31</v>
      </c>
      <c r="B31" s="3" t="s">
        <v>32</v>
      </c>
      <c r="C31" s="3">
        <v>0.35</v>
      </c>
      <c r="D31" s="3">
        <v>1</v>
      </c>
      <c r="E31" s="3">
        <v>11.37</v>
      </c>
      <c r="F31" s="3">
        <f t="shared" si="0"/>
        <v>3.9794999999999994</v>
      </c>
    </row>
    <row r="32" spans="1:6" x14ac:dyDescent="0.25">
      <c r="A32" s="3" t="s">
        <v>31</v>
      </c>
      <c r="B32" s="3" t="s">
        <v>33</v>
      </c>
      <c r="C32" s="3">
        <v>5.6</v>
      </c>
      <c r="D32" s="3">
        <v>1</v>
      </c>
      <c r="E32" s="3">
        <v>11.66</v>
      </c>
      <c r="F32" s="3">
        <f t="shared" si="0"/>
        <v>65.295999999999992</v>
      </c>
    </row>
    <row r="33" spans="1:6" x14ac:dyDescent="0.25">
      <c r="A33" s="3" t="s">
        <v>31</v>
      </c>
      <c r="B33" s="3" t="s">
        <v>34</v>
      </c>
      <c r="C33" s="3">
        <v>0.25</v>
      </c>
      <c r="D33" s="3">
        <v>1</v>
      </c>
      <c r="E33" s="3">
        <v>17</v>
      </c>
      <c r="F33" s="3">
        <f t="shared" si="0"/>
        <v>4.25</v>
      </c>
    </row>
    <row r="34" spans="1:6" x14ac:dyDescent="0.25">
      <c r="A34" s="3" t="s">
        <v>35</v>
      </c>
      <c r="B34" s="3" t="s">
        <v>32</v>
      </c>
      <c r="C34" s="3">
        <v>0.35</v>
      </c>
      <c r="D34" s="3">
        <v>0.8</v>
      </c>
      <c r="E34" s="3">
        <v>12.12</v>
      </c>
      <c r="F34" s="3">
        <f t="shared" si="0"/>
        <v>3.3935999999999993</v>
      </c>
    </row>
    <row r="35" spans="1:6" x14ac:dyDescent="0.25">
      <c r="A35" s="3" t="s">
        <v>35</v>
      </c>
      <c r="B35" s="3" t="s">
        <v>33</v>
      </c>
      <c r="C35" s="3">
        <v>3.91</v>
      </c>
      <c r="D35" s="3">
        <v>0.8</v>
      </c>
      <c r="E35" s="3">
        <v>10.9</v>
      </c>
      <c r="F35" s="3">
        <f t="shared" si="0"/>
        <v>34.095200000000006</v>
      </c>
    </row>
    <row r="36" spans="1:6" x14ac:dyDescent="0.25">
      <c r="A36" s="3" t="s">
        <v>35</v>
      </c>
      <c r="B36" s="3" t="s">
        <v>34</v>
      </c>
      <c r="C36" s="3">
        <v>0.25</v>
      </c>
      <c r="D36" s="3">
        <v>1</v>
      </c>
      <c r="E36" s="3">
        <v>12.56</v>
      </c>
      <c r="F36" s="3">
        <f t="shared" si="0"/>
        <v>3.14</v>
      </c>
    </row>
    <row r="37" spans="1:6" x14ac:dyDescent="0.25">
      <c r="A37" s="3" t="s">
        <v>36</v>
      </c>
      <c r="B37" s="3" t="s">
        <v>37</v>
      </c>
      <c r="C37" s="3">
        <v>0.25</v>
      </c>
      <c r="D37" s="3">
        <v>1</v>
      </c>
      <c r="E37" s="3">
        <v>6.43</v>
      </c>
      <c r="F37" s="3">
        <f t="shared" si="0"/>
        <v>1.6074999999999999</v>
      </c>
    </row>
    <row r="38" spans="1:6" x14ac:dyDescent="0.25">
      <c r="A38" s="3" t="s">
        <v>36</v>
      </c>
      <c r="B38" s="3" t="s">
        <v>38</v>
      </c>
      <c r="C38" s="3">
        <v>0.32</v>
      </c>
      <c r="D38" s="3">
        <v>0.8</v>
      </c>
      <c r="E38" s="3">
        <v>15.8</v>
      </c>
      <c r="F38" s="3">
        <f t="shared" si="0"/>
        <v>4.0448000000000004</v>
      </c>
    </row>
    <row r="39" spans="1:6" x14ac:dyDescent="0.25">
      <c r="A39" s="3" t="s">
        <v>39</v>
      </c>
      <c r="B39" s="3" t="s">
        <v>40</v>
      </c>
      <c r="C39" s="3">
        <v>1</v>
      </c>
      <c r="D39" s="3">
        <v>1</v>
      </c>
      <c r="E39" s="3">
        <v>12.8</v>
      </c>
      <c r="F39" s="3">
        <f t="shared" si="0"/>
        <v>12.8</v>
      </c>
    </row>
    <row r="40" spans="1:6" x14ac:dyDescent="0.25">
      <c r="A40" s="3" t="s">
        <v>41</v>
      </c>
      <c r="B40" s="3" t="s">
        <v>42</v>
      </c>
      <c r="C40" s="3">
        <v>1</v>
      </c>
      <c r="D40" s="3">
        <v>1</v>
      </c>
      <c r="E40" s="3">
        <v>15.48</v>
      </c>
      <c r="F40" s="3">
        <f t="shared" si="0"/>
        <v>15.48</v>
      </c>
    </row>
    <row r="41" spans="1:6" x14ac:dyDescent="0.25">
      <c r="A41" s="3" t="s">
        <v>43</v>
      </c>
      <c r="B41" s="3" t="s">
        <v>44</v>
      </c>
      <c r="C41" s="3">
        <v>2.1</v>
      </c>
      <c r="D41" s="3">
        <v>1</v>
      </c>
      <c r="E41" s="3">
        <v>15.9</v>
      </c>
      <c r="F41" s="3">
        <f t="shared" si="0"/>
        <v>33.39</v>
      </c>
    </row>
    <row r="42" spans="1:6" x14ac:dyDescent="0.25">
      <c r="A42" s="3" t="s">
        <v>45</v>
      </c>
      <c r="B42" s="3" t="s">
        <v>46</v>
      </c>
      <c r="C42" s="3">
        <v>0.75</v>
      </c>
      <c r="D42" s="3">
        <v>0.15</v>
      </c>
      <c r="E42" s="3">
        <v>17.5</v>
      </c>
      <c r="F42" s="3">
        <f t="shared" si="0"/>
        <v>1.9687499999999998</v>
      </c>
    </row>
    <row r="43" spans="1:6" x14ac:dyDescent="0.25">
      <c r="A43" s="3" t="s">
        <v>45</v>
      </c>
      <c r="B43" s="3" t="s">
        <v>44</v>
      </c>
      <c r="C43" s="3">
        <v>1.6</v>
      </c>
      <c r="D43" s="3">
        <v>0.6</v>
      </c>
      <c r="E43" s="3">
        <v>18.5</v>
      </c>
      <c r="F43" s="3">
        <f t="shared" si="0"/>
        <v>17.759999999999998</v>
      </c>
    </row>
    <row r="44" spans="1:6" x14ac:dyDescent="0.25">
      <c r="A44" s="3" t="s">
        <v>47</v>
      </c>
      <c r="B44" s="3" t="s">
        <v>44</v>
      </c>
      <c r="C44" s="3">
        <v>1.2</v>
      </c>
      <c r="D44" s="3">
        <v>0.6</v>
      </c>
      <c r="E44" s="3">
        <v>16.100000000000001</v>
      </c>
      <c r="F44" s="3">
        <f t="shared" si="0"/>
        <v>11.592000000000001</v>
      </c>
    </row>
    <row r="45" spans="1:6" x14ac:dyDescent="0.25">
      <c r="A45" s="3" t="s">
        <v>48</v>
      </c>
      <c r="B45" s="3" t="s">
        <v>44</v>
      </c>
      <c r="C45" s="3">
        <v>2.5</v>
      </c>
      <c r="D45" s="3">
        <v>0.6</v>
      </c>
      <c r="E45" s="3">
        <v>14.2</v>
      </c>
      <c r="F45" s="3">
        <f t="shared" si="0"/>
        <v>21.299999999999997</v>
      </c>
    </row>
    <row r="46" spans="1:6" x14ac:dyDescent="0.25">
      <c r="A46" s="3" t="s">
        <v>49</v>
      </c>
      <c r="B46" s="3" t="s">
        <v>50</v>
      </c>
      <c r="C46" s="3">
        <v>0.66</v>
      </c>
      <c r="D46" s="3">
        <v>0.09</v>
      </c>
      <c r="E46" s="3">
        <v>20.85</v>
      </c>
      <c r="F46" s="3">
        <f t="shared" si="0"/>
        <v>1.2384900000000001</v>
      </c>
    </row>
    <row r="47" spans="1:6" x14ac:dyDescent="0.25">
      <c r="A47" s="3" t="s">
        <v>51</v>
      </c>
      <c r="B47" s="3" t="s">
        <v>46</v>
      </c>
      <c r="C47" s="3">
        <v>1.58</v>
      </c>
      <c r="D47" s="3">
        <v>0.23</v>
      </c>
      <c r="E47" s="3">
        <v>14.55</v>
      </c>
      <c r="F47" s="3">
        <f t="shared" si="0"/>
        <v>5.2874700000000008</v>
      </c>
    </row>
    <row r="48" spans="1:6" x14ac:dyDescent="0.25">
      <c r="A48" s="3" t="s">
        <v>52</v>
      </c>
      <c r="B48" s="3" t="s">
        <v>53</v>
      </c>
      <c r="C48" s="3">
        <v>0.4</v>
      </c>
      <c r="D48" s="3">
        <v>0.9</v>
      </c>
      <c r="E48" s="3">
        <v>19.7</v>
      </c>
      <c r="F48" s="3">
        <f t="shared" si="0"/>
        <v>7.0920000000000005</v>
      </c>
    </row>
    <row r="49" spans="1:6" x14ac:dyDescent="0.25">
      <c r="A49" s="3" t="s">
        <v>54</v>
      </c>
      <c r="B49" s="3" t="s">
        <v>55</v>
      </c>
      <c r="C49" s="3">
        <v>1.2</v>
      </c>
      <c r="D49" s="3">
        <v>0.5</v>
      </c>
      <c r="E49" s="3">
        <v>12.8</v>
      </c>
      <c r="F49" s="3">
        <f t="shared" si="0"/>
        <v>7.68</v>
      </c>
    </row>
    <row r="50" spans="1:6" x14ac:dyDescent="0.25">
      <c r="A50" s="3" t="s">
        <v>56</v>
      </c>
      <c r="B50" s="3" t="s">
        <v>33</v>
      </c>
      <c r="C50" s="3">
        <v>0.3</v>
      </c>
      <c r="D50" s="3">
        <v>0.5</v>
      </c>
      <c r="E50" s="3">
        <v>13.7</v>
      </c>
      <c r="F50" s="3">
        <f t="shared" si="0"/>
        <v>2.0549999999999997</v>
      </c>
    </row>
    <row r="51" spans="1:6" x14ac:dyDescent="0.25">
      <c r="A51" s="3" t="s">
        <v>56</v>
      </c>
      <c r="B51" s="3" t="s">
        <v>32</v>
      </c>
      <c r="C51" s="3">
        <v>0.3</v>
      </c>
      <c r="D51" s="3">
        <v>0.5</v>
      </c>
      <c r="E51" s="3">
        <v>13.7</v>
      </c>
      <c r="F51" s="3">
        <f t="shared" si="0"/>
        <v>2.0549999999999997</v>
      </c>
    </row>
    <row r="52" spans="1:6" x14ac:dyDescent="0.25">
      <c r="A52" s="3" t="s">
        <v>57</v>
      </c>
      <c r="B52" s="3" t="s">
        <v>58</v>
      </c>
      <c r="C52" s="3">
        <v>0.45</v>
      </c>
      <c r="D52" s="3">
        <v>0.5</v>
      </c>
      <c r="E52" s="3">
        <v>12</v>
      </c>
      <c r="F52" s="3">
        <f t="shared" si="0"/>
        <v>2.7</v>
      </c>
    </row>
    <row r="53" spans="1:6" x14ac:dyDescent="0.25">
      <c r="A53" s="3" t="s">
        <v>59</v>
      </c>
      <c r="B53" s="3" t="s">
        <v>58</v>
      </c>
      <c r="C53" s="3">
        <v>0.45</v>
      </c>
      <c r="D53" s="3">
        <v>0.5</v>
      </c>
      <c r="E53" s="3">
        <v>12</v>
      </c>
      <c r="F53" s="3">
        <f t="shared" si="0"/>
        <v>2.7</v>
      </c>
    </row>
    <row r="54" spans="1:6" x14ac:dyDescent="0.25">
      <c r="A54" s="3" t="s">
        <v>60</v>
      </c>
      <c r="B54" s="3" t="s">
        <v>46</v>
      </c>
      <c r="C54" s="3">
        <v>1.2</v>
      </c>
      <c r="D54" s="3">
        <v>0.4</v>
      </c>
      <c r="E54" s="3">
        <v>16.844999999999999</v>
      </c>
      <c r="F54" s="3">
        <f t="shared" si="0"/>
        <v>8.0855999999999995</v>
      </c>
    </row>
    <row r="55" spans="1:6" x14ac:dyDescent="0.25">
      <c r="A55" s="3" t="s">
        <v>61</v>
      </c>
      <c r="B55" s="3" t="s">
        <v>50</v>
      </c>
      <c r="C55" s="3">
        <v>0</v>
      </c>
      <c r="D55" s="3">
        <v>0</v>
      </c>
      <c r="E55" s="3">
        <v>0</v>
      </c>
      <c r="F55" s="3">
        <f t="shared" si="0"/>
        <v>0</v>
      </c>
    </row>
    <row r="56" spans="1:6" x14ac:dyDescent="0.25">
      <c r="A56" s="3" t="s">
        <v>62</v>
      </c>
      <c r="B56" s="3" t="s">
        <v>46</v>
      </c>
      <c r="C56" s="3">
        <v>0.4</v>
      </c>
      <c r="D56" s="3">
        <v>0</v>
      </c>
      <c r="E56" s="3">
        <v>0</v>
      </c>
      <c r="F56" s="3">
        <f t="shared" si="0"/>
        <v>0</v>
      </c>
    </row>
    <row r="57" spans="1:6" x14ac:dyDescent="0.25">
      <c r="A57" s="3" t="s">
        <v>63</v>
      </c>
      <c r="B57" s="3" t="s">
        <v>44</v>
      </c>
      <c r="C57" s="3">
        <v>2.5</v>
      </c>
      <c r="D57" s="3">
        <v>0.38</v>
      </c>
      <c r="E57" s="3">
        <v>18.579999999999998</v>
      </c>
      <c r="F57" s="3">
        <f t="shared" si="0"/>
        <v>17.650999999999996</v>
      </c>
    </row>
    <row r="58" spans="1:6" x14ac:dyDescent="0.25">
      <c r="A58" s="3" t="s">
        <v>64</v>
      </c>
      <c r="B58" s="3" t="s">
        <v>44</v>
      </c>
      <c r="C58" s="3">
        <v>1.8</v>
      </c>
      <c r="D58" s="3">
        <v>0.38</v>
      </c>
      <c r="E58" s="3">
        <v>14.65</v>
      </c>
      <c r="F58" s="3">
        <f t="shared" si="0"/>
        <v>10.020600000000002</v>
      </c>
    </row>
    <row r="59" spans="1:6" x14ac:dyDescent="0.25">
      <c r="A59" s="3" t="s">
        <v>65</v>
      </c>
      <c r="B59" s="3" t="s">
        <v>44</v>
      </c>
      <c r="C59" s="3">
        <v>1</v>
      </c>
      <c r="D59" s="3">
        <v>0.38</v>
      </c>
      <c r="E59" s="3">
        <v>16.02</v>
      </c>
      <c r="F59" s="3">
        <f t="shared" si="0"/>
        <v>6.0876000000000001</v>
      </c>
    </row>
    <row r="60" spans="1:6" x14ac:dyDescent="0.25">
      <c r="A60" s="3" t="s">
        <v>66</v>
      </c>
      <c r="B60" s="3" t="s">
        <v>44</v>
      </c>
      <c r="C60" s="3">
        <v>1.1000000000000001</v>
      </c>
      <c r="D60" s="3">
        <v>0.38</v>
      </c>
      <c r="E60" s="3">
        <v>16.02</v>
      </c>
      <c r="F60" s="3">
        <f t="shared" si="0"/>
        <v>6.6963600000000003</v>
      </c>
    </row>
    <row r="61" spans="1:6" x14ac:dyDescent="0.25">
      <c r="A61" s="3" t="s">
        <v>67</v>
      </c>
      <c r="B61" s="3" t="s">
        <v>68</v>
      </c>
      <c r="C61" s="3">
        <v>0</v>
      </c>
      <c r="D61" s="3">
        <v>0</v>
      </c>
      <c r="E61" s="3">
        <v>0</v>
      </c>
      <c r="F61" s="3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F92F-04B1-41AB-90A7-3C0945530621}">
  <dimension ref="A1:C39"/>
  <sheetViews>
    <sheetView topLeftCell="A31" workbookViewId="0">
      <selection activeCell="G41" sqref="G41"/>
    </sheetView>
  </sheetViews>
  <sheetFormatPr defaultRowHeight="15" x14ac:dyDescent="0.25"/>
  <cols>
    <col min="1" max="1" width="21.85546875" bestFit="1" customWidth="1"/>
    <col min="2" max="2" width="21.85546875" customWidth="1"/>
    <col min="3" max="3" width="29.5703125" bestFit="1" customWidth="1"/>
  </cols>
  <sheetData>
    <row r="1" spans="1:3" x14ac:dyDescent="0.25">
      <c r="A1" t="s">
        <v>0</v>
      </c>
      <c r="B1" t="s">
        <v>106</v>
      </c>
      <c r="C1" t="s">
        <v>105</v>
      </c>
    </row>
    <row r="2" spans="1:3" x14ac:dyDescent="0.25">
      <c r="A2" t="s">
        <v>5</v>
      </c>
      <c r="B2" t="s">
        <v>71</v>
      </c>
      <c r="C2">
        <f>SUMIF(crop_residues_BEPMAT!A4:A61,'Intermediate calculation'!A2,crop_residues_BEPMAT!F4:F61)</f>
        <v>33.731990000000003</v>
      </c>
    </row>
    <row r="3" spans="1:3" x14ac:dyDescent="0.25">
      <c r="A3" t="s">
        <v>9</v>
      </c>
      <c r="B3" t="s">
        <v>100</v>
      </c>
      <c r="C3">
        <f>SUMIF(crop_residues_BEPMAT!A5:A62,'Intermediate calculation'!A3,crop_residues_BEPMAT!F5:F62)</f>
        <v>13.07439804</v>
      </c>
    </row>
    <row r="4" spans="1:3" x14ac:dyDescent="0.25">
      <c r="A4" t="s">
        <v>11</v>
      </c>
      <c r="B4" t="str">
        <f>VLOOKUP(A4,crop_codes!$A$2:$C$58,3,FALSE)</f>
        <v>SOR</v>
      </c>
      <c r="C4">
        <f>SUMIF(crop_residues_BEPMAT!A6:A63,'Intermediate calculation'!A4,crop_residues_BEPMAT!F6:F63)</f>
        <v>30.58</v>
      </c>
    </row>
    <row r="5" spans="1:3" x14ac:dyDescent="0.25">
      <c r="A5" t="s">
        <v>12</v>
      </c>
      <c r="B5" t="str">
        <f>VLOOKUP(A5,crop_codes!$A$2:$C$58,3,FALSE)</f>
        <v>MLT</v>
      </c>
      <c r="C5">
        <f>SUMIF(crop_residues_BEPMAT!A7:A64,'Intermediate calculation'!A5,crop_residues_BEPMAT!F7:F64)</f>
        <v>39.914000000000001</v>
      </c>
    </row>
    <row r="6" spans="1:3" x14ac:dyDescent="0.25">
      <c r="A6" t="s">
        <v>13</v>
      </c>
      <c r="B6" t="str">
        <f>VLOOKUP(A6,crop_codes!$A$2:$C$58,3,FALSE)</f>
        <v>WHE</v>
      </c>
      <c r="C6">
        <f>SUMIF(crop_residues_BEPMAT!A8:A65,'Intermediate calculation'!A6,crop_residues_BEPMAT!F8:F65)</f>
        <v>6.2892299999999999</v>
      </c>
    </row>
    <row r="7" spans="1:3" x14ac:dyDescent="0.25">
      <c r="A7" t="s">
        <v>14</v>
      </c>
      <c r="C7">
        <f>SUMIF(crop_residues_BEPMAT!A9:A66,'Intermediate calculation'!A7,crop_residues_BEPMAT!F9:F66)</f>
        <v>6.7947256600000001</v>
      </c>
    </row>
    <row r="8" spans="1:3" x14ac:dyDescent="0.25">
      <c r="A8" t="s">
        <v>16</v>
      </c>
      <c r="C8">
        <f>SUMIF(crop_residues_BEPMAT!A10:A67,'Intermediate calculation'!A8,crop_residues_BEPMAT!F10:F67)</f>
        <v>1.6976000000000002</v>
      </c>
    </row>
    <row r="9" spans="1:3" x14ac:dyDescent="0.25">
      <c r="A9" t="s">
        <v>17</v>
      </c>
      <c r="C9">
        <f>SUMIF(crop_residues_BEPMAT!A11:A68,'Intermediate calculation'!A9,crop_residues_BEPMAT!F11:F68)</f>
        <v>5.0927999999999995</v>
      </c>
    </row>
    <row r="10" spans="1:3" x14ac:dyDescent="0.25">
      <c r="A10" t="s">
        <v>18</v>
      </c>
      <c r="C10">
        <f>SUMIF(crop_residues_BEPMAT!A12:A69,'Intermediate calculation'!A10,crop_residues_BEPMAT!F12:F69)</f>
        <v>1.6976000000000002</v>
      </c>
    </row>
    <row r="11" spans="1:3" x14ac:dyDescent="0.25">
      <c r="A11" t="s">
        <v>19</v>
      </c>
      <c r="B11" s="3" t="s">
        <v>83</v>
      </c>
      <c r="C11">
        <f>SUMIF(crop_residues_BEPMAT!A13:A70,'Intermediate calculation'!A11,crop_residues_BEPMAT!F13:F70)</f>
        <v>6.3660000000000005</v>
      </c>
    </row>
    <row r="12" spans="1:3" x14ac:dyDescent="0.25">
      <c r="A12" t="s">
        <v>20</v>
      </c>
      <c r="B12" t="s">
        <v>103</v>
      </c>
      <c r="C12">
        <f>SUMIF(crop_residues_BEPMAT!A14:A71,'Intermediate calculation'!A12,crop_residues_BEPMAT!F14:F71)</f>
        <v>47.85611999999999</v>
      </c>
    </row>
    <row r="13" spans="1:3" x14ac:dyDescent="0.25">
      <c r="A13" t="s">
        <v>22</v>
      </c>
      <c r="B13" t="e">
        <f>VLOOKUP(A13,crop_codes!$A$2:$C$58,3,FALSE)</f>
        <v>#N/A</v>
      </c>
      <c r="C13">
        <f>SUMIF(crop_residues_BEPMAT!A15:A72,'Intermediate calculation'!A13,crop_residues_BEPMAT!F15:F72)</f>
        <v>36.488820000000004</v>
      </c>
    </row>
    <row r="14" spans="1:3" x14ac:dyDescent="0.25">
      <c r="A14" t="s">
        <v>28</v>
      </c>
      <c r="B14" t="e">
        <f>VLOOKUP(A14,crop_codes!$A$2:$C$58,3,FALSE)</f>
        <v>#N/A</v>
      </c>
      <c r="C14">
        <f>SUMIF(crop_residues_BEPMAT!A16:A73,'Intermediate calculation'!A14,crop_residues_BEPMAT!F16:F73)</f>
        <v>30.950000000000003</v>
      </c>
    </row>
    <row r="15" spans="1:3" x14ac:dyDescent="0.25">
      <c r="A15" t="s">
        <v>29</v>
      </c>
      <c r="B15" t="e">
        <f>VLOOKUP(A15,crop_codes!$A$2:$C$58,3,FALSE)</f>
        <v>#N/A</v>
      </c>
      <c r="C15">
        <f>SUMIF(crop_residues_BEPMAT!A17:A74,'Intermediate calculation'!A15,crop_residues_BEPMAT!F17:F74)</f>
        <v>52.704000000000001</v>
      </c>
    </row>
    <row r="16" spans="1:3" x14ac:dyDescent="0.25">
      <c r="A16" t="s">
        <v>31</v>
      </c>
      <c r="B16" t="e">
        <f>VLOOKUP(A16,crop_codes!$A$2:$C$58,3,FALSE)</f>
        <v>#N/A</v>
      </c>
      <c r="C16">
        <f>SUMIF(crop_residues_BEPMAT!A18:A75,'Intermediate calculation'!A16,crop_residues_BEPMAT!F18:F75)</f>
        <v>73.525499999999994</v>
      </c>
    </row>
    <row r="17" spans="1:3" x14ac:dyDescent="0.25">
      <c r="A17" t="s">
        <v>35</v>
      </c>
      <c r="B17" t="e">
        <f>VLOOKUP(A17,crop_codes!$A$2:$C$58,3,FALSE)</f>
        <v>#N/A</v>
      </c>
      <c r="C17">
        <f>SUMIF(crop_residues_BEPMAT!A19:A76,'Intermediate calculation'!A17,crop_residues_BEPMAT!F19:F76)</f>
        <v>40.628800000000005</v>
      </c>
    </row>
    <row r="18" spans="1:3" x14ac:dyDescent="0.25">
      <c r="A18" t="s">
        <v>36</v>
      </c>
      <c r="B18" t="str">
        <f>VLOOKUP(A18,crop_codes!$A$2:$C$58,3,FALSE)</f>
        <v>SGC</v>
      </c>
      <c r="C18">
        <f>SUMIF(crop_residues_BEPMAT!A20:A77,'Intermediate calculation'!A18,crop_residues_BEPMAT!F20:F77)</f>
        <v>5.6523000000000003</v>
      </c>
    </row>
    <row r="19" spans="1:3" x14ac:dyDescent="0.25">
      <c r="A19" t="s">
        <v>39</v>
      </c>
      <c r="B19" t="e">
        <f>VLOOKUP(A19,crop_codes!$A$2:$C$58,3,FALSE)</f>
        <v>#N/A</v>
      </c>
      <c r="C19">
        <f>SUMIF(crop_residues_BEPMAT!A21:A78,'Intermediate calculation'!A19,crop_residues_BEPMAT!F21:F78)</f>
        <v>12.8</v>
      </c>
    </row>
    <row r="20" spans="1:3" x14ac:dyDescent="0.25">
      <c r="A20" t="s">
        <v>41</v>
      </c>
      <c r="B20" t="e">
        <f>VLOOKUP(A20,crop_codes!$A$2:$C$58,3,FALSE)</f>
        <v>#N/A</v>
      </c>
      <c r="C20">
        <f>SUMIF(crop_residues_BEPMAT!A22:A79,'Intermediate calculation'!A20,crop_residues_BEPMAT!F22:F79)</f>
        <v>15.48</v>
      </c>
    </row>
    <row r="21" spans="1:3" x14ac:dyDescent="0.25">
      <c r="A21" t="s">
        <v>43</v>
      </c>
      <c r="B21" t="e">
        <f>VLOOKUP(A21,crop_codes!$A$2:$C$58,3,FALSE)</f>
        <v>#N/A</v>
      </c>
      <c r="C21">
        <f>SUMIF(crop_residues_BEPMAT!A23:A80,'Intermediate calculation'!A21,crop_residues_BEPMAT!F23:F80)</f>
        <v>33.39</v>
      </c>
    </row>
    <row r="22" spans="1:3" x14ac:dyDescent="0.25">
      <c r="A22" t="s">
        <v>45</v>
      </c>
      <c r="B22" t="str">
        <f>VLOOKUP(A22,crop_codes!$A$2:$C$58,3,FALSE)</f>
        <v>BRL</v>
      </c>
      <c r="C22">
        <f>SUMIF(crop_residues_BEPMAT!A24:A81,'Intermediate calculation'!A22,crop_residues_BEPMAT!F24:F81)</f>
        <v>19.728749999999998</v>
      </c>
    </row>
    <row r="23" spans="1:3" x14ac:dyDescent="0.25">
      <c r="A23" t="s">
        <v>47</v>
      </c>
      <c r="B23" t="e">
        <f>VLOOKUP(A23,crop_codes!$A$2:$C$58,3,FALSE)</f>
        <v>#N/A</v>
      </c>
      <c r="C23">
        <f>SUMIF(crop_residues_BEPMAT!A25:A82,'Intermediate calculation'!A23,crop_residues_BEPMAT!F25:F82)</f>
        <v>11.592000000000001</v>
      </c>
    </row>
    <row r="24" spans="1:3" x14ac:dyDescent="0.25">
      <c r="A24" t="s">
        <v>48</v>
      </c>
      <c r="B24" t="e">
        <f>VLOOKUP(A24,crop_codes!$A$2:$C$58,3,FALSE)</f>
        <v>#N/A</v>
      </c>
      <c r="C24">
        <f>SUMIF(crop_residues_BEPMAT!A26:A83,'Intermediate calculation'!A24,crop_residues_BEPMAT!F26:F83)</f>
        <v>21.299999999999997</v>
      </c>
    </row>
    <row r="25" spans="1:3" x14ac:dyDescent="0.25">
      <c r="A25" t="s">
        <v>49</v>
      </c>
      <c r="B25" t="e">
        <f>VLOOKUP(A25,crop_codes!$A$2:$C$58,3,FALSE)</f>
        <v>#N/A</v>
      </c>
      <c r="C25">
        <f>SUMIF(crop_residues_BEPMAT!A27:A84,'Intermediate calculation'!A25,crop_residues_BEPMAT!F27:F84)</f>
        <v>1.2384900000000001</v>
      </c>
    </row>
    <row r="26" spans="1:3" x14ac:dyDescent="0.25">
      <c r="A26" t="s">
        <v>51</v>
      </c>
      <c r="B26" t="e">
        <f>VLOOKUP(A26,crop_codes!$A$2:$C$58,3,FALSE)</f>
        <v>#N/A</v>
      </c>
      <c r="C26">
        <f>SUMIF(crop_residues_BEPMAT!A28:A85,'Intermediate calculation'!A26,crop_residues_BEPMAT!F28:F85)</f>
        <v>5.2874700000000008</v>
      </c>
    </row>
    <row r="27" spans="1:3" x14ac:dyDescent="0.25">
      <c r="A27" t="s">
        <v>52</v>
      </c>
      <c r="B27" t="str">
        <f>VLOOKUP(A27,crop_codes!$A$2:$C$58,3,FALSE)</f>
        <v>OLI</v>
      </c>
      <c r="C27">
        <f>SUMIF(crop_residues_BEPMAT!A29:A86,'Intermediate calculation'!A27,crop_residues_BEPMAT!F29:F86)</f>
        <v>7.0920000000000005</v>
      </c>
    </row>
    <row r="28" spans="1:3" x14ac:dyDescent="0.25">
      <c r="A28" t="s">
        <v>54</v>
      </c>
      <c r="B28" t="e">
        <f>VLOOKUP(A28,crop_codes!$A$2:$C$58,3,FALSE)</f>
        <v>#N/A</v>
      </c>
      <c r="C28">
        <f>SUMIF(crop_residues_BEPMAT!A30:A87,'Intermediate calculation'!A28,crop_residues_BEPMAT!F30:F87)</f>
        <v>7.68</v>
      </c>
    </row>
    <row r="29" spans="1:3" x14ac:dyDescent="0.25">
      <c r="A29" t="s">
        <v>56</v>
      </c>
      <c r="B29" t="str">
        <f>VLOOKUP(A29,crop_codes!$A$2:$C$58,3,FALSE)</f>
        <v>TOM</v>
      </c>
      <c r="C29">
        <f>SUMIF(crop_residues_BEPMAT!A31:A88,'Intermediate calculation'!A29,crop_residues_BEPMAT!F31:F88)</f>
        <v>4.1099999999999994</v>
      </c>
    </row>
    <row r="30" spans="1:3" x14ac:dyDescent="0.25">
      <c r="A30" t="s">
        <v>57</v>
      </c>
      <c r="B30" t="e">
        <f>VLOOKUP(A30,crop_codes!$A$2:$C$58,3,FALSE)</f>
        <v>#N/A</v>
      </c>
      <c r="C30">
        <f>SUMIF(crop_residues_BEPMAT!A32:A89,'Intermediate calculation'!A30,crop_residues_BEPMAT!F32:F89)</f>
        <v>2.7</v>
      </c>
    </row>
    <row r="31" spans="1:3" x14ac:dyDescent="0.25">
      <c r="A31" t="s">
        <v>59</v>
      </c>
      <c r="B31" t="e">
        <f>VLOOKUP(A31,crop_codes!$A$2:$C$58,3,FALSE)</f>
        <v>#N/A</v>
      </c>
      <c r="C31">
        <f>SUMIF(crop_residues_BEPMAT!A33:A90,'Intermediate calculation'!A31,crop_residues_BEPMAT!F33:F90)</f>
        <v>2.7</v>
      </c>
    </row>
    <row r="32" spans="1:3" x14ac:dyDescent="0.25">
      <c r="A32" t="s">
        <v>60</v>
      </c>
      <c r="B32" t="e">
        <f>VLOOKUP(A32,crop_codes!$A$2:$C$58,3,FALSE)</f>
        <v>#N/A</v>
      </c>
      <c r="C32">
        <f>SUMIF(crop_residues_BEPMAT!A34:A91,'Intermediate calculation'!A32,crop_residues_BEPMAT!F34:F91)</f>
        <v>8.0855999999999995</v>
      </c>
    </row>
    <row r="33" spans="1:3" x14ac:dyDescent="0.25">
      <c r="A33" t="s">
        <v>61</v>
      </c>
      <c r="B33" t="e">
        <f>VLOOKUP(A33,crop_codes!$A$2:$C$58,3,FALSE)</f>
        <v>#N/A</v>
      </c>
      <c r="C33">
        <f>SUMIF(crop_residues_BEPMAT!A35:A92,'Intermediate calculation'!A33,crop_residues_BEPMAT!F35:F92)</f>
        <v>0</v>
      </c>
    </row>
    <row r="34" spans="1:3" x14ac:dyDescent="0.25">
      <c r="A34" t="s">
        <v>62</v>
      </c>
      <c r="B34" t="e">
        <f>VLOOKUP(A34,crop_codes!$A$2:$C$58,3,FALSE)</f>
        <v>#N/A</v>
      </c>
      <c r="C34">
        <f>SUMIF(crop_residues_BEPMAT!A36:A93,'Intermediate calculation'!A34,crop_residues_BEPMAT!F36:F93)</f>
        <v>0</v>
      </c>
    </row>
    <row r="35" spans="1:3" x14ac:dyDescent="0.25">
      <c r="A35" t="s">
        <v>63</v>
      </c>
      <c r="B35" t="e">
        <f>VLOOKUP(A35,crop_codes!$A$2:$C$58,3,FALSE)</f>
        <v>#N/A</v>
      </c>
      <c r="C35">
        <f>SUMIF(crop_residues_BEPMAT!A37:A94,'Intermediate calculation'!A35,crop_residues_BEPMAT!F37:F94)</f>
        <v>17.650999999999996</v>
      </c>
    </row>
    <row r="36" spans="1:3" x14ac:dyDescent="0.25">
      <c r="A36" t="s">
        <v>64</v>
      </c>
      <c r="B36" t="e">
        <f>VLOOKUP(A36,crop_codes!$A$2:$C$58,3,FALSE)</f>
        <v>#N/A</v>
      </c>
      <c r="C36">
        <f>SUMIF(crop_residues_BEPMAT!A38:A95,'Intermediate calculation'!A36,crop_residues_BEPMAT!F38:F95)</f>
        <v>10.020600000000002</v>
      </c>
    </row>
    <row r="37" spans="1:3" x14ac:dyDescent="0.25">
      <c r="A37" t="s">
        <v>65</v>
      </c>
      <c r="B37" t="e">
        <f>VLOOKUP(A37,crop_codes!$A$2:$C$58,3,FALSE)</f>
        <v>#N/A</v>
      </c>
      <c r="C37">
        <f>SUMIF(crop_residues_BEPMAT!A39:A96,'Intermediate calculation'!A37,crop_residues_BEPMAT!F39:F96)</f>
        <v>6.0876000000000001</v>
      </c>
    </row>
    <row r="38" spans="1:3" x14ac:dyDescent="0.25">
      <c r="A38" t="s">
        <v>66</v>
      </c>
      <c r="B38" t="str">
        <f>VLOOKUP(A38,crop_codes!$A$2:$C$58,3,FALSE)</f>
        <v>GRM</v>
      </c>
      <c r="C38">
        <f>SUMIF(crop_residues_BEPMAT!A40:A97,'Intermediate calculation'!A38,crop_residues_BEPMAT!F40:F97)</f>
        <v>6.6963600000000003</v>
      </c>
    </row>
    <row r="39" spans="1:3" x14ac:dyDescent="0.25">
      <c r="A39" t="s">
        <v>67</v>
      </c>
      <c r="B39" t="e">
        <f>VLOOKUP(A39,crop_codes!$A$2:$C$58,3,FALSE)</f>
        <v>#N/A</v>
      </c>
      <c r="C39">
        <f>SUMIF(crop_residues_BEPMAT!A41:A98,'Intermediate calculation'!A39,crop_residues_BEPMAT!F41:F98)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4C77-DE95-4586-A95A-EE722E6174EE}">
  <dimension ref="A1:F7"/>
  <sheetViews>
    <sheetView workbookViewId="0">
      <selection activeCell="D14" sqref="D13:D14"/>
    </sheetView>
  </sheetViews>
  <sheetFormatPr defaultRowHeight="15" x14ac:dyDescent="0.25"/>
  <cols>
    <col min="1" max="1" width="39.85546875" bestFit="1" customWidth="1"/>
    <col min="2" max="2" width="29.28515625" bestFit="1" customWidth="1"/>
    <col min="3" max="3" width="30.7109375" bestFit="1" customWidth="1"/>
    <col min="4" max="4" width="20.140625" bestFit="1" customWidth="1"/>
    <col min="5" max="5" width="19.28515625" bestFit="1" customWidth="1"/>
    <col min="6" max="6" width="96.7109375" bestFit="1" customWidth="1"/>
  </cols>
  <sheetData>
    <row r="1" spans="1:6" x14ac:dyDescent="0.25">
      <c r="A1" s="4" t="s">
        <v>288</v>
      </c>
      <c r="B1" s="4" t="s">
        <v>289</v>
      </c>
      <c r="C1" s="4" t="s">
        <v>290</v>
      </c>
      <c r="D1" s="4" t="s">
        <v>291</v>
      </c>
      <c r="E1" s="4" t="s">
        <v>322</v>
      </c>
      <c r="F1" s="4" t="s">
        <v>292</v>
      </c>
    </row>
    <row r="2" spans="1:6" x14ac:dyDescent="0.25">
      <c r="A2" t="s">
        <v>293</v>
      </c>
      <c r="B2">
        <v>1.8</v>
      </c>
      <c r="C2">
        <v>0.35</v>
      </c>
      <c r="D2">
        <v>13.7</v>
      </c>
      <c r="E2">
        <f>D2*C2*B2</f>
        <v>8.6309999999999985</v>
      </c>
      <c r="F2" t="s">
        <v>325</v>
      </c>
    </row>
    <row r="3" spans="1:6" x14ac:dyDescent="0.25">
      <c r="A3" t="s">
        <v>294</v>
      </c>
      <c r="B3">
        <v>1.3</v>
      </c>
      <c r="C3">
        <v>0.375</v>
      </c>
      <c r="D3">
        <v>13.97</v>
      </c>
      <c r="E3">
        <f t="shared" ref="E3:E7" si="0">D3*C3*B3</f>
        <v>6.8103750000000005</v>
      </c>
      <c r="F3" t="s">
        <v>295</v>
      </c>
    </row>
    <row r="4" spans="1:6" x14ac:dyDescent="0.25">
      <c r="A4" t="s">
        <v>296</v>
      </c>
      <c r="B4">
        <v>2</v>
      </c>
      <c r="C4">
        <v>0.375</v>
      </c>
      <c r="D4">
        <v>13.22</v>
      </c>
      <c r="E4">
        <f t="shared" si="0"/>
        <v>9.9150000000000009</v>
      </c>
      <c r="F4" t="s">
        <v>324</v>
      </c>
    </row>
    <row r="5" spans="1:6" x14ac:dyDescent="0.25">
      <c r="A5" t="s">
        <v>297</v>
      </c>
      <c r="B5">
        <v>1.5</v>
      </c>
      <c r="C5">
        <v>0.375</v>
      </c>
      <c r="D5">
        <v>12.81</v>
      </c>
      <c r="E5">
        <f t="shared" si="0"/>
        <v>7.2056249999999995</v>
      </c>
      <c r="F5" t="s">
        <v>323</v>
      </c>
    </row>
    <row r="6" spans="1:6" x14ac:dyDescent="0.25">
      <c r="A6" t="s">
        <v>298</v>
      </c>
      <c r="C6">
        <v>0.47499999999999998</v>
      </c>
      <c r="D6">
        <v>19.86</v>
      </c>
      <c r="E6">
        <f t="shared" si="0"/>
        <v>0</v>
      </c>
      <c r="F6" t="s">
        <v>299</v>
      </c>
    </row>
    <row r="7" spans="1:6" x14ac:dyDescent="0.25">
      <c r="A7" t="s">
        <v>300</v>
      </c>
      <c r="B7">
        <v>0.5</v>
      </c>
      <c r="C7">
        <v>1</v>
      </c>
      <c r="D7">
        <v>20</v>
      </c>
      <c r="E7">
        <f t="shared" si="0"/>
        <v>10</v>
      </c>
      <c r="F7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crop_codes</vt:lpstr>
      <vt:lpstr>Crop_residue_biomass potential</vt:lpstr>
      <vt:lpstr>crop_residues_BEPMAT</vt:lpstr>
      <vt:lpstr>Intermediate calculation</vt:lpstr>
      <vt:lpstr>Non BEPMAT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2025-10-06T13:23:17Z</dcterms:created>
  <dcterms:modified xsi:type="dcterms:W3CDTF">2025-11-25T19:21:30Z</dcterms:modified>
</cp:coreProperties>
</file>