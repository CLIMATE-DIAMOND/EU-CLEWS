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27930B54-E8B7-4C90-B264-2EB6C54F6E44}" xr6:coauthVersionLast="47" xr6:coauthVersionMax="47" xr10:uidLastSave="{00000000-0000-0000-0000-000000000000}"/>
  <bookViews>
    <workbookView xWindow="30705" yWindow="3510" windowWidth="21600" windowHeight="11205" activeTab="1" xr2:uid="{C3EC4E9E-787A-4263-90A0-294FB78A34EC}"/>
  </bookViews>
  <sheets>
    <sheet name="forest biomass" sheetId="1" r:id="rId1"/>
    <sheet name="Area of for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I3" i="1"/>
  <c r="I4" i="1"/>
  <c r="J4" i="1" s="1"/>
  <c r="I5" i="1"/>
  <c r="J5" i="1" s="1"/>
  <c r="I6" i="1"/>
  <c r="I7" i="1"/>
  <c r="J7" i="1" s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I28" i="1"/>
  <c r="J28" i="1" s="1"/>
  <c r="I2" i="1"/>
  <c r="G28" i="1"/>
  <c r="H28" i="1" s="1"/>
  <c r="K28" i="1" s="1"/>
  <c r="G27" i="1"/>
  <c r="H27" i="1" s="1"/>
  <c r="K27" i="1" s="1"/>
  <c r="G26" i="1"/>
  <c r="H26" i="1" s="1"/>
  <c r="K26" i="1" s="1"/>
  <c r="G25" i="1"/>
  <c r="H25" i="1" s="1"/>
  <c r="K25" i="1" s="1"/>
  <c r="G24" i="1"/>
  <c r="H24" i="1" s="1"/>
  <c r="K24" i="1" s="1"/>
  <c r="G23" i="1"/>
  <c r="H23" i="1" s="1"/>
  <c r="K23" i="1" s="1"/>
  <c r="G22" i="1"/>
  <c r="H22" i="1" s="1"/>
  <c r="K22" i="1" s="1"/>
  <c r="G21" i="1"/>
  <c r="H21" i="1" s="1"/>
  <c r="K21" i="1" s="1"/>
  <c r="G20" i="1"/>
  <c r="H20" i="1" s="1"/>
  <c r="K20" i="1" s="1"/>
  <c r="G19" i="1"/>
  <c r="H19" i="1" s="1"/>
  <c r="K19" i="1" s="1"/>
  <c r="G18" i="1"/>
  <c r="H18" i="1" s="1"/>
  <c r="K18" i="1" s="1"/>
  <c r="G17" i="1"/>
  <c r="H17" i="1" s="1"/>
  <c r="K17" i="1" s="1"/>
  <c r="G16" i="1"/>
  <c r="H16" i="1" s="1"/>
  <c r="K16" i="1" s="1"/>
  <c r="G15" i="1"/>
  <c r="H15" i="1" s="1"/>
  <c r="K15" i="1" s="1"/>
  <c r="G14" i="1"/>
  <c r="H14" i="1" s="1"/>
  <c r="K14" i="1" s="1"/>
  <c r="G13" i="1"/>
  <c r="H13" i="1" s="1"/>
  <c r="K13" i="1" s="1"/>
  <c r="G12" i="1"/>
  <c r="H12" i="1" s="1"/>
  <c r="K12" i="1" s="1"/>
  <c r="G11" i="1"/>
  <c r="H11" i="1" s="1"/>
  <c r="K11" i="1" s="1"/>
  <c r="G10" i="1"/>
  <c r="H10" i="1" s="1"/>
  <c r="K10" i="1" s="1"/>
  <c r="G9" i="1"/>
  <c r="H9" i="1" s="1"/>
  <c r="K9" i="1" s="1"/>
  <c r="G8" i="1"/>
  <c r="H8" i="1" s="1"/>
  <c r="K8" i="1" s="1"/>
  <c r="G7" i="1"/>
  <c r="H7" i="1" s="1"/>
  <c r="K7" i="1" s="1"/>
  <c r="G6" i="1"/>
  <c r="H6" i="1" s="1"/>
  <c r="K6" i="1" s="1"/>
  <c r="G5" i="1"/>
  <c r="H5" i="1" s="1"/>
  <c r="K5" i="1" s="1"/>
  <c r="G4" i="1"/>
  <c r="H4" i="1" s="1"/>
  <c r="K4" i="1" s="1"/>
  <c r="G3" i="1"/>
  <c r="H3" i="1" s="1"/>
  <c r="K3" i="1" s="1"/>
  <c r="H2" i="1"/>
  <c r="J2" i="1" s="1"/>
  <c r="J6" i="1" l="1"/>
  <c r="J27" i="1"/>
  <c r="J11" i="1"/>
  <c r="J19" i="1"/>
  <c r="J3" i="1"/>
  <c r="K2" i="1"/>
</calcChain>
</file>

<file path=xl/sharedStrings.xml><?xml version="1.0" encoding="utf-8"?>
<sst xmlns="http://schemas.openxmlformats.org/spreadsheetml/2006/main" count="68" uniqueCount="41">
  <si>
    <t>Biomass OAR Forests</t>
  </si>
  <si>
    <t xml:space="preserve">Country </t>
  </si>
  <si>
    <t>NAI</t>
  </si>
  <si>
    <t>Wood density (stem)</t>
  </si>
  <si>
    <t>LHV</t>
  </si>
  <si>
    <t>AF</t>
  </si>
  <si>
    <t>SUM (GJ/ha/year)</t>
  </si>
  <si>
    <t>Conversion PJ/1000km²/year</t>
  </si>
  <si>
    <t>Austria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</si>
  <si>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</si>
  <si>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</si>
  <si>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</si>
  <si>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</si>
  <si>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</si>
  <si>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</si>
  <si>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</si>
  <si>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</si>
  <si>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</si>
  <si>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</si>
  <si>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</si>
  <si>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</si>
  <si>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</si>
  <si>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</si>
  <si>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</si>
  <si>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</si>
  <si>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</si>
  <si>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</si>
  <si>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</si>
  <si>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</si>
  <si>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</si>
  <si>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</si>
  <si>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</si>
  <si>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</si>
  <si>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Lithuania</t>
  </si>
  <si>
    <t>Czechia</t>
  </si>
  <si>
    <t>Woodland (1000 sq km)</t>
  </si>
  <si>
    <t>EU27</t>
  </si>
  <si>
    <t>Country</t>
  </si>
  <si>
    <t>Forested area (1000 sqkm)</t>
  </si>
  <si>
    <t>total energy (Mtoe)</t>
  </si>
  <si>
    <t>WOD (PJ)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</si>
</sst>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16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164" fontId="0" fillId="0" borderId="2" xfId="0" applyNumberForma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43" fontId="0" fillId="0" borderId="1" xfId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F357-8DEC-44A4-A1E3-EB8D884F6C98}">
  <dimension ref="A1:K29"/>
  <sheetViews>
    <sheetView topLeftCell="B1" workbookViewId="0">
      <selection activeCell="J8" sqref="J8"/>
    </sheetView>
  </sheetViews>
  <sheetFormatPr defaultRowHeight="15" x14ac:dyDescent="0.25"/>
  <cols>
    <col min="1" max="1" width="0" hidden="1" customWidth="1"/>
    <col min="3" max="3" width="6.85546875" bestFit="1" customWidth="1"/>
    <col min="4" max="4" width="19.5703125" bestFit="1" customWidth="1"/>
    <col min="5" max="5" width="4.42578125" bestFit="1" customWidth="1"/>
    <col min="6" max="6" width="4" bestFit="1" customWidth="1"/>
    <col min="7" max="7" width="16.140625" bestFit="1" customWidth="1"/>
    <col min="8" max="8" width="29.140625" customWidth="1"/>
    <col min="9" max="9" width="24.140625" bestFit="1" customWidth="1"/>
    <col min="10" max="10" width="17.85546875" bestFit="1" customWidth="1"/>
    <col min="11" max="11" width="12" style="2" bestFit="1" customWidth="1"/>
  </cols>
  <sheetData>
    <row r="1" spans="1:11" ht="45" x14ac:dyDescent="0.25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38</v>
      </c>
      <c r="J1" s="12" t="s">
        <v>39</v>
      </c>
      <c r="K1" s="13" t="s">
        <v>40</v>
      </c>
    </row>
    <row r="2" spans="1:11" x14ac:dyDescent="0.25">
      <c r="B2" s="6" t="s">
        <v>8</v>
      </c>
      <c r="C2" s="9">
        <v>7.19</v>
      </c>
      <c r="D2" s="9">
        <v>0.41</v>
      </c>
      <c r="E2" s="9">
        <v>19</v>
      </c>
      <c r="F2" s="9">
        <v>0.3</v>
      </c>
      <c r="G2" s="9">
        <f>SUM(C2*D2*E2*F2)</f>
        <v>16.80303</v>
      </c>
      <c r="H2" s="9">
        <f>ROUND(SUM(G2*0.1),3)</f>
        <v>1.68</v>
      </c>
      <c r="I2" s="9">
        <f>VLOOKUP(B2,'Area of forests'!$A$2:$B$29,2,FALSE)</f>
        <v>36.301000000000002</v>
      </c>
      <c r="J2" s="9">
        <f>ROUND(I2*H2*23884.6/1000000,3)</f>
        <v>1.4570000000000001</v>
      </c>
      <c r="K2" s="8">
        <f>H2*I2</f>
        <v>60.985680000000002</v>
      </c>
    </row>
    <row r="3" spans="1:11" x14ac:dyDescent="0.25">
      <c r="B3" s="6" t="s">
        <v>9</v>
      </c>
      <c r="C3" s="9">
        <v>7.99</v>
      </c>
      <c r="D3" s="9">
        <v>0.46660000000000001</v>
      </c>
      <c r="E3" s="9">
        <v>19</v>
      </c>
      <c r="F3" s="9">
        <v>0.3</v>
      </c>
      <c r="G3" s="9">
        <f t="shared" ref="G3:G28" si="0">SUM(C3*D3*E3*F3)</f>
        <v>21.250363799999999</v>
      </c>
      <c r="H3" s="9">
        <f t="shared" ref="H3:H28" si="1">ROUND(SUM(G3*0.1),3)</f>
        <v>2.125</v>
      </c>
      <c r="I3" s="9">
        <f>VLOOKUP(B3,'Area of forests'!$A$2:$B$29,2,FALSE)</f>
        <v>8.1129999999999995</v>
      </c>
      <c r="J3" s="9">
        <f t="shared" ref="J3:J28" si="2">ROUND(I3*H3*23884.6/1000000,3)</f>
        <v>0.41199999999999998</v>
      </c>
      <c r="K3" s="8">
        <f t="shared" ref="K3:K28" si="3">H3*I3</f>
        <v>17.240124999999999</v>
      </c>
    </row>
    <row r="4" spans="1:11" x14ac:dyDescent="0.25">
      <c r="B4" s="6" t="s">
        <v>10</v>
      </c>
      <c r="C4" s="9">
        <v>3.65</v>
      </c>
      <c r="D4" s="9">
        <v>0.53959999999999997</v>
      </c>
      <c r="E4" s="9">
        <v>19</v>
      </c>
      <c r="F4" s="9">
        <v>0.3</v>
      </c>
      <c r="G4" s="9">
        <f t="shared" si="0"/>
        <v>11.226377999999999</v>
      </c>
      <c r="H4" s="9">
        <f t="shared" si="1"/>
        <v>1.123</v>
      </c>
      <c r="I4" s="9">
        <f>VLOOKUP(B4,'Area of forests'!$A$2:$B$29,2,FALSE)</f>
        <v>48.914999999999999</v>
      </c>
      <c r="J4" s="9">
        <f t="shared" si="2"/>
        <v>1.3120000000000001</v>
      </c>
      <c r="K4" s="8">
        <f t="shared" si="3"/>
        <v>54.931545</v>
      </c>
    </row>
    <row r="5" spans="1:11" x14ac:dyDescent="0.25">
      <c r="B5" s="7" t="s">
        <v>11</v>
      </c>
      <c r="C5" s="9">
        <v>4.6399999999999997</v>
      </c>
      <c r="D5" s="9">
        <v>0.6179</v>
      </c>
      <c r="E5" s="9">
        <v>19</v>
      </c>
      <c r="F5" s="9">
        <v>0.3</v>
      </c>
      <c r="G5" s="9">
        <f t="shared" si="0"/>
        <v>16.342219199999999</v>
      </c>
      <c r="H5" s="9">
        <f t="shared" si="1"/>
        <v>1.6339999999999999</v>
      </c>
      <c r="I5" s="9">
        <f>VLOOKUP(B5,'Area of forests'!$A$2:$B$29,2,FALSE)</f>
        <v>27.225999999999999</v>
      </c>
      <c r="J5" s="9">
        <f t="shared" si="2"/>
        <v>1.0629999999999999</v>
      </c>
      <c r="K5" s="8">
        <f t="shared" si="3"/>
        <v>44.487283999999995</v>
      </c>
    </row>
    <row r="6" spans="1:11" x14ac:dyDescent="0.25">
      <c r="B6" s="7" t="s">
        <v>12</v>
      </c>
      <c r="C6" s="9">
        <v>1.1299999999999999</v>
      </c>
      <c r="D6" s="9">
        <v>0.5171</v>
      </c>
      <c r="E6" s="9">
        <v>19</v>
      </c>
      <c r="F6" s="9">
        <v>0.3</v>
      </c>
      <c r="G6" s="9">
        <f t="shared" si="0"/>
        <v>3.3306410999999998</v>
      </c>
      <c r="H6" s="9">
        <f t="shared" si="1"/>
        <v>0.33300000000000002</v>
      </c>
      <c r="I6" s="9">
        <f>VLOOKUP(B6,'Area of forests'!$A$2:$B$29,2,FALSE)</f>
        <v>2.2240000000000002</v>
      </c>
      <c r="J6" s="9">
        <f t="shared" si="2"/>
        <v>1.7999999999999999E-2</v>
      </c>
      <c r="K6" s="8">
        <f t="shared" si="3"/>
        <v>0.74059200000000014</v>
      </c>
    </row>
    <row r="7" spans="1:11" x14ac:dyDescent="0.25">
      <c r="B7" s="7" t="s">
        <v>34</v>
      </c>
      <c r="C7" s="9">
        <v>7.91</v>
      </c>
      <c r="D7" s="9">
        <v>0.51180000000000003</v>
      </c>
      <c r="E7" s="9">
        <v>19</v>
      </c>
      <c r="F7" s="9">
        <v>0.3</v>
      </c>
      <c r="G7" s="9">
        <f t="shared" si="0"/>
        <v>23.0755266</v>
      </c>
      <c r="H7" s="9">
        <f t="shared" si="1"/>
        <v>2.3079999999999998</v>
      </c>
      <c r="I7" s="9">
        <f>VLOOKUP(B7,'Area of forests'!$A$2:$B$29,2,FALSE)</f>
        <v>30.234000000000002</v>
      </c>
      <c r="J7" s="9">
        <f t="shared" si="2"/>
        <v>1.667</v>
      </c>
      <c r="K7" s="8">
        <f t="shared" si="3"/>
        <v>69.780072000000004</v>
      </c>
    </row>
    <row r="8" spans="1:11" x14ac:dyDescent="0.25">
      <c r="B8" s="7" t="s">
        <v>13</v>
      </c>
      <c r="C8" s="11">
        <v>10.68</v>
      </c>
      <c r="D8" s="9">
        <v>0.52059999999999995</v>
      </c>
      <c r="E8" s="9">
        <v>19</v>
      </c>
      <c r="F8" s="9">
        <v>0.3</v>
      </c>
      <c r="G8" s="9">
        <f t="shared" si="0"/>
        <v>31.692045599999993</v>
      </c>
      <c r="H8" s="9">
        <f t="shared" si="1"/>
        <v>3.169</v>
      </c>
      <c r="I8" s="9">
        <f>VLOOKUP(B8,'Area of forests'!$A$2:$B$29,2,FALSE)</f>
        <v>8.5869999999999997</v>
      </c>
      <c r="J8" s="9">
        <f t="shared" si="2"/>
        <v>0.65</v>
      </c>
      <c r="K8" s="8">
        <f t="shared" si="3"/>
        <v>27.212202999999999</v>
      </c>
    </row>
    <row r="9" spans="1:11" x14ac:dyDescent="0.25">
      <c r="B9" s="7" t="s">
        <v>14</v>
      </c>
      <c r="C9" s="9">
        <v>5.62</v>
      </c>
      <c r="D9" s="9">
        <v>0.47660000000000002</v>
      </c>
      <c r="E9" s="9">
        <v>19</v>
      </c>
      <c r="F9" s="9">
        <v>0.3</v>
      </c>
      <c r="G9" s="9">
        <f t="shared" si="0"/>
        <v>15.267404400000002</v>
      </c>
      <c r="H9" s="9">
        <f t="shared" si="1"/>
        <v>1.5269999999999999</v>
      </c>
      <c r="I9" s="9">
        <f>VLOOKUP(B9,'Area of forests'!$A$2:$B$29,2,FALSE)</f>
        <v>26.277000000000001</v>
      </c>
      <c r="J9" s="9">
        <f t="shared" si="2"/>
        <v>0.95799999999999996</v>
      </c>
      <c r="K9" s="8">
        <f t="shared" si="3"/>
        <v>40.124978999999996</v>
      </c>
    </row>
    <row r="10" spans="1:11" x14ac:dyDescent="0.25">
      <c r="B10" s="7" t="s">
        <v>15</v>
      </c>
      <c r="C10" s="9">
        <v>4.09</v>
      </c>
      <c r="D10" s="9">
        <v>0.47610000000000002</v>
      </c>
      <c r="E10" s="9">
        <v>19</v>
      </c>
      <c r="F10" s="9">
        <v>0.3</v>
      </c>
      <c r="G10" s="9">
        <f t="shared" si="0"/>
        <v>11.099319299999999</v>
      </c>
      <c r="H10" s="9">
        <f t="shared" si="1"/>
        <v>1.1100000000000001</v>
      </c>
      <c r="I10" s="9">
        <f>VLOOKUP(B10,'Area of forests'!$A$2:$B$29,2,FALSE)</f>
        <v>220.637</v>
      </c>
      <c r="J10" s="9">
        <f t="shared" si="2"/>
        <v>5.85</v>
      </c>
      <c r="K10" s="8">
        <f t="shared" si="3"/>
        <v>244.90707000000003</v>
      </c>
    </row>
    <row r="11" spans="1:11" x14ac:dyDescent="0.25">
      <c r="B11" s="7" t="s">
        <v>16</v>
      </c>
      <c r="C11" s="9">
        <v>5.31</v>
      </c>
      <c r="D11" s="9">
        <v>0.53139999999999998</v>
      </c>
      <c r="E11" s="9">
        <v>19</v>
      </c>
      <c r="F11" s="9">
        <v>0.3</v>
      </c>
      <c r="G11" s="9">
        <f t="shared" si="0"/>
        <v>16.083883799999999</v>
      </c>
      <c r="H11" s="9">
        <f t="shared" si="1"/>
        <v>1.6080000000000001</v>
      </c>
      <c r="I11" s="9">
        <f>VLOOKUP(B11,'Area of forests'!$A$2:$B$29,2,FALSE)</f>
        <v>181.93</v>
      </c>
      <c r="J11" s="9">
        <f t="shared" si="2"/>
        <v>6.9870000000000001</v>
      </c>
      <c r="K11" s="8">
        <f t="shared" si="3"/>
        <v>292.54344000000003</v>
      </c>
    </row>
    <row r="12" spans="1:11" x14ac:dyDescent="0.25">
      <c r="B12" s="7" t="s">
        <v>17</v>
      </c>
      <c r="C12" s="11">
        <v>10.46280616124648</v>
      </c>
      <c r="D12" s="9">
        <v>0.4667</v>
      </c>
      <c r="E12" s="9">
        <v>19</v>
      </c>
      <c r="F12" s="9">
        <v>0.3</v>
      </c>
      <c r="G12" s="9">
        <f t="shared" si="0"/>
        <v>27.833052322086271</v>
      </c>
      <c r="H12" s="9">
        <f t="shared" si="1"/>
        <v>2.7829999999999999</v>
      </c>
      <c r="I12" s="9">
        <f>VLOOKUP(B12,'Area of forests'!$A$2:$B$29,2,FALSE)</f>
        <v>123.76600000000001</v>
      </c>
      <c r="J12" s="9">
        <f t="shared" si="2"/>
        <v>8.2270000000000003</v>
      </c>
      <c r="K12" s="8">
        <f t="shared" si="3"/>
        <v>344.44077800000002</v>
      </c>
    </row>
    <row r="13" spans="1:11" x14ac:dyDescent="0.25">
      <c r="B13" s="7" t="s">
        <v>18</v>
      </c>
      <c r="C13" s="9">
        <v>2.94</v>
      </c>
      <c r="D13" s="9">
        <v>0.5171</v>
      </c>
      <c r="E13" s="9">
        <v>19</v>
      </c>
      <c r="F13" s="9">
        <v>0.3</v>
      </c>
      <c r="G13" s="9">
        <f t="shared" si="0"/>
        <v>8.665561799999999</v>
      </c>
      <c r="H13" s="9">
        <f t="shared" si="1"/>
        <v>0.86699999999999999</v>
      </c>
      <c r="I13" s="9">
        <f>VLOOKUP(B13,'Area of forests'!$A$2:$B$29,2,FALSE)</f>
        <v>53.005000000000003</v>
      </c>
      <c r="J13" s="9">
        <f t="shared" si="2"/>
        <v>1.0980000000000001</v>
      </c>
      <c r="K13" s="8">
        <f t="shared" si="3"/>
        <v>45.955335000000005</v>
      </c>
    </row>
    <row r="14" spans="1:11" x14ac:dyDescent="0.25">
      <c r="B14" s="7" t="s">
        <v>19</v>
      </c>
      <c r="C14" s="9">
        <v>5.57</v>
      </c>
      <c r="D14" s="9">
        <v>0.49990000000000001</v>
      </c>
      <c r="E14" s="9">
        <v>19</v>
      </c>
      <c r="F14" s="9">
        <v>0.3</v>
      </c>
      <c r="G14" s="9">
        <f t="shared" si="0"/>
        <v>15.8713251</v>
      </c>
      <c r="H14" s="9">
        <f t="shared" si="1"/>
        <v>1.587</v>
      </c>
      <c r="I14" s="9">
        <f>VLOOKUP(B14,'Area of forests'!$A$2:$B$29,2,FALSE)</f>
        <v>24.847999999999999</v>
      </c>
      <c r="J14" s="9">
        <f t="shared" si="2"/>
        <v>0.94199999999999995</v>
      </c>
      <c r="K14" s="8">
        <f t="shared" si="3"/>
        <v>39.433775999999995</v>
      </c>
    </row>
    <row r="15" spans="1:11" x14ac:dyDescent="0.25">
      <c r="B15" s="7" t="s">
        <v>20</v>
      </c>
      <c r="C15" s="9">
        <v>10.199999999999999</v>
      </c>
      <c r="D15" s="9">
        <v>0.4451</v>
      </c>
      <c r="E15" s="9">
        <v>19</v>
      </c>
      <c r="F15" s="9">
        <v>0.3</v>
      </c>
      <c r="G15" s="9">
        <f t="shared" si="0"/>
        <v>25.878113999999993</v>
      </c>
      <c r="H15" s="9">
        <f t="shared" si="1"/>
        <v>2.5880000000000001</v>
      </c>
      <c r="I15" s="9">
        <f>VLOOKUP(B15,'Area of forests'!$A$2:$B$29,2,FALSE)</f>
        <v>9.8819999999999997</v>
      </c>
      <c r="J15" s="9">
        <f t="shared" si="2"/>
        <v>0.61099999999999999</v>
      </c>
      <c r="K15" s="8">
        <f t="shared" si="3"/>
        <v>25.574615999999999</v>
      </c>
    </row>
    <row r="16" spans="1:11" x14ac:dyDescent="0.25">
      <c r="B16" s="7" t="s">
        <v>21</v>
      </c>
      <c r="C16" s="9">
        <v>3.22</v>
      </c>
      <c r="D16" s="9">
        <v>0.51619999999999999</v>
      </c>
      <c r="E16" s="9">
        <v>19</v>
      </c>
      <c r="F16" s="9">
        <v>0.3</v>
      </c>
      <c r="G16" s="9">
        <f t="shared" si="0"/>
        <v>9.4743347999999994</v>
      </c>
      <c r="H16" s="9">
        <f t="shared" si="1"/>
        <v>0.94699999999999995</v>
      </c>
      <c r="I16" s="9">
        <f>VLOOKUP(B16,'Area of forests'!$A$2:$B$29,2,FALSE)</f>
        <v>106.337</v>
      </c>
      <c r="J16" s="9">
        <f t="shared" si="2"/>
        <v>2.4049999999999998</v>
      </c>
      <c r="K16" s="8">
        <f t="shared" si="3"/>
        <v>100.701139</v>
      </c>
    </row>
    <row r="17" spans="2:11" x14ac:dyDescent="0.25">
      <c r="B17" s="7" t="s">
        <v>22</v>
      </c>
      <c r="C17" s="9">
        <v>5.8</v>
      </c>
      <c r="D17" s="9">
        <v>0.46870000000000001</v>
      </c>
      <c r="E17" s="9">
        <v>19</v>
      </c>
      <c r="F17" s="9">
        <v>0.3</v>
      </c>
      <c r="G17" s="9">
        <f t="shared" si="0"/>
        <v>15.495221999999998</v>
      </c>
      <c r="H17" s="9">
        <f t="shared" si="1"/>
        <v>1.55</v>
      </c>
      <c r="I17" s="9">
        <f>VLOOKUP(B17,'Area of forests'!$A$2:$B$29,2,FALSE)</f>
        <v>35.326000000000001</v>
      </c>
      <c r="J17" s="9">
        <f t="shared" si="2"/>
        <v>1.3080000000000001</v>
      </c>
      <c r="K17" s="8">
        <f t="shared" si="3"/>
        <v>54.755300000000005</v>
      </c>
    </row>
    <row r="18" spans="2:11" ht="30" x14ac:dyDescent="0.25">
      <c r="B18" s="7" t="s">
        <v>23</v>
      </c>
      <c r="C18" s="9">
        <v>8.83</v>
      </c>
      <c r="D18" s="9">
        <v>0.40329999999999999</v>
      </c>
      <c r="E18" s="9">
        <v>19</v>
      </c>
      <c r="F18" s="9">
        <v>0.3</v>
      </c>
      <c r="G18" s="9">
        <f t="shared" si="0"/>
        <v>20.298492299999999</v>
      </c>
      <c r="H18" s="9">
        <f t="shared" si="1"/>
        <v>2.0299999999999998</v>
      </c>
      <c r="I18" s="9">
        <f>VLOOKUP(B18,'Area of forests'!$A$2:$B$29,2,FALSE)</f>
        <v>0.90400000000000003</v>
      </c>
      <c r="J18" s="9">
        <f t="shared" si="2"/>
        <v>4.3999999999999997E-2</v>
      </c>
      <c r="K18" s="8">
        <f t="shared" si="3"/>
        <v>1.8351199999999999</v>
      </c>
    </row>
    <row r="19" spans="2:11" x14ac:dyDescent="0.25">
      <c r="B19" s="7" t="s">
        <v>24</v>
      </c>
      <c r="C19" s="9">
        <v>1.1299999999999999</v>
      </c>
      <c r="D19" s="10">
        <v>0.5171</v>
      </c>
      <c r="E19" s="9">
        <v>19</v>
      </c>
      <c r="F19" s="9">
        <v>0.3</v>
      </c>
      <c r="G19" s="9">
        <f t="shared" si="0"/>
        <v>3.3306410999999998</v>
      </c>
      <c r="H19" s="9">
        <f t="shared" si="1"/>
        <v>0.33300000000000002</v>
      </c>
      <c r="I19" s="9">
        <f>VLOOKUP(B19,'Area of forests'!$A$2:$B$29,2,FALSE)</f>
        <v>1.2E-2</v>
      </c>
      <c r="J19" s="9">
        <f t="shared" si="2"/>
        <v>0</v>
      </c>
      <c r="K19" s="8">
        <f t="shared" si="3"/>
        <v>3.9960000000000004E-3</v>
      </c>
    </row>
    <row r="20" spans="2:11" ht="30" x14ac:dyDescent="0.25">
      <c r="B20" s="7" t="s">
        <v>25</v>
      </c>
      <c r="C20" s="9">
        <v>7.3</v>
      </c>
      <c r="D20" s="9">
        <v>0.50160000000000005</v>
      </c>
      <c r="E20" s="9">
        <v>19</v>
      </c>
      <c r="F20" s="9">
        <v>0.3</v>
      </c>
      <c r="G20" s="9">
        <f t="shared" si="0"/>
        <v>20.871576000000001</v>
      </c>
      <c r="H20" s="9">
        <f t="shared" si="1"/>
        <v>2.0870000000000002</v>
      </c>
      <c r="I20" s="9">
        <f>VLOOKUP(B20,'Area of forests'!$A$2:$B$29,2,FALSE)</f>
        <v>5.6369999999999996</v>
      </c>
      <c r="J20" s="9">
        <f t="shared" si="2"/>
        <v>0.28100000000000003</v>
      </c>
      <c r="K20" s="8">
        <f t="shared" si="3"/>
        <v>11.764419</v>
      </c>
    </row>
    <row r="21" spans="2:11" x14ac:dyDescent="0.25">
      <c r="B21" s="7" t="s">
        <v>26</v>
      </c>
      <c r="C21" s="9">
        <v>8.26</v>
      </c>
      <c r="D21" s="9">
        <v>0.45129999999999998</v>
      </c>
      <c r="E21" s="9">
        <v>19</v>
      </c>
      <c r="F21" s="9">
        <v>0.3</v>
      </c>
      <c r="G21" s="9">
        <f t="shared" si="0"/>
        <v>21.248106599999996</v>
      </c>
      <c r="H21" s="9">
        <f t="shared" si="1"/>
        <v>2.125</v>
      </c>
      <c r="I21" s="9">
        <f>VLOOKUP(B21,'Area of forests'!$A$2:$B$29,2,FALSE)</f>
        <v>114.59</v>
      </c>
      <c r="J21" s="9">
        <f t="shared" si="2"/>
        <v>5.8159999999999998</v>
      </c>
      <c r="K21" s="8">
        <f t="shared" si="3"/>
        <v>243.50375</v>
      </c>
    </row>
    <row r="22" spans="2:11" x14ac:dyDescent="0.25">
      <c r="B22" s="7" t="s">
        <v>27</v>
      </c>
      <c r="C22" s="9">
        <v>5.05</v>
      </c>
      <c r="D22" s="9">
        <v>0.4864</v>
      </c>
      <c r="E22" s="9">
        <v>19</v>
      </c>
      <c r="F22" s="9">
        <v>0.3</v>
      </c>
      <c r="G22" s="9">
        <f t="shared" si="0"/>
        <v>14.001023999999999</v>
      </c>
      <c r="H22" s="9">
        <f t="shared" si="1"/>
        <v>1.4</v>
      </c>
      <c r="I22" s="9">
        <f>VLOOKUP(B22,'Area of forests'!$A$2:$B$29,2,FALSE)</f>
        <v>34.496000000000002</v>
      </c>
      <c r="J22" s="9">
        <f t="shared" si="2"/>
        <v>1.153</v>
      </c>
      <c r="K22" s="8">
        <f t="shared" si="3"/>
        <v>48.294400000000003</v>
      </c>
    </row>
    <row r="23" spans="2:11" x14ac:dyDescent="0.25">
      <c r="B23" s="7" t="s">
        <v>28</v>
      </c>
      <c r="C23" s="9">
        <v>4.16</v>
      </c>
      <c r="D23" s="9">
        <v>0.49930000000000002</v>
      </c>
      <c r="E23" s="9">
        <v>19</v>
      </c>
      <c r="F23" s="9">
        <v>0.3</v>
      </c>
      <c r="G23" s="9">
        <f t="shared" si="0"/>
        <v>11.839401600000002</v>
      </c>
      <c r="H23" s="9">
        <f t="shared" si="1"/>
        <v>1.1839999999999999</v>
      </c>
      <c r="I23" s="9">
        <f>VLOOKUP(B23,'Area of forests'!$A$2:$B$29,2,FALSE)</f>
        <v>81.338999999999999</v>
      </c>
      <c r="J23" s="9">
        <f t="shared" si="2"/>
        <v>2.2999999999999998</v>
      </c>
      <c r="K23" s="8">
        <f t="shared" si="3"/>
        <v>96.305375999999995</v>
      </c>
    </row>
    <row r="24" spans="2:11" x14ac:dyDescent="0.25">
      <c r="B24" s="7" t="s">
        <v>29</v>
      </c>
      <c r="C24" s="9">
        <v>6.95</v>
      </c>
      <c r="D24" s="9">
        <v>0.4662</v>
      </c>
      <c r="E24" s="9">
        <v>19</v>
      </c>
      <c r="F24" s="9">
        <v>0.3</v>
      </c>
      <c r="G24" s="9">
        <f t="shared" si="0"/>
        <v>18.468512999999998</v>
      </c>
      <c r="H24" s="9">
        <f t="shared" si="1"/>
        <v>1.847</v>
      </c>
      <c r="I24" s="9">
        <f>VLOOKUP(B24,'Area of forests'!$A$2:$B$29,2,FALSE)</f>
        <v>22.437000000000001</v>
      </c>
      <c r="J24" s="9">
        <f t="shared" si="2"/>
        <v>0.99</v>
      </c>
      <c r="K24" s="8">
        <f t="shared" si="3"/>
        <v>41.441139</v>
      </c>
    </row>
    <row r="25" spans="2:11" x14ac:dyDescent="0.25">
      <c r="B25" s="7" t="s">
        <v>30</v>
      </c>
      <c r="C25" s="9">
        <v>7.52</v>
      </c>
      <c r="D25" s="9">
        <v>0.44190000000000002</v>
      </c>
      <c r="E25" s="9">
        <v>19</v>
      </c>
      <c r="F25" s="9">
        <v>0.3</v>
      </c>
      <c r="G25" s="9">
        <f t="shared" si="0"/>
        <v>18.941601599999998</v>
      </c>
      <c r="H25" s="9">
        <f t="shared" si="1"/>
        <v>1.8939999999999999</v>
      </c>
      <c r="I25" s="9">
        <f>VLOOKUP(B25,'Area of forests'!$A$2:$B$29,2,FALSE)</f>
        <v>12.708</v>
      </c>
      <c r="J25" s="9">
        <f t="shared" si="2"/>
        <v>0.57499999999999996</v>
      </c>
      <c r="K25" s="8">
        <f t="shared" si="3"/>
        <v>24.068951999999999</v>
      </c>
    </row>
    <row r="26" spans="2:11" x14ac:dyDescent="0.25">
      <c r="B26" s="7" t="s">
        <v>31</v>
      </c>
      <c r="C26" s="9">
        <v>2.42</v>
      </c>
      <c r="D26" s="9">
        <v>0.4929</v>
      </c>
      <c r="E26" s="9">
        <v>19</v>
      </c>
      <c r="F26" s="9">
        <v>0.3</v>
      </c>
      <c r="G26" s="9">
        <f t="shared" si="0"/>
        <v>6.7990626000000001</v>
      </c>
      <c r="H26" s="9">
        <f t="shared" si="1"/>
        <v>0.68</v>
      </c>
      <c r="I26" s="9">
        <f>VLOOKUP(B26,'Area of forests'!$A$2:$B$29,2,FALSE)</f>
        <v>175.161</v>
      </c>
      <c r="J26" s="9">
        <f t="shared" si="2"/>
        <v>2.8450000000000002</v>
      </c>
      <c r="K26" s="8">
        <f t="shared" si="3"/>
        <v>119.10948</v>
      </c>
    </row>
    <row r="27" spans="2:11" x14ac:dyDescent="0.25">
      <c r="B27" s="7" t="s">
        <v>32</v>
      </c>
      <c r="C27" s="9">
        <v>3.38</v>
      </c>
      <c r="D27" s="9">
        <v>0.46550000000000002</v>
      </c>
      <c r="E27" s="9">
        <v>19</v>
      </c>
      <c r="F27" s="9">
        <v>0.3</v>
      </c>
      <c r="G27" s="9">
        <f t="shared" si="0"/>
        <v>8.9683229999999998</v>
      </c>
      <c r="H27" s="9">
        <f t="shared" si="1"/>
        <v>0.89700000000000002</v>
      </c>
      <c r="I27" s="9">
        <f>VLOOKUP(B27,'Area of forests'!$A$2:$B$29,2,FALSE)</f>
        <v>279.32900000000001</v>
      </c>
      <c r="J27" s="9">
        <f t="shared" si="2"/>
        <v>5.984</v>
      </c>
      <c r="K27" s="8">
        <f t="shared" si="3"/>
        <v>250.55811300000002</v>
      </c>
    </row>
    <row r="28" spans="2:11" ht="30" x14ac:dyDescent="0.25">
      <c r="B28" s="7" t="s">
        <v>33</v>
      </c>
      <c r="C28" s="9">
        <v>7.13</v>
      </c>
      <c r="D28" s="9">
        <v>0.46870000000000001</v>
      </c>
      <c r="E28" s="9">
        <v>19</v>
      </c>
      <c r="F28" s="9">
        <v>0.3</v>
      </c>
      <c r="G28" s="9">
        <f t="shared" si="0"/>
        <v>19.0484367</v>
      </c>
      <c r="H28" s="9">
        <f t="shared" si="1"/>
        <v>1.905</v>
      </c>
      <c r="I28" s="9">
        <f>VLOOKUP(B28,'Area of forests'!$A$2:$B$29,2,FALSE)</f>
        <v>25.504000000000001</v>
      </c>
      <c r="J28" s="9">
        <f t="shared" si="2"/>
        <v>1.1599999999999999</v>
      </c>
      <c r="K28" s="8">
        <f t="shared" si="3"/>
        <v>48.585120000000003</v>
      </c>
    </row>
    <row r="29" spans="2:11" x14ac:dyDescent="0.25">
      <c r="K2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FAFA-3DAD-4CFE-A252-2E049A77DAB7}">
  <dimension ref="A1:B29"/>
  <sheetViews>
    <sheetView tabSelected="1" workbookViewId="0">
      <selection activeCell="D8" sqref="D8"/>
    </sheetView>
  </sheetViews>
  <sheetFormatPr defaultRowHeight="15" x14ac:dyDescent="0.25"/>
  <cols>
    <col min="1" max="1" width="37.7109375" bestFit="1" customWidth="1"/>
    <col min="2" max="2" width="21.5703125" bestFit="1" customWidth="1"/>
  </cols>
  <sheetData>
    <row r="1" spans="1:2" x14ac:dyDescent="0.25">
      <c r="A1" s="4" t="s">
        <v>37</v>
      </c>
      <c r="B1" s="4" t="s">
        <v>35</v>
      </c>
    </row>
    <row r="2" spans="1:2" x14ac:dyDescent="0.25">
      <c r="A2" s="3" t="s">
        <v>36</v>
      </c>
      <c r="B2" s="3">
        <v>1695.7260000000001</v>
      </c>
    </row>
    <row r="3" spans="1:2" x14ac:dyDescent="0.25">
      <c r="A3" s="3" t="s">
        <v>9</v>
      </c>
      <c r="B3" s="3">
        <v>8.1129999999999995</v>
      </c>
    </row>
    <row r="4" spans="1:2" x14ac:dyDescent="0.25">
      <c r="A4" s="3" t="s">
        <v>10</v>
      </c>
      <c r="B4" s="3">
        <v>48.914999999999999</v>
      </c>
    </row>
    <row r="5" spans="1:2" x14ac:dyDescent="0.25">
      <c r="A5" s="3" t="s">
        <v>34</v>
      </c>
      <c r="B5" s="3">
        <v>30.234000000000002</v>
      </c>
    </row>
    <row r="6" spans="1:2" x14ac:dyDescent="0.25">
      <c r="A6" s="3" t="s">
        <v>13</v>
      </c>
      <c r="B6" s="3">
        <v>8.5869999999999997</v>
      </c>
    </row>
    <row r="7" spans="1:2" x14ac:dyDescent="0.25">
      <c r="A7" s="3" t="s">
        <v>17</v>
      </c>
      <c r="B7" s="3">
        <v>123.76600000000001</v>
      </c>
    </row>
    <row r="8" spans="1:2" x14ac:dyDescent="0.25">
      <c r="A8" s="3" t="s">
        <v>14</v>
      </c>
      <c r="B8" s="3">
        <v>26.277000000000001</v>
      </c>
    </row>
    <row r="9" spans="1:2" x14ac:dyDescent="0.25">
      <c r="A9" s="3" t="s">
        <v>20</v>
      </c>
      <c r="B9" s="3">
        <v>9.8819999999999997</v>
      </c>
    </row>
    <row r="10" spans="1:2" x14ac:dyDescent="0.25">
      <c r="A10" s="3" t="s">
        <v>18</v>
      </c>
      <c r="B10" s="3">
        <v>53.005000000000003</v>
      </c>
    </row>
    <row r="11" spans="1:2" x14ac:dyDescent="0.25">
      <c r="A11" s="3" t="s">
        <v>31</v>
      </c>
      <c r="B11" s="3">
        <v>175.161</v>
      </c>
    </row>
    <row r="12" spans="1:2" x14ac:dyDescent="0.25">
      <c r="A12" s="3" t="s">
        <v>16</v>
      </c>
      <c r="B12" s="3">
        <v>181.93</v>
      </c>
    </row>
    <row r="13" spans="1:2" x14ac:dyDescent="0.25">
      <c r="A13" s="3" t="s">
        <v>11</v>
      </c>
      <c r="B13" s="3">
        <v>27.225999999999999</v>
      </c>
    </row>
    <row r="14" spans="1:2" x14ac:dyDescent="0.25">
      <c r="A14" s="3" t="s">
        <v>21</v>
      </c>
      <c r="B14" s="3">
        <v>106.337</v>
      </c>
    </row>
    <row r="15" spans="1:2" x14ac:dyDescent="0.25">
      <c r="A15" s="3" t="s">
        <v>12</v>
      </c>
      <c r="B15" s="3">
        <v>2.2240000000000002</v>
      </c>
    </row>
    <row r="16" spans="1:2" x14ac:dyDescent="0.25">
      <c r="A16" s="3" t="s">
        <v>22</v>
      </c>
      <c r="B16" s="3">
        <v>35.326000000000001</v>
      </c>
    </row>
    <row r="17" spans="1:2" x14ac:dyDescent="0.25">
      <c r="A17" s="3" t="s">
        <v>33</v>
      </c>
      <c r="B17" s="3">
        <v>25.504000000000001</v>
      </c>
    </row>
    <row r="18" spans="1:2" x14ac:dyDescent="0.25">
      <c r="A18" s="3" t="s">
        <v>23</v>
      </c>
      <c r="B18" s="3">
        <v>0.90400000000000003</v>
      </c>
    </row>
    <row r="19" spans="1:2" x14ac:dyDescent="0.25">
      <c r="A19" s="3" t="s">
        <v>19</v>
      </c>
      <c r="B19" s="3">
        <v>24.847999999999999</v>
      </c>
    </row>
    <row r="20" spans="1:2" x14ac:dyDescent="0.25">
      <c r="A20" s="3" t="s">
        <v>24</v>
      </c>
      <c r="B20" s="3">
        <v>1.2E-2</v>
      </c>
    </row>
    <row r="21" spans="1:2" x14ac:dyDescent="0.25">
      <c r="A21" s="3" t="s">
        <v>25</v>
      </c>
      <c r="B21" s="3">
        <v>5.6369999999999996</v>
      </c>
    </row>
    <row r="22" spans="1:2" x14ac:dyDescent="0.25">
      <c r="A22" s="3" t="s">
        <v>8</v>
      </c>
      <c r="B22" s="3">
        <v>36.301000000000002</v>
      </c>
    </row>
    <row r="23" spans="1:2" x14ac:dyDescent="0.25">
      <c r="A23" s="3" t="s">
        <v>26</v>
      </c>
      <c r="B23" s="3">
        <v>114.59</v>
      </c>
    </row>
    <row r="24" spans="1:2" x14ac:dyDescent="0.25">
      <c r="A24" s="3" t="s">
        <v>27</v>
      </c>
      <c r="B24" s="3">
        <v>34.496000000000002</v>
      </c>
    </row>
    <row r="25" spans="1:2" x14ac:dyDescent="0.25">
      <c r="A25" s="3" t="s">
        <v>28</v>
      </c>
      <c r="B25" s="3">
        <v>81.338999999999999</v>
      </c>
    </row>
    <row r="26" spans="1:2" x14ac:dyDescent="0.25">
      <c r="A26" s="3" t="s">
        <v>30</v>
      </c>
      <c r="B26" s="3">
        <v>12.708</v>
      </c>
    </row>
    <row r="27" spans="1:2" x14ac:dyDescent="0.25">
      <c r="A27" s="3" t="s">
        <v>29</v>
      </c>
      <c r="B27" s="3">
        <v>22.437000000000001</v>
      </c>
    </row>
    <row r="28" spans="1:2" x14ac:dyDescent="0.25">
      <c r="A28" s="3" t="s">
        <v>15</v>
      </c>
      <c r="B28" s="3">
        <v>220.637</v>
      </c>
    </row>
    <row r="29" spans="1:2" x14ac:dyDescent="0.25">
      <c r="A29" s="3" t="s">
        <v>32</v>
      </c>
      <c r="B29" s="3">
        <v>279.32900000000001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forest biomass</vt:lpstr>
      <vt:lpstr>Area of forests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Martindale</dc:creator>
  <cp:lastModifiedBy>Sridharan, Vignesh</cp:lastModifiedBy>
  <dcterms:created xsi:type="dcterms:W3CDTF">2025-10-03T15:50:50Z</dcterms:created>
  <dcterms:modified xsi:type="dcterms:W3CDTF">2025-11-25T19:07:31Z</dcterms:modified>
</cp:coreProperties>
</file>