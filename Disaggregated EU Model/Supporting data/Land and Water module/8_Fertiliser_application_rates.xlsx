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7AD1F4EB-3A93-4D61-A31E-BED206D16530}" xr6:coauthVersionLast="47" xr6:coauthVersionMax="47" xr10:uidLastSave="{00000000-0000-0000-0000-000000000000}"/>
  <bookViews>
    <workbookView xWindow="33990" yWindow="1860" windowWidth="21600" windowHeight="11205" xr2:uid="{00000000-000D-0000-FFFF-FFFF00000000}"/>
  </bookViews>
  <sheets>
    <sheet name="Fertiliser_data" sheetId="1" r:id="rId1"/>
    <sheet name="cc" sheetId="5" state="hidden" r:id="rId2"/>
    <sheet name="IAR" sheetId="4" r:id="rId3"/>
    <sheet name="CF_231025" sheetId="6" r:id="rId4"/>
    <sheet name="Match_Log" sheetId="2" r:id="rId5"/>
  </sheets>
  <definedNames>
    <definedName name="_xlnm._FilterDatabase" localSheetId="0" hidden="1">Fertiliser_data!$A$6:$L$267</definedName>
    <definedName name="_xlnm._FilterDatabase" localSheetId="2" hidden="1">IAR!$A$1:$L$1081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2" i="4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7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2" i="4"/>
  <c r="F3" i="4"/>
  <c r="F4" i="4"/>
  <c r="F5" i="4"/>
  <c r="K5" i="4" s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K21" i="4" s="1"/>
  <c r="F22" i="4"/>
  <c r="F23" i="4"/>
  <c r="F24" i="4"/>
  <c r="F25" i="4"/>
  <c r="F26" i="4"/>
  <c r="F27" i="4"/>
  <c r="F28" i="4"/>
  <c r="F29" i="4"/>
  <c r="F30" i="4"/>
  <c r="F31" i="4"/>
  <c r="F32" i="4"/>
  <c r="F33" i="4"/>
  <c r="K33" i="4" s="1"/>
  <c r="F34" i="4"/>
  <c r="F35" i="4"/>
  <c r="F36" i="4"/>
  <c r="F37" i="4"/>
  <c r="K37" i="4" s="1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K53" i="4" s="1"/>
  <c r="F54" i="4"/>
  <c r="F55" i="4"/>
  <c r="F56" i="4"/>
  <c r="F57" i="4"/>
  <c r="F58" i="4"/>
  <c r="F59" i="4"/>
  <c r="F60" i="4"/>
  <c r="F61" i="4"/>
  <c r="F62" i="4"/>
  <c r="F63" i="4"/>
  <c r="F64" i="4"/>
  <c r="F65" i="4"/>
  <c r="K65" i="4" s="1"/>
  <c r="F66" i="4"/>
  <c r="F67" i="4"/>
  <c r="F68" i="4"/>
  <c r="F69" i="4"/>
  <c r="K69" i="4" s="1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K85" i="4" s="1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K101" i="4" s="1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K117" i="4" s="1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K133" i="4" s="1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K149" i="4" s="1"/>
  <c r="F150" i="4"/>
  <c r="F151" i="4"/>
  <c r="F152" i="4"/>
  <c r="F153" i="4"/>
  <c r="F154" i="4"/>
  <c r="F155" i="4"/>
  <c r="F156" i="4"/>
  <c r="F157" i="4"/>
  <c r="F158" i="4"/>
  <c r="F159" i="4"/>
  <c r="F160" i="4"/>
  <c r="F161" i="4"/>
  <c r="K161" i="4" s="1"/>
  <c r="F162" i="4"/>
  <c r="F163" i="4"/>
  <c r="F164" i="4"/>
  <c r="F165" i="4"/>
  <c r="K165" i="4" s="1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K181" i="4" s="1"/>
  <c r="F182" i="4"/>
  <c r="F183" i="4"/>
  <c r="F184" i="4"/>
  <c r="F185" i="4"/>
  <c r="F186" i="4"/>
  <c r="F187" i="4"/>
  <c r="F188" i="4"/>
  <c r="F189" i="4"/>
  <c r="F190" i="4"/>
  <c r="F191" i="4"/>
  <c r="F192" i="4"/>
  <c r="F193" i="4"/>
  <c r="K193" i="4" s="1"/>
  <c r="F194" i="4"/>
  <c r="F195" i="4"/>
  <c r="F196" i="4"/>
  <c r="F197" i="4"/>
  <c r="K197" i="4" s="1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K213" i="4" s="1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K229" i="4" s="1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K245" i="4" s="1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K261" i="4" s="1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K277" i="4" s="1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K293" i="4" s="1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K309" i="4" s="1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K325" i="4" s="1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K341" i="4" s="1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K357" i="4" s="1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K373" i="4" s="1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K389" i="4" s="1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K405" i="4" s="1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K421" i="4" s="1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K437" i="4" s="1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K453" i="4" s="1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K469" i="4" s="1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2" i="4"/>
  <c r="D3" i="4"/>
  <c r="D4" i="4"/>
  <c r="D5" i="4"/>
  <c r="E5" i="4" s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E21" i="4" s="1"/>
  <c r="D22" i="4"/>
  <c r="D23" i="4"/>
  <c r="D24" i="4"/>
  <c r="D25" i="4"/>
  <c r="D26" i="4"/>
  <c r="D27" i="4"/>
  <c r="D28" i="4"/>
  <c r="D29" i="4"/>
  <c r="D30" i="4"/>
  <c r="D31" i="4"/>
  <c r="D32" i="4"/>
  <c r="D33" i="4"/>
  <c r="E33" i="4" s="1"/>
  <c r="D34" i="4"/>
  <c r="D35" i="4"/>
  <c r="D36" i="4"/>
  <c r="D37" i="4"/>
  <c r="E37" i="4" s="1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E53" i="4" s="1"/>
  <c r="D54" i="4"/>
  <c r="D55" i="4"/>
  <c r="D56" i="4"/>
  <c r="D57" i="4"/>
  <c r="D58" i="4"/>
  <c r="D59" i="4"/>
  <c r="D60" i="4"/>
  <c r="D61" i="4"/>
  <c r="D62" i="4"/>
  <c r="D63" i="4"/>
  <c r="D64" i="4"/>
  <c r="D65" i="4"/>
  <c r="E65" i="4" s="1"/>
  <c r="D66" i="4"/>
  <c r="D67" i="4"/>
  <c r="D68" i="4"/>
  <c r="D69" i="4"/>
  <c r="E69" i="4" s="1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E85" i="4" s="1"/>
  <c r="D86" i="4"/>
  <c r="D87" i="4"/>
  <c r="D88" i="4"/>
  <c r="D89" i="4"/>
  <c r="D90" i="4"/>
  <c r="D91" i="4"/>
  <c r="D92" i="4"/>
  <c r="D93" i="4"/>
  <c r="D94" i="4"/>
  <c r="D95" i="4"/>
  <c r="D96" i="4"/>
  <c r="E96" i="4" s="1"/>
  <c r="D97" i="4"/>
  <c r="D98" i="4"/>
  <c r="D99" i="4"/>
  <c r="D100" i="4"/>
  <c r="D101" i="4"/>
  <c r="E101" i="4" s="1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E117" i="4" s="1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E133" i="4" s="1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E149" i="4" s="1"/>
  <c r="D150" i="4"/>
  <c r="D151" i="4"/>
  <c r="D152" i="4"/>
  <c r="D153" i="4"/>
  <c r="D154" i="4"/>
  <c r="D155" i="4"/>
  <c r="D156" i="4"/>
  <c r="D157" i="4"/>
  <c r="D158" i="4"/>
  <c r="D159" i="4"/>
  <c r="D160" i="4"/>
  <c r="D161" i="4"/>
  <c r="E161" i="4" s="1"/>
  <c r="D162" i="4"/>
  <c r="D163" i="4"/>
  <c r="D164" i="4"/>
  <c r="D165" i="4"/>
  <c r="E165" i="4" s="1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E181" i="4" s="1"/>
  <c r="D182" i="4"/>
  <c r="D183" i="4"/>
  <c r="D184" i="4"/>
  <c r="D185" i="4"/>
  <c r="D186" i="4"/>
  <c r="D187" i="4"/>
  <c r="D188" i="4"/>
  <c r="D189" i="4"/>
  <c r="D190" i="4"/>
  <c r="D191" i="4"/>
  <c r="D192" i="4"/>
  <c r="D193" i="4"/>
  <c r="E193" i="4" s="1"/>
  <c r="D194" i="4"/>
  <c r="D195" i="4"/>
  <c r="D196" i="4"/>
  <c r="D197" i="4"/>
  <c r="E197" i="4" s="1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E213" i="4" s="1"/>
  <c r="D214" i="4"/>
  <c r="D215" i="4"/>
  <c r="D216" i="4"/>
  <c r="D217" i="4"/>
  <c r="D218" i="4"/>
  <c r="D219" i="4"/>
  <c r="D220" i="4"/>
  <c r="D221" i="4"/>
  <c r="D222" i="4"/>
  <c r="D223" i="4"/>
  <c r="D224" i="4"/>
  <c r="E224" i="4" s="1"/>
  <c r="D225" i="4"/>
  <c r="D226" i="4"/>
  <c r="D227" i="4"/>
  <c r="D228" i="4"/>
  <c r="D229" i="4"/>
  <c r="E229" i="4" s="1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E245" i="4" s="1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E261" i="4" s="1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E277" i="4" s="1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E293" i="4" s="1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E309" i="4" s="1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E325" i="4" s="1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E341" i="4" s="1"/>
  <c r="D342" i="4"/>
  <c r="D343" i="4"/>
  <c r="D344" i="4"/>
  <c r="D345" i="4"/>
  <c r="D346" i="4"/>
  <c r="D347" i="4"/>
  <c r="D348" i="4"/>
  <c r="D349" i="4"/>
  <c r="D350" i="4"/>
  <c r="D351" i="4"/>
  <c r="D352" i="4"/>
  <c r="E352" i="4" s="1"/>
  <c r="D353" i="4"/>
  <c r="D354" i="4"/>
  <c r="D355" i="4"/>
  <c r="D356" i="4"/>
  <c r="D357" i="4"/>
  <c r="E357" i="4" s="1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E373" i="4" s="1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E389" i="4" s="1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E405" i="4" s="1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E421" i="4" s="1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E437" i="4" s="1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E453" i="4" s="1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E469" i="4" s="1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2" i="4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K7" i="1"/>
  <c r="J7" i="1"/>
  <c r="I7" i="1"/>
  <c r="K1051" i="4" l="1"/>
  <c r="K795" i="4"/>
  <c r="K539" i="4"/>
  <c r="K283" i="4"/>
  <c r="K27" i="4"/>
  <c r="K296" i="4"/>
  <c r="K728" i="4"/>
  <c r="K120" i="4"/>
  <c r="K965" i="4"/>
  <c r="K709" i="4"/>
  <c r="K1013" i="4"/>
  <c r="K1064" i="4"/>
  <c r="K814" i="4"/>
  <c r="K462" i="4"/>
  <c r="K190" i="4"/>
  <c r="K861" i="4"/>
  <c r="K605" i="4"/>
  <c r="K349" i="4"/>
  <c r="K93" i="4"/>
  <c r="K922" i="4"/>
  <c r="K666" i="4"/>
  <c r="K410" i="4"/>
  <c r="K154" i="4"/>
  <c r="K985" i="4"/>
  <c r="K729" i="4"/>
  <c r="K473" i="4"/>
  <c r="K217" i="4"/>
  <c r="E992" i="4"/>
  <c r="K992" i="4" s="1"/>
  <c r="K1047" i="4"/>
  <c r="K839" i="4"/>
  <c r="K807" i="4"/>
  <c r="K663" i="4"/>
  <c r="K583" i="4"/>
  <c r="K551" i="4"/>
  <c r="K87" i="4"/>
  <c r="K39" i="4"/>
  <c r="K982" i="4"/>
  <c r="K902" i="4"/>
  <c r="K870" i="4"/>
  <c r="K726" i="4"/>
  <c r="K646" i="4"/>
  <c r="K614" i="4"/>
  <c r="K470" i="4"/>
  <c r="K390" i="4"/>
  <c r="K358" i="4"/>
  <c r="K214" i="4"/>
  <c r="K134" i="4"/>
  <c r="K102" i="4"/>
  <c r="K549" i="4"/>
  <c r="K1060" i="4"/>
  <c r="K1044" i="4"/>
  <c r="K1012" i="4"/>
  <c r="K868" i="4"/>
  <c r="K804" i="4"/>
  <c r="K788" i="4"/>
  <c r="K756" i="4"/>
  <c r="K724" i="4"/>
  <c r="K612" i="4"/>
  <c r="K548" i="4"/>
  <c r="K532" i="4"/>
  <c r="K500" i="4"/>
  <c r="K468" i="4"/>
  <c r="K356" i="4"/>
  <c r="K292" i="4"/>
  <c r="K276" i="4"/>
  <c r="K244" i="4"/>
  <c r="K212" i="4"/>
  <c r="K629" i="4"/>
  <c r="K565" i="4"/>
  <c r="K1075" i="4"/>
  <c r="K963" i="4"/>
  <c r="K899" i="4"/>
  <c r="K851" i="4"/>
  <c r="K835" i="4"/>
  <c r="K819" i="4"/>
  <c r="K707" i="4"/>
  <c r="K643" i="4"/>
  <c r="K595" i="4"/>
  <c r="K579" i="4"/>
  <c r="K563" i="4"/>
  <c r="K451" i="4"/>
  <c r="K387" i="4"/>
  <c r="K339" i="4"/>
  <c r="K323" i="4"/>
  <c r="K307" i="4"/>
  <c r="K195" i="4"/>
  <c r="K115" i="4"/>
  <c r="K83" i="4"/>
  <c r="K51" i="4"/>
  <c r="K485" i="4"/>
  <c r="K705" i="4"/>
  <c r="K673" i="4"/>
  <c r="K657" i="4"/>
  <c r="K625" i="4"/>
  <c r="K593" i="4"/>
  <c r="K449" i="4"/>
  <c r="K417" i="4"/>
  <c r="K353" i="4"/>
  <c r="K337" i="4"/>
  <c r="K881" i="4"/>
  <c r="K833" i="4"/>
  <c r="K801" i="4"/>
  <c r="K769" i="4"/>
  <c r="K737" i="4"/>
  <c r="K976" i="4"/>
  <c r="K912" i="4"/>
  <c r="K896" i="4"/>
  <c r="K864" i="4"/>
  <c r="K720" i="4"/>
  <c r="K656" i="4"/>
  <c r="K640" i="4"/>
  <c r="K576" i="4"/>
  <c r="K464" i="4"/>
  <c r="K400" i="4"/>
  <c r="K384" i="4"/>
  <c r="K352" i="4"/>
  <c r="K320" i="4"/>
  <c r="K224" i="4"/>
  <c r="K144" i="4"/>
  <c r="K128" i="4"/>
  <c r="K96" i="4"/>
  <c r="K64" i="4"/>
  <c r="E321" i="4"/>
  <c r="K321" i="4" s="1"/>
  <c r="E1057" i="4"/>
  <c r="K1057" i="4" s="1"/>
  <c r="E705" i="4"/>
  <c r="E577" i="4"/>
  <c r="K577" i="4" s="1"/>
  <c r="E801" i="4"/>
  <c r="E673" i="4"/>
  <c r="E417" i="4"/>
  <c r="E289" i="4"/>
  <c r="K289" i="4" s="1"/>
  <c r="E864" i="4"/>
  <c r="E736" i="4"/>
  <c r="K736" i="4" s="1"/>
  <c r="E608" i="4"/>
  <c r="K608" i="4" s="1"/>
  <c r="E480" i="4"/>
  <c r="K480" i="4" s="1"/>
  <c r="E961" i="4"/>
  <c r="K961" i="4" s="1"/>
  <c r="E545" i="4"/>
  <c r="K545" i="4" s="1"/>
  <c r="E929" i="4"/>
  <c r="K929" i="4" s="1"/>
  <c r="E833" i="4"/>
  <c r="E449" i="4"/>
  <c r="E1079" i="4"/>
  <c r="K1079" i="4" s="1"/>
  <c r="E1047" i="4"/>
  <c r="E1015" i="4"/>
  <c r="K1015" i="4" s="1"/>
  <c r="E983" i="4"/>
  <c r="K983" i="4" s="1"/>
  <c r="E951" i="4"/>
  <c r="K951" i="4" s="1"/>
  <c r="E919" i="4"/>
  <c r="K919" i="4" s="1"/>
  <c r="E887" i="4"/>
  <c r="K887" i="4" s="1"/>
  <c r="E855" i="4"/>
  <c r="K855" i="4" s="1"/>
  <c r="E791" i="4"/>
  <c r="K791" i="4" s="1"/>
  <c r="E759" i="4"/>
  <c r="K759" i="4" s="1"/>
  <c r="E727" i="4"/>
  <c r="K727" i="4" s="1"/>
  <c r="E695" i="4"/>
  <c r="K695" i="4" s="1"/>
  <c r="E663" i="4"/>
  <c r="E615" i="4"/>
  <c r="K615" i="4" s="1"/>
  <c r="E583" i="4"/>
  <c r="E551" i="4"/>
  <c r="E519" i="4"/>
  <c r="K519" i="4" s="1"/>
  <c r="E487" i="4"/>
  <c r="K487" i="4" s="1"/>
  <c r="E455" i="4"/>
  <c r="K455" i="4" s="1"/>
  <c r="E423" i="4"/>
  <c r="K423" i="4" s="1"/>
  <c r="E391" i="4"/>
  <c r="K391" i="4" s="1"/>
  <c r="E375" i="4"/>
  <c r="K375" i="4" s="1"/>
  <c r="E343" i="4"/>
  <c r="K343" i="4" s="1"/>
  <c r="E327" i="4"/>
  <c r="K327" i="4" s="1"/>
  <c r="E311" i="4"/>
  <c r="K311" i="4" s="1"/>
  <c r="E295" i="4"/>
  <c r="K295" i="4" s="1"/>
  <c r="E279" i="4"/>
  <c r="K279" i="4" s="1"/>
  <c r="E263" i="4"/>
  <c r="K263" i="4" s="1"/>
  <c r="E247" i="4"/>
  <c r="K247" i="4" s="1"/>
  <c r="E231" i="4"/>
  <c r="K231" i="4" s="1"/>
  <c r="E215" i="4"/>
  <c r="K215" i="4" s="1"/>
  <c r="E199" i="4"/>
  <c r="K199" i="4" s="1"/>
  <c r="E183" i="4"/>
  <c r="K183" i="4" s="1"/>
  <c r="E167" i="4"/>
  <c r="K167" i="4" s="1"/>
  <c r="E151" i="4"/>
  <c r="K151" i="4" s="1"/>
  <c r="E135" i="4"/>
  <c r="K135" i="4" s="1"/>
  <c r="E119" i="4"/>
  <c r="K119" i="4" s="1"/>
  <c r="E103" i="4"/>
  <c r="K103" i="4" s="1"/>
  <c r="E71" i="4"/>
  <c r="K71" i="4" s="1"/>
  <c r="E55" i="4"/>
  <c r="K55" i="4" s="1"/>
  <c r="E39" i="4"/>
  <c r="E1063" i="4"/>
  <c r="K1063" i="4" s="1"/>
  <c r="E1031" i="4"/>
  <c r="K1031" i="4" s="1"/>
  <c r="E999" i="4"/>
  <c r="K999" i="4" s="1"/>
  <c r="E967" i="4"/>
  <c r="K967" i="4" s="1"/>
  <c r="E935" i="4"/>
  <c r="K935" i="4" s="1"/>
  <c r="E903" i="4"/>
  <c r="K903" i="4" s="1"/>
  <c r="E871" i="4"/>
  <c r="K871" i="4" s="1"/>
  <c r="E839" i="4"/>
  <c r="E823" i="4"/>
  <c r="K823" i="4" s="1"/>
  <c r="E807" i="4"/>
  <c r="E775" i="4"/>
  <c r="K775" i="4" s="1"/>
  <c r="E743" i="4"/>
  <c r="K743" i="4" s="1"/>
  <c r="E711" i="4"/>
  <c r="K711" i="4" s="1"/>
  <c r="E679" i="4"/>
  <c r="K679" i="4" s="1"/>
  <c r="E647" i="4"/>
  <c r="K647" i="4" s="1"/>
  <c r="E631" i="4"/>
  <c r="K631" i="4" s="1"/>
  <c r="E599" i="4"/>
  <c r="K599" i="4" s="1"/>
  <c r="E567" i="4"/>
  <c r="K567" i="4" s="1"/>
  <c r="E535" i="4"/>
  <c r="K535" i="4" s="1"/>
  <c r="E503" i="4"/>
  <c r="K503" i="4" s="1"/>
  <c r="E471" i="4"/>
  <c r="K471" i="4" s="1"/>
  <c r="E439" i="4"/>
  <c r="K439" i="4" s="1"/>
  <c r="E407" i="4"/>
  <c r="K407" i="4" s="1"/>
  <c r="E359" i="4"/>
  <c r="K359" i="4" s="1"/>
  <c r="E87" i="4"/>
  <c r="E1080" i="4"/>
  <c r="K1080" i="4" s="1"/>
  <c r="E1064" i="4"/>
  <c r="E1048" i="4"/>
  <c r="K1048" i="4" s="1"/>
  <c r="E1032" i="4"/>
  <c r="K1032" i="4" s="1"/>
  <c r="E1016" i="4"/>
  <c r="K1016" i="4" s="1"/>
  <c r="E1000" i="4"/>
  <c r="K1000" i="4" s="1"/>
  <c r="E984" i="4"/>
  <c r="K984" i="4" s="1"/>
  <c r="E968" i="4"/>
  <c r="K968" i="4" s="1"/>
  <c r="E952" i="4"/>
  <c r="K952" i="4" s="1"/>
  <c r="E936" i="4"/>
  <c r="K936" i="4" s="1"/>
  <c r="E920" i="4"/>
  <c r="K920" i="4" s="1"/>
  <c r="E904" i="4"/>
  <c r="K904" i="4" s="1"/>
  <c r="E888" i="4"/>
  <c r="K888" i="4" s="1"/>
  <c r="E872" i="4"/>
  <c r="K872" i="4" s="1"/>
  <c r="E856" i="4"/>
  <c r="K856" i="4" s="1"/>
  <c r="E840" i="4"/>
  <c r="K840" i="4" s="1"/>
  <c r="E824" i="4"/>
  <c r="K824" i="4" s="1"/>
  <c r="E808" i="4"/>
  <c r="K808" i="4" s="1"/>
  <c r="E792" i="4"/>
  <c r="K792" i="4" s="1"/>
  <c r="E776" i="4"/>
  <c r="K776" i="4" s="1"/>
  <c r="E760" i="4"/>
  <c r="K760" i="4" s="1"/>
  <c r="E744" i="4"/>
  <c r="K744" i="4" s="1"/>
  <c r="E728" i="4"/>
  <c r="E712" i="4"/>
  <c r="K712" i="4" s="1"/>
  <c r="E696" i="4"/>
  <c r="K696" i="4" s="1"/>
  <c r="E680" i="4"/>
  <c r="K680" i="4" s="1"/>
  <c r="E664" i="4"/>
  <c r="K664" i="4" s="1"/>
  <c r="E648" i="4"/>
  <c r="K648" i="4" s="1"/>
  <c r="E632" i="4"/>
  <c r="K632" i="4" s="1"/>
  <c r="E616" i="4"/>
  <c r="K616" i="4" s="1"/>
  <c r="E600" i="4"/>
  <c r="K600" i="4" s="1"/>
  <c r="E584" i="4"/>
  <c r="K584" i="4" s="1"/>
  <c r="E568" i="4"/>
  <c r="K568" i="4" s="1"/>
  <c r="E552" i="4"/>
  <c r="K552" i="4" s="1"/>
  <c r="E536" i="4"/>
  <c r="K536" i="4" s="1"/>
  <c r="E520" i="4"/>
  <c r="K520" i="4" s="1"/>
  <c r="E504" i="4"/>
  <c r="K504" i="4" s="1"/>
  <c r="E488" i="4"/>
  <c r="K488" i="4" s="1"/>
  <c r="E472" i="4"/>
  <c r="K472" i="4" s="1"/>
  <c r="E456" i="4"/>
  <c r="K456" i="4" s="1"/>
  <c r="E440" i="4"/>
  <c r="K440" i="4" s="1"/>
  <c r="E424" i="4"/>
  <c r="K424" i="4" s="1"/>
  <c r="E408" i="4"/>
  <c r="K408" i="4" s="1"/>
  <c r="E392" i="4"/>
  <c r="K392" i="4" s="1"/>
  <c r="E376" i="4"/>
  <c r="K376" i="4" s="1"/>
  <c r="E360" i="4"/>
  <c r="K360" i="4" s="1"/>
  <c r="E344" i="4"/>
  <c r="K344" i="4" s="1"/>
  <c r="E328" i="4"/>
  <c r="K328" i="4" s="1"/>
  <c r="E312" i="4"/>
  <c r="K312" i="4" s="1"/>
  <c r="E296" i="4"/>
  <c r="E280" i="4"/>
  <c r="K280" i="4" s="1"/>
  <c r="E264" i="4"/>
  <c r="K264" i="4" s="1"/>
  <c r="E248" i="4"/>
  <c r="K248" i="4" s="1"/>
  <c r="E232" i="4"/>
  <c r="K232" i="4" s="1"/>
  <c r="E216" i="4"/>
  <c r="K216" i="4" s="1"/>
  <c r="E200" i="4"/>
  <c r="K200" i="4" s="1"/>
  <c r="E184" i="4"/>
  <c r="K184" i="4" s="1"/>
  <c r="E168" i="4"/>
  <c r="K168" i="4" s="1"/>
  <c r="E152" i="4"/>
  <c r="K152" i="4" s="1"/>
  <c r="E136" i="4"/>
  <c r="K136" i="4" s="1"/>
  <c r="E120" i="4"/>
  <c r="E104" i="4"/>
  <c r="K104" i="4" s="1"/>
  <c r="E88" i="4"/>
  <c r="K88" i="4" s="1"/>
  <c r="E72" i="4"/>
  <c r="K72" i="4" s="1"/>
  <c r="E56" i="4"/>
  <c r="K56" i="4" s="1"/>
  <c r="E40" i="4"/>
  <c r="K40" i="4" s="1"/>
  <c r="E24" i="4"/>
  <c r="K24" i="4" s="1"/>
  <c r="E8" i="4"/>
  <c r="K8" i="4" s="1"/>
  <c r="E23" i="4"/>
  <c r="K23" i="4" s="1"/>
  <c r="E7" i="4"/>
  <c r="K7" i="4" s="1"/>
  <c r="E1078" i="4"/>
  <c r="K1078" i="4" s="1"/>
  <c r="E1062" i="4"/>
  <c r="K1062" i="4" s="1"/>
  <c r="E1046" i="4"/>
  <c r="K1046" i="4" s="1"/>
  <c r="E1030" i="4"/>
  <c r="K1030" i="4" s="1"/>
  <c r="E1014" i="4"/>
  <c r="K1014" i="4" s="1"/>
  <c r="E998" i="4"/>
  <c r="K998" i="4" s="1"/>
  <c r="E982" i="4"/>
  <c r="E966" i="4"/>
  <c r="K966" i="4" s="1"/>
  <c r="E950" i="4"/>
  <c r="K950" i="4" s="1"/>
  <c r="E934" i="4"/>
  <c r="K934" i="4" s="1"/>
  <c r="E918" i="4"/>
  <c r="K918" i="4" s="1"/>
  <c r="E902" i="4"/>
  <c r="E886" i="4"/>
  <c r="K886" i="4" s="1"/>
  <c r="E870" i="4"/>
  <c r="E854" i="4"/>
  <c r="K854" i="4" s="1"/>
  <c r="E838" i="4"/>
  <c r="K838" i="4" s="1"/>
  <c r="E822" i="4"/>
  <c r="K822" i="4" s="1"/>
  <c r="E806" i="4"/>
  <c r="K806" i="4" s="1"/>
  <c r="E790" i="4"/>
  <c r="K790" i="4" s="1"/>
  <c r="E774" i="4"/>
  <c r="K774" i="4" s="1"/>
  <c r="E758" i="4"/>
  <c r="K758" i="4" s="1"/>
  <c r="E742" i="4"/>
  <c r="K742" i="4" s="1"/>
  <c r="E726" i="4"/>
  <c r="E710" i="4"/>
  <c r="K710" i="4" s="1"/>
  <c r="E694" i="4"/>
  <c r="K694" i="4" s="1"/>
  <c r="E678" i="4"/>
  <c r="K678" i="4" s="1"/>
  <c r="E662" i="4"/>
  <c r="K662" i="4" s="1"/>
  <c r="E646" i="4"/>
  <c r="E630" i="4"/>
  <c r="K630" i="4" s="1"/>
  <c r="E614" i="4"/>
  <c r="E598" i="4"/>
  <c r="K598" i="4" s="1"/>
  <c r="E582" i="4"/>
  <c r="K582" i="4" s="1"/>
  <c r="E566" i="4"/>
  <c r="K566" i="4" s="1"/>
  <c r="E550" i="4"/>
  <c r="K550" i="4" s="1"/>
  <c r="E534" i="4"/>
  <c r="K534" i="4" s="1"/>
  <c r="E518" i="4"/>
  <c r="K518" i="4" s="1"/>
  <c r="E502" i="4"/>
  <c r="K502" i="4" s="1"/>
  <c r="E486" i="4"/>
  <c r="K486" i="4" s="1"/>
  <c r="E470" i="4"/>
  <c r="E454" i="4"/>
  <c r="K454" i="4" s="1"/>
  <c r="E438" i="4"/>
  <c r="K438" i="4" s="1"/>
  <c r="E422" i="4"/>
  <c r="K422" i="4" s="1"/>
  <c r="E406" i="4"/>
  <c r="K406" i="4" s="1"/>
  <c r="E390" i="4"/>
  <c r="E374" i="4"/>
  <c r="K374" i="4" s="1"/>
  <c r="E358" i="4"/>
  <c r="E342" i="4"/>
  <c r="K342" i="4" s="1"/>
  <c r="E326" i="4"/>
  <c r="K326" i="4" s="1"/>
  <c r="E310" i="4"/>
  <c r="K310" i="4" s="1"/>
  <c r="E294" i="4"/>
  <c r="K294" i="4" s="1"/>
  <c r="E278" i="4"/>
  <c r="K278" i="4" s="1"/>
  <c r="E262" i="4"/>
  <c r="K262" i="4" s="1"/>
  <c r="E246" i="4"/>
  <c r="K246" i="4" s="1"/>
  <c r="E230" i="4"/>
  <c r="K230" i="4" s="1"/>
  <c r="E214" i="4"/>
  <c r="E198" i="4"/>
  <c r="K198" i="4" s="1"/>
  <c r="E182" i="4"/>
  <c r="K182" i="4" s="1"/>
  <c r="E166" i="4"/>
  <c r="K166" i="4" s="1"/>
  <c r="E150" i="4"/>
  <c r="K150" i="4" s="1"/>
  <c r="E134" i="4"/>
  <c r="E118" i="4"/>
  <c r="K118" i="4" s="1"/>
  <c r="E102" i="4"/>
  <c r="E86" i="4"/>
  <c r="K86" i="4" s="1"/>
  <c r="E70" i="4"/>
  <c r="K70" i="4" s="1"/>
  <c r="E54" i="4"/>
  <c r="K54" i="4" s="1"/>
  <c r="E38" i="4"/>
  <c r="K38" i="4" s="1"/>
  <c r="E22" i="4"/>
  <c r="K22" i="4" s="1"/>
  <c r="E6" i="4"/>
  <c r="K6" i="4" s="1"/>
  <c r="E1077" i="4"/>
  <c r="K1077" i="4" s="1"/>
  <c r="E1061" i="4"/>
  <c r="K1061" i="4" s="1"/>
  <c r="E1045" i="4"/>
  <c r="K1045" i="4" s="1"/>
  <c r="E1029" i="4"/>
  <c r="K1029" i="4" s="1"/>
  <c r="E1013" i="4"/>
  <c r="E997" i="4"/>
  <c r="K997" i="4" s="1"/>
  <c r="E981" i="4"/>
  <c r="K981" i="4" s="1"/>
  <c r="E965" i="4"/>
  <c r="E949" i="4"/>
  <c r="K949" i="4" s="1"/>
  <c r="E933" i="4"/>
  <c r="K933" i="4" s="1"/>
  <c r="E917" i="4"/>
  <c r="K917" i="4" s="1"/>
  <c r="E901" i="4"/>
  <c r="K901" i="4" s="1"/>
  <c r="E885" i="4"/>
  <c r="K885" i="4" s="1"/>
  <c r="E869" i="4"/>
  <c r="K869" i="4" s="1"/>
  <c r="E853" i="4"/>
  <c r="K853" i="4" s="1"/>
  <c r="E837" i="4"/>
  <c r="K837" i="4" s="1"/>
  <c r="E821" i="4"/>
  <c r="K821" i="4" s="1"/>
  <c r="E805" i="4"/>
  <c r="K805" i="4" s="1"/>
  <c r="E789" i="4"/>
  <c r="K789" i="4" s="1"/>
  <c r="E773" i="4"/>
  <c r="K773" i="4" s="1"/>
  <c r="E757" i="4"/>
  <c r="K757" i="4" s="1"/>
  <c r="E741" i="4"/>
  <c r="K741" i="4" s="1"/>
  <c r="E725" i="4"/>
  <c r="K725" i="4" s="1"/>
  <c r="E709" i="4"/>
  <c r="E693" i="4"/>
  <c r="K693" i="4" s="1"/>
  <c r="E677" i="4"/>
  <c r="K677" i="4" s="1"/>
  <c r="E661" i="4"/>
  <c r="K661" i="4" s="1"/>
  <c r="E645" i="4"/>
  <c r="K645" i="4" s="1"/>
  <c r="E629" i="4"/>
  <c r="E613" i="4"/>
  <c r="K613" i="4" s="1"/>
  <c r="E597" i="4"/>
  <c r="K597" i="4" s="1"/>
  <c r="E581" i="4"/>
  <c r="K581" i="4" s="1"/>
  <c r="E565" i="4"/>
  <c r="E549" i="4"/>
  <c r="E533" i="4"/>
  <c r="K533" i="4" s="1"/>
  <c r="E517" i="4"/>
  <c r="K517" i="4" s="1"/>
  <c r="E501" i="4"/>
  <c r="K501" i="4" s="1"/>
  <c r="E485" i="4"/>
  <c r="E1076" i="4"/>
  <c r="K1076" i="4" s="1"/>
  <c r="E1060" i="4"/>
  <c r="E1044" i="4"/>
  <c r="E1028" i="4"/>
  <c r="K1028" i="4" s="1"/>
  <c r="E1012" i="4"/>
  <c r="E996" i="4"/>
  <c r="K996" i="4" s="1"/>
  <c r="E980" i="4"/>
  <c r="K980" i="4" s="1"/>
  <c r="E964" i="4"/>
  <c r="K964" i="4" s="1"/>
  <c r="E948" i="4"/>
  <c r="K948" i="4" s="1"/>
  <c r="E932" i="4"/>
  <c r="K932" i="4" s="1"/>
  <c r="E916" i="4"/>
  <c r="K916" i="4" s="1"/>
  <c r="E900" i="4"/>
  <c r="K900" i="4" s="1"/>
  <c r="E884" i="4"/>
  <c r="K884" i="4" s="1"/>
  <c r="E868" i="4"/>
  <c r="E852" i="4"/>
  <c r="K852" i="4" s="1"/>
  <c r="E836" i="4"/>
  <c r="K836" i="4" s="1"/>
  <c r="E820" i="4"/>
  <c r="K820" i="4" s="1"/>
  <c r="E804" i="4"/>
  <c r="E788" i="4"/>
  <c r="E772" i="4"/>
  <c r="K772" i="4" s="1"/>
  <c r="E756" i="4"/>
  <c r="E740" i="4"/>
  <c r="K740" i="4" s="1"/>
  <c r="E724" i="4"/>
  <c r="E708" i="4"/>
  <c r="K708" i="4" s="1"/>
  <c r="E692" i="4"/>
  <c r="K692" i="4" s="1"/>
  <c r="E676" i="4"/>
  <c r="K676" i="4" s="1"/>
  <c r="E660" i="4"/>
  <c r="K660" i="4" s="1"/>
  <c r="E644" i="4"/>
  <c r="K644" i="4" s="1"/>
  <c r="E628" i="4"/>
  <c r="K628" i="4" s="1"/>
  <c r="E612" i="4"/>
  <c r="E596" i="4"/>
  <c r="K596" i="4" s="1"/>
  <c r="E580" i="4"/>
  <c r="K580" i="4" s="1"/>
  <c r="E564" i="4"/>
  <c r="K564" i="4" s="1"/>
  <c r="E548" i="4"/>
  <c r="E532" i="4"/>
  <c r="E516" i="4"/>
  <c r="K516" i="4" s="1"/>
  <c r="E500" i="4"/>
  <c r="E484" i="4"/>
  <c r="K484" i="4" s="1"/>
  <c r="E468" i="4"/>
  <c r="E452" i="4"/>
  <c r="K452" i="4" s="1"/>
  <c r="E436" i="4"/>
  <c r="K436" i="4" s="1"/>
  <c r="E420" i="4"/>
  <c r="K420" i="4" s="1"/>
  <c r="E404" i="4"/>
  <c r="K404" i="4" s="1"/>
  <c r="E388" i="4"/>
  <c r="K388" i="4" s="1"/>
  <c r="E372" i="4"/>
  <c r="K372" i="4" s="1"/>
  <c r="E356" i="4"/>
  <c r="E340" i="4"/>
  <c r="K340" i="4" s="1"/>
  <c r="E324" i="4"/>
  <c r="K324" i="4" s="1"/>
  <c r="E308" i="4"/>
  <c r="K308" i="4" s="1"/>
  <c r="E292" i="4"/>
  <c r="E276" i="4"/>
  <c r="E260" i="4"/>
  <c r="K260" i="4" s="1"/>
  <c r="E244" i="4"/>
  <c r="E228" i="4"/>
  <c r="K228" i="4" s="1"/>
  <c r="E212" i="4"/>
  <c r="E196" i="4"/>
  <c r="K196" i="4" s="1"/>
  <c r="E180" i="4"/>
  <c r="K180" i="4" s="1"/>
  <c r="E164" i="4"/>
  <c r="K164" i="4" s="1"/>
  <c r="E148" i="4"/>
  <c r="K148" i="4" s="1"/>
  <c r="E1075" i="4"/>
  <c r="E1059" i="4"/>
  <c r="K1059" i="4" s="1"/>
  <c r="E1043" i="4"/>
  <c r="K1043" i="4" s="1"/>
  <c r="E1027" i="4"/>
  <c r="K1027" i="4" s="1"/>
  <c r="E1011" i="4"/>
  <c r="K1011" i="4" s="1"/>
  <c r="E995" i="4"/>
  <c r="K995" i="4" s="1"/>
  <c r="E979" i="4"/>
  <c r="K979" i="4" s="1"/>
  <c r="E963" i="4"/>
  <c r="E947" i="4"/>
  <c r="K947" i="4" s="1"/>
  <c r="E931" i="4"/>
  <c r="K931" i="4" s="1"/>
  <c r="E915" i="4"/>
  <c r="K915" i="4" s="1"/>
  <c r="E899" i="4"/>
  <c r="E883" i="4"/>
  <c r="K883" i="4" s="1"/>
  <c r="E867" i="4"/>
  <c r="K867" i="4" s="1"/>
  <c r="E851" i="4"/>
  <c r="E835" i="4"/>
  <c r="E819" i="4"/>
  <c r="E803" i="4"/>
  <c r="K803" i="4" s="1"/>
  <c r="E787" i="4"/>
  <c r="K787" i="4" s="1"/>
  <c r="E771" i="4"/>
  <c r="K771" i="4" s="1"/>
  <c r="E755" i="4"/>
  <c r="K755" i="4" s="1"/>
  <c r="E739" i="4"/>
  <c r="K739" i="4" s="1"/>
  <c r="E723" i="4"/>
  <c r="K723" i="4" s="1"/>
  <c r="E707" i="4"/>
  <c r="E691" i="4"/>
  <c r="K691" i="4" s="1"/>
  <c r="E675" i="4"/>
  <c r="K675" i="4" s="1"/>
  <c r="E659" i="4"/>
  <c r="K659" i="4" s="1"/>
  <c r="E643" i="4"/>
  <c r="E627" i="4"/>
  <c r="K627" i="4" s="1"/>
  <c r="E611" i="4"/>
  <c r="K611" i="4" s="1"/>
  <c r="E595" i="4"/>
  <c r="E579" i="4"/>
  <c r="E563" i="4"/>
  <c r="E547" i="4"/>
  <c r="K547" i="4" s="1"/>
  <c r="E531" i="4"/>
  <c r="K531" i="4" s="1"/>
  <c r="E515" i="4"/>
  <c r="K515" i="4" s="1"/>
  <c r="E499" i="4"/>
  <c r="K499" i="4" s="1"/>
  <c r="E483" i="4"/>
  <c r="K483" i="4" s="1"/>
  <c r="E467" i="4"/>
  <c r="K467" i="4" s="1"/>
  <c r="E451" i="4"/>
  <c r="E435" i="4"/>
  <c r="K435" i="4" s="1"/>
  <c r="E419" i="4"/>
  <c r="K419" i="4" s="1"/>
  <c r="E403" i="4"/>
  <c r="K403" i="4" s="1"/>
  <c r="E387" i="4"/>
  <c r="E371" i="4"/>
  <c r="K371" i="4" s="1"/>
  <c r="E355" i="4"/>
  <c r="K355" i="4" s="1"/>
  <c r="E339" i="4"/>
  <c r="E323" i="4"/>
  <c r="E307" i="4"/>
  <c r="E291" i="4"/>
  <c r="K291" i="4" s="1"/>
  <c r="E275" i="4"/>
  <c r="K275" i="4" s="1"/>
  <c r="E259" i="4"/>
  <c r="K259" i="4" s="1"/>
  <c r="E243" i="4"/>
  <c r="K243" i="4" s="1"/>
  <c r="E227" i="4"/>
  <c r="K227" i="4" s="1"/>
  <c r="E211" i="4"/>
  <c r="K211" i="4" s="1"/>
  <c r="E195" i="4"/>
  <c r="E179" i="4"/>
  <c r="K179" i="4" s="1"/>
  <c r="E163" i="4"/>
  <c r="K163" i="4" s="1"/>
  <c r="E147" i="4"/>
  <c r="K147" i="4" s="1"/>
  <c r="E1074" i="4"/>
  <c r="K1074" i="4" s="1"/>
  <c r="E1058" i="4"/>
  <c r="K1058" i="4" s="1"/>
  <c r="E1042" i="4"/>
  <c r="K1042" i="4" s="1"/>
  <c r="E1026" i="4"/>
  <c r="K1026" i="4" s="1"/>
  <c r="E1010" i="4"/>
  <c r="K1010" i="4" s="1"/>
  <c r="E994" i="4"/>
  <c r="K994" i="4" s="1"/>
  <c r="E978" i="4"/>
  <c r="K978" i="4" s="1"/>
  <c r="E962" i="4"/>
  <c r="K962" i="4" s="1"/>
  <c r="E946" i="4"/>
  <c r="K946" i="4" s="1"/>
  <c r="E930" i="4"/>
  <c r="K930" i="4" s="1"/>
  <c r="E914" i="4"/>
  <c r="K914" i="4" s="1"/>
  <c r="E898" i="4"/>
  <c r="K898" i="4" s="1"/>
  <c r="E882" i="4"/>
  <c r="K882" i="4" s="1"/>
  <c r="E866" i="4"/>
  <c r="K866" i="4" s="1"/>
  <c r="E850" i="4"/>
  <c r="K850" i="4" s="1"/>
  <c r="E834" i="4"/>
  <c r="K834" i="4" s="1"/>
  <c r="E818" i="4"/>
  <c r="K818" i="4" s="1"/>
  <c r="E802" i="4"/>
  <c r="K802" i="4" s="1"/>
  <c r="E786" i="4"/>
  <c r="K786" i="4" s="1"/>
  <c r="E770" i="4"/>
  <c r="K770" i="4" s="1"/>
  <c r="E754" i="4"/>
  <c r="K754" i="4" s="1"/>
  <c r="E738" i="4"/>
  <c r="K738" i="4" s="1"/>
  <c r="E722" i="4"/>
  <c r="K722" i="4" s="1"/>
  <c r="E706" i="4"/>
  <c r="K706" i="4" s="1"/>
  <c r="E690" i="4"/>
  <c r="K690" i="4" s="1"/>
  <c r="E674" i="4"/>
  <c r="K674" i="4" s="1"/>
  <c r="E658" i="4"/>
  <c r="K658" i="4" s="1"/>
  <c r="E642" i="4"/>
  <c r="K642" i="4" s="1"/>
  <c r="E626" i="4"/>
  <c r="K626" i="4" s="1"/>
  <c r="E610" i="4"/>
  <c r="K610" i="4" s="1"/>
  <c r="E594" i="4"/>
  <c r="K594" i="4" s="1"/>
  <c r="E578" i="4"/>
  <c r="K578" i="4" s="1"/>
  <c r="E562" i="4"/>
  <c r="K562" i="4" s="1"/>
  <c r="E546" i="4"/>
  <c r="K546" i="4" s="1"/>
  <c r="E530" i="4"/>
  <c r="K530" i="4" s="1"/>
  <c r="E514" i="4"/>
  <c r="K514" i="4" s="1"/>
  <c r="E498" i="4"/>
  <c r="K498" i="4" s="1"/>
  <c r="E482" i="4"/>
  <c r="K482" i="4" s="1"/>
  <c r="E466" i="4"/>
  <c r="K466" i="4" s="1"/>
  <c r="E450" i="4"/>
  <c r="K450" i="4" s="1"/>
  <c r="E434" i="4"/>
  <c r="K434" i="4" s="1"/>
  <c r="E418" i="4"/>
  <c r="K418" i="4" s="1"/>
  <c r="E402" i="4"/>
  <c r="K402" i="4" s="1"/>
  <c r="E386" i="4"/>
  <c r="K386" i="4" s="1"/>
  <c r="E370" i="4"/>
  <c r="K370" i="4" s="1"/>
  <c r="E354" i="4"/>
  <c r="K354" i="4" s="1"/>
  <c r="E338" i="4"/>
  <c r="K338" i="4" s="1"/>
  <c r="E322" i="4"/>
  <c r="K322" i="4" s="1"/>
  <c r="E306" i="4"/>
  <c r="K306" i="4" s="1"/>
  <c r="E290" i="4"/>
  <c r="K290" i="4" s="1"/>
  <c r="E274" i="4"/>
  <c r="K274" i="4" s="1"/>
  <c r="E258" i="4"/>
  <c r="K258" i="4" s="1"/>
  <c r="E242" i="4"/>
  <c r="K242" i="4" s="1"/>
  <c r="E226" i="4"/>
  <c r="K226" i="4" s="1"/>
  <c r="E210" i="4"/>
  <c r="K210" i="4" s="1"/>
  <c r="E194" i="4"/>
  <c r="K194" i="4" s="1"/>
  <c r="E178" i="4"/>
  <c r="K178" i="4" s="1"/>
  <c r="E162" i="4"/>
  <c r="K162" i="4" s="1"/>
  <c r="E146" i="4"/>
  <c r="K146" i="4" s="1"/>
  <c r="E130" i="4"/>
  <c r="K130" i="4" s="1"/>
  <c r="E114" i="4"/>
  <c r="K114" i="4" s="1"/>
  <c r="E98" i="4"/>
  <c r="K98" i="4" s="1"/>
  <c r="E82" i="4"/>
  <c r="K82" i="4" s="1"/>
  <c r="E66" i="4"/>
  <c r="K66" i="4" s="1"/>
  <c r="E50" i="4"/>
  <c r="K50" i="4" s="1"/>
  <c r="E34" i="4"/>
  <c r="K34" i="4" s="1"/>
  <c r="E1073" i="4"/>
  <c r="K1073" i="4" s="1"/>
  <c r="E1041" i="4"/>
  <c r="K1041" i="4" s="1"/>
  <c r="E1025" i="4"/>
  <c r="K1025" i="4" s="1"/>
  <c r="E1009" i="4"/>
  <c r="K1009" i="4" s="1"/>
  <c r="E993" i="4"/>
  <c r="K993" i="4" s="1"/>
  <c r="E977" i="4"/>
  <c r="K977" i="4" s="1"/>
  <c r="E945" i="4"/>
  <c r="K945" i="4" s="1"/>
  <c r="E913" i="4"/>
  <c r="K913" i="4" s="1"/>
  <c r="E897" i="4"/>
  <c r="K897" i="4" s="1"/>
  <c r="E881" i="4"/>
  <c r="E865" i="4"/>
  <c r="K865" i="4" s="1"/>
  <c r="E849" i="4"/>
  <c r="K849" i="4" s="1"/>
  <c r="E817" i="4"/>
  <c r="K817" i="4" s="1"/>
  <c r="E785" i="4"/>
  <c r="K785" i="4" s="1"/>
  <c r="E769" i="4"/>
  <c r="E753" i="4"/>
  <c r="K753" i="4" s="1"/>
  <c r="E737" i="4"/>
  <c r="E721" i="4"/>
  <c r="K721" i="4" s="1"/>
  <c r="E689" i="4"/>
  <c r="K689" i="4" s="1"/>
  <c r="E657" i="4"/>
  <c r="E641" i="4"/>
  <c r="K641" i="4" s="1"/>
  <c r="E625" i="4"/>
  <c r="E609" i="4"/>
  <c r="K609" i="4" s="1"/>
  <c r="E593" i="4"/>
  <c r="E561" i="4"/>
  <c r="K561" i="4" s="1"/>
  <c r="E529" i="4"/>
  <c r="K529" i="4" s="1"/>
  <c r="E513" i="4"/>
  <c r="K513" i="4" s="1"/>
  <c r="E497" i="4"/>
  <c r="K497" i="4" s="1"/>
  <c r="E481" i="4"/>
  <c r="K481" i="4" s="1"/>
  <c r="E465" i="4"/>
  <c r="K465" i="4" s="1"/>
  <c r="E433" i="4"/>
  <c r="K433" i="4" s="1"/>
  <c r="E401" i="4"/>
  <c r="K401" i="4" s="1"/>
  <c r="E385" i="4"/>
  <c r="K385" i="4" s="1"/>
  <c r="E369" i="4"/>
  <c r="K369" i="4" s="1"/>
  <c r="E353" i="4"/>
  <c r="E337" i="4"/>
  <c r="E305" i="4"/>
  <c r="K305" i="4" s="1"/>
  <c r="E273" i="4"/>
  <c r="K273" i="4" s="1"/>
  <c r="E257" i="4"/>
  <c r="K257" i="4" s="1"/>
  <c r="E241" i="4"/>
  <c r="K241" i="4" s="1"/>
  <c r="E225" i="4"/>
  <c r="K225" i="4" s="1"/>
  <c r="E209" i="4"/>
  <c r="K209" i="4" s="1"/>
  <c r="E177" i="4"/>
  <c r="K177" i="4" s="1"/>
  <c r="E145" i="4"/>
  <c r="K145" i="4" s="1"/>
  <c r="E129" i="4"/>
  <c r="K129" i="4" s="1"/>
  <c r="E113" i="4"/>
  <c r="K113" i="4" s="1"/>
  <c r="E97" i="4"/>
  <c r="K97" i="4" s="1"/>
  <c r="E81" i="4"/>
  <c r="K81" i="4" s="1"/>
  <c r="E49" i="4"/>
  <c r="K49" i="4" s="1"/>
  <c r="E17" i="4"/>
  <c r="K17" i="4" s="1"/>
  <c r="E1072" i="4"/>
  <c r="K1072" i="4" s="1"/>
  <c r="E1056" i="4"/>
  <c r="K1056" i="4" s="1"/>
  <c r="E1040" i="4"/>
  <c r="K1040" i="4" s="1"/>
  <c r="E1024" i="4"/>
  <c r="K1024" i="4" s="1"/>
  <c r="E1008" i="4"/>
  <c r="K1008" i="4" s="1"/>
  <c r="E976" i="4"/>
  <c r="E960" i="4"/>
  <c r="K960" i="4" s="1"/>
  <c r="E944" i="4"/>
  <c r="K944" i="4" s="1"/>
  <c r="E928" i="4"/>
  <c r="K928" i="4" s="1"/>
  <c r="E912" i="4"/>
  <c r="E896" i="4"/>
  <c r="E880" i="4"/>
  <c r="K880" i="4" s="1"/>
  <c r="E848" i="4"/>
  <c r="K848" i="4" s="1"/>
  <c r="E832" i="4"/>
  <c r="K832" i="4" s="1"/>
  <c r="E816" i="4"/>
  <c r="K816" i="4" s="1"/>
  <c r="E800" i="4"/>
  <c r="K800" i="4" s="1"/>
  <c r="E784" i="4"/>
  <c r="K784" i="4" s="1"/>
  <c r="E768" i="4"/>
  <c r="K768" i="4" s="1"/>
  <c r="E752" i="4"/>
  <c r="K752" i="4" s="1"/>
  <c r="E720" i="4"/>
  <c r="E704" i="4"/>
  <c r="K704" i="4" s="1"/>
  <c r="E688" i="4"/>
  <c r="K688" i="4" s="1"/>
  <c r="E672" i="4"/>
  <c r="K672" i="4" s="1"/>
  <c r="E656" i="4"/>
  <c r="E640" i="4"/>
  <c r="E624" i="4"/>
  <c r="K624" i="4" s="1"/>
  <c r="E592" i="4"/>
  <c r="K592" i="4" s="1"/>
  <c r="E576" i="4"/>
  <c r="E560" i="4"/>
  <c r="K560" i="4" s="1"/>
  <c r="E544" i="4"/>
  <c r="K544" i="4" s="1"/>
  <c r="E528" i="4"/>
  <c r="K528" i="4" s="1"/>
  <c r="E512" i="4"/>
  <c r="K512" i="4" s="1"/>
  <c r="E496" i="4"/>
  <c r="K496" i="4" s="1"/>
  <c r="E464" i="4"/>
  <c r="E448" i="4"/>
  <c r="K448" i="4" s="1"/>
  <c r="E432" i="4"/>
  <c r="K432" i="4" s="1"/>
  <c r="E416" i="4"/>
  <c r="K416" i="4" s="1"/>
  <c r="E400" i="4"/>
  <c r="E384" i="4"/>
  <c r="E368" i="4"/>
  <c r="K368" i="4" s="1"/>
  <c r="E336" i="4"/>
  <c r="K336" i="4" s="1"/>
  <c r="E320" i="4"/>
  <c r="E304" i="4"/>
  <c r="K304" i="4" s="1"/>
  <c r="E288" i="4"/>
  <c r="K288" i="4" s="1"/>
  <c r="E272" i="4"/>
  <c r="K272" i="4" s="1"/>
  <c r="E256" i="4"/>
  <c r="K256" i="4" s="1"/>
  <c r="E240" i="4"/>
  <c r="K240" i="4" s="1"/>
  <c r="E208" i="4"/>
  <c r="K208" i="4" s="1"/>
  <c r="E192" i="4"/>
  <c r="K192" i="4" s="1"/>
  <c r="E176" i="4"/>
  <c r="K176" i="4" s="1"/>
  <c r="E160" i="4"/>
  <c r="K160" i="4" s="1"/>
  <c r="E144" i="4"/>
  <c r="E128" i="4"/>
  <c r="E112" i="4"/>
  <c r="K112" i="4" s="1"/>
  <c r="E80" i="4"/>
  <c r="K80" i="4" s="1"/>
  <c r="E64" i="4"/>
  <c r="E48" i="4"/>
  <c r="K48" i="4" s="1"/>
  <c r="E32" i="4"/>
  <c r="K32" i="4" s="1"/>
  <c r="E16" i="4"/>
  <c r="K16" i="4" s="1"/>
  <c r="E1071" i="4"/>
  <c r="K1071" i="4" s="1"/>
  <c r="E1055" i="4"/>
  <c r="K1055" i="4" s="1"/>
  <c r="E1039" i="4"/>
  <c r="K1039" i="4" s="1"/>
  <c r="E1023" i="4"/>
  <c r="K1023" i="4" s="1"/>
  <c r="E1007" i="4"/>
  <c r="K1007" i="4" s="1"/>
  <c r="E991" i="4"/>
  <c r="K991" i="4" s="1"/>
  <c r="E975" i="4"/>
  <c r="K975" i="4" s="1"/>
  <c r="E959" i="4"/>
  <c r="K959" i="4" s="1"/>
  <c r="E943" i="4"/>
  <c r="K943" i="4" s="1"/>
  <c r="E927" i="4"/>
  <c r="K927" i="4" s="1"/>
  <c r="E911" i="4"/>
  <c r="K911" i="4" s="1"/>
  <c r="E895" i="4"/>
  <c r="K895" i="4" s="1"/>
  <c r="E879" i="4"/>
  <c r="K879" i="4" s="1"/>
  <c r="E863" i="4"/>
  <c r="K863" i="4" s="1"/>
  <c r="E847" i="4"/>
  <c r="K847" i="4" s="1"/>
  <c r="E831" i="4"/>
  <c r="K831" i="4" s="1"/>
  <c r="E815" i="4"/>
  <c r="K815" i="4" s="1"/>
  <c r="E799" i="4"/>
  <c r="K799" i="4" s="1"/>
  <c r="E783" i="4"/>
  <c r="K783" i="4" s="1"/>
  <c r="E767" i="4"/>
  <c r="K767" i="4" s="1"/>
  <c r="E751" i="4"/>
  <c r="K751" i="4" s="1"/>
  <c r="E735" i="4"/>
  <c r="K735" i="4" s="1"/>
  <c r="E719" i="4"/>
  <c r="K719" i="4" s="1"/>
  <c r="E703" i="4"/>
  <c r="K703" i="4" s="1"/>
  <c r="E687" i="4"/>
  <c r="K687" i="4" s="1"/>
  <c r="E671" i="4"/>
  <c r="K671" i="4" s="1"/>
  <c r="E655" i="4"/>
  <c r="K655" i="4" s="1"/>
  <c r="E639" i="4"/>
  <c r="K639" i="4" s="1"/>
  <c r="E623" i="4"/>
  <c r="K623" i="4" s="1"/>
  <c r="E607" i="4"/>
  <c r="K607" i="4" s="1"/>
  <c r="E591" i="4"/>
  <c r="K591" i="4" s="1"/>
  <c r="E575" i="4"/>
  <c r="K575" i="4" s="1"/>
  <c r="E559" i="4"/>
  <c r="K559" i="4" s="1"/>
  <c r="E543" i="4"/>
  <c r="K543" i="4" s="1"/>
  <c r="E527" i="4"/>
  <c r="K527" i="4" s="1"/>
  <c r="E511" i="4"/>
  <c r="K511" i="4" s="1"/>
  <c r="E495" i="4"/>
  <c r="K495" i="4" s="1"/>
  <c r="E479" i="4"/>
  <c r="K479" i="4" s="1"/>
  <c r="E463" i="4"/>
  <c r="K463" i="4" s="1"/>
  <c r="E447" i="4"/>
  <c r="K447" i="4" s="1"/>
  <c r="E431" i="4"/>
  <c r="K431" i="4" s="1"/>
  <c r="E415" i="4"/>
  <c r="K415" i="4" s="1"/>
  <c r="E399" i="4"/>
  <c r="K399" i="4" s="1"/>
  <c r="E383" i="4"/>
  <c r="K383" i="4" s="1"/>
  <c r="E367" i="4"/>
  <c r="K367" i="4" s="1"/>
  <c r="E351" i="4"/>
  <c r="K351" i="4" s="1"/>
  <c r="E335" i="4"/>
  <c r="K335" i="4" s="1"/>
  <c r="E319" i="4"/>
  <c r="K319" i="4" s="1"/>
  <c r="E303" i="4"/>
  <c r="K303" i="4" s="1"/>
  <c r="E287" i="4"/>
  <c r="K287" i="4" s="1"/>
  <c r="E271" i="4"/>
  <c r="K271" i="4" s="1"/>
  <c r="E255" i="4"/>
  <c r="K255" i="4" s="1"/>
  <c r="E239" i="4"/>
  <c r="K239" i="4" s="1"/>
  <c r="E223" i="4"/>
  <c r="K223" i="4" s="1"/>
  <c r="E207" i="4"/>
  <c r="K207" i="4" s="1"/>
  <c r="E191" i="4"/>
  <c r="K191" i="4" s="1"/>
  <c r="E175" i="4"/>
  <c r="K175" i="4" s="1"/>
  <c r="E159" i="4"/>
  <c r="K159" i="4" s="1"/>
  <c r="E143" i="4"/>
  <c r="K143" i="4" s="1"/>
  <c r="E127" i="4"/>
  <c r="K127" i="4" s="1"/>
  <c r="E111" i="4"/>
  <c r="K111" i="4" s="1"/>
  <c r="E95" i="4"/>
  <c r="K95" i="4" s="1"/>
  <c r="E79" i="4"/>
  <c r="K79" i="4" s="1"/>
  <c r="E63" i="4"/>
  <c r="K63" i="4" s="1"/>
  <c r="E47" i="4"/>
  <c r="K47" i="4" s="1"/>
  <c r="E31" i="4"/>
  <c r="K31" i="4" s="1"/>
  <c r="E15" i="4"/>
  <c r="K15" i="4" s="1"/>
  <c r="E1070" i="4"/>
  <c r="K1070" i="4" s="1"/>
  <c r="E1054" i="4"/>
  <c r="K1054" i="4" s="1"/>
  <c r="E1038" i="4"/>
  <c r="K1038" i="4" s="1"/>
  <c r="E1022" i="4"/>
  <c r="K1022" i="4" s="1"/>
  <c r="E1006" i="4"/>
  <c r="K1006" i="4" s="1"/>
  <c r="E990" i="4"/>
  <c r="K990" i="4" s="1"/>
  <c r="E974" i="4"/>
  <c r="K974" i="4" s="1"/>
  <c r="E958" i="4"/>
  <c r="K958" i="4" s="1"/>
  <c r="E942" i="4"/>
  <c r="K942" i="4" s="1"/>
  <c r="E926" i="4"/>
  <c r="K926" i="4" s="1"/>
  <c r="E910" i="4"/>
  <c r="K910" i="4" s="1"/>
  <c r="E894" i="4"/>
  <c r="K894" i="4" s="1"/>
  <c r="E878" i="4"/>
  <c r="K878" i="4" s="1"/>
  <c r="E862" i="4"/>
  <c r="K862" i="4" s="1"/>
  <c r="E846" i="4"/>
  <c r="K846" i="4" s="1"/>
  <c r="E830" i="4"/>
  <c r="K830" i="4" s="1"/>
  <c r="E814" i="4"/>
  <c r="E798" i="4"/>
  <c r="K798" i="4" s="1"/>
  <c r="E782" i="4"/>
  <c r="K782" i="4" s="1"/>
  <c r="E766" i="4"/>
  <c r="K766" i="4" s="1"/>
  <c r="E750" i="4"/>
  <c r="K750" i="4" s="1"/>
  <c r="E734" i="4"/>
  <c r="K734" i="4" s="1"/>
  <c r="E718" i="4"/>
  <c r="K718" i="4" s="1"/>
  <c r="E702" i="4"/>
  <c r="K702" i="4" s="1"/>
  <c r="E686" i="4"/>
  <c r="K686" i="4" s="1"/>
  <c r="E670" i="4"/>
  <c r="K670" i="4" s="1"/>
  <c r="E654" i="4"/>
  <c r="K654" i="4" s="1"/>
  <c r="E638" i="4"/>
  <c r="K638" i="4" s="1"/>
  <c r="E622" i="4"/>
  <c r="K622" i="4" s="1"/>
  <c r="E606" i="4"/>
  <c r="K606" i="4" s="1"/>
  <c r="E590" i="4"/>
  <c r="K590" i="4" s="1"/>
  <c r="E574" i="4"/>
  <c r="K574" i="4" s="1"/>
  <c r="E558" i="4"/>
  <c r="K558" i="4" s="1"/>
  <c r="E542" i="4"/>
  <c r="K542" i="4" s="1"/>
  <c r="E526" i="4"/>
  <c r="K526" i="4" s="1"/>
  <c r="E510" i="4"/>
  <c r="K510" i="4" s="1"/>
  <c r="E494" i="4"/>
  <c r="K494" i="4" s="1"/>
  <c r="E478" i="4"/>
  <c r="K478" i="4" s="1"/>
  <c r="E462" i="4"/>
  <c r="E446" i="4"/>
  <c r="K446" i="4" s="1"/>
  <c r="E430" i="4"/>
  <c r="K430" i="4" s="1"/>
  <c r="E414" i="4"/>
  <c r="K414" i="4" s="1"/>
  <c r="E398" i="4"/>
  <c r="K398" i="4" s="1"/>
  <c r="E382" i="4"/>
  <c r="K382" i="4" s="1"/>
  <c r="E366" i="4"/>
  <c r="K366" i="4" s="1"/>
  <c r="E350" i="4"/>
  <c r="K350" i="4" s="1"/>
  <c r="E334" i="4"/>
  <c r="K334" i="4" s="1"/>
  <c r="E318" i="4"/>
  <c r="K318" i="4" s="1"/>
  <c r="E302" i="4"/>
  <c r="K302" i="4" s="1"/>
  <c r="E286" i="4"/>
  <c r="K286" i="4" s="1"/>
  <c r="E270" i="4"/>
  <c r="K270" i="4" s="1"/>
  <c r="E254" i="4"/>
  <c r="K254" i="4" s="1"/>
  <c r="E238" i="4"/>
  <c r="K238" i="4" s="1"/>
  <c r="E222" i="4"/>
  <c r="K222" i="4" s="1"/>
  <c r="E206" i="4"/>
  <c r="K206" i="4" s="1"/>
  <c r="E190" i="4"/>
  <c r="E174" i="4"/>
  <c r="K174" i="4" s="1"/>
  <c r="E158" i="4"/>
  <c r="K158" i="4" s="1"/>
  <c r="E142" i="4"/>
  <c r="K142" i="4" s="1"/>
  <c r="E126" i="4"/>
  <c r="K126" i="4" s="1"/>
  <c r="E110" i="4"/>
  <c r="K110" i="4" s="1"/>
  <c r="E94" i="4"/>
  <c r="K94" i="4" s="1"/>
  <c r="E78" i="4"/>
  <c r="K78" i="4" s="1"/>
  <c r="E62" i="4"/>
  <c r="K62" i="4" s="1"/>
  <c r="E46" i="4"/>
  <c r="K46" i="4" s="1"/>
  <c r="E1069" i="4"/>
  <c r="K1069" i="4" s="1"/>
  <c r="E1053" i="4"/>
  <c r="K1053" i="4" s="1"/>
  <c r="E1037" i="4"/>
  <c r="K1037" i="4" s="1"/>
  <c r="E1021" i="4"/>
  <c r="K1021" i="4" s="1"/>
  <c r="E1005" i="4"/>
  <c r="K1005" i="4" s="1"/>
  <c r="E989" i="4"/>
  <c r="K989" i="4" s="1"/>
  <c r="E973" i="4"/>
  <c r="K973" i="4" s="1"/>
  <c r="E957" i="4"/>
  <c r="K957" i="4" s="1"/>
  <c r="E941" i="4"/>
  <c r="K941" i="4" s="1"/>
  <c r="E925" i="4"/>
  <c r="K925" i="4" s="1"/>
  <c r="E909" i="4"/>
  <c r="K909" i="4" s="1"/>
  <c r="E893" i="4"/>
  <c r="K893" i="4" s="1"/>
  <c r="E877" i="4"/>
  <c r="K877" i="4" s="1"/>
  <c r="E861" i="4"/>
  <c r="E845" i="4"/>
  <c r="K845" i="4" s="1"/>
  <c r="E829" i="4"/>
  <c r="K829" i="4" s="1"/>
  <c r="E813" i="4"/>
  <c r="K813" i="4" s="1"/>
  <c r="E797" i="4"/>
  <c r="K797" i="4" s="1"/>
  <c r="E781" i="4"/>
  <c r="K781" i="4" s="1"/>
  <c r="E765" i="4"/>
  <c r="K765" i="4" s="1"/>
  <c r="E749" i="4"/>
  <c r="K749" i="4" s="1"/>
  <c r="E733" i="4"/>
  <c r="K733" i="4" s="1"/>
  <c r="E717" i="4"/>
  <c r="K717" i="4" s="1"/>
  <c r="E701" i="4"/>
  <c r="K701" i="4" s="1"/>
  <c r="E685" i="4"/>
  <c r="K685" i="4" s="1"/>
  <c r="E669" i="4"/>
  <c r="K669" i="4" s="1"/>
  <c r="E653" i="4"/>
  <c r="K653" i="4" s="1"/>
  <c r="E637" i="4"/>
  <c r="K637" i="4" s="1"/>
  <c r="E621" i="4"/>
  <c r="K621" i="4" s="1"/>
  <c r="E605" i="4"/>
  <c r="E589" i="4"/>
  <c r="K589" i="4" s="1"/>
  <c r="E573" i="4"/>
  <c r="K573" i="4" s="1"/>
  <c r="E557" i="4"/>
  <c r="K557" i="4" s="1"/>
  <c r="E541" i="4"/>
  <c r="K541" i="4" s="1"/>
  <c r="E525" i="4"/>
  <c r="K525" i="4" s="1"/>
  <c r="E509" i="4"/>
  <c r="K509" i="4" s="1"/>
  <c r="E493" i="4"/>
  <c r="K493" i="4" s="1"/>
  <c r="E477" i="4"/>
  <c r="K477" i="4" s="1"/>
  <c r="E461" i="4"/>
  <c r="K461" i="4" s="1"/>
  <c r="E445" i="4"/>
  <c r="K445" i="4" s="1"/>
  <c r="E429" i="4"/>
  <c r="K429" i="4" s="1"/>
  <c r="E413" i="4"/>
  <c r="K413" i="4" s="1"/>
  <c r="E397" i="4"/>
  <c r="K397" i="4" s="1"/>
  <c r="E381" i="4"/>
  <c r="K381" i="4" s="1"/>
  <c r="E365" i="4"/>
  <c r="K365" i="4" s="1"/>
  <c r="E349" i="4"/>
  <c r="E333" i="4"/>
  <c r="K333" i="4" s="1"/>
  <c r="E317" i="4"/>
  <c r="K317" i="4" s="1"/>
  <c r="E301" i="4"/>
  <c r="K301" i="4" s="1"/>
  <c r="E285" i="4"/>
  <c r="K285" i="4" s="1"/>
  <c r="E269" i="4"/>
  <c r="K269" i="4" s="1"/>
  <c r="E253" i="4"/>
  <c r="K253" i="4" s="1"/>
  <c r="E237" i="4"/>
  <c r="K237" i="4" s="1"/>
  <c r="E221" i="4"/>
  <c r="K221" i="4" s="1"/>
  <c r="E205" i="4"/>
  <c r="K205" i="4" s="1"/>
  <c r="E189" i="4"/>
  <c r="K189" i="4" s="1"/>
  <c r="E173" i="4"/>
  <c r="K173" i="4" s="1"/>
  <c r="E157" i="4"/>
  <c r="K157" i="4" s="1"/>
  <c r="E141" i="4"/>
  <c r="K141" i="4" s="1"/>
  <c r="E125" i="4"/>
  <c r="K125" i="4" s="1"/>
  <c r="E109" i="4"/>
  <c r="K109" i="4" s="1"/>
  <c r="E93" i="4"/>
  <c r="E77" i="4"/>
  <c r="K77" i="4" s="1"/>
  <c r="E61" i="4"/>
  <c r="K61" i="4" s="1"/>
  <c r="E45" i="4"/>
  <c r="K45" i="4" s="1"/>
  <c r="E29" i="4"/>
  <c r="K29" i="4" s="1"/>
  <c r="E13" i="4"/>
  <c r="K13" i="4" s="1"/>
  <c r="E1068" i="4"/>
  <c r="K1068" i="4" s="1"/>
  <c r="E1052" i="4"/>
  <c r="K1052" i="4" s="1"/>
  <c r="E1036" i="4"/>
  <c r="K1036" i="4" s="1"/>
  <c r="E1020" i="4"/>
  <c r="K1020" i="4" s="1"/>
  <c r="E1004" i="4"/>
  <c r="K1004" i="4" s="1"/>
  <c r="E988" i="4"/>
  <c r="K988" i="4" s="1"/>
  <c r="E972" i="4"/>
  <c r="K972" i="4" s="1"/>
  <c r="E956" i="4"/>
  <c r="K956" i="4" s="1"/>
  <c r="E940" i="4"/>
  <c r="K940" i="4" s="1"/>
  <c r="E924" i="4"/>
  <c r="K924" i="4" s="1"/>
  <c r="E908" i="4"/>
  <c r="K908" i="4" s="1"/>
  <c r="E892" i="4"/>
  <c r="K892" i="4" s="1"/>
  <c r="E876" i="4"/>
  <c r="K876" i="4" s="1"/>
  <c r="E860" i="4"/>
  <c r="K860" i="4" s="1"/>
  <c r="E844" i="4"/>
  <c r="K844" i="4" s="1"/>
  <c r="E828" i="4"/>
  <c r="K828" i="4" s="1"/>
  <c r="E812" i="4"/>
  <c r="K812" i="4" s="1"/>
  <c r="E796" i="4"/>
  <c r="K796" i="4" s="1"/>
  <c r="E780" i="4"/>
  <c r="K780" i="4" s="1"/>
  <c r="E764" i="4"/>
  <c r="K764" i="4" s="1"/>
  <c r="E748" i="4"/>
  <c r="K748" i="4" s="1"/>
  <c r="E732" i="4"/>
  <c r="K732" i="4" s="1"/>
  <c r="E716" i="4"/>
  <c r="K716" i="4" s="1"/>
  <c r="E700" i="4"/>
  <c r="K700" i="4" s="1"/>
  <c r="E684" i="4"/>
  <c r="K684" i="4" s="1"/>
  <c r="E668" i="4"/>
  <c r="K668" i="4" s="1"/>
  <c r="E652" i="4"/>
  <c r="K652" i="4" s="1"/>
  <c r="E636" i="4"/>
  <c r="K636" i="4" s="1"/>
  <c r="E620" i="4"/>
  <c r="K620" i="4" s="1"/>
  <c r="E604" i="4"/>
  <c r="K604" i="4" s="1"/>
  <c r="E588" i="4"/>
  <c r="K588" i="4" s="1"/>
  <c r="E572" i="4"/>
  <c r="K572" i="4" s="1"/>
  <c r="E556" i="4"/>
  <c r="K556" i="4" s="1"/>
  <c r="E540" i="4"/>
  <c r="K540" i="4" s="1"/>
  <c r="E524" i="4"/>
  <c r="K524" i="4" s="1"/>
  <c r="E508" i="4"/>
  <c r="K508" i="4" s="1"/>
  <c r="E492" i="4"/>
  <c r="K492" i="4" s="1"/>
  <c r="E476" i="4"/>
  <c r="K476" i="4" s="1"/>
  <c r="E460" i="4"/>
  <c r="K460" i="4" s="1"/>
  <c r="E444" i="4"/>
  <c r="K444" i="4" s="1"/>
  <c r="E428" i="4"/>
  <c r="K428" i="4" s="1"/>
  <c r="E412" i="4"/>
  <c r="K412" i="4" s="1"/>
  <c r="E396" i="4"/>
  <c r="K396" i="4" s="1"/>
  <c r="E380" i="4"/>
  <c r="K380" i="4" s="1"/>
  <c r="E364" i="4"/>
  <c r="K364" i="4" s="1"/>
  <c r="E348" i="4"/>
  <c r="K348" i="4" s="1"/>
  <c r="E332" i="4"/>
  <c r="K332" i="4" s="1"/>
  <c r="E316" i="4"/>
  <c r="K316" i="4" s="1"/>
  <c r="E300" i="4"/>
  <c r="K300" i="4" s="1"/>
  <c r="E284" i="4"/>
  <c r="K284" i="4" s="1"/>
  <c r="E268" i="4"/>
  <c r="K268" i="4" s="1"/>
  <c r="E252" i="4"/>
  <c r="K252" i="4" s="1"/>
  <c r="E236" i="4"/>
  <c r="K236" i="4" s="1"/>
  <c r="E220" i="4"/>
  <c r="K220" i="4" s="1"/>
  <c r="E204" i="4"/>
  <c r="K204" i="4" s="1"/>
  <c r="E188" i="4"/>
  <c r="K188" i="4" s="1"/>
  <c r="E172" i="4"/>
  <c r="K172" i="4" s="1"/>
  <c r="E156" i="4"/>
  <c r="K156" i="4" s="1"/>
  <c r="E140" i="4"/>
  <c r="K140" i="4" s="1"/>
  <c r="E124" i="4"/>
  <c r="K124" i="4" s="1"/>
  <c r="E108" i="4"/>
  <c r="K108" i="4" s="1"/>
  <c r="E92" i="4"/>
  <c r="K92" i="4" s="1"/>
  <c r="E76" i="4"/>
  <c r="K76" i="4" s="1"/>
  <c r="E60" i="4"/>
  <c r="K60" i="4" s="1"/>
  <c r="E44" i="4"/>
  <c r="K44" i="4" s="1"/>
  <c r="E28" i="4"/>
  <c r="K28" i="4" s="1"/>
  <c r="E1067" i="4"/>
  <c r="K1067" i="4" s="1"/>
  <c r="E1051" i="4"/>
  <c r="E1035" i="4"/>
  <c r="K1035" i="4" s="1"/>
  <c r="E1019" i="4"/>
  <c r="K1019" i="4" s="1"/>
  <c r="E1003" i="4"/>
  <c r="K1003" i="4" s="1"/>
  <c r="E987" i="4"/>
  <c r="K987" i="4" s="1"/>
  <c r="E971" i="4"/>
  <c r="K971" i="4" s="1"/>
  <c r="E955" i="4"/>
  <c r="K955" i="4" s="1"/>
  <c r="E939" i="4"/>
  <c r="K939" i="4" s="1"/>
  <c r="E923" i="4"/>
  <c r="K923" i="4" s="1"/>
  <c r="E907" i="4"/>
  <c r="K907" i="4" s="1"/>
  <c r="E891" i="4"/>
  <c r="K891" i="4" s="1"/>
  <c r="E875" i="4"/>
  <c r="K875" i="4" s="1"/>
  <c r="E859" i="4"/>
  <c r="K859" i="4" s="1"/>
  <c r="E843" i="4"/>
  <c r="K843" i="4" s="1"/>
  <c r="E827" i="4"/>
  <c r="K827" i="4" s="1"/>
  <c r="E811" i="4"/>
  <c r="K811" i="4" s="1"/>
  <c r="E795" i="4"/>
  <c r="E779" i="4"/>
  <c r="K779" i="4" s="1"/>
  <c r="E763" i="4"/>
  <c r="K763" i="4" s="1"/>
  <c r="E747" i="4"/>
  <c r="K747" i="4" s="1"/>
  <c r="E731" i="4"/>
  <c r="K731" i="4" s="1"/>
  <c r="E715" i="4"/>
  <c r="K715" i="4" s="1"/>
  <c r="E699" i="4"/>
  <c r="K699" i="4" s="1"/>
  <c r="E683" i="4"/>
  <c r="K683" i="4" s="1"/>
  <c r="E667" i="4"/>
  <c r="K667" i="4" s="1"/>
  <c r="E651" i="4"/>
  <c r="K651" i="4" s="1"/>
  <c r="E635" i="4"/>
  <c r="K635" i="4" s="1"/>
  <c r="E619" i="4"/>
  <c r="K619" i="4" s="1"/>
  <c r="E603" i="4"/>
  <c r="K603" i="4" s="1"/>
  <c r="E587" i="4"/>
  <c r="K587" i="4" s="1"/>
  <c r="E571" i="4"/>
  <c r="K571" i="4" s="1"/>
  <c r="E555" i="4"/>
  <c r="K555" i="4" s="1"/>
  <c r="E539" i="4"/>
  <c r="E523" i="4"/>
  <c r="K523" i="4" s="1"/>
  <c r="E507" i="4"/>
  <c r="K507" i="4" s="1"/>
  <c r="E491" i="4"/>
  <c r="K491" i="4" s="1"/>
  <c r="E475" i="4"/>
  <c r="K475" i="4" s="1"/>
  <c r="E459" i="4"/>
  <c r="K459" i="4" s="1"/>
  <c r="E443" i="4"/>
  <c r="K443" i="4" s="1"/>
  <c r="E427" i="4"/>
  <c r="K427" i="4" s="1"/>
  <c r="E411" i="4"/>
  <c r="K411" i="4" s="1"/>
  <c r="E395" i="4"/>
  <c r="K395" i="4" s="1"/>
  <c r="E379" i="4"/>
  <c r="K379" i="4" s="1"/>
  <c r="E363" i="4"/>
  <c r="K363" i="4" s="1"/>
  <c r="E347" i="4"/>
  <c r="K347" i="4" s="1"/>
  <c r="E331" i="4"/>
  <c r="K331" i="4" s="1"/>
  <c r="E315" i="4"/>
  <c r="K315" i="4" s="1"/>
  <c r="E299" i="4"/>
  <c r="K299" i="4" s="1"/>
  <c r="E283" i="4"/>
  <c r="E267" i="4"/>
  <c r="K267" i="4" s="1"/>
  <c r="E251" i="4"/>
  <c r="K251" i="4" s="1"/>
  <c r="E235" i="4"/>
  <c r="K235" i="4" s="1"/>
  <c r="E219" i="4"/>
  <c r="K219" i="4" s="1"/>
  <c r="E203" i="4"/>
  <c r="K203" i="4" s="1"/>
  <c r="E187" i="4"/>
  <c r="K187" i="4" s="1"/>
  <c r="E171" i="4"/>
  <c r="K171" i="4" s="1"/>
  <c r="E155" i="4"/>
  <c r="K155" i="4" s="1"/>
  <c r="E2" i="4"/>
  <c r="K2" i="4" s="1"/>
  <c r="E1066" i="4"/>
  <c r="K1066" i="4" s="1"/>
  <c r="E1050" i="4"/>
  <c r="K1050" i="4" s="1"/>
  <c r="E1034" i="4"/>
  <c r="K1034" i="4" s="1"/>
  <c r="E1018" i="4"/>
  <c r="K1018" i="4" s="1"/>
  <c r="E1002" i="4"/>
  <c r="K1002" i="4" s="1"/>
  <c r="E986" i="4"/>
  <c r="K986" i="4" s="1"/>
  <c r="E970" i="4"/>
  <c r="K970" i="4" s="1"/>
  <c r="E954" i="4"/>
  <c r="K954" i="4" s="1"/>
  <c r="E938" i="4"/>
  <c r="K938" i="4" s="1"/>
  <c r="E922" i="4"/>
  <c r="E906" i="4"/>
  <c r="K906" i="4" s="1"/>
  <c r="E890" i="4"/>
  <c r="K890" i="4" s="1"/>
  <c r="E874" i="4"/>
  <c r="K874" i="4" s="1"/>
  <c r="E858" i="4"/>
  <c r="K858" i="4" s="1"/>
  <c r="E842" i="4"/>
  <c r="K842" i="4" s="1"/>
  <c r="E826" i="4"/>
  <c r="K826" i="4" s="1"/>
  <c r="E810" i="4"/>
  <c r="K810" i="4" s="1"/>
  <c r="E794" i="4"/>
  <c r="K794" i="4" s="1"/>
  <c r="E778" i="4"/>
  <c r="K778" i="4" s="1"/>
  <c r="E762" i="4"/>
  <c r="K762" i="4" s="1"/>
  <c r="E746" i="4"/>
  <c r="K746" i="4" s="1"/>
  <c r="E730" i="4"/>
  <c r="K730" i="4" s="1"/>
  <c r="E714" i="4"/>
  <c r="K714" i="4" s="1"/>
  <c r="E698" i="4"/>
  <c r="K698" i="4" s="1"/>
  <c r="E682" i="4"/>
  <c r="K682" i="4" s="1"/>
  <c r="E666" i="4"/>
  <c r="E650" i="4"/>
  <c r="K650" i="4" s="1"/>
  <c r="E634" i="4"/>
  <c r="K634" i="4" s="1"/>
  <c r="E618" i="4"/>
  <c r="K618" i="4" s="1"/>
  <c r="E602" i="4"/>
  <c r="K602" i="4" s="1"/>
  <c r="E586" i="4"/>
  <c r="K586" i="4" s="1"/>
  <c r="E570" i="4"/>
  <c r="K570" i="4" s="1"/>
  <c r="E554" i="4"/>
  <c r="K554" i="4" s="1"/>
  <c r="E538" i="4"/>
  <c r="K538" i="4" s="1"/>
  <c r="E522" i="4"/>
  <c r="K522" i="4" s="1"/>
  <c r="E506" i="4"/>
  <c r="K506" i="4" s="1"/>
  <c r="E490" i="4"/>
  <c r="K490" i="4" s="1"/>
  <c r="E474" i="4"/>
  <c r="K474" i="4" s="1"/>
  <c r="E458" i="4"/>
  <c r="K458" i="4" s="1"/>
  <c r="E442" i="4"/>
  <c r="K442" i="4" s="1"/>
  <c r="E426" i="4"/>
  <c r="K426" i="4" s="1"/>
  <c r="E410" i="4"/>
  <c r="E394" i="4"/>
  <c r="K394" i="4" s="1"/>
  <c r="E378" i="4"/>
  <c r="K378" i="4" s="1"/>
  <c r="E362" i="4"/>
  <c r="K362" i="4" s="1"/>
  <c r="E346" i="4"/>
  <c r="K346" i="4" s="1"/>
  <c r="E330" i="4"/>
  <c r="K330" i="4" s="1"/>
  <c r="E314" i="4"/>
  <c r="K314" i="4" s="1"/>
  <c r="E298" i="4"/>
  <c r="K298" i="4" s="1"/>
  <c r="E282" i="4"/>
  <c r="K282" i="4" s="1"/>
  <c r="E266" i="4"/>
  <c r="K266" i="4" s="1"/>
  <c r="E250" i="4"/>
  <c r="K250" i="4" s="1"/>
  <c r="E234" i="4"/>
  <c r="K234" i="4" s="1"/>
  <c r="E218" i="4"/>
  <c r="K218" i="4" s="1"/>
  <c r="E202" i="4"/>
  <c r="K202" i="4" s="1"/>
  <c r="E186" i="4"/>
  <c r="K186" i="4" s="1"/>
  <c r="E170" i="4"/>
  <c r="K170" i="4" s="1"/>
  <c r="E154" i="4"/>
  <c r="E138" i="4"/>
  <c r="K138" i="4" s="1"/>
  <c r="E122" i="4"/>
  <c r="K122" i="4" s="1"/>
  <c r="E106" i="4"/>
  <c r="K106" i="4" s="1"/>
  <c r="E90" i="4"/>
  <c r="K90" i="4" s="1"/>
  <c r="E74" i="4"/>
  <c r="K74" i="4" s="1"/>
  <c r="E58" i="4"/>
  <c r="K58" i="4" s="1"/>
  <c r="E42" i="4"/>
  <c r="K42" i="4" s="1"/>
  <c r="E26" i="4"/>
  <c r="K26" i="4" s="1"/>
  <c r="E10" i="4"/>
  <c r="K10" i="4" s="1"/>
  <c r="E1081" i="4"/>
  <c r="K1081" i="4" s="1"/>
  <c r="E1065" i="4"/>
  <c r="K1065" i="4" s="1"/>
  <c r="E1049" i="4"/>
  <c r="K1049" i="4" s="1"/>
  <c r="E1033" i="4"/>
  <c r="K1033" i="4" s="1"/>
  <c r="E1017" i="4"/>
  <c r="K1017" i="4" s="1"/>
  <c r="E1001" i="4"/>
  <c r="K1001" i="4" s="1"/>
  <c r="E985" i="4"/>
  <c r="E969" i="4"/>
  <c r="K969" i="4" s="1"/>
  <c r="E953" i="4"/>
  <c r="K953" i="4" s="1"/>
  <c r="E937" i="4"/>
  <c r="K937" i="4" s="1"/>
  <c r="E921" i="4"/>
  <c r="K921" i="4" s="1"/>
  <c r="E905" i="4"/>
  <c r="K905" i="4" s="1"/>
  <c r="E889" i="4"/>
  <c r="K889" i="4" s="1"/>
  <c r="E873" i="4"/>
  <c r="K873" i="4" s="1"/>
  <c r="E857" i="4"/>
  <c r="K857" i="4" s="1"/>
  <c r="E841" i="4"/>
  <c r="K841" i="4" s="1"/>
  <c r="E825" i="4"/>
  <c r="K825" i="4" s="1"/>
  <c r="E809" i="4"/>
  <c r="K809" i="4" s="1"/>
  <c r="E793" i="4"/>
  <c r="K793" i="4" s="1"/>
  <c r="E777" i="4"/>
  <c r="K777" i="4" s="1"/>
  <c r="E761" i="4"/>
  <c r="K761" i="4" s="1"/>
  <c r="E745" i="4"/>
  <c r="K745" i="4" s="1"/>
  <c r="E729" i="4"/>
  <c r="E713" i="4"/>
  <c r="K713" i="4" s="1"/>
  <c r="E697" i="4"/>
  <c r="K697" i="4" s="1"/>
  <c r="E681" i="4"/>
  <c r="K681" i="4" s="1"/>
  <c r="E665" i="4"/>
  <c r="K665" i="4" s="1"/>
  <c r="E649" i="4"/>
  <c r="K649" i="4" s="1"/>
  <c r="E633" i="4"/>
  <c r="K633" i="4" s="1"/>
  <c r="E617" i="4"/>
  <c r="K617" i="4" s="1"/>
  <c r="E601" i="4"/>
  <c r="K601" i="4" s="1"/>
  <c r="E585" i="4"/>
  <c r="K585" i="4" s="1"/>
  <c r="E569" i="4"/>
  <c r="K569" i="4" s="1"/>
  <c r="E553" i="4"/>
  <c r="K553" i="4" s="1"/>
  <c r="E537" i="4"/>
  <c r="K537" i="4" s="1"/>
  <c r="E521" i="4"/>
  <c r="K521" i="4" s="1"/>
  <c r="E505" i="4"/>
  <c r="K505" i="4" s="1"/>
  <c r="E489" i="4"/>
  <c r="K489" i="4" s="1"/>
  <c r="E473" i="4"/>
  <c r="E457" i="4"/>
  <c r="K457" i="4" s="1"/>
  <c r="E441" i="4"/>
  <c r="K441" i="4" s="1"/>
  <c r="E425" i="4"/>
  <c r="K425" i="4" s="1"/>
  <c r="E409" i="4"/>
  <c r="K409" i="4" s="1"/>
  <c r="E393" i="4"/>
  <c r="K393" i="4" s="1"/>
  <c r="E377" i="4"/>
  <c r="K377" i="4" s="1"/>
  <c r="E361" i="4"/>
  <c r="K361" i="4" s="1"/>
  <c r="E345" i="4"/>
  <c r="K345" i="4" s="1"/>
  <c r="E329" i="4"/>
  <c r="K329" i="4" s="1"/>
  <c r="E313" i="4"/>
  <c r="K313" i="4" s="1"/>
  <c r="E297" i="4"/>
  <c r="K297" i="4" s="1"/>
  <c r="E281" i="4"/>
  <c r="K281" i="4" s="1"/>
  <c r="E265" i="4"/>
  <c r="K265" i="4" s="1"/>
  <c r="E249" i="4"/>
  <c r="K249" i="4" s="1"/>
  <c r="E233" i="4"/>
  <c r="K233" i="4" s="1"/>
  <c r="E217" i="4"/>
  <c r="E201" i="4"/>
  <c r="K201" i="4" s="1"/>
  <c r="E185" i="4"/>
  <c r="K185" i="4" s="1"/>
  <c r="E169" i="4"/>
  <c r="K169" i="4" s="1"/>
  <c r="E153" i="4"/>
  <c r="K153" i="4" s="1"/>
  <c r="E137" i="4"/>
  <c r="K137" i="4" s="1"/>
  <c r="E121" i="4"/>
  <c r="K121" i="4" s="1"/>
  <c r="E105" i="4"/>
  <c r="K105" i="4" s="1"/>
  <c r="E89" i="4"/>
  <c r="K89" i="4" s="1"/>
  <c r="E73" i="4"/>
  <c r="K73" i="4" s="1"/>
  <c r="E57" i="4"/>
  <c r="K57" i="4" s="1"/>
  <c r="E41" i="4"/>
  <c r="K41" i="4" s="1"/>
  <c r="E25" i="4"/>
  <c r="K25" i="4" s="1"/>
  <c r="E9" i="4"/>
  <c r="K9" i="4" s="1"/>
  <c r="E132" i="4"/>
  <c r="K132" i="4" s="1"/>
  <c r="E116" i="4"/>
  <c r="K116" i="4" s="1"/>
  <c r="E100" i="4"/>
  <c r="K100" i="4" s="1"/>
  <c r="E84" i="4"/>
  <c r="K84" i="4" s="1"/>
  <c r="E68" i="4"/>
  <c r="K68" i="4" s="1"/>
  <c r="E52" i="4"/>
  <c r="K52" i="4" s="1"/>
  <c r="E36" i="4"/>
  <c r="K36" i="4" s="1"/>
  <c r="E20" i="4"/>
  <c r="K20" i="4" s="1"/>
  <c r="E4" i="4"/>
  <c r="K4" i="4" s="1"/>
  <c r="E131" i="4"/>
  <c r="K131" i="4" s="1"/>
  <c r="E115" i="4"/>
  <c r="E99" i="4"/>
  <c r="K99" i="4" s="1"/>
  <c r="E83" i="4"/>
  <c r="E67" i="4"/>
  <c r="K67" i="4" s="1"/>
  <c r="E51" i="4"/>
  <c r="E35" i="4"/>
  <c r="K35" i="4" s="1"/>
  <c r="E19" i="4"/>
  <c r="K19" i="4" s="1"/>
  <c r="E3" i="4"/>
  <c r="K3" i="4" s="1"/>
  <c r="E18" i="4"/>
  <c r="K18" i="4" s="1"/>
  <c r="E30" i="4"/>
  <c r="K30" i="4" s="1"/>
  <c r="E14" i="4"/>
  <c r="K14" i="4" s="1"/>
  <c r="E12" i="4"/>
  <c r="K12" i="4" s="1"/>
  <c r="E139" i="4"/>
  <c r="K139" i="4" s="1"/>
  <c r="E123" i="4"/>
  <c r="K123" i="4" s="1"/>
  <c r="E107" i="4"/>
  <c r="K107" i="4" s="1"/>
  <c r="E91" i="4"/>
  <c r="K91" i="4" s="1"/>
  <c r="E75" i="4"/>
  <c r="K75" i="4" s="1"/>
  <c r="E59" i="4"/>
  <c r="K59" i="4" s="1"/>
  <c r="E43" i="4"/>
  <c r="K43" i="4" s="1"/>
  <c r="E27" i="4"/>
  <c r="E11" i="4"/>
  <c r="K11" i="4" s="1"/>
  <c r="L22" i="1"/>
  <c r="L38" i="1"/>
  <c r="L246" i="1"/>
  <c r="L182" i="1"/>
  <c r="L150" i="1"/>
  <c r="L118" i="1"/>
  <c r="L102" i="1"/>
  <c r="L86" i="1"/>
  <c r="L70" i="1"/>
  <c r="L54" i="1"/>
  <c r="L134" i="1"/>
  <c r="L262" i="1"/>
  <c r="L214" i="1"/>
  <c r="L198" i="1"/>
  <c r="L166" i="1"/>
  <c r="L239" i="1"/>
  <c r="L79" i="1"/>
  <c r="L175" i="1"/>
  <c r="L143" i="1"/>
  <c r="L111" i="1"/>
  <c r="L95" i="1"/>
  <c r="L256" i="1"/>
  <c r="L240" i="1"/>
  <c r="L235" i="1"/>
  <c r="L224" i="1"/>
  <c r="L208" i="1"/>
  <c r="L192" i="1"/>
  <c r="L176" i="1"/>
  <c r="L171" i="1"/>
  <c r="L160" i="1"/>
  <c r="L144" i="1"/>
  <c r="L128" i="1"/>
  <c r="L112" i="1"/>
  <c r="L107" i="1"/>
  <c r="L96" i="1"/>
  <c r="L80" i="1"/>
  <c r="L64" i="1"/>
  <c r="L48" i="1"/>
  <c r="L43" i="1"/>
  <c r="L32" i="1"/>
  <c r="L16" i="1"/>
  <c r="L223" i="1"/>
  <c r="L31" i="1"/>
  <c r="L47" i="1"/>
  <c r="L159" i="1"/>
  <c r="L251" i="1"/>
  <c r="L219" i="1"/>
  <c r="L123" i="1"/>
  <c r="L91" i="1"/>
  <c r="L12" i="1"/>
  <c r="L255" i="1"/>
  <c r="L207" i="1"/>
  <c r="L191" i="1"/>
  <c r="L127" i="1"/>
  <c r="L63" i="1"/>
  <c r="L203" i="1"/>
  <c r="L27" i="1"/>
  <c r="L265" i="1"/>
  <c r="L249" i="1"/>
  <c r="L233" i="1"/>
  <c r="L217" i="1"/>
  <c r="L201" i="1"/>
  <c r="L185" i="1"/>
  <c r="L169" i="1"/>
  <c r="L158" i="1"/>
  <c r="L153" i="1"/>
  <c r="L142" i="1"/>
  <c r="L137" i="1"/>
  <c r="L126" i="1"/>
  <c r="L121" i="1"/>
  <c r="L110" i="1"/>
  <c r="L105" i="1"/>
  <c r="L94" i="1"/>
  <c r="L89" i="1"/>
  <c r="L78" i="1"/>
  <c r="L73" i="1"/>
  <c r="L62" i="1"/>
  <c r="L57" i="1"/>
  <c r="L46" i="1"/>
  <c r="L41" i="1"/>
  <c r="L30" i="1"/>
  <c r="L25" i="1"/>
  <c r="L230" i="1"/>
  <c r="L59" i="1"/>
  <c r="L187" i="1"/>
  <c r="L139" i="1"/>
  <c r="L8" i="1"/>
  <c r="L257" i="1"/>
  <c r="L252" i="1"/>
  <c r="L241" i="1"/>
  <c r="L225" i="1"/>
  <c r="L209" i="1"/>
  <c r="L193" i="1"/>
  <c r="L177" i="1"/>
  <c r="L161" i="1"/>
  <c r="L145" i="1"/>
  <c r="L140" i="1"/>
  <c r="L129" i="1"/>
  <c r="L113" i="1"/>
  <c r="L97" i="1"/>
  <c r="L76" i="1"/>
  <c r="L65" i="1"/>
  <c r="L60" i="1"/>
  <c r="L49" i="1"/>
  <c r="L44" i="1"/>
  <c r="L33" i="1"/>
  <c r="L28" i="1"/>
  <c r="L17" i="1"/>
  <c r="L75" i="1"/>
  <c r="L155" i="1"/>
  <c r="L267" i="1"/>
  <c r="L179" i="1"/>
  <c r="L232" i="1"/>
  <c r="L216" i="1"/>
  <c r="L168" i="1"/>
  <c r="L120" i="1"/>
  <c r="L253" i="1"/>
  <c r="L221" i="1"/>
  <c r="L205" i="1"/>
  <c r="L189" i="1"/>
  <c r="L173" i="1"/>
  <c r="L157" i="1"/>
  <c r="L141" i="1"/>
  <c r="L125" i="1"/>
  <c r="L109" i="1"/>
  <c r="L77" i="1"/>
  <c r="L61" i="1"/>
  <c r="L258" i="1"/>
  <c r="L242" i="1"/>
  <c r="L226" i="1"/>
  <c r="L210" i="1"/>
  <c r="L194" i="1"/>
  <c r="L178" i="1"/>
  <c r="L162" i="1"/>
  <c r="L146" i="1"/>
  <c r="L130" i="1"/>
  <c r="L114" i="1"/>
  <c r="L98" i="1"/>
  <c r="L82" i="1"/>
  <c r="L66" i="1"/>
  <c r="L50" i="1"/>
  <c r="L34" i="1"/>
  <c r="L18" i="1"/>
  <c r="L7" i="1"/>
  <c r="L263" i="1"/>
  <c r="L247" i="1"/>
  <c r="L236" i="1"/>
  <c r="L231" i="1"/>
  <c r="L220" i="1"/>
  <c r="L215" i="1"/>
  <c r="L204" i="1"/>
  <c r="L199" i="1"/>
  <c r="L188" i="1"/>
  <c r="L183" i="1"/>
  <c r="L172" i="1"/>
  <c r="L167" i="1"/>
  <c r="L156" i="1"/>
  <c r="L151" i="1"/>
  <c r="L135" i="1"/>
  <c r="L124" i="1"/>
  <c r="L119" i="1"/>
  <c r="L108" i="1"/>
  <c r="L103" i="1"/>
  <c r="L92" i="1"/>
  <c r="L87" i="1"/>
  <c r="L71" i="1"/>
  <c r="L55" i="1"/>
  <c r="L39" i="1"/>
  <c r="L23" i="1"/>
  <c r="L206" i="1"/>
  <c r="L227" i="1"/>
  <c r="L147" i="1"/>
  <c r="L67" i="1"/>
  <c r="L152" i="1"/>
  <c r="L104" i="1"/>
  <c r="L88" i="1"/>
  <c r="L9" i="1"/>
  <c r="L238" i="1"/>
  <c r="L211" i="1"/>
  <c r="L99" i="1"/>
  <c r="L248" i="1"/>
  <c r="L200" i="1"/>
  <c r="L81" i="1"/>
  <c r="L254" i="1"/>
  <c r="L174" i="1"/>
  <c r="L163" i="1"/>
  <c r="L222" i="1"/>
  <c r="L259" i="1"/>
  <c r="L53" i="1"/>
  <c r="L37" i="1"/>
  <c r="L197" i="1"/>
  <c r="L165" i="1"/>
  <c r="L133" i="1"/>
  <c r="L69" i="1"/>
  <c r="L21" i="1"/>
  <c r="L266" i="1"/>
  <c r="L250" i="1"/>
  <c r="L234" i="1"/>
  <c r="L218" i="1"/>
  <c r="L202" i="1"/>
  <c r="L186" i="1"/>
  <c r="L170" i="1"/>
  <c r="L154" i="1"/>
  <c r="L138" i="1"/>
  <c r="L122" i="1"/>
  <c r="L106" i="1"/>
  <c r="L90" i="1"/>
  <c r="L74" i="1"/>
  <c r="L58" i="1"/>
  <c r="L42" i="1"/>
  <c r="L26" i="1"/>
  <c r="L15" i="1"/>
  <c r="L190" i="1"/>
  <c r="L195" i="1"/>
  <c r="L261" i="1"/>
  <c r="L245" i="1"/>
  <c r="L229" i="1"/>
  <c r="L213" i="1"/>
  <c r="L181" i="1"/>
  <c r="L149" i="1"/>
  <c r="L117" i="1"/>
  <c r="L101" i="1"/>
  <c r="L85" i="1"/>
  <c r="L11" i="1"/>
  <c r="L260" i="1"/>
  <c r="L244" i="1"/>
  <c r="L228" i="1"/>
  <c r="L212" i="1"/>
  <c r="L196" i="1"/>
  <c r="L180" i="1"/>
  <c r="L164" i="1"/>
  <c r="L148" i="1"/>
  <c r="L132" i="1"/>
  <c r="L116" i="1"/>
  <c r="L100" i="1"/>
  <c r="L84" i="1"/>
  <c r="L68" i="1"/>
  <c r="L52" i="1"/>
  <c r="L36" i="1"/>
  <c r="L20" i="1"/>
  <c r="L14" i="1"/>
  <c r="L10" i="1"/>
  <c r="L131" i="1"/>
  <c r="L115" i="1"/>
  <c r="L83" i="1"/>
  <c r="L51" i="1"/>
  <c r="L35" i="1"/>
  <c r="L19" i="1"/>
  <c r="L72" i="1"/>
  <c r="L56" i="1"/>
  <c r="L40" i="1"/>
  <c r="L24" i="1"/>
  <c r="L243" i="1"/>
  <c r="L264" i="1"/>
  <c r="L184" i="1"/>
  <c r="L136" i="1"/>
  <c r="L237" i="1"/>
  <c r="L93" i="1"/>
  <c r="L45" i="1"/>
  <c r="L29" i="1"/>
  <c r="L13" i="1"/>
</calcChain>
</file>

<file path=xl/sharedStrings.xml><?xml version="1.0" encoding="utf-8"?>
<sst xmlns="http://schemas.openxmlformats.org/spreadsheetml/2006/main" count="4899" uniqueCount="1286">
  <si>
    <t>Crop Code</t>
  </si>
  <si>
    <t>Crop</t>
  </si>
  <si>
    <t>Country</t>
  </si>
  <si>
    <t xml:space="preserve"> N (kg/ha) </t>
  </si>
  <si>
    <t xml:space="preserve"> P (kg/ha) </t>
  </si>
  <si>
    <t xml:space="preserve"> K (kg/ha) </t>
  </si>
  <si>
    <t>Source:</t>
  </si>
  <si>
    <t>BRL</t>
  </si>
  <si>
    <t>GRP</t>
  </si>
  <si>
    <t>MAI</t>
  </si>
  <si>
    <t>MOS</t>
  </si>
  <si>
    <t>RAP</t>
  </si>
  <si>
    <t>RYE</t>
  </si>
  <si>
    <t>SOY</t>
  </si>
  <si>
    <t>SUG</t>
  </si>
  <si>
    <t>WHE</t>
  </si>
  <si>
    <t>FLX</t>
  </si>
  <si>
    <t>LET</t>
  </si>
  <si>
    <t>PEA</t>
  </si>
  <si>
    <t>POT</t>
  </si>
  <si>
    <t>OTP</t>
  </si>
  <si>
    <t>SUN</t>
  </si>
  <si>
    <t>GRE</t>
  </si>
  <si>
    <t>OLI</t>
  </si>
  <si>
    <t>ALM</t>
  </si>
  <si>
    <t>LEM</t>
  </si>
  <si>
    <t>ORA</t>
  </si>
  <si>
    <t>TAN</t>
  </si>
  <si>
    <t>OAT</t>
  </si>
  <si>
    <t>OTO</t>
  </si>
  <si>
    <t>BRO</t>
  </si>
  <si>
    <t>MIX</t>
  </si>
  <si>
    <t>STR</t>
  </si>
  <si>
    <t>SEE</t>
  </si>
  <si>
    <t>APP</t>
  </si>
  <si>
    <t>CAB</t>
  </si>
  <si>
    <t>CAR</t>
  </si>
  <si>
    <t>CAU</t>
  </si>
  <si>
    <t>RIC</t>
  </si>
  <si>
    <t>CER</t>
  </si>
  <si>
    <t>BUC</t>
  </si>
  <si>
    <t>ONI</t>
  </si>
  <si>
    <t>PER</t>
  </si>
  <si>
    <t>OTN</t>
  </si>
  <si>
    <t>Barley</t>
  </si>
  <si>
    <t>Grapes</t>
  </si>
  <si>
    <t>Maize (corn)</t>
  </si>
  <si>
    <t>Minor Oil Seeds</t>
  </si>
  <si>
    <t>All other crops</t>
  </si>
  <si>
    <t>Rape or colza seed</t>
  </si>
  <si>
    <t>Rye</t>
  </si>
  <si>
    <t>Soya beans</t>
  </si>
  <si>
    <t>Sugar beet</t>
  </si>
  <si>
    <t>Wheat &amp; Triticale</t>
  </si>
  <si>
    <t>Flax, raw or retted</t>
  </si>
  <si>
    <t>Lettuce and chicory</t>
  </si>
  <si>
    <t>Peas, green</t>
  </si>
  <si>
    <t>Potatoes</t>
  </si>
  <si>
    <t>Other pulses n.e.c.</t>
  </si>
  <si>
    <t>Peas, dry</t>
  </si>
  <si>
    <t>Sunflower seed</t>
  </si>
  <si>
    <t>Green corn (maize)</t>
  </si>
  <si>
    <t>Olives</t>
  </si>
  <si>
    <t>Almonds, in shell</t>
  </si>
  <si>
    <t>Lemons and limes</t>
  </si>
  <si>
    <t>Oranges</t>
  </si>
  <si>
    <t>Tangerines, mandarins, clementines</t>
  </si>
  <si>
    <t>Oats</t>
  </si>
  <si>
    <t>Other oil seeds, n.e.c.</t>
  </si>
  <si>
    <t>Broad beans and horse beans, dry</t>
  </si>
  <si>
    <t>Mixed grain</t>
  </si>
  <si>
    <t>Strawberries</t>
  </si>
  <si>
    <t>Seed cotton, unginned</t>
  </si>
  <si>
    <t>Apples</t>
  </si>
  <si>
    <t>Cabbages</t>
  </si>
  <si>
    <t>Carrots and turnips</t>
  </si>
  <si>
    <t>Cauliflowers and broccoli</t>
  </si>
  <si>
    <t>Rice</t>
  </si>
  <si>
    <t>Cereals n.e.c.</t>
  </si>
  <si>
    <t>Buckwheat</t>
  </si>
  <si>
    <t>Shrubland</t>
  </si>
  <si>
    <t>Onions and shallots, dry (excluding dehydrated)</t>
  </si>
  <si>
    <t>Pears</t>
  </si>
  <si>
    <t>Chestnuts, in shell</t>
  </si>
  <si>
    <t>Other nuts (excluding wild edible nuts and groundnuts), in shell, n.e.c.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</si>
  <si>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</si>
  <si>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</si>
  <si>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</si>
  <si>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</si>
  <si>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</si>
  <si>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</si>
  <si>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</si>
  <si>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</si>
  <si>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</si>
  <si>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</si>
  <si>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</si>
  <si>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</si>
  <si>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</si>
  <si>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</si>
  <si>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</si>
  <si>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</si>
  <si>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</si>
  <si>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</si>
  <si>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</si>
  <si>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</si>
  <si>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</si>
  <si>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</si>
  <si>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</si>
  <si>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</si>
  <si>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</si>
  <si>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</si>
  <si>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</si>
  <si>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https://doi.org/10.5061/dryad.59zw3r2mq</t>
  </si>
  <si>
    <t>Maize</t>
  </si>
  <si>
    <t>Wheat</t>
  </si>
  <si>
    <t>Peas green</t>
  </si>
  <si>
    <t>Peas dry</t>
  </si>
  <si>
    <t>Tangerines mandarins clementines satsumas</t>
  </si>
  <si>
    <t>Broad beans horse beans dry</t>
  </si>
  <si>
    <t>Grain mixed</t>
  </si>
  <si>
    <t>Cabbages and other brassicas</t>
  </si>
  <si>
    <t>Cereals nes</t>
  </si>
  <si>
    <t>Onions dry</t>
  </si>
  <si>
    <t>Matched Crop (source)</t>
  </si>
  <si>
    <t>Match score</t>
  </si>
  <si>
    <t>TRT</t>
  </si>
  <si>
    <t>Triticale</t>
  </si>
  <si>
    <t xml:space="preserve">There is some imputation of values which seems mostly sensible. For crops that account for smaller areas the values can sometimes </t>
  </si>
  <si>
    <t>a bit strange. Nuts in particular do not seem to be well covered. But this provides a good start which covers all countries and crops.</t>
  </si>
  <si>
    <t>K% in MOP (common K fertliser product)</t>
  </si>
  <si>
    <t>Total fertiliser application (Mt/1000sqkm)</t>
  </si>
  <si>
    <t xml:space="preserve"> Urea (kg/ha) - application rates</t>
  </si>
  <si>
    <t xml:space="preserve"> SSP (kg/ha) application rates</t>
  </si>
  <si>
    <t>MOP (kg/ha) application rates</t>
  </si>
  <si>
    <t>N % in Ammonium Nitrate (common N fertliser product in the EU)</t>
  </si>
  <si>
    <t>P % in DAP (common P fertliser product)</t>
  </si>
  <si>
    <t>EU</t>
  </si>
  <si>
    <t>ATL000MAIHI0</t>
  </si>
  <si>
    <t>ATLFER</t>
  </si>
  <si>
    <t>ATL000MAIHR0</t>
  </si>
  <si>
    <t>ATL000MAILI0</t>
  </si>
  <si>
    <t>ATL000MAILR0</t>
  </si>
  <si>
    <t>ATL000RAPHI0</t>
  </si>
  <si>
    <t>ATL000RAPHR0</t>
  </si>
  <si>
    <t>ATL000RAPLI0</t>
  </si>
  <si>
    <t>ATL000RAPLR0</t>
  </si>
  <si>
    <t>ATL000SOYHI0</t>
  </si>
  <si>
    <t>ATL000SOYHR0</t>
  </si>
  <si>
    <t>ATL000SOYLI0</t>
  </si>
  <si>
    <t>ATL000SOYLR0</t>
  </si>
  <si>
    <t>ATL000SUGHI0</t>
  </si>
  <si>
    <t>ATL000SUGHR0</t>
  </si>
  <si>
    <t>ATL000SUGLI0</t>
  </si>
  <si>
    <t>ATL000SUGLR0</t>
  </si>
  <si>
    <t>ATL000OTHHI0</t>
  </si>
  <si>
    <t>ATL000OTHHR0</t>
  </si>
  <si>
    <t>ATL000OTHLI0</t>
  </si>
  <si>
    <t>ATL000OTHLR0</t>
  </si>
  <si>
    <t>ATL000OTOHI0</t>
  </si>
  <si>
    <t>ATL000OTOHR0</t>
  </si>
  <si>
    <t>ATL000OTOLI0</t>
  </si>
  <si>
    <t>ATL000OTOLR0</t>
  </si>
  <si>
    <t>ATL000BRLHI0</t>
  </si>
  <si>
    <t>ATL000BRLHR0</t>
  </si>
  <si>
    <t>ATL000BRLLI0</t>
  </si>
  <si>
    <t>ATL000BRLLR0</t>
  </si>
  <si>
    <t>ATL000RYEHI0</t>
  </si>
  <si>
    <t>ATL000RYEHR0</t>
  </si>
  <si>
    <t>ATL000RYELI0</t>
  </si>
  <si>
    <t>ATL000RYELR0</t>
  </si>
  <si>
    <t>ATL000GRPHI0</t>
  </si>
  <si>
    <t>ATL000GRPHR0</t>
  </si>
  <si>
    <t>ATL000GRPLI0</t>
  </si>
  <si>
    <t>ATL000GRPLR0</t>
  </si>
  <si>
    <t>ATL000WHEHI0</t>
  </si>
  <si>
    <t>ATL000WHEHR0</t>
  </si>
  <si>
    <t>ATL000WHELI0</t>
  </si>
  <si>
    <t>ATL000WHELR0</t>
  </si>
  <si>
    <t>BEL000POTHI0</t>
  </si>
  <si>
    <t>BELFER</t>
  </si>
  <si>
    <t>BEL000POTHR0</t>
  </si>
  <si>
    <t>BEL000POTLI0</t>
  </si>
  <si>
    <t>BEL000POTLR0</t>
  </si>
  <si>
    <t>BEL000PERHI0</t>
  </si>
  <si>
    <t>BEL000PERHR0</t>
  </si>
  <si>
    <t>BEL000PERLI0</t>
  </si>
  <si>
    <t>BEL000PERLR0</t>
  </si>
  <si>
    <t>BEL000BRLHI0</t>
  </si>
  <si>
    <t>BEL000BRLHR0</t>
  </si>
  <si>
    <t>BEL000BRLLI0</t>
  </si>
  <si>
    <t>BEL000BRLLR0</t>
  </si>
  <si>
    <t>BEL000PEAHI0</t>
  </si>
  <si>
    <t>BEL000PEAHR0</t>
  </si>
  <si>
    <t>BEL000PEALI0</t>
  </si>
  <si>
    <t>BEL000PEALR0</t>
  </si>
  <si>
    <t>BEL000OTHHI0</t>
  </si>
  <si>
    <t>BEL000OTHHR0</t>
  </si>
  <si>
    <t>BEL000OTHLI0</t>
  </si>
  <si>
    <t>BEL000OTHLR0</t>
  </si>
  <si>
    <t>BEL000LETHI0</t>
  </si>
  <si>
    <t>BEL000LETHR0</t>
  </si>
  <si>
    <t>BEL000LETLI0</t>
  </si>
  <si>
    <t>BEL000LETLR0</t>
  </si>
  <si>
    <t>BEL000SUGHI0</t>
  </si>
  <si>
    <t>BEL000SUGHR0</t>
  </si>
  <si>
    <t>BEL000SUGLI0</t>
  </si>
  <si>
    <t>BEL000SUGLR0</t>
  </si>
  <si>
    <t>BEL000MAIHI0</t>
  </si>
  <si>
    <t>BEL000MAIHR0</t>
  </si>
  <si>
    <t>BEL000MAILI0</t>
  </si>
  <si>
    <t>BEL000MAILR0</t>
  </si>
  <si>
    <t>BEL000FLXHI0</t>
  </si>
  <si>
    <t>BEL000FLXHR0</t>
  </si>
  <si>
    <t>BEL000FLXLI0</t>
  </si>
  <si>
    <t>BEL000FLXLR0</t>
  </si>
  <si>
    <t>BEL000WHEHI0</t>
  </si>
  <si>
    <t>BEL000WHEHR0</t>
  </si>
  <si>
    <t>BEL000WHELI0</t>
  </si>
  <si>
    <t>BEL000WHELR0</t>
  </si>
  <si>
    <t>BGL000SUNHI0</t>
  </si>
  <si>
    <t>BGLFER</t>
  </si>
  <si>
    <t>BGL000SUNHR0</t>
  </si>
  <si>
    <t>BGL000SUNLI0</t>
  </si>
  <si>
    <t>BGL000SUNLR0</t>
  </si>
  <si>
    <t>BGL000PEAHI0</t>
  </si>
  <si>
    <t>BGL000PEAHR0</t>
  </si>
  <si>
    <t>BGL000PEALI0</t>
  </si>
  <si>
    <t>BGL000PEALR0</t>
  </si>
  <si>
    <t>BGL000BRLHI0</t>
  </si>
  <si>
    <t>BGL000BRLHR0</t>
  </si>
  <si>
    <t>BGL000BRLLI0</t>
  </si>
  <si>
    <t>BGL000BRLLR0</t>
  </si>
  <si>
    <t>BGL000OTPHI0</t>
  </si>
  <si>
    <t>BGL000OTPHR0</t>
  </si>
  <si>
    <t>BGL000OTPLI0</t>
  </si>
  <si>
    <t>BGL000OTPLR0</t>
  </si>
  <si>
    <t>BGL000OTHHI0</t>
  </si>
  <si>
    <t>BGL000OTHHR0</t>
  </si>
  <si>
    <t>BGL000OTHLI0</t>
  </si>
  <si>
    <t>BGL000OTHLR0</t>
  </si>
  <si>
    <t>BGL000RYEHI0</t>
  </si>
  <si>
    <t>BGL000RYEHR0</t>
  </si>
  <si>
    <t>BGL000RYELI0</t>
  </si>
  <si>
    <t>BGL000RYELR0</t>
  </si>
  <si>
    <t>BGL000MAIHI0</t>
  </si>
  <si>
    <t>BGL000MAIHR0</t>
  </si>
  <si>
    <t>BGL000MAILI0</t>
  </si>
  <si>
    <t>BGL000MAILR0</t>
  </si>
  <si>
    <t>BGL000RAPHI0</t>
  </si>
  <si>
    <t>BGL000RAPHR0</t>
  </si>
  <si>
    <t>BGL000RAPLI0</t>
  </si>
  <si>
    <t>BGL000RAPLR0</t>
  </si>
  <si>
    <t>BGL000GRPHI0</t>
  </si>
  <si>
    <t>BGL000GRPHR0</t>
  </si>
  <si>
    <t>BGL000GRPLI0</t>
  </si>
  <si>
    <t>BGL000GRPLR0</t>
  </si>
  <si>
    <t>BGL000WHEHI0</t>
  </si>
  <si>
    <t>BGL000WHEHR0</t>
  </si>
  <si>
    <t>BGL000WHELI0</t>
  </si>
  <si>
    <t>BGL000WHELR0</t>
  </si>
  <si>
    <t>CYL000BRLHI0</t>
  </si>
  <si>
    <t>CYLFER</t>
  </si>
  <si>
    <t>CYL000BRLHR0</t>
  </si>
  <si>
    <t>CYL000BRLLI0</t>
  </si>
  <si>
    <t>CYL000BRLLR0</t>
  </si>
  <si>
    <t>CYL000RYEHI0</t>
  </si>
  <si>
    <t>CYL000RYEHR0</t>
  </si>
  <si>
    <t>CYL000RYELI0</t>
  </si>
  <si>
    <t>CYL000RYELR0</t>
  </si>
  <si>
    <t>CYL000POTHI0</t>
  </si>
  <si>
    <t>CYL000POTHR0</t>
  </si>
  <si>
    <t>CYL000POTLI0</t>
  </si>
  <si>
    <t>CYL000POTLR0</t>
  </si>
  <si>
    <t>CYL000TANHI0</t>
  </si>
  <si>
    <t>CYL000TANHR0</t>
  </si>
  <si>
    <t>CYL000TANLI0</t>
  </si>
  <si>
    <t>CYL000TANLR0</t>
  </si>
  <si>
    <t>CYL000OTHHI0</t>
  </si>
  <si>
    <t>CYL000OTHHR0</t>
  </si>
  <si>
    <t>CYL000OTHLI0</t>
  </si>
  <si>
    <t>CYL000OTHLR0</t>
  </si>
  <si>
    <t>CYL000ORAHI0</t>
  </si>
  <si>
    <t>CYL000ORAHR0</t>
  </si>
  <si>
    <t>CYL000ORALI0</t>
  </si>
  <si>
    <t>CYL000ORALR0</t>
  </si>
  <si>
    <t>CYL000OLIHI0</t>
  </si>
  <si>
    <t>CYL000OLIHR0</t>
  </si>
  <si>
    <t>CYL000OLILI0</t>
  </si>
  <si>
    <t>CYL000OLILR0</t>
  </si>
  <si>
    <t>CYL000GRPHI0</t>
  </si>
  <si>
    <t>CYL000GRPHR0</t>
  </si>
  <si>
    <t>CYL000GRPLI0</t>
  </si>
  <si>
    <t>CYL000GRPLR0</t>
  </si>
  <si>
    <t>CYL000ALMHI0</t>
  </si>
  <si>
    <t>CYL000ALMHR0</t>
  </si>
  <si>
    <t>CYL000ALMLI0</t>
  </si>
  <si>
    <t>CYL000ALMLR0</t>
  </si>
  <si>
    <t>CYL000WHEHI0</t>
  </si>
  <si>
    <t>CYL000WHEHR0</t>
  </si>
  <si>
    <t>CYL000WHELI0</t>
  </si>
  <si>
    <t>CYL000WHELR0</t>
  </si>
  <si>
    <t>CZL000RAPHI0</t>
  </si>
  <si>
    <t>CZLFER</t>
  </si>
  <si>
    <t>CZL000RAPHR0</t>
  </si>
  <si>
    <t>CZL000RAPLI0</t>
  </si>
  <si>
    <t>CZL000RAPLR0</t>
  </si>
  <si>
    <t>CZL000PEAHI0</t>
  </si>
  <si>
    <t>CZL000PEAHR0</t>
  </si>
  <si>
    <t>CZL000PEALI0</t>
  </si>
  <si>
    <t>CZL000PEALR0</t>
  </si>
  <si>
    <t>CZL000RYEHI0</t>
  </si>
  <si>
    <t>CZL000RYEHR0</t>
  </si>
  <si>
    <t>CZL000RYELI0</t>
  </si>
  <si>
    <t>CZL000RYELR0</t>
  </si>
  <si>
    <t>CZL000OATHI0</t>
  </si>
  <si>
    <t>CZL000OATHR0</t>
  </si>
  <si>
    <t>CZL000OATLI0</t>
  </si>
  <si>
    <t>CZL000OATLR0</t>
  </si>
  <si>
    <t>CZL000OTHHI0</t>
  </si>
  <si>
    <t>CZL000OTHHR0</t>
  </si>
  <si>
    <t>CZL000OTHLI0</t>
  </si>
  <si>
    <t>CZL000OTHLR0</t>
  </si>
  <si>
    <t>CZL000OTOHI0</t>
  </si>
  <si>
    <t>CZL000OTOHR0</t>
  </si>
  <si>
    <t>CZL000OTOLI0</t>
  </si>
  <si>
    <t>CZL000OTOLR0</t>
  </si>
  <si>
    <t>CZL000BRLHI0</t>
  </si>
  <si>
    <t>CZL000BRLHR0</t>
  </si>
  <si>
    <t>CZL000BRLLI0</t>
  </si>
  <si>
    <t>CZL000BRLLR0</t>
  </si>
  <si>
    <t>CZL000MAIHI0</t>
  </si>
  <si>
    <t>CZL000MAIHR0</t>
  </si>
  <si>
    <t>CZL000MAILI0</t>
  </si>
  <si>
    <t>CZL000MAILR0</t>
  </si>
  <si>
    <t>CZL000SUGHI0</t>
  </si>
  <si>
    <t>CZL000SUGHR0</t>
  </si>
  <si>
    <t>CZL000SUGLI0</t>
  </si>
  <si>
    <t>CZL000SUGLR0</t>
  </si>
  <si>
    <t>CZL000WHEHI0</t>
  </si>
  <si>
    <t>CZL000WHEHR0</t>
  </si>
  <si>
    <t>CZL000WHELI0</t>
  </si>
  <si>
    <t>CZL000WHELR0</t>
  </si>
  <si>
    <t>DEL000WHEHI0</t>
  </si>
  <si>
    <t>DELFER</t>
  </si>
  <si>
    <t>DEL000WHEHR0</t>
  </si>
  <si>
    <t>DEL000WHELI0</t>
  </si>
  <si>
    <t>DEL000WHELR0</t>
  </si>
  <si>
    <t>DEL000BRLHI0</t>
  </si>
  <si>
    <t>DEL000BRLHR0</t>
  </si>
  <si>
    <t>DEL000BRLLI0</t>
  </si>
  <si>
    <t>DEL000BRLLR0</t>
  </si>
  <si>
    <t>DEL000RAPHI0</t>
  </si>
  <si>
    <t>DEL000RAPHR0</t>
  </si>
  <si>
    <t>DEL000RAPLI0</t>
  </si>
  <si>
    <t>DEL000RAPLR0</t>
  </si>
  <si>
    <t>DEL000RYEHI0</t>
  </si>
  <si>
    <t>DEL000RYEHR0</t>
  </si>
  <si>
    <t>DEL000RYELI0</t>
  </si>
  <si>
    <t>DEL000RYELR0</t>
  </si>
  <si>
    <t>DEL000MAIHI0</t>
  </si>
  <si>
    <t>DEL000MAIHR0</t>
  </si>
  <si>
    <t>DEL000MAILI0</t>
  </si>
  <si>
    <t>DEL000MAILR0</t>
  </si>
  <si>
    <t>DEL000SUGHI0</t>
  </si>
  <si>
    <t>DEL000SUGHR0</t>
  </si>
  <si>
    <t>DEL000SUGLI0</t>
  </si>
  <si>
    <t>DEL000SUGLR0</t>
  </si>
  <si>
    <t>DEL000POTHI0</t>
  </si>
  <si>
    <t>DEL000POTHR0</t>
  </si>
  <si>
    <t>DEL000POTLI0</t>
  </si>
  <si>
    <t>DEL000POTLR0</t>
  </si>
  <si>
    <t>DEL000OATHI0</t>
  </si>
  <si>
    <t>DEL000OATHR0</t>
  </si>
  <si>
    <t>DEL000OATLI0</t>
  </si>
  <si>
    <t>DEL000OATLR0</t>
  </si>
  <si>
    <t>DEL000GRPHI0</t>
  </si>
  <si>
    <t>DEL000GRPHR0</t>
  </si>
  <si>
    <t>DEL000GRPLI0</t>
  </si>
  <si>
    <t>DEL000GRPLR0</t>
  </si>
  <si>
    <t>DEL000OTHHI0</t>
  </si>
  <si>
    <t>DEL000OTHHR0</t>
  </si>
  <si>
    <t>DEL000OTHLI0</t>
  </si>
  <si>
    <t>DEL000OTHLR0</t>
  </si>
  <si>
    <t>DKL000WHEHI0</t>
  </si>
  <si>
    <t>DKLFER</t>
  </si>
  <si>
    <t>DKL000WHEHR0</t>
  </si>
  <si>
    <t>DKL000WHELI0</t>
  </si>
  <si>
    <t>DKL000WHELR0</t>
  </si>
  <si>
    <t>DKL000PEAHI0</t>
  </si>
  <si>
    <t>DKL000PEAHR0</t>
  </si>
  <si>
    <t>DKL000PEALI0</t>
  </si>
  <si>
    <t>DKL000PEALR0</t>
  </si>
  <si>
    <t>DKL000OATHI0</t>
  </si>
  <si>
    <t>DKL000OATHR0</t>
  </si>
  <si>
    <t>DKL000OATLI0</t>
  </si>
  <si>
    <t>DKL000OATLR0</t>
  </si>
  <si>
    <t>DKL000BROHI0</t>
  </si>
  <si>
    <t>DKL000BROHR0</t>
  </si>
  <si>
    <t>DKL000BROLI0</t>
  </si>
  <si>
    <t>DKL000BROLR0</t>
  </si>
  <si>
    <t>DKL000OTHHI0</t>
  </si>
  <si>
    <t>DKL000OTHHR0</t>
  </si>
  <si>
    <t>DKL000OTHLI0</t>
  </si>
  <si>
    <t>DKL000OTHLR0</t>
  </si>
  <si>
    <t>DKL000SUGHI0</t>
  </si>
  <si>
    <t>DKL000SUGHR0</t>
  </si>
  <si>
    <t>DKL000SUGLI0</t>
  </si>
  <si>
    <t>DKL000SUGLR0</t>
  </si>
  <si>
    <t>DKL000RAPHI0</t>
  </si>
  <si>
    <t>DKL000RAPHR0</t>
  </si>
  <si>
    <t>DKL000RAPLI0</t>
  </si>
  <si>
    <t>DKL000RAPLR0</t>
  </si>
  <si>
    <t>DKL000RYEHI0</t>
  </si>
  <si>
    <t>DKL000RYEHR0</t>
  </si>
  <si>
    <t>DKL000RYELI0</t>
  </si>
  <si>
    <t>DKL000RYELR0</t>
  </si>
  <si>
    <t>DKL000POTHI0</t>
  </si>
  <si>
    <t>DKL000POTHR0</t>
  </si>
  <si>
    <t>DKL000POTLI0</t>
  </si>
  <si>
    <t>DKL000POTLR0</t>
  </si>
  <si>
    <t>DKL000BRLHI0</t>
  </si>
  <si>
    <t>DKL000BRLHR0</t>
  </si>
  <si>
    <t>DKL000BRLLI0</t>
  </si>
  <si>
    <t>DKL000BRLLR0</t>
  </si>
  <si>
    <t>EEL000BRLHI0</t>
  </si>
  <si>
    <t>EELFER</t>
  </si>
  <si>
    <t>EEL000BRLHR0</t>
  </si>
  <si>
    <t>EEL000BRLLI0</t>
  </si>
  <si>
    <t>EEL000BRLLR0</t>
  </si>
  <si>
    <t>EEL000CERHI0</t>
  </si>
  <si>
    <t>EEL000CERHR0</t>
  </si>
  <si>
    <t>EEL000CERLI0</t>
  </si>
  <si>
    <t>EEL000CERLR0</t>
  </si>
  <si>
    <t>EEL000PEAHI0</t>
  </si>
  <si>
    <t>EEL000PEAHR0</t>
  </si>
  <si>
    <t>EEL000PEALI0</t>
  </si>
  <si>
    <t>EEL000PEALR0</t>
  </si>
  <si>
    <t>EEL000OTOHI0</t>
  </si>
  <si>
    <t>EEL000OTOHR0</t>
  </si>
  <si>
    <t>EEL000OTOLI0</t>
  </si>
  <si>
    <t>EEL000OTOLR0</t>
  </si>
  <si>
    <t>EEL000OTHHI0</t>
  </si>
  <si>
    <t>EEL000OTHHR0</t>
  </si>
  <si>
    <t>EEL000OTHLI0</t>
  </si>
  <si>
    <t>EEL000OTHLR0</t>
  </si>
  <si>
    <t>EEL000BROHI0</t>
  </si>
  <si>
    <t>EEL000BROHR0</t>
  </si>
  <si>
    <t>EEL000BROLI0</t>
  </si>
  <si>
    <t>EEL000BROLR0</t>
  </si>
  <si>
    <t>EEL000RAPHI0</t>
  </si>
  <si>
    <t>EEL000RAPHR0</t>
  </si>
  <si>
    <t>EEL000RAPLI0</t>
  </si>
  <si>
    <t>EEL000RAPLR0</t>
  </si>
  <si>
    <t>EEL000OATHI0</t>
  </si>
  <si>
    <t>EEL000OATHR0</t>
  </si>
  <si>
    <t>EEL000OATLI0</t>
  </si>
  <si>
    <t>EEL000OATLR0</t>
  </si>
  <si>
    <t>EEL000RYEHI0</t>
  </si>
  <si>
    <t>EEL000RYEHR0</t>
  </si>
  <si>
    <t>EEL000RYELI0</t>
  </si>
  <si>
    <t>EEL000RYELR0</t>
  </si>
  <si>
    <t>EEL000WHEHI0</t>
  </si>
  <si>
    <t>EEL000WHEHR0</t>
  </si>
  <si>
    <t>EEL000WHELI0</t>
  </si>
  <si>
    <t>EEL000WHELR0</t>
  </si>
  <si>
    <t>GRL000WHEHI0</t>
  </si>
  <si>
    <t>GRLFER</t>
  </si>
  <si>
    <t>GRL000WHEHR0</t>
  </si>
  <si>
    <t>GRL000WHELI0</t>
  </si>
  <si>
    <t>GRL000WHELR0</t>
  </si>
  <si>
    <t>GRL000OATHI0</t>
  </si>
  <si>
    <t>GRL000OATHR0</t>
  </si>
  <si>
    <t>GRL000OATLI0</t>
  </si>
  <si>
    <t>GRL000OATLR0</t>
  </si>
  <si>
    <t>GRL000MAIHI0</t>
  </si>
  <si>
    <t>GRL000MAIHR0</t>
  </si>
  <si>
    <t>GRL000MAILI0</t>
  </si>
  <si>
    <t>GRL000MAILR0</t>
  </si>
  <si>
    <t>GRL000SUNHI0</t>
  </si>
  <si>
    <t>GRL000SUNHR0</t>
  </si>
  <si>
    <t>GRL000SUNLI0</t>
  </si>
  <si>
    <t>GRL000SUNLR0</t>
  </si>
  <si>
    <t>GRL000OTHHI0</t>
  </si>
  <si>
    <t>GRL000OTHHR0</t>
  </si>
  <si>
    <t>GRL000OTHLI0</t>
  </si>
  <si>
    <t>GRL000OTHLR0</t>
  </si>
  <si>
    <t>GRL000GRPHI0</t>
  </si>
  <si>
    <t>GRL000GRPHR0</t>
  </si>
  <si>
    <t>GRL000GRPLI0</t>
  </si>
  <si>
    <t>GRL000GRPLR0</t>
  </si>
  <si>
    <t>GRL000SEEHI0</t>
  </si>
  <si>
    <t>GRL000SEEHR0</t>
  </si>
  <si>
    <t>GRL000SEELI0</t>
  </si>
  <si>
    <t>GRL000SEELR0</t>
  </si>
  <si>
    <t>GRL000BRLHI0</t>
  </si>
  <si>
    <t>GRL000BRLHR0</t>
  </si>
  <si>
    <t>GRL000BRLLI0</t>
  </si>
  <si>
    <t>GRL000BRLLR0</t>
  </si>
  <si>
    <t>GRL000OTPHI0</t>
  </si>
  <si>
    <t>GRL000OTPHR0</t>
  </si>
  <si>
    <t>GRL000OTPLI0</t>
  </si>
  <si>
    <t>GRL000OTPLR0</t>
  </si>
  <si>
    <t>GRL000OLIHI0</t>
  </si>
  <si>
    <t>GRL000OLIHR0</t>
  </si>
  <si>
    <t>GRL000OLILI0</t>
  </si>
  <si>
    <t>GRL000OLILR0</t>
  </si>
  <si>
    <t>ESL000BRLHI0</t>
  </si>
  <si>
    <t>ESLFER</t>
  </si>
  <si>
    <t>ESL000BRLHR0</t>
  </si>
  <si>
    <t>ESL000BRLLI0</t>
  </si>
  <si>
    <t>ESL000BRLLR0</t>
  </si>
  <si>
    <t>ESL000MAIHI0</t>
  </si>
  <si>
    <t>ESL000MAIHR0</t>
  </si>
  <si>
    <t>ESL000MAILI0</t>
  </si>
  <si>
    <t>ESL000MAILR0</t>
  </si>
  <si>
    <t>ESL000ALMHI0</t>
  </si>
  <si>
    <t>ESL000ALMHR0</t>
  </si>
  <si>
    <t>ESL000ALMLI0</t>
  </si>
  <si>
    <t>ESL000ALMLR0</t>
  </si>
  <si>
    <t>ESL000RYEHI0</t>
  </si>
  <si>
    <t>ESL000RYEHR0</t>
  </si>
  <si>
    <t>ESL000RYELI0</t>
  </si>
  <si>
    <t>ESL000RYELR0</t>
  </si>
  <si>
    <t>ESL000OTHHI0</t>
  </si>
  <si>
    <t>ESL000OTHHR0</t>
  </si>
  <si>
    <t>ESL000OTHLI0</t>
  </si>
  <si>
    <t>ESL000OTHLR0</t>
  </si>
  <si>
    <t>ESL000OATHI0</t>
  </si>
  <si>
    <t>ESL000OATHR0</t>
  </si>
  <si>
    <t>ESL000OATLI0</t>
  </si>
  <si>
    <t>ESL000OATLR0</t>
  </si>
  <si>
    <t>ESL000WHEHI0</t>
  </si>
  <si>
    <t>ESL000WHEHR0</t>
  </si>
  <si>
    <t>ESL000WHELI0</t>
  </si>
  <si>
    <t>ESL000WHELR0</t>
  </si>
  <si>
    <t>ESL000GRPHI0</t>
  </si>
  <si>
    <t>ESL000GRPHR0</t>
  </si>
  <si>
    <t>ESL000GRPLI0</t>
  </si>
  <si>
    <t>ESL000GRPLR0</t>
  </si>
  <si>
    <t>ESL000SUNHI0</t>
  </si>
  <si>
    <t>ESL000SUNHR0</t>
  </si>
  <si>
    <t>ESL000SUNLI0</t>
  </si>
  <si>
    <t>ESL000SUNLR0</t>
  </si>
  <si>
    <t>ESL000OLIHI0</t>
  </si>
  <si>
    <t>ESL000OLIHR0</t>
  </si>
  <si>
    <t>ESL000OLILI0</t>
  </si>
  <si>
    <t>ESL000OLILR0</t>
  </si>
  <si>
    <t>FIL000OATHI0</t>
  </si>
  <si>
    <t>FILFER</t>
  </si>
  <si>
    <t>FIL000OATHR0</t>
  </si>
  <si>
    <t>FIL000OATLI0</t>
  </si>
  <si>
    <t>FIL000OATLR0</t>
  </si>
  <si>
    <t>FIL000BROHI0</t>
  </si>
  <si>
    <t>FIL000BROHR0</t>
  </si>
  <si>
    <t>FIL000BROLI0</t>
  </si>
  <si>
    <t>FIL000BROLR0</t>
  </si>
  <si>
    <t>FIL000RYEHI0</t>
  </si>
  <si>
    <t>FIL000RYEHR0</t>
  </si>
  <si>
    <t>FIL000RYELI0</t>
  </si>
  <si>
    <t>FIL000RYELR0</t>
  </si>
  <si>
    <t>FIL000MIXHI0</t>
  </si>
  <si>
    <t>FIL000MIXHR0</t>
  </si>
  <si>
    <t>FIL000MIXLI0</t>
  </si>
  <si>
    <t>FIL000MIXLR0</t>
  </si>
  <si>
    <t>FIL000OTHHI0</t>
  </si>
  <si>
    <t>FIL000OTHHR0</t>
  </si>
  <si>
    <t>FIL000OTHLI0</t>
  </si>
  <si>
    <t>FIL000OTHLR0</t>
  </si>
  <si>
    <t>FIL000POTHI0</t>
  </si>
  <si>
    <t>FIL000POTHR0</t>
  </si>
  <si>
    <t>FIL000POTLI0</t>
  </si>
  <si>
    <t>FIL000POTLR0</t>
  </si>
  <si>
    <t>FIL000WHEHI0</t>
  </si>
  <si>
    <t>FIL000WHEHR0</t>
  </si>
  <si>
    <t>FIL000WHELI0</t>
  </si>
  <si>
    <t>FIL000WHELR0</t>
  </si>
  <si>
    <t>FIL000RAPHI0</t>
  </si>
  <si>
    <t>FIL000RAPHR0</t>
  </si>
  <si>
    <t>FIL000RAPLI0</t>
  </si>
  <si>
    <t>FIL000RAPLR0</t>
  </si>
  <si>
    <t>FIL000PEAHI0</t>
  </si>
  <si>
    <t>FIL000PEAHR0</t>
  </si>
  <si>
    <t>FIL000PEALI0</t>
  </si>
  <si>
    <t>FIL000PEALR0</t>
  </si>
  <si>
    <t>FIL000BRLHI0</t>
  </si>
  <si>
    <t>FIL000BRLHR0</t>
  </si>
  <si>
    <t>FIL000BRLLI0</t>
  </si>
  <si>
    <t>FIL000BRLLR0</t>
  </si>
  <si>
    <t>FRL000BRLHI0</t>
  </si>
  <si>
    <t>FRLFER</t>
  </si>
  <si>
    <t>FRL000BRLHR0</t>
  </si>
  <si>
    <t>FRL000BRLLI0</t>
  </si>
  <si>
    <t>FRL000BRLLR0</t>
  </si>
  <si>
    <t>FRL000POTHI0</t>
  </si>
  <si>
    <t>FRL000POTHR0</t>
  </si>
  <si>
    <t>FRL000POTLI0</t>
  </si>
  <si>
    <t>FRL000POTLR0</t>
  </si>
  <si>
    <t>FRL000GRPHI0</t>
  </si>
  <si>
    <t>FRL000GRPHR0</t>
  </si>
  <si>
    <t>FRL000GRPLI0</t>
  </si>
  <si>
    <t>FRL000GRPLR0</t>
  </si>
  <si>
    <t>FRL000RYEHI0</t>
  </si>
  <si>
    <t>FRL000RYEHR0</t>
  </si>
  <si>
    <t>FRL000RYELI0</t>
  </si>
  <si>
    <t>FRL000RYELR0</t>
  </si>
  <si>
    <t>FRL000OTHHI0</t>
  </si>
  <si>
    <t>FRL000OTHHR0</t>
  </si>
  <si>
    <t>FRL000OTHLI0</t>
  </si>
  <si>
    <t>FRL000OTHLR0</t>
  </si>
  <si>
    <t>FRL000SUGHI0</t>
  </si>
  <si>
    <t>FRL000SUGHR0</t>
  </si>
  <si>
    <t>FRL000SUGLI0</t>
  </si>
  <si>
    <t>FRL000SUGLR0</t>
  </si>
  <si>
    <t>FRL000MAIHI0</t>
  </si>
  <si>
    <t>FRL000MAIHR0</t>
  </si>
  <si>
    <t>FRL000MAILI0</t>
  </si>
  <si>
    <t>FRL000MAILR0</t>
  </si>
  <si>
    <t>FRL000RAPHI0</t>
  </si>
  <si>
    <t>FRL000RAPHR0</t>
  </si>
  <si>
    <t>FRL000RAPLI0</t>
  </si>
  <si>
    <t>FRL000RAPLR0</t>
  </si>
  <si>
    <t>FRL000SUNHI0</t>
  </si>
  <si>
    <t>FRL000SUNHR0</t>
  </si>
  <si>
    <t>FRL000SUNLI0</t>
  </si>
  <si>
    <t>FRL000SUNLR0</t>
  </si>
  <si>
    <t>FRL000WHEHI0</t>
  </si>
  <si>
    <t>FRL000WHEHR0</t>
  </si>
  <si>
    <t>FRL000WHELI0</t>
  </si>
  <si>
    <t>FRL000WHELR0</t>
  </si>
  <si>
    <t>HRL000WHEHI0</t>
  </si>
  <si>
    <t>HRLFER</t>
  </si>
  <si>
    <t>HRL000WHEHR0</t>
  </si>
  <si>
    <t>HRL000WHELI0</t>
  </si>
  <si>
    <t>HRL000WHELR0</t>
  </si>
  <si>
    <t>HRL000OLIHI0</t>
  </si>
  <si>
    <t>HRL000OLIHR0</t>
  </si>
  <si>
    <t>HRL000OLILI0</t>
  </si>
  <si>
    <t>HRL000OLILR0</t>
  </si>
  <si>
    <t>HRL000SUNHI0</t>
  </si>
  <si>
    <t>HRL000SUNHR0</t>
  </si>
  <si>
    <t>HRL000SUNLI0</t>
  </si>
  <si>
    <t>HRL000SUNLR0</t>
  </si>
  <si>
    <t>HRL000GRPHI0</t>
  </si>
  <si>
    <t>HRL000GRPHR0</t>
  </si>
  <si>
    <t>HRL000GRPLI0</t>
  </si>
  <si>
    <t>HRL000GRPLR0</t>
  </si>
  <si>
    <t>HRL000OTHHI0</t>
  </si>
  <si>
    <t>HRL000OTHHR0</t>
  </si>
  <si>
    <t>HRL000OTHLI0</t>
  </si>
  <si>
    <t>HRL000OTHLR0</t>
  </si>
  <si>
    <t>HRL000GREHI0</t>
  </si>
  <si>
    <t>HRL000GREHR0</t>
  </si>
  <si>
    <t>HRL000GRELI0</t>
  </si>
  <si>
    <t>HRL000GRELR0</t>
  </si>
  <si>
    <t>HRL000SOYHI0</t>
  </si>
  <si>
    <t>HRL000SOYHR0</t>
  </si>
  <si>
    <t>HRL000SOYLI0</t>
  </si>
  <si>
    <t>HRL000SOYLR0</t>
  </si>
  <si>
    <t>HRL000BRLHI0</t>
  </si>
  <si>
    <t>HRL000BRLHR0</t>
  </si>
  <si>
    <t>HRL000BRLLI0</t>
  </si>
  <si>
    <t>HRL000BRLLR0</t>
  </si>
  <si>
    <t>HRL000RAPHI0</t>
  </si>
  <si>
    <t>HRL000RAPHR0</t>
  </si>
  <si>
    <t>HRL000RAPLI0</t>
  </si>
  <si>
    <t>HRL000RAPLR0</t>
  </si>
  <si>
    <t>HRL000MAIHI0</t>
  </si>
  <si>
    <t>HRL000MAIHR0</t>
  </si>
  <si>
    <t>HRL000MAILI0</t>
  </si>
  <si>
    <t>HRL000MAILR0</t>
  </si>
  <si>
    <t>HUL000BRLHI0</t>
  </si>
  <si>
    <t>HULFER</t>
  </si>
  <si>
    <t>HUL000BRLHR0</t>
  </si>
  <si>
    <t>HUL000BRLLI0</t>
  </si>
  <si>
    <t>HUL000BRLLR0</t>
  </si>
  <si>
    <t>HUL000GRPHI0</t>
  </si>
  <si>
    <t>HUL000GRPHR0</t>
  </si>
  <si>
    <t>HUL000GRPLI0</t>
  </si>
  <si>
    <t>HUL000GRPLR0</t>
  </si>
  <si>
    <t>HUL000MAIHI0</t>
  </si>
  <si>
    <t>HUL000MAIHR0</t>
  </si>
  <si>
    <t>HUL000MAILI0</t>
  </si>
  <si>
    <t>HUL000MAILR0</t>
  </si>
  <si>
    <t>HUL000SOYHI0</t>
  </si>
  <si>
    <t>HUL000SOYHR0</t>
  </si>
  <si>
    <t>HUL000SOYLI0</t>
  </si>
  <si>
    <t>HUL000SOYLR0</t>
  </si>
  <si>
    <t>HUL000APPHI0</t>
  </si>
  <si>
    <t>HUL000APPHR0</t>
  </si>
  <si>
    <t>HUL000APPLI0</t>
  </si>
  <si>
    <t>HUL000APPLR0</t>
  </si>
  <si>
    <t>HUL000OTHHI0</t>
  </si>
  <si>
    <t>HUL000OTHHR0</t>
  </si>
  <si>
    <t>HUL000OTHLI0</t>
  </si>
  <si>
    <t>HUL000OTHLR0</t>
  </si>
  <si>
    <t>HUL000RAPHI0</t>
  </si>
  <si>
    <t>HUL000RAPHR0</t>
  </si>
  <si>
    <t>HUL000RAPLI0</t>
  </si>
  <si>
    <t>HUL000RAPLR0</t>
  </si>
  <si>
    <t>HUL000RYEHI0</t>
  </si>
  <si>
    <t>HUL000RYEHR0</t>
  </si>
  <si>
    <t>HUL000RYELI0</t>
  </si>
  <si>
    <t>HUL000RYELR0</t>
  </si>
  <si>
    <t>HUL000SUNHI0</t>
  </si>
  <si>
    <t>HUL000SUNHR0</t>
  </si>
  <si>
    <t>HUL000SUNLI0</t>
  </si>
  <si>
    <t>HUL000SUNLR0</t>
  </si>
  <si>
    <t>HUL000WHEHI0</t>
  </si>
  <si>
    <t>HUL000WHEHR0</t>
  </si>
  <si>
    <t>HUL000WHELI0</t>
  </si>
  <si>
    <t>HUL000WHELR0</t>
  </si>
  <si>
    <t>IEL000WHEHI0</t>
  </si>
  <si>
    <t>IELFER</t>
  </si>
  <si>
    <t>IEL000WHEHR0</t>
  </si>
  <si>
    <t>IEL000WHELI0</t>
  </si>
  <si>
    <t>IEL000WHELR0</t>
  </si>
  <si>
    <t>IEL000CAUHI0</t>
  </si>
  <si>
    <t>IEL000CAUHR0</t>
  </si>
  <si>
    <t>IEL000CAULI0</t>
  </si>
  <si>
    <t>IEL000CAULR0</t>
  </si>
  <si>
    <t>IEL000BROHI0</t>
  </si>
  <si>
    <t>IEL000BROHR0</t>
  </si>
  <si>
    <t>IEL000BROLI0</t>
  </si>
  <si>
    <t>IEL000BROLR0</t>
  </si>
  <si>
    <t>IEL000CARHI0</t>
  </si>
  <si>
    <t>IEL000CARHR0</t>
  </si>
  <si>
    <t>IEL000CARLI0</t>
  </si>
  <si>
    <t>IEL000CARLR0</t>
  </si>
  <si>
    <t>IEL000OTHHI0</t>
  </si>
  <si>
    <t>IEL000OTHHR0</t>
  </si>
  <si>
    <t>IEL000OTHLI0</t>
  </si>
  <si>
    <t>IEL000OTHLR0</t>
  </si>
  <si>
    <t>IEL000CABHI0</t>
  </si>
  <si>
    <t>IEL000CABHR0</t>
  </si>
  <si>
    <t>IEL000CABLI0</t>
  </si>
  <si>
    <t>IEL000CABLR0</t>
  </si>
  <si>
    <t>IEL000OATHI0</t>
  </si>
  <si>
    <t>IEL000OATHR0</t>
  </si>
  <si>
    <t>IEL000OATLI0</t>
  </si>
  <si>
    <t>IEL000OATLR0</t>
  </si>
  <si>
    <t>IEL000RAPHI0</t>
  </si>
  <si>
    <t>IEL000RAPHR0</t>
  </si>
  <si>
    <t>IEL000RAPLI0</t>
  </si>
  <si>
    <t>IEL000RAPLR0</t>
  </si>
  <si>
    <t>IEL000POTHI0</t>
  </si>
  <si>
    <t>IEL000POTHR0</t>
  </si>
  <si>
    <t>IEL000POTLI0</t>
  </si>
  <si>
    <t>IEL000POTLR0</t>
  </si>
  <si>
    <t>IEL000BRLHI0</t>
  </si>
  <si>
    <t>IEL000BRLHR0</t>
  </si>
  <si>
    <t>IEL000BRLLI0</t>
  </si>
  <si>
    <t>IEL000BRLLR0</t>
  </si>
  <si>
    <t>ITL000OLIHI0</t>
  </si>
  <si>
    <t>ITLFER</t>
  </si>
  <si>
    <t>ITL000OLIHR0</t>
  </si>
  <si>
    <t>ITL000OLILI0</t>
  </si>
  <si>
    <t>ITL000OLILR0</t>
  </si>
  <si>
    <t>ITL000OATHI0</t>
  </si>
  <si>
    <t>ITL000OATHR0</t>
  </si>
  <si>
    <t>ITL000OATLI0</t>
  </si>
  <si>
    <t>ITL000OATLR0</t>
  </si>
  <si>
    <t>ITL000SOYHI0</t>
  </si>
  <si>
    <t>ITL000SOYHR0</t>
  </si>
  <si>
    <t>ITL000SOYLI0</t>
  </si>
  <si>
    <t>ITL000SOYLR0</t>
  </si>
  <si>
    <t>ITL000SUNHI0</t>
  </si>
  <si>
    <t>ITL000SUNHR0</t>
  </si>
  <si>
    <t>ITL000SUNLI0</t>
  </si>
  <si>
    <t>ITL000SUNLR0</t>
  </si>
  <si>
    <t>ITL000OTHHI0</t>
  </si>
  <si>
    <t>ITL000OTHHR0</t>
  </si>
  <si>
    <t>ITL000OTHLI0</t>
  </si>
  <si>
    <t>ITL000OTHLR0</t>
  </si>
  <si>
    <t>ITL000RICHI0</t>
  </si>
  <si>
    <t>ITL000RICHR0</t>
  </si>
  <si>
    <t>ITL000RICLI0</t>
  </si>
  <si>
    <t>ITL000RICLR0</t>
  </si>
  <si>
    <t>ITL000GRPHI0</t>
  </si>
  <si>
    <t>ITL000GRPHR0</t>
  </si>
  <si>
    <t>ITL000GRPLI0</t>
  </si>
  <si>
    <t>ITL000GRPLR0</t>
  </si>
  <si>
    <t>ITL000MAIHI0</t>
  </si>
  <si>
    <t>ITL000MAIHR0</t>
  </si>
  <si>
    <t>ITL000MAILI0</t>
  </si>
  <si>
    <t>ITL000MAILR0</t>
  </si>
  <si>
    <t>ITL000BRLHI0</t>
  </si>
  <si>
    <t>ITL000BRLHR0</t>
  </si>
  <si>
    <t>ITL000BRLLI0</t>
  </si>
  <si>
    <t>ITL000BRLLR0</t>
  </si>
  <si>
    <t>ITL000WHEHI0</t>
  </si>
  <si>
    <t>ITL000WHEHR0</t>
  </si>
  <si>
    <t>ITL000WHELI0</t>
  </si>
  <si>
    <t>ITL000WHELR0</t>
  </si>
  <si>
    <t>LTL000RAPHI0</t>
  </si>
  <si>
    <t>LTLFER</t>
  </si>
  <si>
    <t>LTL000RAPHR0</t>
  </si>
  <si>
    <t>LTL000RAPLI0</t>
  </si>
  <si>
    <t>LTL000RAPLR0</t>
  </si>
  <si>
    <t>LTL000POTHI0</t>
  </si>
  <si>
    <t>LTL000POTHR0</t>
  </si>
  <si>
    <t>LTL000POTLI0</t>
  </si>
  <si>
    <t>LTL000POTLR0</t>
  </si>
  <si>
    <t>LTL000OATHI0</t>
  </si>
  <si>
    <t>LTL000OATHR0</t>
  </si>
  <si>
    <t>LTL000OATLI0</t>
  </si>
  <si>
    <t>LTL000OATLR0</t>
  </si>
  <si>
    <t>LTL000CERHI0</t>
  </si>
  <si>
    <t>LTL000CERHR0</t>
  </si>
  <si>
    <t>LTL000CERLI0</t>
  </si>
  <si>
    <t>LTL000CERLR0</t>
  </si>
  <si>
    <t>LTL000OTHHI0</t>
  </si>
  <si>
    <t>LTL000OTHHR0</t>
  </si>
  <si>
    <t>LTL000OTHLI0</t>
  </si>
  <si>
    <t>LTL000OTHLR0</t>
  </si>
  <si>
    <t>LTL000BROHI0</t>
  </si>
  <si>
    <t>LTL000BROHR0</t>
  </si>
  <si>
    <t>LTL000BROLI0</t>
  </si>
  <si>
    <t>LTL000BROLR0</t>
  </si>
  <si>
    <t>LTL000BRLHI0</t>
  </si>
  <si>
    <t>LTL000BRLHR0</t>
  </si>
  <si>
    <t>LTL000BRLLI0</t>
  </si>
  <si>
    <t>LTL000BRLLR0</t>
  </si>
  <si>
    <t>LTL000RYEHI0</t>
  </si>
  <si>
    <t>LTL000RYEHR0</t>
  </si>
  <si>
    <t>LTL000RYELI0</t>
  </si>
  <si>
    <t>LTL000RYELR0</t>
  </si>
  <si>
    <t>LTL000PEAHI0</t>
  </si>
  <si>
    <t>LTL000PEAHR0</t>
  </si>
  <si>
    <t>LTL000PEALI0</t>
  </si>
  <si>
    <t>LTL000PEALR0</t>
  </si>
  <si>
    <t>LTL000WHEHI0</t>
  </si>
  <si>
    <t>LTL000WHEHR0</t>
  </si>
  <si>
    <t>LTL000WHELI0</t>
  </si>
  <si>
    <t>LTL000WHELR0</t>
  </si>
  <si>
    <t>LUL000RYEHI0</t>
  </si>
  <si>
    <t>LULFER</t>
  </si>
  <si>
    <t>LUL000RYEHR0</t>
  </si>
  <si>
    <t>LUL000RYELI0</t>
  </si>
  <si>
    <t>LUL000RYELR0</t>
  </si>
  <si>
    <t>LUL000SUNHI0</t>
  </si>
  <si>
    <t>LUL000SUNHR0</t>
  </si>
  <si>
    <t>LUL000SUNLI0</t>
  </si>
  <si>
    <t>LUL000SUNLR0</t>
  </si>
  <si>
    <t>LUL000OATHI0</t>
  </si>
  <si>
    <t>LUL000OATHR0</t>
  </si>
  <si>
    <t>LUL000OATLI0</t>
  </si>
  <si>
    <t>LUL000OATLR0</t>
  </si>
  <si>
    <t>LUL000PEAHI0</t>
  </si>
  <si>
    <t>LUL000PEAHR0</t>
  </si>
  <si>
    <t>LUL000PEALI0</t>
  </si>
  <si>
    <t>LUL000PEALR0</t>
  </si>
  <si>
    <t>LUL000OTHHI0</t>
  </si>
  <si>
    <t>LUL000OTHHR0</t>
  </si>
  <si>
    <t>LUL000OTHLI0</t>
  </si>
  <si>
    <t>LUL000OTHLR0</t>
  </si>
  <si>
    <t>LUL000POTHI0</t>
  </si>
  <si>
    <t>LUL000POTHR0</t>
  </si>
  <si>
    <t>LUL000POTLI0</t>
  </si>
  <si>
    <t>LUL000POTLR0</t>
  </si>
  <si>
    <t>LUL000BRLHI0</t>
  </si>
  <si>
    <t>LUL000BRLHR0</t>
  </si>
  <si>
    <t>LUL000BRLLI0</t>
  </si>
  <si>
    <t>LUL000BRLLR0</t>
  </si>
  <si>
    <t>LUL000RAPHI0</t>
  </si>
  <si>
    <t>LUL000RAPHR0</t>
  </si>
  <si>
    <t>LUL000RAPLI0</t>
  </si>
  <si>
    <t>LUL000RAPLR0</t>
  </si>
  <si>
    <t>LUL000GRPHI0</t>
  </si>
  <si>
    <t>LUL000GRPHR0</t>
  </si>
  <si>
    <t>LUL000GRPLI0</t>
  </si>
  <si>
    <t>LUL000GRPLR0</t>
  </si>
  <si>
    <t>LUL000WHEHI0</t>
  </si>
  <si>
    <t>LUL000WHEHR0</t>
  </si>
  <si>
    <t>LUL000WHELI0</t>
  </si>
  <si>
    <t>LUL000WHELR0</t>
  </si>
  <si>
    <t>LVL000RAPHI0</t>
  </si>
  <si>
    <t>LVLFER</t>
  </si>
  <si>
    <t>LVL000RAPHR0</t>
  </si>
  <si>
    <t>LVL000RAPLI0</t>
  </si>
  <si>
    <t>LVL000RAPLR0</t>
  </si>
  <si>
    <t>LVL000POTHI0</t>
  </si>
  <si>
    <t>LVL000POTHR0</t>
  </si>
  <si>
    <t>LVL000POTLI0</t>
  </si>
  <si>
    <t>LVL000POTLR0</t>
  </si>
  <si>
    <t>LVL000RYEHI0</t>
  </si>
  <si>
    <t>LVL000RYEHR0</t>
  </si>
  <si>
    <t>LVL000RYELI0</t>
  </si>
  <si>
    <t>LVL000RYELR0</t>
  </si>
  <si>
    <t>LVL000PEAHI0</t>
  </si>
  <si>
    <t>LVL000PEAHR0</t>
  </si>
  <si>
    <t>LVL000PEALI0</t>
  </si>
  <si>
    <t>LVL000PEALR0</t>
  </si>
  <si>
    <t>LVL000OTHHI0</t>
  </si>
  <si>
    <t>LVL000OTHHR0</t>
  </si>
  <si>
    <t>LVL000OTHLI0</t>
  </si>
  <si>
    <t>LVL000OTHLR0</t>
  </si>
  <si>
    <t>LVL000CERHI0</t>
  </si>
  <si>
    <t>LVL000CERHR0</t>
  </si>
  <si>
    <t>LVL000CERLI0</t>
  </si>
  <si>
    <t>LVL000CERLR0</t>
  </si>
  <si>
    <t>LVL000OATHI0</t>
  </si>
  <si>
    <t>LVL000OATHR0</t>
  </si>
  <si>
    <t>LVL000OATLI0</t>
  </si>
  <si>
    <t>LVL000OATLR0</t>
  </si>
  <si>
    <t>LVL000BRLHI0</t>
  </si>
  <si>
    <t>LVL000BRLHR0</t>
  </si>
  <si>
    <t>LVL000BRLLI0</t>
  </si>
  <si>
    <t>LVL000BRLLR0</t>
  </si>
  <si>
    <t>LVL000BROHI0</t>
  </si>
  <si>
    <t>LVL000BROHR0</t>
  </si>
  <si>
    <t>LVL000BROLI0</t>
  </si>
  <si>
    <t>LVL000BROLR0</t>
  </si>
  <si>
    <t>LVL000WHEHI0</t>
  </si>
  <si>
    <t>LVL000WHEHR0</t>
  </si>
  <si>
    <t>LVL000WHELI0</t>
  </si>
  <si>
    <t>LVL000WHELR0</t>
  </si>
  <si>
    <t>MTL000POTHI0</t>
  </si>
  <si>
    <t>MTLFER</t>
  </si>
  <si>
    <t>MTL000POTHR0</t>
  </si>
  <si>
    <t>MTL000POTLI0</t>
  </si>
  <si>
    <t>MTL000POTLR0</t>
  </si>
  <si>
    <t>MTL000GRPHI0</t>
  </si>
  <si>
    <t>MTL000GRPHR0</t>
  </si>
  <si>
    <t>MTL000GRPLI0</t>
  </si>
  <si>
    <t>MTL000GRPLR0</t>
  </si>
  <si>
    <t>MTL000MAIHI0</t>
  </si>
  <si>
    <t>MTL000MAIHR0</t>
  </si>
  <si>
    <t>MTL000MAILI0</t>
  </si>
  <si>
    <t>MTL000MAILR0</t>
  </si>
  <si>
    <t>MTL000OATHI0</t>
  </si>
  <si>
    <t>MTL000OATHR0</t>
  </si>
  <si>
    <t>MTL000OATLI0</t>
  </si>
  <si>
    <t>MTL000OATLR0</t>
  </si>
  <si>
    <t>MTL000OLIHI0</t>
  </si>
  <si>
    <t>MTL000OLIHR0</t>
  </si>
  <si>
    <t>MTL000OLILI0</t>
  </si>
  <si>
    <t>MTL000OLILR0</t>
  </si>
  <si>
    <t>MTL000OTHHI0</t>
  </si>
  <si>
    <t>MTL000OTHHR0</t>
  </si>
  <si>
    <t>MTL000OTHLI0</t>
  </si>
  <si>
    <t>MTL000OTHLR0</t>
  </si>
  <si>
    <t>MTL000RAPHI0</t>
  </si>
  <si>
    <t>MTL000RAPHR0</t>
  </si>
  <si>
    <t>MTL000RAPLI0</t>
  </si>
  <si>
    <t>MTL000RAPLR0</t>
  </si>
  <si>
    <t>MTL000RYEHI0</t>
  </si>
  <si>
    <t>MTL000RYEHR0</t>
  </si>
  <si>
    <t>MTL000RYELI0</t>
  </si>
  <si>
    <t>MTL000RYELR0</t>
  </si>
  <si>
    <t>MTL000SUNHI0</t>
  </si>
  <si>
    <t>MTL000SUNHR0</t>
  </si>
  <si>
    <t>MTL000SUNLI0</t>
  </si>
  <si>
    <t>MTL000SUNLR0</t>
  </si>
  <si>
    <t>MTL000WHEHI0</t>
  </si>
  <si>
    <t>MTL000WHEHR0</t>
  </si>
  <si>
    <t>MTL000WHELI0</t>
  </si>
  <si>
    <t>MTL000WHELR0</t>
  </si>
  <si>
    <t>NLL000WHEHI0</t>
  </si>
  <si>
    <t>NLLFER</t>
  </si>
  <si>
    <t>NLL000WHEHR0</t>
  </si>
  <si>
    <t>NLL000WHELI0</t>
  </si>
  <si>
    <t>NLL000WHELR0</t>
  </si>
  <si>
    <t>NLL000CARHI0</t>
  </si>
  <si>
    <t>NLL000CARHR0</t>
  </si>
  <si>
    <t>NLL000CARLI0</t>
  </si>
  <si>
    <t>NLL000CARLR0</t>
  </si>
  <si>
    <t>NLL000BRLHI0</t>
  </si>
  <si>
    <t>NLL000BRLHR0</t>
  </si>
  <si>
    <t>NLL000BRLLI0</t>
  </si>
  <si>
    <t>NLL000BRLLR0</t>
  </si>
  <si>
    <t>NLL000LETHI0</t>
  </si>
  <si>
    <t>NLL000LETHR0</t>
  </si>
  <si>
    <t>NLL000LETLI0</t>
  </si>
  <si>
    <t>NLL000LETLR0</t>
  </si>
  <si>
    <t>NLL000OTHHI0</t>
  </si>
  <si>
    <t>NLL000OTHHR0</t>
  </si>
  <si>
    <t>NLL000OTHLI0</t>
  </si>
  <si>
    <t>NLL000OTHLR0</t>
  </si>
  <si>
    <t>NLL000PERHI0</t>
  </si>
  <si>
    <t>NLL000PERHR0</t>
  </si>
  <si>
    <t>NLL000PERLI0</t>
  </si>
  <si>
    <t>NLL000PERLR0</t>
  </si>
  <si>
    <t>NLL000SUGHI0</t>
  </si>
  <si>
    <t>NLL000SUGHR0</t>
  </si>
  <si>
    <t>NLL000SUGLI0</t>
  </si>
  <si>
    <t>NLL000SUGLR0</t>
  </si>
  <si>
    <t>NLL000ONIHI0</t>
  </si>
  <si>
    <t>NLL000ONIHR0</t>
  </si>
  <si>
    <t>NLL000ONILI0</t>
  </si>
  <si>
    <t>NLL000ONILR0</t>
  </si>
  <si>
    <t>NLL000MAIHI0</t>
  </si>
  <si>
    <t>NLL000MAIHR0</t>
  </si>
  <si>
    <t>NLL000MAILI0</t>
  </si>
  <si>
    <t>NLL000MAILR0</t>
  </si>
  <si>
    <t>NLL000POTHI0</t>
  </si>
  <si>
    <t>NLL000POTHR0</t>
  </si>
  <si>
    <t>NLL000POTLI0</t>
  </si>
  <si>
    <t>NLL000POTLR0</t>
  </si>
  <si>
    <t>PLL000RYEHI0</t>
  </si>
  <si>
    <t>PLLFER</t>
  </si>
  <si>
    <t>PLL000RYEHR0</t>
  </si>
  <si>
    <t>PLL000RYELI0</t>
  </si>
  <si>
    <t>PLL000RYELR0</t>
  </si>
  <si>
    <t>PLL000POTHI0</t>
  </si>
  <si>
    <t>PLL000POTHR0</t>
  </si>
  <si>
    <t>PLL000POTLI0</t>
  </si>
  <si>
    <t>PLL000POTLR0</t>
  </si>
  <si>
    <t>PLL000BRLHI0</t>
  </si>
  <si>
    <t>PLL000BRLHR0</t>
  </si>
  <si>
    <t>PLL000BRLLI0</t>
  </si>
  <si>
    <t>PLL000BRLLR0</t>
  </si>
  <si>
    <t>PLL000SUGHI0</t>
  </si>
  <si>
    <t>PLL000SUGHR0</t>
  </si>
  <si>
    <t>PLL000SUGLI0</t>
  </si>
  <si>
    <t>PLL000SUGLR0</t>
  </si>
  <si>
    <t>PLL000OTHHI0</t>
  </si>
  <si>
    <t>PLL000OTHHR0</t>
  </si>
  <si>
    <t>PLL000OTHLI0</t>
  </si>
  <si>
    <t>PLL000OTHLR0</t>
  </si>
  <si>
    <t>PLL000OATHI0</t>
  </si>
  <si>
    <t>PLL000OATHR0</t>
  </si>
  <si>
    <t>PLL000OATLI0</t>
  </si>
  <si>
    <t>PLL000OATLR0</t>
  </si>
  <si>
    <t>PLL000RAPHI0</t>
  </si>
  <si>
    <t>PLL000RAPHR0</t>
  </si>
  <si>
    <t>PLL000RAPLI0</t>
  </si>
  <si>
    <t>PLL000RAPLR0</t>
  </si>
  <si>
    <t>PLL000MAIHI0</t>
  </si>
  <si>
    <t>PLL000MAIHR0</t>
  </si>
  <si>
    <t>PLL000MAILI0</t>
  </si>
  <si>
    <t>PLL000MAILR0</t>
  </si>
  <si>
    <t>PLL000MIXHI0</t>
  </si>
  <si>
    <t>PLL000MIXHR0</t>
  </si>
  <si>
    <t>PLL000MIXLI0</t>
  </si>
  <si>
    <t>PLL000MIXLR0</t>
  </si>
  <si>
    <t>PLL000WHEHI0</t>
  </si>
  <si>
    <t>PLL000WHEHR0</t>
  </si>
  <si>
    <t>PLL000WHELI0</t>
  </si>
  <si>
    <t>PLL000WHELR0</t>
  </si>
  <si>
    <t>PTL000GRPHI0</t>
  </si>
  <si>
    <t>PTLFER</t>
  </si>
  <si>
    <t>PTL000GRPHR0</t>
  </si>
  <si>
    <t>PTL000GRPLI0</t>
  </si>
  <si>
    <t>PTL000GRPLR0</t>
  </si>
  <si>
    <t>PTL000WHEHI0</t>
  </si>
  <si>
    <t>PTL000WHEHR0</t>
  </si>
  <si>
    <t>PTL000WHELI0</t>
  </si>
  <si>
    <t>PTL000WHELR0</t>
  </si>
  <si>
    <t>PTL000ALMHI0</t>
  </si>
  <si>
    <t>PTL000ALMHR0</t>
  </si>
  <si>
    <t>PTL000ALMLI0</t>
  </si>
  <si>
    <t>PTL000ALMLR0</t>
  </si>
  <si>
    <t>PTL000RYEHI0</t>
  </si>
  <si>
    <t>PTL000RYEHR0</t>
  </si>
  <si>
    <t>PTL000RYELI0</t>
  </si>
  <si>
    <t>PTL000RYELR0</t>
  </si>
  <si>
    <t>PTL000OTHHI0</t>
  </si>
  <si>
    <t>PTL000OTHHR0</t>
  </si>
  <si>
    <t>PTL000OTHLI0</t>
  </si>
  <si>
    <t>PTL000OTHLR0</t>
  </si>
  <si>
    <t>PTL000OATHI0</t>
  </si>
  <si>
    <t>PTL000OATHR0</t>
  </si>
  <si>
    <t>PTL000OATLI0</t>
  </si>
  <si>
    <t>PTL000OATLR0</t>
  </si>
  <si>
    <t>PTL000OTNHI0</t>
  </si>
  <si>
    <t>PTL000OTNHR0</t>
  </si>
  <si>
    <t>PTL000OTNLI0</t>
  </si>
  <si>
    <t>PTL000OTNLR0</t>
  </si>
  <si>
    <t>PTL000MAIHI0</t>
  </si>
  <si>
    <t>PTL000MAIHR0</t>
  </si>
  <si>
    <t>PTL000MAILI0</t>
  </si>
  <si>
    <t>PTL000MAILR0</t>
  </si>
  <si>
    <t>PTL000CHEHI0</t>
  </si>
  <si>
    <t>PTL000CHEHR0</t>
  </si>
  <si>
    <t>PTL000CHELI0</t>
  </si>
  <si>
    <t>PTL000CHELR0</t>
  </si>
  <si>
    <t>PTL000OLIHI0</t>
  </si>
  <si>
    <t>PTL000OLIHR0</t>
  </si>
  <si>
    <t>PTL000OLILI0</t>
  </si>
  <si>
    <t>PTL000OLILR0</t>
  </si>
  <si>
    <t>ROL000WHEHI0</t>
  </si>
  <si>
    <t>ROLFER</t>
  </si>
  <si>
    <t>ROL000WHEHR0</t>
  </si>
  <si>
    <t>ROL000WHELI0</t>
  </si>
  <si>
    <t>ROL000WHELR0</t>
  </si>
  <si>
    <t>ROL000OATHI0</t>
  </si>
  <si>
    <t>ROL000OATHR0</t>
  </si>
  <si>
    <t>ROL000OATLI0</t>
  </si>
  <si>
    <t>ROL000OATLR0</t>
  </si>
  <si>
    <t>ROL000BRLHI0</t>
  </si>
  <si>
    <t>ROL000BRLHR0</t>
  </si>
  <si>
    <t>ROL000BRLLI0</t>
  </si>
  <si>
    <t>ROL000BRLLR0</t>
  </si>
  <si>
    <t>ROL000POTHI0</t>
  </si>
  <si>
    <t>ROL000POTHR0</t>
  </si>
  <si>
    <t>ROL000POTLI0</t>
  </si>
  <si>
    <t>ROL000POTLR0</t>
  </si>
  <si>
    <t>ROL000OTHHI0</t>
  </si>
  <si>
    <t>ROL000OTHHR0</t>
  </si>
  <si>
    <t>ROL000OTHLI0</t>
  </si>
  <si>
    <t>ROL000OTHLR0</t>
  </si>
  <si>
    <t>ROL000SOYHI0</t>
  </si>
  <si>
    <t>ROL000SOYHR0</t>
  </si>
  <si>
    <t>ROL000SOYLI0</t>
  </si>
  <si>
    <t>ROL000SOYLR0</t>
  </si>
  <si>
    <t>ROL000SUNHI0</t>
  </si>
  <si>
    <t>ROL000SUNHR0</t>
  </si>
  <si>
    <t>ROL000SUNLI0</t>
  </si>
  <si>
    <t>ROL000SUNLR0</t>
  </si>
  <si>
    <t>ROL000RAPHI0</t>
  </si>
  <si>
    <t>ROL000RAPHR0</t>
  </si>
  <si>
    <t>ROL000RAPLI0</t>
  </si>
  <si>
    <t>ROL000RAPLR0</t>
  </si>
  <si>
    <t>ROL000GRPHI0</t>
  </si>
  <si>
    <t>ROL000GRPHR0</t>
  </si>
  <si>
    <t>ROL000GRPLI0</t>
  </si>
  <si>
    <t>ROL000GRPLR0</t>
  </si>
  <si>
    <t>ROL000MAIHI0</t>
  </si>
  <si>
    <t>ROL000MAIHR0</t>
  </si>
  <si>
    <t>ROL000MAILI0</t>
  </si>
  <si>
    <t>ROL000MAILR0</t>
  </si>
  <si>
    <t>SEL000BRLHI0</t>
  </si>
  <si>
    <t>SELFER</t>
  </si>
  <si>
    <t>SEL000BRLHR0</t>
  </si>
  <si>
    <t>SEL000BRLLI0</t>
  </si>
  <si>
    <t>SEL000BRLLR0</t>
  </si>
  <si>
    <t>SEL000BROHI0</t>
  </si>
  <si>
    <t>SEL000BROHR0</t>
  </si>
  <si>
    <t>SEL000BROLI0</t>
  </si>
  <si>
    <t>SEL000BROLR0</t>
  </si>
  <si>
    <t>SEL000RYEHI0</t>
  </si>
  <si>
    <t>SEL000RYEHR0</t>
  </si>
  <si>
    <t>SEL000RYELI0</t>
  </si>
  <si>
    <t>SEL000RYELR0</t>
  </si>
  <si>
    <t>SEL000PEAHI0</t>
  </si>
  <si>
    <t>SEL000PEAHR0</t>
  </si>
  <si>
    <t>SEL000PEALI0</t>
  </si>
  <si>
    <t>SEL000PEALR0</t>
  </si>
  <si>
    <t>SEL000OTHHI0</t>
  </si>
  <si>
    <t>SEL000OTHHR0</t>
  </si>
  <si>
    <t>SEL000OTHLI0</t>
  </si>
  <si>
    <t>SEL000OTHLR0</t>
  </si>
  <si>
    <t>SEL000POTHI0</t>
  </si>
  <si>
    <t>SEL000POTHR0</t>
  </si>
  <si>
    <t>SEL000POTLI0</t>
  </si>
  <si>
    <t>SEL000POTLR0</t>
  </si>
  <si>
    <t>SEL000OATHI0</t>
  </si>
  <si>
    <t>SEL000OATHR0</t>
  </si>
  <si>
    <t>SEL000OATLI0</t>
  </si>
  <si>
    <t>SEL000OATLR0</t>
  </si>
  <si>
    <t>SEL000RAPHI0</t>
  </si>
  <si>
    <t>SEL000RAPHR0</t>
  </si>
  <si>
    <t>SEL000RAPLI0</t>
  </si>
  <si>
    <t>SEL000RAPLR0</t>
  </si>
  <si>
    <t>SEL000SUGHI0</t>
  </si>
  <si>
    <t>SEL000SUGHR0</t>
  </si>
  <si>
    <t>SEL000SUGLI0</t>
  </si>
  <si>
    <t>SEL000SUGLR0</t>
  </si>
  <si>
    <t>SEL000WHEHI0</t>
  </si>
  <si>
    <t>SEL000WHEHR0</t>
  </si>
  <si>
    <t>SEL000WHELI0</t>
  </si>
  <si>
    <t>SEL000WHELR0</t>
  </si>
  <si>
    <t>SIL000WHEHI0</t>
  </si>
  <si>
    <t>SILFER</t>
  </si>
  <si>
    <t>SIL000WHEHR0</t>
  </si>
  <si>
    <t>SIL000WHELI0</t>
  </si>
  <si>
    <t>SIL000WHELR0</t>
  </si>
  <si>
    <t>SIL000POTHI0</t>
  </si>
  <si>
    <t>SIL000POTHR0</t>
  </si>
  <si>
    <t>SIL000POTLI0</t>
  </si>
  <si>
    <t>SIL000POTLR0</t>
  </si>
  <si>
    <t>SIL000RYEHI0</t>
  </si>
  <si>
    <t>SIL000RYEHR0</t>
  </si>
  <si>
    <t>SIL000RYELI0</t>
  </si>
  <si>
    <t>SIL000RYELR0</t>
  </si>
  <si>
    <t>SIL000RAPHI0</t>
  </si>
  <si>
    <t>SIL000RAPHR0</t>
  </si>
  <si>
    <t>SIL000RAPLI0</t>
  </si>
  <si>
    <t>SIL000RAPLR0</t>
  </si>
  <si>
    <t>SIL000OTHHI0</t>
  </si>
  <si>
    <t>SIL000OTHHR0</t>
  </si>
  <si>
    <t>SIL000OTHLI0</t>
  </si>
  <si>
    <t>SIL000OTHLR0</t>
  </si>
  <si>
    <t>SIL000OTOHI0</t>
  </si>
  <si>
    <t>SIL000OTOHR0</t>
  </si>
  <si>
    <t>SIL000OTOLI0</t>
  </si>
  <si>
    <t>SIL000OTOLR0</t>
  </si>
  <si>
    <t>SIL000BRLHI0</t>
  </si>
  <si>
    <t>SIL000BRLHR0</t>
  </si>
  <si>
    <t>SIL000BRLLI0</t>
  </si>
  <si>
    <t>SIL000BRLLR0</t>
  </si>
  <si>
    <t>SIL000GRPHI0</t>
  </si>
  <si>
    <t>SIL000GRPHR0</t>
  </si>
  <si>
    <t>SIL000GRPLI0</t>
  </si>
  <si>
    <t>SIL000GRPLR0</t>
  </si>
  <si>
    <t>SIL000CERHI0</t>
  </si>
  <si>
    <t>SIL000CERHR0</t>
  </si>
  <si>
    <t>SIL000CERLI0</t>
  </si>
  <si>
    <t>SIL000CERLR0</t>
  </si>
  <si>
    <t>SIL000MAIHI0</t>
  </si>
  <si>
    <t>SIL000MAIHR0</t>
  </si>
  <si>
    <t>SIL000MAILI0</t>
  </si>
  <si>
    <t>SIL000MAILR0</t>
  </si>
  <si>
    <t>SKL000MAIHI0</t>
  </si>
  <si>
    <t>SKLFER</t>
  </si>
  <si>
    <t>SKL000MAIHR0</t>
  </si>
  <si>
    <t>SKL000MAILI0</t>
  </si>
  <si>
    <t>SKL000MAILR0</t>
  </si>
  <si>
    <t>SKL000OTOHI0</t>
  </si>
  <si>
    <t>SKL000OTOHR0</t>
  </si>
  <si>
    <t>SKL000OTOLI0</t>
  </si>
  <si>
    <t>SKL000OTOLR0</t>
  </si>
  <si>
    <t>SKL000SUNHI0</t>
  </si>
  <si>
    <t>SKL000SUNHR0</t>
  </si>
  <si>
    <t>SKL000SUNLI0</t>
  </si>
  <si>
    <t>SKL000SUNLR0</t>
  </si>
  <si>
    <t>SKL000RYEHI0</t>
  </si>
  <si>
    <t>SKL000RYEHR0</t>
  </si>
  <si>
    <t>SKL000RYELI0</t>
  </si>
  <si>
    <t>SKL000RYELR0</t>
  </si>
  <si>
    <t>SKL000OTHHI0</t>
  </si>
  <si>
    <t>SKL000OTHHR0</t>
  </si>
  <si>
    <t>SKL000OTHLI0</t>
  </si>
  <si>
    <t>SKL000OTHLR0</t>
  </si>
  <si>
    <t>SKL000SUGHI0</t>
  </si>
  <si>
    <t>SKL000SUGHR0</t>
  </si>
  <si>
    <t>SKL000SUGLI0</t>
  </si>
  <si>
    <t>SKL000SUGLR0</t>
  </si>
  <si>
    <t>SKL000RAPHI0</t>
  </si>
  <si>
    <t>SKL000RAPHR0</t>
  </si>
  <si>
    <t>SKL000RAPLI0</t>
  </si>
  <si>
    <t>SKL000RAPLR0</t>
  </si>
  <si>
    <t>SKL000BRLHI0</t>
  </si>
  <si>
    <t>SKL000BRLHR0</t>
  </si>
  <si>
    <t>SKL000BRLLI0</t>
  </si>
  <si>
    <t>SKL000BRLLR0</t>
  </si>
  <si>
    <t>SKL000SOYHI0</t>
  </si>
  <si>
    <t>SKL000SOYHR0</t>
  </si>
  <si>
    <t>SKL000SOYLI0</t>
  </si>
  <si>
    <t>SKL000SOYLR0</t>
  </si>
  <si>
    <t>SKL000WHEHI0</t>
  </si>
  <si>
    <t>SKL000WHEHR0</t>
  </si>
  <si>
    <t>SKL000WHELI0</t>
  </si>
  <si>
    <t>SKL000WHELR0</t>
  </si>
  <si>
    <t>REGION</t>
  </si>
  <si>
    <t>TECHNOLOGY</t>
  </si>
  <si>
    <t>FUEL</t>
  </si>
  <si>
    <t>MODE_OF_OPERATION</t>
  </si>
  <si>
    <t>Inpu_level</t>
  </si>
  <si>
    <t>ISO2</t>
  </si>
  <si>
    <t>AT</t>
  </si>
  <si>
    <t>BE</t>
  </si>
  <si>
    <t>BG</t>
  </si>
  <si>
    <t>CY</t>
  </si>
  <si>
    <t>CZ</t>
  </si>
  <si>
    <t>DE</t>
  </si>
  <si>
    <t>DK</t>
  </si>
  <si>
    <t>ES</t>
  </si>
  <si>
    <t>EE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</si>
  <si>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</si>
  <si>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</si>
  <si>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</si>
  <si>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</si>
  <si>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</si>
  <si>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</si>
  <si>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</si>
  <si>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</si>
  <si>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</si>
  <si>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</si>
  <si>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</si>
  <si>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</si>
  <si>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</si>
  <si>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</si>
  <si>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SK</t>
  </si>
  <si>
    <t>SI</t>
  </si>
  <si>
    <t>SE</t>
  </si>
  <si>
    <t>CC</t>
  </si>
  <si>
    <t>GR</t>
  </si>
  <si>
    <t>concatenate</t>
  </si>
  <si>
    <t>Concatenate Names</t>
  </si>
  <si>
    <t>old data (Mt/1000sqkm)</t>
  </si>
  <si>
    <t>actual 2021</t>
  </si>
  <si>
    <t>model</t>
  </si>
  <si>
    <t>CF_231025</t>
  </si>
  <si>
    <t>to be multiplied</t>
  </si>
  <si>
    <t>corrected fertiliser application (Mt/1000sqkm)-231025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</si>
</sst>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 applyAlignment="1">
      <alignment horizontal="center" vertical="top" wrapText="1"/>
    </xf>
    <xf numFmtId="10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061/dryad.59zw3r2mq" TargetMode="External"/><Relationship Id="rId1" Type="http://schemas.openxmlformats.org/officeDocument/2006/relationships/hyperlink" Target="https://doi.org/10.5061/dryad.59zw3r2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"/>
  <sheetViews>
    <sheetView tabSelected="1" topLeftCell="A125" zoomScale="85" zoomScaleNormal="85" workbookViewId="0">
      <selection activeCell="N20" sqref="N20"/>
    </sheetView>
  </sheetViews>
  <sheetFormatPr defaultRowHeight="15" x14ac:dyDescent="0.25"/>
  <cols>
    <col min="1" max="1" width="9.5703125" bestFit="1" customWidth="1"/>
    <col min="2" max="2" width="62" bestFit="1" customWidth="1"/>
    <col min="3" max="3" width="11.42578125" bestFit="1" customWidth="1"/>
    <col min="4" max="5" width="11.42578125" customWidth="1"/>
    <col min="9" max="9" width="24.42578125" customWidth="1"/>
    <col min="10" max="10" width="23" customWidth="1"/>
    <col min="11" max="11" width="24" customWidth="1"/>
    <col min="12" max="12" width="25" customWidth="1"/>
  </cols>
  <sheetData>
    <row r="1" spans="1:12" ht="27" customHeight="1" x14ac:dyDescent="0.25">
      <c r="A1" s="3" t="s">
        <v>6</v>
      </c>
      <c r="B1" s="2" t="s">
        <v>112</v>
      </c>
      <c r="J1" s="4" t="s">
        <v>134</v>
      </c>
      <c r="K1" s="4" t="s">
        <v>135</v>
      </c>
      <c r="L1" s="4" t="s">
        <v>129</v>
      </c>
    </row>
    <row r="2" spans="1:12" x14ac:dyDescent="0.25">
      <c r="A2" s="4"/>
      <c r="J2" s="7">
        <v>0.33500000000000002</v>
      </c>
      <c r="K2" s="7">
        <v>0.2</v>
      </c>
      <c r="L2" s="7">
        <v>0.5</v>
      </c>
    </row>
    <row r="3" spans="1:12" x14ac:dyDescent="0.25">
      <c r="A3" t="s">
        <v>127</v>
      </c>
    </row>
    <row r="4" spans="1:12" x14ac:dyDescent="0.25">
      <c r="A4" t="s">
        <v>128</v>
      </c>
    </row>
    <row r="6" spans="1:12" ht="30" customHeight="1" x14ac:dyDescent="0.25">
      <c r="A6" s="1" t="s">
        <v>0</v>
      </c>
      <c r="B6" s="1" t="s">
        <v>1</v>
      </c>
      <c r="C6" s="6" t="s">
        <v>2</v>
      </c>
      <c r="D6" s="6" t="s">
        <v>1276</v>
      </c>
      <c r="E6" s="6"/>
      <c r="F6" s="6" t="s">
        <v>3</v>
      </c>
      <c r="G6" s="6" t="s">
        <v>4</v>
      </c>
      <c r="H6" s="6" t="s">
        <v>5</v>
      </c>
      <c r="I6" s="6" t="s">
        <v>131</v>
      </c>
      <c r="J6" s="6" t="s">
        <v>132</v>
      </c>
      <c r="K6" s="6" t="s">
        <v>133</v>
      </c>
      <c r="L6" s="6" t="s">
        <v>130</v>
      </c>
    </row>
    <row r="7" spans="1:12" x14ac:dyDescent="0.25">
      <c r="A7" t="s">
        <v>7</v>
      </c>
      <c r="B7" t="s">
        <v>44</v>
      </c>
      <c r="C7" t="s">
        <v>85</v>
      </c>
      <c r="D7" t="str">
        <f>VLOOKUP(C7,cc!$A$2:$B$28,2,FALSE)</f>
        <v>AT</v>
      </c>
      <c r="E7" t="str">
        <f>CONCATENATE(D7,A7)</f>
        <v>ATBRL</v>
      </c>
      <c r="F7">
        <v>59</v>
      </c>
      <c r="G7">
        <v>4</v>
      </c>
      <c r="H7">
        <v>9</v>
      </c>
      <c r="I7" s="5">
        <f>F7/$J$2</f>
        <v>176.11940298507463</v>
      </c>
      <c r="J7" s="5">
        <f>G7/$K$2</f>
        <v>20</v>
      </c>
      <c r="K7" s="5">
        <f>H7/$L$2</f>
        <v>18</v>
      </c>
      <c r="L7" s="5">
        <f>(I7+J7+K7)*0.0001</f>
        <v>2.1411940298507463E-2</v>
      </c>
    </row>
    <row r="8" spans="1:12" x14ac:dyDescent="0.25">
      <c r="A8" t="s">
        <v>8</v>
      </c>
      <c r="B8" t="s">
        <v>45</v>
      </c>
      <c r="C8" t="s">
        <v>85</v>
      </c>
      <c r="D8" t="str">
        <f>VLOOKUP(C8,cc!$A$2:$B$28,2,FALSE)</f>
        <v>AT</v>
      </c>
      <c r="E8" t="str">
        <f t="shared" ref="E8:E71" si="0">CONCATENATE(D8,A8)</f>
        <v>ATGRP</v>
      </c>
      <c r="F8">
        <v>36</v>
      </c>
      <c r="G8">
        <v>5</v>
      </c>
      <c r="H8">
        <v>11</v>
      </c>
      <c r="I8" s="5">
        <f t="shared" ref="I8:I13" si="1">F8/$J$2</f>
        <v>107.46268656716417</v>
      </c>
      <c r="J8" s="5">
        <f t="shared" ref="J8:J13" si="2">G8/$K$2</f>
        <v>25</v>
      </c>
      <c r="K8" s="5">
        <f t="shared" ref="K8:K13" si="3">H8/$L$2</f>
        <v>22</v>
      </c>
      <c r="L8" s="5">
        <f t="shared" ref="L8:L71" si="4">(I8+J8+K8)*0.0001</f>
        <v>1.5446268656716416E-2</v>
      </c>
    </row>
    <row r="9" spans="1:12" x14ac:dyDescent="0.25">
      <c r="A9" t="s">
        <v>9</v>
      </c>
      <c r="B9" t="s">
        <v>46</v>
      </c>
      <c r="C9" t="s">
        <v>85</v>
      </c>
      <c r="D9" t="str">
        <f>VLOOKUP(C9,cc!$A$2:$B$28,2,FALSE)</f>
        <v>AT</v>
      </c>
      <c r="E9" t="str">
        <f t="shared" si="0"/>
        <v>ATMAI</v>
      </c>
      <c r="F9">
        <v>115</v>
      </c>
      <c r="G9">
        <v>19</v>
      </c>
      <c r="H9">
        <v>39</v>
      </c>
      <c r="I9" s="5">
        <f t="shared" si="1"/>
        <v>343.28358208955223</v>
      </c>
      <c r="J9" s="5">
        <f t="shared" si="2"/>
        <v>95</v>
      </c>
      <c r="K9" s="5">
        <f t="shared" si="3"/>
        <v>78</v>
      </c>
      <c r="L9" s="5">
        <f t="shared" si="4"/>
        <v>5.1628358208955227E-2</v>
      </c>
    </row>
    <row r="10" spans="1:12" x14ac:dyDescent="0.25">
      <c r="A10" t="s">
        <v>10</v>
      </c>
      <c r="B10" t="s">
        <v>47</v>
      </c>
      <c r="C10" t="s">
        <v>85</v>
      </c>
      <c r="D10" t="str">
        <f>VLOOKUP(C10,cc!$A$2:$B$28,2,FALSE)</f>
        <v>AT</v>
      </c>
      <c r="E10" t="str">
        <f t="shared" si="0"/>
        <v>ATMOS</v>
      </c>
      <c r="F10">
        <v>28</v>
      </c>
      <c r="G10">
        <v>4</v>
      </c>
      <c r="H10">
        <v>8</v>
      </c>
      <c r="I10" s="5">
        <f t="shared" si="1"/>
        <v>83.582089552238799</v>
      </c>
      <c r="J10" s="5">
        <f t="shared" si="2"/>
        <v>20</v>
      </c>
      <c r="K10" s="5">
        <f t="shared" si="3"/>
        <v>16</v>
      </c>
      <c r="L10" s="5">
        <f t="shared" si="4"/>
        <v>1.1958208955223881E-2</v>
      </c>
    </row>
    <row r="11" spans="1:12" x14ac:dyDescent="0.25">
      <c r="A11" t="s">
        <v>11</v>
      </c>
      <c r="B11" t="s">
        <v>49</v>
      </c>
      <c r="C11" t="s">
        <v>85</v>
      </c>
      <c r="D11" t="str">
        <f>VLOOKUP(C11,cc!$A$2:$B$28,2,FALSE)</f>
        <v>AT</v>
      </c>
      <c r="E11" t="str">
        <f t="shared" si="0"/>
        <v>ATRAP</v>
      </c>
      <c r="F11">
        <v>128</v>
      </c>
      <c r="G11">
        <v>11</v>
      </c>
      <c r="H11">
        <v>28</v>
      </c>
      <c r="I11" s="5">
        <f t="shared" si="1"/>
        <v>382.08955223880594</v>
      </c>
      <c r="J11" s="5">
        <f t="shared" si="2"/>
        <v>55</v>
      </c>
      <c r="K11" s="5">
        <f t="shared" si="3"/>
        <v>56</v>
      </c>
      <c r="L11" s="5">
        <f t="shared" si="4"/>
        <v>4.9308955223880596E-2</v>
      </c>
    </row>
    <row r="12" spans="1:12" x14ac:dyDescent="0.25">
      <c r="A12" t="s">
        <v>12</v>
      </c>
      <c r="B12" t="s">
        <v>50</v>
      </c>
      <c r="C12" t="s">
        <v>85</v>
      </c>
      <c r="D12" t="str">
        <f>VLOOKUP(C12,cc!$A$2:$B$28,2,FALSE)</f>
        <v>AT</v>
      </c>
      <c r="E12" t="str">
        <f t="shared" si="0"/>
        <v>ATRYE</v>
      </c>
      <c r="F12">
        <v>59</v>
      </c>
      <c r="G12">
        <v>4</v>
      </c>
      <c r="H12">
        <v>9</v>
      </c>
      <c r="I12" s="5">
        <f t="shared" si="1"/>
        <v>176.11940298507463</v>
      </c>
      <c r="J12" s="5">
        <f t="shared" si="2"/>
        <v>20</v>
      </c>
      <c r="K12" s="5">
        <f t="shared" si="3"/>
        <v>18</v>
      </c>
      <c r="L12" s="5">
        <f t="shared" si="4"/>
        <v>2.1411940298507463E-2</v>
      </c>
    </row>
    <row r="13" spans="1:12" x14ac:dyDescent="0.25">
      <c r="A13" t="s">
        <v>13</v>
      </c>
      <c r="B13" t="s">
        <v>51</v>
      </c>
      <c r="C13" t="s">
        <v>85</v>
      </c>
      <c r="D13" t="str">
        <f>VLOOKUP(C13,cc!$A$2:$B$28,2,FALSE)</f>
        <v>AT</v>
      </c>
      <c r="E13" t="str">
        <f t="shared" si="0"/>
        <v>ATSOY</v>
      </c>
      <c r="F13">
        <v>26</v>
      </c>
      <c r="G13">
        <v>12</v>
      </c>
      <c r="H13">
        <v>28</v>
      </c>
      <c r="I13" s="5">
        <f t="shared" si="1"/>
        <v>77.611940298507463</v>
      </c>
      <c r="J13" s="5">
        <f t="shared" si="2"/>
        <v>60</v>
      </c>
      <c r="K13" s="5">
        <f t="shared" si="3"/>
        <v>56</v>
      </c>
      <c r="L13" s="5">
        <f t="shared" si="4"/>
        <v>1.9361194029850749E-2</v>
      </c>
    </row>
    <row r="14" spans="1:12" x14ac:dyDescent="0.25">
      <c r="A14" t="s">
        <v>14</v>
      </c>
      <c r="B14" t="s">
        <v>52</v>
      </c>
      <c r="C14" t="s">
        <v>85</v>
      </c>
      <c r="D14" t="str">
        <f>VLOOKUP(C14,cc!$A$2:$B$28,2,FALSE)</f>
        <v>AT</v>
      </c>
      <c r="E14" t="str">
        <f t="shared" si="0"/>
        <v>ATSUG</v>
      </c>
      <c r="F14">
        <v>88</v>
      </c>
      <c r="G14">
        <v>20</v>
      </c>
      <c r="H14">
        <v>49</v>
      </c>
      <c r="I14" s="5">
        <f t="shared" ref="I14:I77" si="5">F14/$J$2</f>
        <v>262.68656716417911</v>
      </c>
      <c r="J14" s="5">
        <f t="shared" ref="J14:J77" si="6">G14/$K$2</f>
        <v>100</v>
      </c>
      <c r="K14" s="5">
        <f t="shared" ref="K14:K77" si="7">H14/$L$2</f>
        <v>98</v>
      </c>
      <c r="L14" s="5">
        <f t="shared" si="4"/>
        <v>4.6068656716417911E-2</v>
      </c>
    </row>
    <row r="15" spans="1:12" x14ac:dyDescent="0.25">
      <c r="A15" t="s">
        <v>125</v>
      </c>
      <c r="B15" t="s">
        <v>126</v>
      </c>
      <c r="C15" t="s">
        <v>85</v>
      </c>
      <c r="D15" t="str">
        <f>VLOOKUP(C15,cc!$A$2:$B$28,2,FALSE)</f>
        <v>AT</v>
      </c>
      <c r="E15" t="str">
        <f t="shared" si="0"/>
        <v>ATTRT</v>
      </c>
      <c r="F15">
        <v>59</v>
      </c>
      <c r="G15">
        <v>4</v>
      </c>
      <c r="H15">
        <v>9</v>
      </c>
      <c r="I15" s="5">
        <f t="shared" si="5"/>
        <v>176.11940298507463</v>
      </c>
      <c r="J15" s="5">
        <f t="shared" si="6"/>
        <v>20</v>
      </c>
      <c r="K15" s="5">
        <f t="shared" si="7"/>
        <v>18</v>
      </c>
      <c r="L15" s="5">
        <f t="shared" si="4"/>
        <v>2.1411940298507463E-2</v>
      </c>
    </row>
    <row r="16" spans="1:12" x14ac:dyDescent="0.25">
      <c r="A16" t="s">
        <v>15</v>
      </c>
      <c r="B16" t="s">
        <v>114</v>
      </c>
      <c r="C16" t="s">
        <v>85</v>
      </c>
      <c r="D16" t="str">
        <f>VLOOKUP(C16,cc!$A$2:$B$28,2,FALSE)</f>
        <v>AT</v>
      </c>
      <c r="E16" t="str">
        <f t="shared" si="0"/>
        <v>ATWHE</v>
      </c>
      <c r="F16">
        <v>118</v>
      </c>
      <c r="G16">
        <v>4</v>
      </c>
      <c r="H16">
        <v>12</v>
      </c>
      <c r="I16" s="5">
        <f t="shared" si="5"/>
        <v>352.23880597014926</v>
      </c>
      <c r="J16" s="5">
        <f t="shared" si="6"/>
        <v>20</v>
      </c>
      <c r="K16" s="5">
        <f t="shared" si="7"/>
        <v>24</v>
      </c>
      <c r="L16" s="5">
        <f t="shared" si="4"/>
        <v>3.9623880597014931E-2</v>
      </c>
    </row>
    <row r="17" spans="1:12" x14ac:dyDescent="0.25">
      <c r="A17" t="s">
        <v>7</v>
      </c>
      <c r="B17" t="s">
        <v>44</v>
      </c>
      <c r="C17" t="s">
        <v>86</v>
      </c>
      <c r="D17" t="str">
        <f>VLOOKUP(C17,cc!$A$2:$B$28,2,FALSE)</f>
        <v>BE</v>
      </c>
      <c r="E17" t="str">
        <f t="shared" si="0"/>
        <v>BEBRL</v>
      </c>
      <c r="F17">
        <v>130</v>
      </c>
      <c r="G17">
        <v>2</v>
      </c>
      <c r="H17">
        <v>22</v>
      </c>
      <c r="I17" s="5">
        <f t="shared" si="5"/>
        <v>388.05970149253727</v>
      </c>
      <c r="J17" s="5">
        <f t="shared" si="6"/>
        <v>10</v>
      </c>
      <c r="K17" s="5">
        <f t="shared" si="7"/>
        <v>44</v>
      </c>
      <c r="L17" s="5">
        <f t="shared" si="4"/>
        <v>4.4205970149253732E-2</v>
      </c>
    </row>
    <row r="18" spans="1:12" x14ac:dyDescent="0.25">
      <c r="A18" t="s">
        <v>16</v>
      </c>
      <c r="B18" t="s">
        <v>54</v>
      </c>
      <c r="C18" t="s">
        <v>86</v>
      </c>
      <c r="D18" t="str">
        <f>VLOOKUP(C18,cc!$A$2:$B$28,2,FALSE)</f>
        <v>BE</v>
      </c>
      <c r="E18" t="str">
        <f t="shared" si="0"/>
        <v>BEFLX</v>
      </c>
      <c r="F18">
        <v>181</v>
      </c>
      <c r="G18">
        <v>9</v>
      </c>
      <c r="H18">
        <v>86</v>
      </c>
      <c r="I18" s="5">
        <f t="shared" si="5"/>
        <v>540.29850746268653</v>
      </c>
      <c r="J18" s="5">
        <f t="shared" si="6"/>
        <v>45</v>
      </c>
      <c r="K18" s="5">
        <f t="shared" si="7"/>
        <v>172</v>
      </c>
      <c r="L18" s="5">
        <f t="shared" si="4"/>
        <v>7.5729850746268659E-2</v>
      </c>
    </row>
    <row r="19" spans="1:12" x14ac:dyDescent="0.25">
      <c r="A19" t="s">
        <v>17</v>
      </c>
      <c r="B19" t="s">
        <v>55</v>
      </c>
      <c r="C19" t="s">
        <v>86</v>
      </c>
      <c r="D19" t="str">
        <f>VLOOKUP(C19,cc!$A$2:$B$28,2,FALSE)</f>
        <v>BE</v>
      </c>
      <c r="E19" t="str">
        <f t="shared" si="0"/>
        <v>BELET</v>
      </c>
      <c r="F19">
        <v>132</v>
      </c>
      <c r="G19">
        <v>17</v>
      </c>
      <c r="H19">
        <v>64</v>
      </c>
      <c r="I19" s="5">
        <f t="shared" si="5"/>
        <v>394.02985074626861</v>
      </c>
      <c r="J19" s="5">
        <f t="shared" si="6"/>
        <v>85</v>
      </c>
      <c r="K19" s="5">
        <f t="shared" si="7"/>
        <v>128</v>
      </c>
      <c r="L19" s="5">
        <f t="shared" si="4"/>
        <v>6.0702985074626861E-2</v>
      </c>
    </row>
    <row r="20" spans="1:12" x14ac:dyDescent="0.25">
      <c r="A20" t="s">
        <v>9</v>
      </c>
      <c r="B20" t="s">
        <v>46</v>
      </c>
      <c r="C20" t="s">
        <v>86</v>
      </c>
      <c r="D20" t="str">
        <f>VLOOKUP(C20,cc!$A$2:$B$28,2,FALSE)</f>
        <v>BE</v>
      </c>
      <c r="E20" t="str">
        <f t="shared" si="0"/>
        <v>BEMAI</v>
      </c>
      <c r="F20">
        <v>53</v>
      </c>
      <c r="G20">
        <v>7</v>
      </c>
      <c r="H20">
        <v>19</v>
      </c>
      <c r="I20" s="5">
        <f t="shared" si="5"/>
        <v>158.20895522388059</v>
      </c>
      <c r="J20" s="5">
        <f t="shared" si="6"/>
        <v>35</v>
      </c>
      <c r="K20" s="5">
        <f t="shared" si="7"/>
        <v>38</v>
      </c>
      <c r="L20" s="5">
        <f t="shared" si="4"/>
        <v>2.3120895522388059E-2</v>
      </c>
    </row>
    <row r="21" spans="1:12" x14ac:dyDescent="0.25">
      <c r="A21" t="s">
        <v>18</v>
      </c>
      <c r="B21" t="s">
        <v>56</v>
      </c>
      <c r="C21" t="s">
        <v>86</v>
      </c>
      <c r="D21" t="str">
        <f>VLOOKUP(C21,cc!$A$2:$B$28,2,FALSE)</f>
        <v>BE</v>
      </c>
      <c r="E21" t="str">
        <f t="shared" si="0"/>
        <v>BEPEA</v>
      </c>
      <c r="F21">
        <v>135</v>
      </c>
      <c r="G21">
        <v>17</v>
      </c>
      <c r="H21">
        <v>65</v>
      </c>
      <c r="I21" s="5">
        <f t="shared" si="5"/>
        <v>402.98507462686564</v>
      </c>
      <c r="J21" s="5">
        <f t="shared" si="6"/>
        <v>85</v>
      </c>
      <c r="K21" s="5">
        <f t="shared" si="7"/>
        <v>130</v>
      </c>
      <c r="L21" s="5">
        <f t="shared" si="4"/>
        <v>6.1798507462686565E-2</v>
      </c>
    </row>
    <row r="22" spans="1:12" x14ac:dyDescent="0.25">
      <c r="A22" t="s">
        <v>19</v>
      </c>
      <c r="B22" t="s">
        <v>57</v>
      </c>
      <c r="C22" t="s">
        <v>86</v>
      </c>
      <c r="D22" t="str">
        <f>VLOOKUP(C22,cc!$A$2:$B$28,2,FALSE)</f>
        <v>BE</v>
      </c>
      <c r="E22" t="str">
        <f t="shared" si="0"/>
        <v>BEPOT</v>
      </c>
      <c r="F22">
        <v>183</v>
      </c>
      <c r="G22">
        <v>15</v>
      </c>
      <c r="H22">
        <v>133</v>
      </c>
      <c r="I22" s="5">
        <f t="shared" si="5"/>
        <v>546.26865671641792</v>
      </c>
      <c r="J22" s="5">
        <f t="shared" si="6"/>
        <v>75</v>
      </c>
      <c r="K22" s="5">
        <f t="shared" si="7"/>
        <v>266</v>
      </c>
      <c r="L22" s="5">
        <f t="shared" si="4"/>
        <v>8.87268656716418E-2</v>
      </c>
    </row>
    <row r="23" spans="1:12" x14ac:dyDescent="0.25">
      <c r="A23" t="s">
        <v>11</v>
      </c>
      <c r="B23" t="s">
        <v>49</v>
      </c>
      <c r="C23" t="s">
        <v>86</v>
      </c>
      <c r="D23" t="str">
        <f>VLOOKUP(C23,cc!$A$2:$B$28,2,FALSE)</f>
        <v>BE</v>
      </c>
      <c r="E23" t="str">
        <f t="shared" si="0"/>
        <v>BERAP</v>
      </c>
      <c r="F23">
        <v>159</v>
      </c>
      <c r="G23">
        <v>11</v>
      </c>
      <c r="H23">
        <v>84</v>
      </c>
      <c r="I23" s="5">
        <f t="shared" si="5"/>
        <v>474.62686567164178</v>
      </c>
      <c r="J23" s="5">
        <f t="shared" si="6"/>
        <v>55</v>
      </c>
      <c r="K23" s="5">
        <f t="shared" si="7"/>
        <v>168</v>
      </c>
      <c r="L23" s="5">
        <f t="shared" si="4"/>
        <v>6.9762686567164181E-2</v>
      </c>
    </row>
    <row r="24" spans="1:12" x14ac:dyDescent="0.25">
      <c r="A24" t="s">
        <v>14</v>
      </c>
      <c r="B24" t="s">
        <v>52</v>
      </c>
      <c r="C24" t="s">
        <v>86</v>
      </c>
      <c r="D24" t="str">
        <f>VLOOKUP(C24,cc!$A$2:$B$28,2,FALSE)</f>
        <v>BE</v>
      </c>
      <c r="E24" t="str">
        <f t="shared" si="0"/>
        <v>BESUG</v>
      </c>
      <c r="F24">
        <v>124</v>
      </c>
      <c r="G24">
        <v>12</v>
      </c>
      <c r="H24">
        <v>105</v>
      </c>
      <c r="I24" s="5">
        <f t="shared" si="5"/>
        <v>370.14925373134326</v>
      </c>
      <c r="J24" s="5">
        <f t="shared" si="6"/>
        <v>60</v>
      </c>
      <c r="K24" s="5">
        <f t="shared" si="7"/>
        <v>210</v>
      </c>
      <c r="L24" s="5">
        <f t="shared" si="4"/>
        <v>6.4014925373134329E-2</v>
      </c>
    </row>
    <row r="25" spans="1:12" x14ac:dyDescent="0.25">
      <c r="A25" t="s">
        <v>15</v>
      </c>
      <c r="B25" t="s">
        <v>114</v>
      </c>
      <c r="C25" t="s">
        <v>86</v>
      </c>
      <c r="D25" t="str">
        <f>VLOOKUP(C25,cc!$A$2:$B$28,2,FALSE)</f>
        <v>BE</v>
      </c>
      <c r="E25" t="str">
        <f t="shared" si="0"/>
        <v>BEWHE</v>
      </c>
      <c r="F25">
        <v>182</v>
      </c>
      <c r="G25">
        <v>3</v>
      </c>
      <c r="H25">
        <v>19</v>
      </c>
      <c r="I25" s="5">
        <f t="shared" si="5"/>
        <v>543.28358208955217</v>
      </c>
      <c r="J25" s="5">
        <f t="shared" si="6"/>
        <v>15</v>
      </c>
      <c r="K25" s="5">
        <f t="shared" si="7"/>
        <v>38</v>
      </c>
      <c r="L25" s="5">
        <f t="shared" si="4"/>
        <v>5.9628358208955221E-2</v>
      </c>
    </row>
    <row r="26" spans="1:12" x14ac:dyDescent="0.25">
      <c r="A26" t="s">
        <v>125</v>
      </c>
      <c r="B26" t="s">
        <v>126</v>
      </c>
      <c r="C26" t="s">
        <v>86</v>
      </c>
      <c r="D26" t="str">
        <f>VLOOKUP(C26,cc!$A$2:$B$28,2,FALSE)</f>
        <v>BE</v>
      </c>
      <c r="E26" t="str">
        <f t="shared" si="0"/>
        <v>BETRT</v>
      </c>
      <c r="F26">
        <v>134</v>
      </c>
      <c r="G26">
        <v>2</v>
      </c>
      <c r="H26">
        <v>23</v>
      </c>
      <c r="I26" s="5">
        <f t="shared" si="5"/>
        <v>400</v>
      </c>
      <c r="J26" s="5">
        <f t="shared" si="6"/>
        <v>10</v>
      </c>
      <c r="K26" s="5">
        <f t="shared" si="7"/>
        <v>46</v>
      </c>
      <c r="L26" s="5">
        <f t="shared" si="4"/>
        <v>4.5600000000000002E-2</v>
      </c>
    </row>
    <row r="27" spans="1:12" x14ac:dyDescent="0.25">
      <c r="A27" t="s">
        <v>7</v>
      </c>
      <c r="B27" t="s">
        <v>44</v>
      </c>
      <c r="C27" t="s">
        <v>87</v>
      </c>
      <c r="D27" t="str">
        <f>VLOOKUP(C27,cc!$A$2:$B$28,2,FALSE)</f>
        <v>BG</v>
      </c>
      <c r="E27" t="str">
        <f t="shared" si="0"/>
        <v>BGBRL</v>
      </c>
      <c r="F27">
        <v>15</v>
      </c>
      <c r="G27">
        <v>5</v>
      </c>
      <c r="H27">
        <v>1</v>
      </c>
      <c r="I27" s="5">
        <f t="shared" si="5"/>
        <v>44.776119402985074</v>
      </c>
      <c r="J27" s="5">
        <f t="shared" si="6"/>
        <v>25</v>
      </c>
      <c r="K27" s="5">
        <f t="shared" si="7"/>
        <v>2</v>
      </c>
      <c r="L27" s="5">
        <f t="shared" si="4"/>
        <v>7.1776119402985079E-3</v>
      </c>
    </row>
    <row r="28" spans="1:12" x14ac:dyDescent="0.25">
      <c r="A28" t="s">
        <v>8</v>
      </c>
      <c r="B28" t="s">
        <v>45</v>
      </c>
      <c r="C28" t="s">
        <v>87</v>
      </c>
      <c r="D28" t="str">
        <f>VLOOKUP(C28,cc!$A$2:$B$28,2,FALSE)</f>
        <v>BG</v>
      </c>
      <c r="E28" t="str">
        <f t="shared" si="0"/>
        <v>BGGRP</v>
      </c>
      <c r="F28">
        <v>15</v>
      </c>
      <c r="G28">
        <v>5</v>
      </c>
      <c r="H28">
        <v>1</v>
      </c>
      <c r="I28" s="5">
        <f t="shared" si="5"/>
        <v>44.776119402985074</v>
      </c>
      <c r="J28" s="5">
        <f t="shared" si="6"/>
        <v>25</v>
      </c>
      <c r="K28" s="5">
        <f t="shared" si="7"/>
        <v>2</v>
      </c>
      <c r="L28" s="5">
        <f t="shared" si="4"/>
        <v>7.1776119402985079E-3</v>
      </c>
    </row>
    <row r="29" spans="1:12" x14ac:dyDescent="0.25">
      <c r="A29" t="s">
        <v>9</v>
      </c>
      <c r="B29" t="s">
        <v>46</v>
      </c>
      <c r="C29" t="s">
        <v>87</v>
      </c>
      <c r="D29" t="str">
        <f>VLOOKUP(C29,cc!$A$2:$B$28,2,FALSE)</f>
        <v>BG</v>
      </c>
      <c r="E29" t="str">
        <f t="shared" si="0"/>
        <v>BGMAI</v>
      </c>
      <c r="F29">
        <v>125</v>
      </c>
      <c r="G29">
        <v>7</v>
      </c>
      <c r="H29">
        <v>12</v>
      </c>
      <c r="I29" s="5">
        <f t="shared" si="5"/>
        <v>373.13432835820896</v>
      </c>
      <c r="J29" s="5">
        <f t="shared" si="6"/>
        <v>35</v>
      </c>
      <c r="K29" s="5">
        <f t="shared" si="7"/>
        <v>24</v>
      </c>
      <c r="L29" s="5">
        <f t="shared" si="4"/>
        <v>4.3213432835820902E-2</v>
      </c>
    </row>
    <row r="30" spans="1:12" x14ac:dyDescent="0.25">
      <c r="A30" t="s">
        <v>20</v>
      </c>
      <c r="B30" t="s">
        <v>58</v>
      </c>
      <c r="C30" t="s">
        <v>87</v>
      </c>
      <c r="D30" t="str">
        <f>VLOOKUP(C30,cc!$A$2:$B$28,2,FALSE)</f>
        <v>BG</v>
      </c>
      <c r="E30" t="str">
        <f t="shared" si="0"/>
        <v>BGOTP</v>
      </c>
      <c r="F30">
        <v>4</v>
      </c>
      <c r="G30">
        <v>2</v>
      </c>
      <c r="H30">
        <v>2</v>
      </c>
      <c r="I30" s="5">
        <f t="shared" si="5"/>
        <v>11.940298507462686</v>
      </c>
      <c r="J30" s="5">
        <f t="shared" si="6"/>
        <v>10</v>
      </c>
      <c r="K30" s="5">
        <f t="shared" si="7"/>
        <v>4</v>
      </c>
      <c r="L30" s="5">
        <f t="shared" si="4"/>
        <v>2.5940298507462689E-3</v>
      </c>
    </row>
    <row r="31" spans="1:12" x14ac:dyDescent="0.25">
      <c r="A31" t="s">
        <v>18</v>
      </c>
      <c r="B31" t="s">
        <v>59</v>
      </c>
      <c r="C31" t="s">
        <v>87</v>
      </c>
      <c r="D31" t="str">
        <f>VLOOKUP(C31,cc!$A$2:$B$28,2,FALSE)</f>
        <v>BG</v>
      </c>
      <c r="E31" t="str">
        <f t="shared" si="0"/>
        <v>BGPEA</v>
      </c>
      <c r="F31">
        <v>10</v>
      </c>
      <c r="G31">
        <v>4</v>
      </c>
      <c r="H31">
        <v>5</v>
      </c>
      <c r="I31" s="5">
        <f t="shared" si="5"/>
        <v>29.850746268656714</v>
      </c>
      <c r="J31" s="5">
        <f t="shared" si="6"/>
        <v>20</v>
      </c>
      <c r="K31" s="5">
        <f t="shared" si="7"/>
        <v>10</v>
      </c>
      <c r="L31" s="5">
        <f t="shared" si="4"/>
        <v>5.9850746268656713E-3</v>
      </c>
    </row>
    <row r="32" spans="1:12" x14ac:dyDescent="0.25">
      <c r="A32" t="s">
        <v>19</v>
      </c>
      <c r="B32" t="s">
        <v>57</v>
      </c>
      <c r="C32" t="s">
        <v>87</v>
      </c>
      <c r="D32" t="str">
        <f>VLOOKUP(C32,cc!$A$2:$B$28,2,FALSE)</f>
        <v>BG</v>
      </c>
      <c r="E32" t="str">
        <f t="shared" si="0"/>
        <v>BGPOT</v>
      </c>
      <c r="F32">
        <v>278</v>
      </c>
      <c r="G32">
        <v>82</v>
      </c>
      <c r="H32">
        <v>139</v>
      </c>
      <c r="I32" s="5">
        <f t="shared" si="5"/>
        <v>829.85074626865662</v>
      </c>
      <c r="J32" s="5">
        <f t="shared" si="6"/>
        <v>410</v>
      </c>
      <c r="K32" s="5">
        <f t="shared" si="7"/>
        <v>278</v>
      </c>
      <c r="L32" s="5">
        <f t="shared" si="4"/>
        <v>0.15178507462686566</v>
      </c>
    </row>
    <row r="33" spans="1:12" x14ac:dyDescent="0.25">
      <c r="A33" t="s">
        <v>11</v>
      </c>
      <c r="B33" t="s">
        <v>49</v>
      </c>
      <c r="C33" t="s">
        <v>87</v>
      </c>
      <c r="D33" t="str">
        <f>VLOOKUP(C33,cc!$A$2:$B$28,2,FALSE)</f>
        <v>BG</v>
      </c>
      <c r="E33" t="str">
        <f t="shared" si="0"/>
        <v>BGRAP</v>
      </c>
      <c r="F33">
        <v>110</v>
      </c>
      <c r="G33">
        <v>11</v>
      </c>
      <c r="H33">
        <v>14</v>
      </c>
      <c r="I33" s="5">
        <f t="shared" si="5"/>
        <v>328.35820895522386</v>
      </c>
      <c r="J33" s="5">
        <f t="shared" si="6"/>
        <v>55</v>
      </c>
      <c r="K33" s="5">
        <f t="shared" si="7"/>
        <v>28</v>
      </c>
      <c r="L33" s="5">
        <f t="shared" si="4"/>
        <v>4.1135820895522389E-2</v>
      </c>
    </row>
    <row r="34" spans="1:12" x14ac:dyDescent="0.25">
      <c r="A34" t="s">
        <v>21</v>
      </c>
      <c r="B34" t="s">
        <v>60</v>
      </c>
      <c r="C34" t="s">
        <v>87</v>
      </c>
      <c r="D34" t="str">
        <f>VLOOKUP(C34,cc!$A$2:$B$28,2,FALSE)</f>
        <v>BG</v>
      </c>
      <c r="E34" t="str">
        <f t="shared" si="0"/>
        <v>BGSUN</v>
      </c>
      <c r="F34">
        <v>20</v>
      </c>
      <c r="G34">
        <v>5</v>
      </c>
      <c r="H34">
        <v>1</v>
      </c>
      <c r="I34" s="5">
        <f t="shared" si="5"/>
        <v>59.701492537313428</v>
      </c>
      <c r="J34" s="5">
        <f t="shared" si="6"/>
        <v>25</v>
      </c>
      <c r="K34" s="5">
        <f t="shared" si="7"/>
        <v>2</v>
      </c>
      <c r="L34" s="5">
        <f t="shared" si="4"/>
        <v>8.6701492537313435E-3</v>
      </c>
    </row>
    <row r="35" spans="1:12" x14ac:dyDescent="0.25">
      <c r="A35" t="s">
        <v>15</v>
      </c>
      <c r="B35" t="s">
        <v>114</v>
      </c>
      <c r="C35" t="s">
        <v>87</v>
      </c>
      <c r="D35" t="str">
        <f>VLOOKUP(C35,cc!$A$2:$B$28,2,FALSE)</f>
        <v>BG</v>
      </c>
      <c r="E35" t="str">
        <f t="shared" si="0"/>
        <v>BGWHE</v>
      </c>
      <c r="F35">
        <v>119</v>
      </c>
      <c r="G35">
        <v>10</v>
      </c>
      <c r="H35">
        <v>7</v>
      </c>
      <c r="I35" s="5">
        <f t="shared" si="5"/>
        <v>355.2238805970149</v>
      </c>
      <c r="J35" s="5">
        <f t="shared" si="6"/>
        <v>50</v>
      </c>
      <c r="K35" s="5">
        <f t="shared" si="7"/>
        <v>14</v>
      </c>
      <c r="L35" s="5">
        <f t="shared" si="4"/>
        <v>4.1922388059701492E-2</v>
      </c>
    </row>
    <row r="36" spans="1:12" x14ac:dyDescent="0.25">
      <c r="A36" t="s">
        <v>125</v>
      </c>
      <c r="B36" t="s">
        <v>126</v>
      </c>
      <c r="C36" t="s">
        <v>87</v>
      </c>
      <c r="D36" t="str">
        <f>VLOOKUP(C36,cc!$A$2:$B$28,2,FALSE)</f>
        <v>BG</v>
      </c>
      <c r="E36" t="str">
        <f t="shared" si="0"/>
        <v>BGTRT</v>
      </c>
      <c r="F36">
        <v>16</v>
      </c>
      <c r="G36">
        <v>5</v>
      </c>
      <c r="H36">
        <v>1</v>
      </c>
      <c r="I36" s="5">
        <f t="shared" si="5"/>
        <v>47.761194029850742</v>
      </c>
      <c r="J36" s="5">
        <f t="shared" si="6"/>
        <v>25</v>
      </c>
      <c r="K36" s="5">
        <f t="shared" si="7"/>
        <v>2</v>
      </c>
      <c r="L36" s="5">
        <f t="shared" si="4"/>
        <v>7.4761194029850748E-3</v>
      </c>
    </row>
    <row r="37" spans="1:12" x14ac:dyDescent="0.25">
      <c r="A37" t="s">
        <v>7</v>
      </c>
      <c r="B37" t="s">
        <v>44</v>
      </c>
      <c r="C37" t="s">
        <v>88</v>
      </c>
      <c r="D37" t="str">
        <f>VLOOKUP(C37,cc!$A$2:$B$28,2,FALSE)</f>
        <v>HR</v>
      </c>
      <c r="E37" t="str">
        <f t="shared" si="0"/>
        <v>HRBRL</v>
      </c>
      <c r="F37">
        <v>66</v>
      </c>
      <c r="G37">
        <v>5</v>
      </c>
      <c r="H37">
        <v>12</v>
      </c>
      <c r="I37" s="5">
        <f t="shared" si="5"/>
        <v>197.0149253731343</v>
      </c>
      <c r="J37" s="5">
        <f t="shared" si="6"/>
        <v>25</v>
      </c>
      <c r="K37" s="5">
        <f t="shared" si="7"/>
        <v>24</v>
      </c>
      <c r="L37" s="5">
        <f t="shared" si="4"/>
        <v>2.4601492537313432E-2</v>
      </c>
    </row>
    <row r="38" spans="1:12" x14ac:dyDescent="0.25">
      <c r="A38" t="s">
        <v>22</v>
      </c>
      <c r="B38" t="s">
        <v>61</v>
      </c>
      <c r="C38" t="s">
        <v>88</v>
      </c>
      <c r="D38" t="str">
        <f>VLOOKUP(C38,cc!$A$2:$B$28,2,FALSE)</f>
        <v>HR</v>
      </c>
      <c r="E38" t="str">
        <f t="shared" si="0"/>
        <v>HRGRE</v>
      </c>
      <c r="F38">
        <v>75</v>
      </c>
      <c r="G38">
        <v>30</v>
      </c>
      <c r="H38">
        <v>56</v>
      </c>
      <c r="I38" s="5">
        <f t="shared" si="5"/>
        <v>223.88059701492537</v>
      </c>
      <c r="J38" s="5">
        <f t="shared" si="6"/>
        <v>150</v>
      </c>
      <c r="K38" s="5">
        <f t="shared" si="7"/>
        <v>112</v>
      </c>
      <c r="L38" s="5">
        <f t="shared" si="4"/>
        <v>4.8588059701492534E-2</v>
      </c>
    </row>
    <row r="39" spans="1:12" x14ac:dyDescent="0.25">
      <c r="A39" t="s">
        <v>8</v>
      </c>
      <c r="B39" t="s">
        <v>45</v>
      </c>
      <c r="C39" t="s">
        <v>88</v>
      </c>
      <c r="D39" t="str">
        <f>VLOOKUP(C39,cc!$A$2:$B$28,2,FALSE)</f>
        <v>HR</v>
      </c>
      <c r="E39" t="str">
        <f t="shared" si="0"/>
        <v>HRGRP</v>
      </c>
      <c r="F39">
        <v>36</v>
      </c>
      <c r="G39">
        <v>16</v>
      </c>
      <c r="H39">
        <v>38</v>
      </c>
      <c r="I39" s="5">
        <f t="shared" si="5"/>
        <v>107.46268656716417</v>
      </c>
      <c r="J39" s="5">
        <f t="shared" si="6"/>
        <v>80</v>
      </c>
      <c r="K39" s="5">
        <f t="shared" si="7"/>
        <v>76</v>
      </c>
      <c r="L39" s="5">
        <f t="shared" si="4"/>
        <v>2.6346268656716416E-2</v>
      </c>
    </row>
    <row r="40" spans="1:12" x14ac:dyDescent="0.25">
      <c r="A40" t="s">
        <v>9</v>
      </c>
      <c r="B40" t="s">
        <v>46</v>
      </c>
      <c r="C40" t="s">
        <v>88</v>
      </c>
      <c r="D40" t="str">
        <f>VLOOKUP(C40,cc!$A$2:$B$28,2,FALSE)</f>
        <v>HR</v>
      </c>
      <c r="E40" t="str">
        <f t="shared" si="0"/>
        <v>HRMAI</v>
      </c>
      <c r="F40">
        <v>135</v>
      </c>
      <c r="G40">
        <v>12</v>
      </c>
      <c r="H40">
        <v>21</v>
      </c>
      <c r="I40" s="5">
        <f t="shared" si="5"/>
        <v>402.98507462686564</v>
      </c>
      <c r="J40" s="5">
        <f t="shared" si="6"/>
        <v>60</v>
      </c>
      <c r="K40" s="5">
        <f t="shared" si="7"/>
        <v>42</v>
      </c>
      <c r="L40" s="5">
        <f t="shared" si="4"/>
        <v>5.0498507462686568E-2</v>
      </c>
    </row>
    <row r="41" spans="1:12" x14ac:dyDescent="0.25">
      <c r="A41" t="s">
        <v>23</v>
      </c>
      <c r="B41" t="s">
        <v>62</v>
      </c>
      <c r="C41" t="s">
        <v>88</v>
      </c>
      <c r="D41" t="str">
        <f>VLOOKUP(C41,cc!$A$2:$B$28,2,FALSE)</f>
        <v>HR</v>
      </c>
      <c r="E41" t="str">
        <f t="shared" si="0"/>
        <v>HROLI</v>
      </c>
      <c r="F41">
        <v>54</v>
      </c>
      <c r="G41">
        <v>16</v>
      </c>
      <c r="H41">
        <v>45</v>
      </c>
      <c r="I41" s="5">
        <f t="shared" si="5"/>
        <v>161.19402985074626</v>
      </c>
      <c r="J41" s="5">
        <f t="shared" si="6"/>
        <v>80</v>
      </c>
      <c r="K41" s="5">
        <f t="shared" si="7"/>
        <v>90</v>
      </c>
      <c r="L41" s="5">
        <f t="shared" si="4"/>
        <v>3.3119402985074625E-2</v>
      </c>
    </row>
    <row r="42" spans="1:12" x14ac:dyDescent="0.25">
      <c r="A42" t="s">
        <v>11</v>
      </c>
      <c r="B42" t="s">
        <v>49</v>
      </c>
      <c r="C42" t="s">
        <v>88</v>
      </c>
      <c r="D42" t="str">
        <f>VLOOKUP(C42,cc!$A$2:$B$28,2,FALSE)</f>
        <v>HR</v>
      </c>
      <c r="E42" t="str">
        <f t="shared" si="0"/>
        <v>HRRAP</v>
      </c>
      <c r="F42">
        <v>132</v>
      </c>
      <c r="G42">
        <v>19</v>
      </c>
      <c r="H42">
        <v>30</v>
      </c>
      <c r="I42" s="5">
        <f t="shared" si="5"/>
        <v>394.02985074626861</v>
      </c>
      <c r="J42" s="5">
        <f t="shared" si="6"/>
        <v>95</v>
      </c>
      <c r="K42" s="5">
        <f t="shared" si="7"/>
        <v>60</v>
      </c>
      <c r="L42" s="5">
        <f t="shared" si="4"/>
        <v>5.4902985074626862E-2</v>
      </c>
    </row>
    <row r="43" spans="1:12" x14ac:dyDescent="0.25">
      <c r="A43" t="s">
        <v>13</v>
      </c>
      <c r="B43" t="s">
        <v>51</v>
      </c>
      <c r="C43" t="s">
        <v>88</v>
      </c>
      <c r="D43" t="str">
        <f>VLOOKUP(C43,cc!$A$2:$B$28,2,FALSE)</f>
        <v>HR</v>
      </c>
      <c r="E43" t="str">
        <f t="shared" si="0"/>
        <v>HRSOY</v>
      </c>
      <c r="F43">
        <v>54</v>
      </c>
      <c r="G43">
        <v>16</v>
      </c>
      <c r="H43">
        <v>44</v>
      </c>
      <c r="I43" s="5">
        <f t="shared" si="5"/>
        <v>161.19402985074626</v>
      </c>
      <c r="J43" s="5">
        <f t="shared" si="6"/>
        <v>80</v>
      </c>
      <c r="K43" s="5">
        <f t="shared" si="7"/>
        <v>88</v>
      </c>
      <c r="L43" s="5">
        <f t="shared" si="4"/>
        <v>3.2919402985074626E-2</v>
      </c>
    </row>
    <row r="44" spans="1:12" x14ac:dyDescent="0.25">
      <c r="A44" t="s">
        <v>21</v>
      </c>
      <c r="B44" t="s">
        <v>60</v>
      </c>
      <c r="C44" t="s">
        <v>88</v>
      </c>
      <c r="D44" t="str">
        <f>VLOOKUP(C44,cc!$A$2:$B$28,2,FALSE)</f>
        <v>HR</v>
      </c>
      <c r="E44" t="str">
        <f t="shared" si="0"/>
        <v>HRSUN</v>
      </c>
      <c r="F44">
        <v>54</v>
      </c>
      <c r="G44">
        <v>16</v>
      </c>
      <c r="H44">
        <v>44</v>
      </c>
      <c r="I44" s="5">
        <f t="shared" si="5"/>
        <v>161.19402985074626</v>
      </c>
      <c r="J44" s="5">
        <f t="shared" si="6"/>
        <v>80</v>
      </c>
      <c r="K44" s="5">
        <f t="shared" si="7"/>
        <v>88</v>
      </c>
      <c r="L44" s="5">
        <f t="shared" si="4"/>
        <v>3.2919402985074626E-2</v>
      </c>
    </row>
    <row r="45" spans="1:12" x14ac:dyDescent="0.25">
      <c r="A45" t="s">
        <v>15</v>
      </c>
      <c r="B45" t="s">
        <v>114</v>
      </c>
      <c r="C45" t="s">
        <v>88</v>
      </c>
      <c r="D45" t="str">
        <f>VLOOKUP(C45,cc!$A$2:$B$28,2,FALSE)</f>
        <v>HR</v>
      </c>
      <c r="E45" t="str">
        <f t="shared" si="0"/>
        <v>HRWHE</v>
      </c>
      <c r="F45">
        <v>123</v>
      </c>
      <c r="G45">
        <v>11</v>
      </c>
      <c r="H45">
        <v>21</v>
      </c>
      <c r="I45" s="5">
        <f t="shared" si="5"/>
        <v>367.16417910447757</v>
      </c>
      <c r="J45" s="5">
        <f t="shared" si="6"/>
        <v>55</v>
      </c>
      <c r="K45" s="5">
        <f t="shared" si="7"/>
        <v>42</v>
      </c>
      <c r="L45" s="5">
        <f t="shared" si="4"/>
        <v>4.641641791044776E-2</v>
      </c>
    </row>
    <row r="46" spans="1:12" x14ac:dyDescent="0.25">
      <c r="A46" t="s">
        <v>125</v>
      </c>
      <c r="B46" t="s">
        <v>126</v>
      </c>
      <c r="C46" t="s">
        <v>88</v>
      </c>
      <c r="D46" t="str">
        <f>VLOOKUP(C46,cc!$A$2:$B$28,2,FALSE)</f>
        <v>HR</v>
      </c>
      <c r="E46" t="str">
        <f t="shared" si="0"/>
        <v>HRTRT</v>
      </c>
      <c r="F46">
        <v>66</v>
      </c>
      <c r="G46">
        <v>5</v>
      </c>
      <c r="H46">
        <v>13</v>
      </c>
      <c r="I46" s="5">
        <f t="shared" si="5"/>
        <v>197.0149253731343</v>
      </c>
      <c r="J46" s="5">
        <f t="shared" si="6"/>
        <v>25</v>
      </c>
      <c r="K46" s="5">
        <f t="shared" si="7"/>
        <v>26</v>
      </c>
      <c r="L46" s="5">
        <f t="shared" si="4"/>
        <v>2.4801492537313431E-2</v>
      </c>
    </row>
    <row r="47" spans="1:12" x14ac:dyDescent="0.25">
      <c r="A47" t="s">
        <v>24</v>
      </c>
      <c r="B47" t="s">
        <v>63</v>
      </c>
      <c r="C47" t="s">
        <v>89</v>
      </c>
      <c r="D47" t="str">
        <f>VLOOKUP(C47,cc!$A$2:$B$28,2,FALSE)</f>
        <v>CY</v>
      </c>
      <c r="E47" t="str">
        <f t="shared" si="0"/>
        <v>CYALM</v>
      </c>
      <c r="F47">
        <v>0</v>
      </c>
      <c r="G47">
        <v>0</v>
      </c>
      <c r="H47">
        <v>0</v>
      </c>
      <c r="I47" s="5">
        <f t="shared" si="5"/>
        <v>0</v>
      </c>
      <c r="J47" s="5">
        <f t="shared" si="6"/>
        <v>0</v>
      </c>
      <c r="K47" s="5">
        <f t="shared" si="7"/>
        <v>0</v>
      </c>
      <c r="L47" s="5">
        <f t="shared" si="4"/>
        <v>0</v>
      </c>
    </row>
    <row r="48" spans="1:12" x14ac:dyDescent="0.25">
      <c r="A48" t="s">
        <v>7</v>
      </c>
      <c r="B48" t="s">
        <v>44</v>
      </c>
      <c r="C48" t="s">
        <v>89</v>
      </c>
      <c r="D48" t="str">
        <f>VLOOKUP(C48,cc!$A$2:$B$28,2,FALSE)</f>
        <v>CY</v>
      </c>
      <c r="E48" t="str">
        <f t="shared" si="0"/>
        <v>CYBRL</v>
      </c>
      <c r="F48">
        <v>50</v>
      </c>
      <c r="G48">
        <v>14</v>
      </c>
      <c r="H48">
        <v>6</v>
      </c>
      <c r="I48" s="5">
        <f t="shared" si="5"/>
        <v>149.25373134328356</v>
      </c>
      <c r="J48" s="5">
        <f t="shared" si="6"/>
        <v>70</v>
      </c>
      <c r="K48" s="5">
        <f t="shared" si="7"/>
        <v>12</v>
      </c>
      <c r="L48" s="5">
        <f t="shared" si="4"/>
        <v>2.3125373134328359E-2</v>
      </c>
    </row>
    <row r="49" spans="1:12" x14ac:dyDescent="0.25">
      <c r="A49" t="s">
        <v>8</v>
      </c>
      <c r="B49" t="s">
        <v>45</v>
      </c>
      <c r="C49" t="s">
        <v>89</v>
      </c>
      <c r="D49" t="str">
        <f>VLOOKUP(C49,cc!$A$2:$B$28,2,FALSE)</f>
        <v>CY</v>
      </c>
      <c r="E49" t="str">
        <f t="shared" si="0"/>
        <v>CYGRP</v>
      </c>
      <c r="F49">
        <v>55</v>
      </c>
      <c r="G49">
        <v>14</v>
      </c>
      <c r="H49">
        <v>6</v>
      </c>
      <c r="I49" s="5">
        <f t="shared" si="5"/>
        <v>164.17910447761193</v>
      </c>
      <c r="J49" s="5">
        <f t="shared" si="6"/>
        <v>70</v>
      </c>
      <c r="K49" s="5">
        <f t="shared" si="7"/>
        <v>12</v>
      </c>
      <c r="L49" s="5">
        <f t="shared" si="4"/>
        <v>2.4617910447761192E-2</v>
      </c>
    </row>
    <row r="50" spans="1:12" x14ac:dyDescent="0.25">
      <c r="A50" t="s">
        <v>25</v>
      </c>
      <c r="B50" t="s">
        <v>64</v>
      </c>
      <c r="C50" t="s">
        <v>89</v>
      </c>
      <c r="D50" t="str">
        <f>VLOOKUP(C50,cc!$A$2:$B$28,2,FALSE)</f>
        <v>CY</v>
      </c>
      <c r="E50" t="str">
        <f t="shared" si="0"/>
        <v>CYLEM</v>
      </c>
      <c r="F50">
        <v>54</v>
      </c>
      <c r="G50">
        <v>14</v>
      </c>
      <c r="H50">
        <v>6</v>
      </c>
      <c r="I50" s="5">
        <f t="shared" si="5"/>
        <v>161.19402985074626</v>
      </c>
      <c r="J50" s="5">
        <f t="shared" si="6"/>
        <v>70</v>
      </c>
      <c r="K50" s="5">
        <f t="shared" si="7"/>
        <v>12</v>
      </c>
      <c r="L50" s="5">
        <f t="shared" si="4"/>
        <v>2.4319402985074626E-2</v>
      </c>
    </row>
    <row r="51" spans="1:12" x14ac:dyDescent="0.25">
      <c r="A51" t="s">
        <v>23</v>
      </c>
      <c r="B51" t="s">
        <v>62</v>
      </c>
      <c r="C51" t="s">
        <v>89</v>
      </c>
      <c r="D51" t="str">
        <f>VLOOKUP(C51,cc!$A$2:$B$28,2,FALSE)</f>
        <v>CY</v>
      </c>
      <c r="E51" t="str">
        <f t="shared" si="0"/>
        <v>CYOLI</v>
      </c>
      <c r="F51">
        <v>222</v>
      </c>
      <c r="G51">
        <v>103</v>
      </c>
      <c r="H51">
        <v>0</v>
      </c>
      <c r="I51" s="5">
        <f t="shared" si="5"/>
        <v>662.68656716417911</v>
      </c>
      <c r="J51" s="5">
        <f t="shared" si="6"/>
        <v>515</v>
      </c>
      <c r="K51" s="5">
        <f t="shared" si="7"/>
        <v>0</v>
      </c>
      <c r="L51" s="5">
        <f t="shared" si="4"/>
        <v>0.11776865671641791</v>
      </c>
    </row>
    <row r="52" spans="1:12" x14ac:dyDescent="0.25">
      <c r="A52" t="s">
        <v>26</v>
      </c>
      <c r="B52" t="s">
        <v>65</v>
      </c>
      <c r="C52" t="s">
        <v>89</v>
      </c>
      <c r="D52" t="str">
        <f>VLOOKUP(C52,cc!$A$2:$B$28,2,FALSE)</f>
        <v>CY</v>
      </c>
      <c r="E52" t="str">
        <f t="shared" si="0"/>
        <v>CYORA</v>
      </c>
      <c r="F52">
        <v>55</v>
      </c>
      <c r="G52">
        <v>14</v>
      </c>
      <c r="H52">
        <v>6</v>
      </c>
      <c r="I52" s="5">
        <f t="shared" si="5"/>
        <v>164.17910447761193</v>
      </c>
      <c r="J52" s="5">
        <f t="shared" si="6"/>
        <v>70</v>
      </c>
      <c r="K52" s="5">
        <f t="shared" si="7"/>
        <v>12</v>
      </c>
      <c r="L52" s="5">
        <f t="shared" si="4"/>
        <v>2.4617910447761192E-2</v>
      </c>
    </row>
    <row r="53" spans="1:12" x14ac:dyDescent="0.25">
      <c r="A53" t="s">
        <v>19</v>
      </c>
      <c r="B53" t="s">
        <v>57</v>
      </c>
      <c r="C53" t="s">
        <v>89</v>
      </c>
      <c r="D53" t="str">
        <f>VLOOKUP(C53,cc!$A$2:$B$28,2,FALSE)</f>
        <v>CY</v>
      </c>
      <c r="E53" t="str">
        <f t="shared" si="0"/>
        <v>CYPOT</v>
      </c>
      <c r="F53">
        <v>297</v>
      </c>
      <c r="G53">
        <v>82</v>
      </c>
      <c r="H53">
        <v>6</v>
      </c>
      <c r="I53" s="5">
        <f t="shared" si="5"/>
        <v>886.56716417910445</v>
      </c>
      <c r="J53" s="5">
        <f t="shared" si="6"/>
        <v>410</v>
      </c>
      <c r="K53" s="5">
        <f t="shared" si="7"/>
        <v>12</v>
      </c>
      <c r="L53" s="5">
        <f t="shared" si="4"/>
        <v>0.13085671641791047</v>
      </c>
    </row>
    <row r="54" spans="1:12" x14ac:dyDescent="0.25">
      <c r="A54" t="s">
        <v>27</v>
      </c>
      <c r="B54" t="s">
        <v>66</v>
      </c>
      <c r="C54" t="s">
        <v>89</v>
      </c>
      <c r="D54" t="str">
        <f>VLOOKUP(C54,cc!$A$2:$B$28,2,FALSE)</f>
        <v>CY</v>
      </c>
      <c r="E54" t="str">
        <f t="shared" si="0"/>
        <v>CYTAN</v>
      </c>
      <c r="F54">
        <v>56</v>
      </c>
      <c r="G54">
        <v>14</v>
      </c>
      <c r="H54">
        <v>6</v>
      </c>
      <c r="I54" s="5">
        <f t="shared" si="5"/>
        <v>167.1641791044776</v>
      </c>
      <c r="J54" s="5">
        <f t="shared" si="6"/>
        <v>70</v>
      </c>
      <c r="K54" s="5">
        <f t="shared" si="7"/>
        <v>12</v>
      </c>
      <c r="L54" s="5">
        <f t="shared" si="4"/>
        <v>2.4916417910447762E-2</v>
      </c>
    </row>
    <row r="55" spans="1:12" x14ac:dyDescent="0.25">
      <c r="A55" t="s">
        <v>15</v>
      </c>
      <c r="B55" t="s">
        <v>114</v>
      </c>
      <c r="C55" t="s">
        <v>89</v>
      </c>
      <c r="D55" t="str">
        <f>VLOOKUP(C55,cc!$A$2:$B$28,2,FALSE)</f>
        <v>CY</v>
      </c>
      <c r="E55" t="str">
        <f t="shared" si="0"/>
        <v>CYWHE</v>
      </c>
      <c r="F55">
        <v>60</v>
      </c>
      <c r="G55">
        <v>11</v>
      </c>
      <c r="H55">
        <v>27</v>
      </c>
      <c r="I55" s="5">
        <f t="shared" si="5"/>
        <v>179.1044776119403</v>
      </c>
      <c r="J55" s="5">
        <f t="shared" si="6"/>
        <v>55</v>
      </c>
      <c r="K55" s="5">
        <f t="shared" si="7"/>
        <v>54</v>
      </c>
      <c r="L55" s="5">
        <f t="shared" si="4"/>
        <v>2.8810447761194031E-2</v>
      </c>
    </row>
    <row r="56" spans="1:12" x14ac:dyDescent="0.25">
      <c r="A56" t="s">
        <v>125</v>
      </c>
      <c r="B56" t="s">
        <v>126</v>
      </c>
      <c r="C56" t="s">
        <v>89</v>
      </c>
      <c r="D56" t="str">
        <f>VLOOKUP(C56,cc!$A$2:$B$28,2,FALSE)</f>
        <v>CY</v>
      </c>
      <c r="E56" t="str">
        <f t="shared" si="0"/>
        <v>CYTRT</v>
      </c>
      <c r="F56">
        <v>50</v>
      </c>
      <c r="G56">
        <v>14</v>
      </c>
      <c r="H56">
        <v>6</v>
      </c>
      <c r="I56" s="5">
        <f t="shared" si="5"/>
        <v>149.25373134328356</v>
      </c>
      <c r="J56" s="5">
        <f t="shared" si="6"/>
        <v>70</v>
      </c>
      <c r="K56" s="5">
        <f t="shared" si="7"/>
        <v>12</v>
      </c>
      <c r="L56" s="5">
        <f t="shared" si="4"/>
        <v>2.3125373134328359E-2</v>
      </c>
    </row>
    <row r="57" spans="1:12" x14ac:dyDescent="0.25">
      <c r="A57" t="s">
        <v>7</v>
      </c>
      <c r="B57" t="s">
        <v>44</v>
      </c>
      <c r="C57" t="s">
        <v>90</v>
      </c>
      <c r="D57" t="str">
        <f>VLOOKUP(C57,cc!$A$2:$B$28,2,FALSE)</f>
        <v>CZ</v>
      </c>
      <c r="E57" t="str">
        <f t="shared" si="0"/>
        <v>CZBRL</v>
      </c>
      <c r="F57">
        <v>95</v>
      </c>
      <c r="G57">
        <v>6</v>
      </c>
      <c r="H57">
        <v>8</v>
      </c>
      <c r="I57" s="5">
        <f t="shared" si="5"/>
        <v>283.58208955223881</v>
      </c>
      <c r="J57" s="5">
        <f t="shared" si="6"/>
        <v>30</v>
      </c>
      <c r="K57" s="5">
        <f t="shared" si="7"/>
        <v>16</v>
      </c>
      <c r="L57" s="5">
        <f t="shared" si="4"/>
        <v>3.2958208955223882E-2</v>
      </c>
    </row>
    <row r="58" spans="1:12" x14ac:dyDescent="0.25">
      <c r="A58" t="s">
        <v>9</v>
      </c>
      <c r="B58" t="s">
        <v>46</v>
      </c>
      <c r="C58" t="s">
        <v>90</v>
      </c>
      <c r="D58" t="str">
        <f>VLOOKUP(C58,cc!$A$2:$B$28,2,FALSE)</f>
        <v>CZ</v>
      </c>
      <c r="E58" t="str">
        <f t="shared" si="0"/>
        <v>CZMAI</v>
      </c>
      <c r="F58">
        <v>175</v>
      </c>
      <c r="G58">
        <v>9</v>
      </c>
      <c r="H58">
        <v>12</v>
      </c>
      <c r="I58" s="5">
        <f t="shared" si="5"/>
        <v>522.38805970149247</v>
      </c>
      <c r="J58" s="5">
        <f t="shared" si="6"/>
        <v>45</v>
      </c>
      <c r="K58" s="5">
        <f t="shared" si="7"/>
        <v>24</v>
      </c>
      <c r="L58" s="5">
        <f t="shared" si="4"/>
        <v>5.9138805970149248E-2</v>
      </c>
    </row>
    <row r="59" spans="1:12" x14ac:dyDescent="0.25">
      <c r="A59" t="s">
        <v>28</v>
      </c>
      <c r="B59" t="s">
        <v>67</v>
      </c>
      <c r="C59" t="s">
        <v>90</v>
      </c>
      <c r="D59" t="str">
        <f>VLOOKUP(C59,cc!$A$2:$B$28,2,FALSE)</f>
        <v>CZ</v>
      </c>
      <c r="E59" t="str">
        <f t="shared" si="0"/>
        <v>CZOAT</v>
      </c>
      <c r="F59">
        <v>93</v>
      </c>
      <c r="G59">
        <v>6</v>
      </c>
      <c r="H59">
        <v>8</v>
      </c>
      <c r="I59" s="5">
        <f t="shared" si="5"/>
        <v>277.61194029850742</v>
      </c>
      <c r="J59" s="5">
        <f t="shared" si="6"/>
        <v>30</v>
      </c>
      <c r="K59" s="5">
        <f t="shared" si="7"/>
        <v>16</v>
      </c>
      <c r="L59" s="5">
        <f t="shared" si="4"/>
        <v>3.2361194029850743E-2</v>
      </c>
    </row>
    <row r="60" spans="1:12" x14ac:dyDescent="0.25">
      <c r="A60" t="s">
        <v>29</v>
      </c>
      <c r="B60" t="s">
        <v>68</v>
      </c>
      <c r="C60" t="s">
        <v>90</v>
      </c>
      <c r="D60" t="str">
        <f>VLOOKUP(C60,cc!$A$2:$B$28,2,FALSE)</f>
        <v>CZ</v>
      </c>
      <c r="E60" t="str">
        <f t="shared" si="0"/>
        <v>CZOTO</v>
      </c>
      <c r="F60">
        <v>98</v>
      </c>
      <c r="G60">
        <v>7</v>
      </c>
      <c r="H60">
        <v>16</v>
      </c>
      <c r="I60" s="5">
        <f t="shared" si="5"/>
        <v>292.53731343283579</v>
      </c>
      <c r="J60" s="5">
        <f t="shared" si="6"/>
        <v>35</v>
      </c>
      <c r="K60" s="5">
        <f t="shared" si="7"/>
        <v>32</v>
      </c>
      <c r="L60" s="5">
        <f t="shared" si="4"/>
        <v>3.5953731343283578E-2</v>
      </c>
    </row>
    <row r="61" spans="1:12" x14ac:dyDescent="0.25">
      <c r="A61" t="s">
        <v>18</v>
      </c>
      <c r="B61" t="s">
        <v>59</v>
      </c>
      <c r="C61" t="s">
        <v>90</v>
      </c>
      <c r="D61" t="str">
        <f>VLOOKUP(C61,cc!$A$2:$B$28,2,FALSE)</f>
        <v>CZ</v>
      </c>
      <c r="E61" t="str">
        <f t="shared" si="0"/>
        <v>CZPEA</v>
      </c>
      <c r="F61">
        <v>42</v>
      </c>
      <c r="G61">
        <v>3</v>
      </c>
      <c r="H61">
        <v>4</v>
      </c>
      <c r="I61" s="5">
        <f t="shared" si="5"/>
        <v>125.3731343283582</v>
      </c>
      <c r="J61" s="5">
        <f t="shared" si="6"/>
        <v>15</v>
      </c>
      <c r="K61" s="5">
        <f t="shared" si="7"/>
        <v>8</v>
      </c>
      <c r="L61" s="5">
        <f t="shared" si="4"/>
        <v>1.4837313432835822E-2</v>
      </c>
    </row>
    <row r="62" spans="1:12" x14ac:dyDescent="0.25">
      <c r="A62" t="s">
        <v>11</v>
      </c>
      <c r="B62" t="s">
        <v>49</v>
      </c>
      <c r="C62" t="s">
        <v>90</v>
      </c>
      <c r="D62" t="str">
        <f>VLOOKUP(C62,cc!$A$2:$B$28,2,FALSE)</f>
        <v>CZ</v>
      </c>
      <c r="E62" t="str">
        <f t="shared" si="0"/>
        <v>CZRAP</v>
      </c>
      <c r="F62">
        <v>195</v>
      </c>
      <c r="G62">
        <v>13</v>
      </c>
      <c r="H62">
        <v>12</v>
      </c>
      <c r="I62" s="5">
        <f t="shared" si="5"/>
        <v>582.08955223880594</v>
      </c>
      <c r="J62" s="5">
        <f t="shared" si="6"/>
        <v>65</v>
      </c>
      <c r="K62" s="5">
        <f t="shared" si="7"/>
        <v>24</v>
      </c>
      <c r="L62" s="5">
        <f t="shared" si="4"/>
        <v>6.7108955223880593E-2</v>
      </c>
    </row>
    <row r="63" spans="1:12" x14ac:dyDescent="0.25">
      <c r="A63" t="s">
        <v>12</v>
      </c>
      <c r="B63" t="s">
        <v>50</v>
      </c>
      <c r="C63" t="s">
        <v>90</v>
      </c>
      <c r="D63" t="str">
        <f>VLOOKUP(C63,cc!$A$2:$B$28,2,FALSE)</f>
        <v>CZ</v>
      </c>
      <c r="E63" t="str">
        <f t="shared" si="0"/>
        <v>CZRYE</v>
      </c>
      <c r="F63">
        <v>93</v>
      </c>
      <c r="G63">
        <v>6</v>
      </c>
      <c r="H63">
        <v>8</v>
      </c>
      <c r="I63" s="5">
        <f t="shared" si="5"/>
        <v>277.61194029850742</v>
      </c>
      <c r="J63" s="5">
        <f t="shared" si="6"/>
        <v>30</v>
      </c>
      <c r="K63" s="5">
        <f t="shared" si="7"/>
        <v>16</v>
      </c>
      <c r="L63" s="5">
        <f t="shared" si="4"/>
        <v>3.2361194029850743E-2</v>
      </c>
    </row>
    <row r="64" spans="1:12" x14ac:dyDescent="0.25">
      <c r="A64" t="s">
        <v>14</v>
      </c>
      <c r="B64" t="s">
        <v>52</v>
      </c>
      <c r="C64" t="s">
        <v>90</v>
      </c>
      <c r="D64" t="str">
        <f>VLOOKUP(C64,cc!$A$2:$B$28,2,FALSE)</f>
        <v>CZ</v>
      </c>
      <c r="E64" t="str">
        <f t="shared" si="0"/>
        <v>CZSUG</v>
      </c>
      <c r="F64">
        <v>163</v>
      </c>
      <c r="G64">
        <v>13</v>
      </c>
      <c r="H64">
        <v>28</v>
      </c>
      <c r="I64" s="5">
        <f t="shared" si="5"/>
        <v>486.56716417910445</v>
      </c>
      <c r="J64" s="5">
        <f t="shared" si="6"/>
        <v>65</v>
      </c>
      <c r="K64" s="5">
        <f t="shared" si="7"/>
        <v>56</v>
      </c>
      <c r="L64" s="5">
        <f t="shared" si="4"/>
        <v>6.0756716417910452E-2</v>
      </c>
    </row>
    <row r="65" spans="1:12" x14ac:dyDescent="0.25">
      <c r="A65" t="s">
        <v>15</v>
      </c>
      <c r="B65" t="s">
        <v>114</v>
      </c>
      <c r="C65" t="s">
        <v>90</v>
      </c>
      <c r="D65" t="str">
        <f>VLOOKUP(C65,cc!$A$2:$B$28,2,FALSE)</f>
        <v>CZ</v>
      </c>
      <c r="E65" t="str">
        <f t="shared" si="0"/>
        <v>CZWHE</v>
      </c>
      <c r="F65">
        <v>180</v>
      </c>
      <c r="G65">
        <v>10</v>
      </c>
      <c r="H65">
        <v>8</v>
      </c>
      <c r="I65" s="5">
        <f t="shared" si="5"/>
        <v>537.31343283582089</v>
      </c>
      <c r="J65" s="5">
        <f t="shared" si="6"/>
        <v>50</v>
      </c>
      <c r="K65" s="5">
        <f t="shared" si="7"/>
        <v>16</v>
      </c>
      <c r="L65" s="5">
        <f t="shared" si="4"/>
        <v>6.0331343283582091E-2</v>
      </c>
    </row>
    <row r="66" spans="1:12" x14ac:dyDescent="0.25">
      <c r="A66" t="s">
        <v>125</v>
      </c>
      <c r="B66" t="s">
        <v>126</v>
      </c>
      <c r="C66" t="s">
        <v>90</v>
      </c>
      <c r="D66" t="str">
        <f>VLOOKUP(C66,cc!$A$2:$B$28,2,FALSE)</f>
        <v>CZ</v>
      </c>
      <c r="E66" t="str">
        <f t="shared" si="0"/>
        <v>CZTRT</v>
      </c>
      <c r="F66">
        <v>94</v>
      </c>
      <c r="G66">
        <v>6</v>
      </c>
      <c r="H66">
        <v>8</v>
      </c>
      <c r="I66" s="5">
        <f t="shared" si="5"/>
        <v>280.59701492537312</v>
      </c>
      <c r="J66" s="5">
        <f t="shared" si="6"/>
        <v>30</v>
      </c>
      <c r="K66" s="5">
        <f t="shared" si="7"/>
        <v>16</v>
      </c>
      <c r="L66" s="5">
        <f t="shared" si="4"/>
        <v>3.2659701492537316E-2</v>
      </c>
    </row>
    <row r="67" spans="1:12" x14ac:dyDescent="0.25">
      <c r="A67" t="s">
        <v>7</v>
      </c>
      <c r="B67" t="s">
        <v>44</v>
      </c>
      <c r="C67" t="s">
        <v>91</v>
      </c>
      <c r="D67" t="str">
        <f>VLOOKUP(C67,cc!$A$2:$B$28,2,FALSE)</f>
        <v>DK</v>
      </c>
      <c r="E67" t="str">
        <f t="shared" si="0"/>
        <v>DKBRL</v>
      </c>
      <c r="F67">
        <v>95</v>
      </c>
      <c r="G67">
        <v>7</v>
      </c>
      <c r="H67">
        <v>28</v>
      </c>
      <c r="I67" s="5">
        <f t="shared" si="5"/>
        <v>283.58208955223881</v>
      </c>
      <c r="J67" s="5">
        <f t="shared" si="6"/>
        <v>35</v>
      </c>
      <c r="K67" s="5">
        <f t="shared" si="7"/>
        <v>56</v>
      </c>
      <c r="L67" s="5">
        <f t="shared" si="4"/>
        <v>3.7458208955223886E-2</v>
      </c>
    </row>
    <row r="68" spans="1:12" x14ac:dyDescent="0.25">
      <c r="A68" t="s">
        <v>30</v>
      </c>
      <c r="B68" t="s">
        <v>69</v>
      </c>
      <c r="C68" t="s">
        <v>91</v>
      </c>
      <c r="D68" t="str">
        <f>VLOOKUP(C68,cc!$A$2:$B$28,2,FALSE)</f>
        <v>DK</v>
      </c>
      <c r="E68" t="str">
        <f t="shared" si="0"/>
        <v>DKBRO</v>
      </c>
      <c r="F68">
        <v>0</v>
      </c>
      <c r="G68">
        <v>8</v>
      </c>
      <c r="H68">
        <v>23</v>
      </c>
      <c r="I68" s="5">
        <f t="shared" si="5"/>
        <v>0</v>
      </c>
      <c r="J68" s="5">
        <f t="shared" si="6"/>
        <v>40</v>
      </c>
      <c r="K68" s="5">
        <f t="shared" si="7"/>
        <v>46</v>
      </c>
      <c r="L68" s="5">
        <f t="shared" si="4"/>
        <v>8.6E-3</v>
      </c>
    </row>
    <row r="69" spans="1:12" x14ac:dyDescent="0.25">
      <c r="A69" t="s">
        <v>31</v>
      </c>
      <c r="B69" t="s">
        <v>70</v>
      </c>
      <c r="C69" t="s">
        <v>91</v>
      </c>
      <c r="D69" t="str">
        <f>VLOOKUP(C69,cc!$A$2:$B$28,2,FALSE)</f>
        <v>DK</v>
      </c>
      <c r="E69" t="str">
        <f t="shared" si="0"/>
        <v>DKMIX</v>
      </c>
      <c r="F69">
        <v>92</v>
      </c>
      <c r="G69">
        <v>7</v>
      </c>
      <c r="H69">
        <v>28</v>
      </c>
      <c r="I69" s="5">
        <f t="shared" si="5"/>
        <v>274.62686567164178</v>
      </c>
      <c r="J69" s="5">
        <f t="shared" si="6"/>
        <v>35</v>
      </c>
      <c r="K69" s="5">
        <f t="shared" si="7"/>
        <v>56</v>
      </c>
      <c r="L69" s="5">
        <f t="shared" si="4"/>
        <v>3.6562686567164181E-2</v>
      </c>
    </row>
    <row r="70" spans="1:12" x14ac:dyDescent="0.25">
      <c r="A70" t="s">
        <v>28</v>
      </c>
      <c r="B70" t="s">
        <v>67</v>
      </c>
      <c r="C70" t="s">
        <v>91</v>
      </c>
      <c r="D70" t="str">
        <f>VLOOKUP(C70,cc!$A$2:$B$28,2,FALSE)</f>
        <v>DK</v>
      </c>
      <c r="E70" t="str">
        <f t="shared" si="0"/>
        <v>DKOAT</v>
      </c>
      <c r="F70">
        <v>95</v>
      </c>
      <c r="G70">
        <v>7</v>
      </c>
      <c r="H70">
        <v>29</v>
      </c>
      <c r="I70" s="5">
        <f t="shared" si="5"/>
        <v>283.58208955223881</v>
      </c>
      <c r="J70" s="5">
        <f t="shared" si="6"/>
        <v>35</v>
      </c>
      <c r="K70" s="5">
        <f t="shared" si="7"/>
        <v>58</v>
      </c>
      <c r="L70" s="5">
        <f t="shared" si="4"/>
        <v>3.7658208955223885E-2</v>
      </c>
    </row>
    <row r="71" spans="1:12" x14ac:dyDescent="0.25">
      <c r="A71" t="s">
        <v>19</v>
      </c>
      <c r="B71" t="s">
        <v>57</v>
      </c>
      <c r="C71" t="s">
        <v>91</v>
      </c>
      <c r="D71" t="str">
        <f>VLOOKUP(C71,cc!$A$2:$B$28,2,FALSE)</f>
        <v>DK</v>
      </c>
      <c r="E71" t="str">
        <f t="shared" si="0"/>
        <v>DKPOT</v>
      </c>
      <c r="F71">
        <v>125</v>
      </c>
      <c r="G71">
        <v>20</v>
      </c>
      <c r="H71">
        <v>71</v>
      </c>
      <c r="I71" s="5">
        <f t="shared" si="5"/>
        <v>373.13432835820896</v>
      </c>
      <c r="J71" s="5">
        <f t="shared" si="6"/>
        <v>100</v>
      </c>
      <c r="K71" s="5">
        <f t="shared" si="7"/>
        <v>142</v>
      </c>
      <c r="L71" s="5">
        <f t="shared" si="4"/>
        <v>6.1513432835820891E-2</v>
      </c>
    </row>
    <row r="72" spans="1:12" x14ac:dyDescent="0.25">
      <c r="A72" t="s">
        <v>11</v>
      </c>
      <c r="B72" t="s">
        <v>49</v>
      </c>
      <c r="C72" t="s">
        <v>91</v>
      </c>
      <c r="D72" t="str">
        <f>VLOOKUP(C72,cc!$A$2:$B$28,2,FALSE)</f>
        <v>DK</v>
      </c>
      <c r="E72" t="str">
        <f t="shared" ref="E72:E135" si="8">CONCATENATE(D72,A72)</f>
        <v>DKRAP</v>
      </c>
      <c r="F72">
        <v>133</v>
      </c>
      <c r="G72">
        <v>6</v>
      </c>
      <c r="H72">
        <v>22</v>
      </c>
      <c r="I72" s="5">
        <f t="shared" si="5"/>
        <v>397.0149253731343</v>
      </c>
      <c r="J72" s="5">
        <f t="shared" si="6"/>
        <v>30</v>
      </c>
      <c r="K72" s="5">
        <f t="shared" si="7"/>
        <v>44</v>
      </c>
      <c r="L72" s="5">
        <f t="shared" ref="L72:L135" si="9">(I72+J72+K72)*0.0001</f>
        <v>4.7101492537313432E-2</v>
      </c>
    </row>
    <row r="73" spans="1:12" x14ac:dyDescent="0.25">
      <c r="A73" t="s">
        <v>12</v>
      </c>
      <c r="B73" t="s">
        <v>50</v>
      </c>
      <c r="C73" t="s">
        <v>91</v>
      </c>
      <c r="D73" t="str">
        <f>VLOOKUP(C73,cc!$A$2:$B$28,2,FALSE)</f>
        <v>DK</v>
      </c>
      <c r="E73" t="str">
        <f t="shared" si="8"/>
        <v>DKRYE</v>
      </c>
      <c r="F73">
        <v>93</v>
      </c>
      <c r="G73">
        <v>7</v>
      </c>
      <c r="H73">
        <v>28</v>
      </c>
      <c r="I73" s="5">
        <f t="shared" si="5"/>
        <v>277.61194029850742</v>
      </c>
      <c r="J73" s="5">
        <f t="shared" si="6"/>
        <v>35</v>
      </c>
      <c r="K73" s="5">
        <f t="shared" si="7"/>
        <v>56</v>
      </c>
      <c r="L73" s="5">
        <f t="shared" si="9"/>
        <v>3.6861194029850747E-2</v>
      </c>
    </row>
    <row r="74" spans="1:12" x14ac:dyDescent="0.25">
      <c r="A74" t="s">
        <v>14</v>
      </c>
      <c r="B74" t="s">
        <v>52</v>
      </c>
      <c r="C74" t="s">
        <v>91</v>
      </c>
      <c r="D74" t="str">
        <f>VLOOKUP(C74,cc!$A$2:$B$28,2,FALSE)</f>
        <v>DK</v>
      </c>
      <c r="E74" t="str">
        <f t="shared" si="8"/>
        <v>DKSUG</v>
      </c>
      <c r="F74">
        <v>112</v>
      </c>
      <c r="G74">
        <v>11</v>
      </c>
      <c r="H74">
        <v>45</v>
      </c>
      <c r="I74" s="5">
        <f t="shared" si="5"/>
        <v>334.32835820895519</v>
      </c>
      <c r="J74" s="5">
        <f t="shared" si="6"/>
        <v>55</v>
      </c>
      <c r="K74" s="5">
        <f t="shared" si="7"/>
        <v>90</v>
      </c>
      <c r="L74" s="5">
        <f t="shared" si="9"/>
        <v>4.7932835820895518E-2</v>
      </c>
    </row>
    <row r="75" spans="1:12" x14ac:dyDescent="0.25">
      <c r="A75" t="s">
        <v>15</v>
      </c>
      <c r="B75" t="s">
        <v>114</v>
      </c>
      <c r="C75" t="s">
        <v>91</v>
      </c>
      <c r="D75" t="str">
        <f>VLOOKUP(C75,cc!$A$2:$B$28,2,FALSE)</f>
        <v>DK</v>
      </c>
      <c r="E75" t="str">
        <f t="shared" si="8"/>
        <v>DKWHE</v>
      </c>
      <c r="F75">
        <v>141</v>
      </c>
      <c r="G75">
        <v>8</v>
      </c>
      <c r="H75">
        <v>30</v>
      </c>
      <c r="I75" s="5">
        <f t="shared" si="5"/>
        <v>420.8955223880597</v>
      </c>
      <c r="J75" s="5">
        <f t="shared" si="6"/>
        <v>40</v>
      </c>
      <c r="K75" s="5">
        <f t="shared" si="7"/>
        <v>60</v>
      </c>
      <c r="L75" s="5">
        <f t="shared" si="9"/>
        <v>5.2089552238805972E-2</v>
      </c>
    </row>
    <row r="76" spans="1:12" x14ac:dyDescent="0.25">
      <c r="A76" t="s">
        <v>125</v>
      </c>
      <c r="B76" t="s">
        <v>126</v>
      </c>
      <c r="C76" t="s">
        <v>91</v>
      </c>
      <c r="D76" t="str">
        <f>VLOOKUP(C76,cc!$A$2:$B$28,2,FALSE)</f>
        <v>DK</v>
      </c>
      <c r="E76" t="str">
        <f t="shared" si="8"/>
        <v>DKTRT</v>
      </c>
      <c r="F76">
        <v>94</v>
      </c>
      <c r="G76">
        <v>7</v>
      </c>
      <c r="H76">
        <v>29</v>
      </c>
      <c r="I76" s="5">
        <f t="shared" si="5"/>
        <v>280.59701492537312</v>
      </c>
      <c r="J76" s="5">
        <f t="shared" si="6"/>
        <v>35</v>
      </c>
      <c r="K76" s="5">
        <f t="shared" si="7"/>
        <v>58</v>
      </c>
      <c r="L76" s="5">
        <f t="shared" si="9"/>
        <v>3.7359701492537312E-2</v>
      </c>
    </row>
    <row r="77" spans="1:12" x14ac:dyDescent="0.25">
      <c r="A77" t="s">
        <v>7</v>
      </c>
      <c r="B77" t="s">
        <v>44</v>
      </c>
      <c r="C77" t="s">
        <v>92</v>
      </c>
      <c r="D77" t="str">
        <f>VLOOKUP(C77,cc!$A$2:$B$28,2,FALSE)</f>
        <v>EE</v>
      </c>
      <c r="E77" t="str">
        <f t="shared" si="8"/>
        <v>EEBRL</v>
      </c>
      <c r="F77">
        <v>27</v>
      </c>
      <c r="G77">
        <v>1</v>
      </c>
      <c r="H77">
        <v>2</v>
      </c>
      <c r="I77" s="5">
        <f t="shared" si="5"/>
        <v>80.597014925373131</v>
      </c>
      <c r="J77" s="5">
        <f t="shared" si="6"/>
        <v>5</v>
      </c>
      <c r="K77" s="5">
        <f t="shared" si="7"/>
        <v>4</v>
      </c>
      <c r="L77" s="5">
        <f t="shared" si="9"/>
        <v>8.9597014925373135E-3</v>
      </c>
    </row>
    <row r="78" spans="1:12" x14ac:dyDescent="0.25">
      <c r="A78" t="s">
        <v>30</v>
      </c>
      <c r="B78" t="s">
        <v>69</v>
      </c>
      <c r="C78" t="s">
        <v>92</v>
      </c>
      <c r="D78" t="str">
        <f>VLOOKUP(C78,cc!$A$2:$B$28,2,FALSE)</f>
        <v>EE</v>
      </c>
      <c r="E78" t="str">
        <f t="shared" si="8"/>
        <v>EEBRO</v>
      </c>
      <c r="F78">
        <v>37</v>
      </c>
      <c r="G78">
        <v>14</v>
      </c>
      <c r="H78">
        <v>11</v>
      </c>
      <c r="I78" s="5">
        <f t="shared" ref="I78:I141" si="10">F78/$J$2</f>
        <v>110.44776119402984</v>
      </c>
      <c r="J78" s="5">
        <f t="shared" ref="J78:J141" si="11">G78/$K$2</f>
        <v>70</v>
      </c>
      <c r="K78" s="5">
        <f t="shared" ref="K78:K141" si="12">H78/$L$2</f>
        <v>22</v>
      </c>
      <c r="L78" s="5">
        <f t="shared" si="9"/>
        <v>2.0244776119402987E-2</v>
      </c>
    </row>
    <row r="79" spans="1:12" x14ac:dyDescent="0.25">
      <c r="A79" t="s">
        <v>28</v>
      </c>
      <c r="B79" t="s">
        <v>67</v>
      </c>
      <c r="C79" t="s">
        <v>92</v>
      </c>
      <c r="D79" t="str">
        <f>VLOOKUP(C79,cc!$A$2:$B$28,2,FALSE)</f>
        <v>EE</v>
      </c>
      <c r="E79" t="str">
        <f t="shared" si="8"/>
        <v>EEOAT</v>
      </c>
      <c r="F79">
        <v>27</v>
      </c>
      <c r="G79">
        <v>1</v>
      </c>
      <c r="H79">
        <v>2</v>
      </c>
      <c r="I79" s="5">
        <f t="shared" si="10"/>
        <v>80.597014925373131</v>
      </c>
      <c r="J79" s="5">
        <f t="shared" si="11"/>
        <v>5</v>
      </c>
      <c r="K79" s="5">
        <f t="shared" si="12"/>
        <v>4</v>
      </c>
      <c r="L79" s="5">
        <f t="shared" si="9"/>
        <v>8.9597014925373135E-3</v>
      </c>
    </row>
    <row r="80" spans="1:12" x14ac:dyDescent="0.25">
      <c r="A80" t="s">
        <v>29</v>
      </c>
      <c r="B80" t="s">
        <v>68</v>
      </c>
      <c r="C80" t="s">
        <v>92</v>
      </c>
      <c r="D80" t="str">
        <f>VLOOKUP(C80,cc!$A$2:$B$28,2,FALSE)</f>
        <v>EE</v>
      </c>
      <c r="E80" t="str">
        <f t="shared" si="8"/>
        <v>EEOTO</v>
      </c>
      <c r="F80">
        <v>59</v>
      </c>
      <c r="G80">
        <v>8</v>
      </c>
      <c r="H80">
        <v>18</v>
      </c>
      <c r="I80" s="5">
        <f t="shared" si="10"/>
        <v>176.11940298507463</v>
      </c>
      <c r="J80" s="5">
        <f t="shared" si="11"/>
        <v>40</v>
      </c>
      <c r="K80" s="5">
        <f t="shared" si="12"/>
        <v>36</v>
      </c>
      <c r="L80" s="5">
        <f t="shared" si="9"/>
        <v>2.5211940298507464E-2</v>
      </c>
    </row>
    <row r="81" spans="1:12" x14ac:dyDescent="0.25">
      <c r="A81" t="s">
        <v>18</v>
      </c>
      <c r="B81" t="s">
        <v>59</v>
      </c>
      <c r="C81" t="s">
        <v>92</v>
      </c>
      <c r="D81" t="str">
        <f>VLOOKUP(C81,cc!$A$2:$B$28,2,FALSE)</f>
        <v>EE</v>
      </c>
      <c r="E81" t="str">
        <f t="shared" si="8"/>
        <v>EEPEA</v>
      </c>
      <c r="F81">
        <v>36</v>
      </c>
      <c r="G81">
        <v>13</v>
      </c>
      <c r="H81">
        <v>11</v>
      </c>
      <c r="I81" s="5">
        <f t="shared" si="10"/>
        <v>107.46268656716417</v>
      </c>
      <c r="J81" s="5">
        <f t="shared" si="11"/>
        <v>65</v>
      </c>
      <c r="K81" s="5">
        <f t="shared" si="12"/>
        <v>22</v>
      </c>
      <c r="L81" s="5">
        <f t="shared" si="9"/>
        <v>1.9446268656716417E-2</v>
      </c>
    </row>
    <row r="82" spans="1:12" x14ac:dyDescent="0.25">
      <c r="A82" t="s">
        <v>19</v>
      </c>
      <c r="B82" t="s">
        <v>57</v>
      </c>
      <c r="C82" t="s">
        <v>92</v>
      </c>
      <c r="D82" t="str">
        <f>VLOOKUP(C82,cc!$A$2:$B$28,2,FALSE)</f>
        <v>EE</v>
      </c>
      <c r="E82" t="str">
        <f t="shared" si="8"/>
        <v>EEPOT</v>
      </c>
      <c r="F82">
        <v>27</v>
      </c>
      <c r="G82">
        <v>1</v>
      </c>
      <c r="H82">
        <v>2</v>
      </c>
      <c r="I82" s="5">
        <f t="shared" si="10"/>
        <v>80.597014925373131</v>
      </c>
      <c r="J82" s="5">
        <f t="shared" si="11"/>
        <v>5</v>
      </c>
      <c r="K82" s="5">
        <f t="shared" si="12"/>
        <v>4</v>
      </c>
      <c r="L82" s="5">
        <f t="shared" si="9"/>
        <v>8.9597014925373135E-3</v>
      </c>
    </row>
    <row r="83" spans="1:12" x14ac:dyDescent="0.25">
      <c r="A83" t="s">
        <v>11</v>
      </c>
      <c r="B83" t="s">
        <v>49</v>
      </c>
      <c r="C83" t="s">
        <v>92</v>
      </c>
      <c r="D83" t="str">
        <f>VLOOKUP(C83,cc!$A$2:$B$28,2,FALSE)</f>
        <v>EE</v>
      </c>
      <c r="E83" t="str">
        <f t="shared" si="8"/>
        <v>EERAP</v>
      </c>
      <c r="F83">
        <v>119</v>
      </c>
      <c r="G83">
        <v>17</v>
      </c>
      <c r="H83">
        <v>48</v>
      </c>
      <c r="I83" s="5">
        <f t="shared" si="10"/>
        <v>355.2238805970149</v>
      </c>
      <c r="J83" s="5">
        <f t="shared" si="11"/>
        <v>85</v>
      </c>
      <c r="K83" s="5">
        <f t="shared" si="12"/>
        <v>96</v>
      </c>
      <c r="L83" s="5">
        <f t="shared" si="9"/>
        <v>5.3622388059701487E-2</v>
      </c>
    </row>
    <row r="84" spans="1:12" x14ac:dyDescent="0.25">
      <c r="A84" t="s">
        <v>12</v>
      </c>
      <c r="B84" t="s">
        <v>50</v>
      </c>
      <c r="C84" t="s">
        <v>92</v>
      </c>
      <c r="D84" t="str">
        <f>VLOOKUP(C84,cc!$A$2:$B$28,2,FALSE)</f>
        <v>EE</v>
      </c>
      <c r="E84" t="str">
        <f t="shared" si="8"/>
        <v>EERYE</v>
      </c>
      <c r="F84">
        <v>26</v>
      </c>
      <c r="G84">
        <v>1</v>
      </c>
      <c r="H84">
        <v>2</v>
      </c>
      <c r="I84" s="5">
        <f t="shared" si="10"/>
        <v>77.611940298507463</v>
      </c>
      <c r="J84" s="5">
        <f t="shared" si="11"/>
        <v>5</v>
      </c>
      <c r="K84" s="5">
        <f t="shared" si="12"/>
        <v>4</v>
      </c>
      <c r="L84" s="5">
        <f t="shared" si="9"/>
        <v>8.6611940298507474E-3</v>
      </c>
    </row>
    <row r="85" spans="1:12" x14ac:dyDescent="0.25">
      <c r="A85" t="s">
        <v>15</v>
      </c>
      <c r="B85" t="s">
        <v>114</v>
      </c>
      <c r="C85" t="s">
        <v>92</v>
      </c>
      <c r="D85" t="str">
        <f>VLOOKUP(C85,cc!$A$2:$B$28,2,FALSE)</f>
        <v>EE</v>
      </c>
      <c r="E85" t="str">
        <f t="shared" si="8"/>
        <v>EEWHE</v>
      </c>
      <c r="F85">
        <v>136</v>
      </c>
      <c r="G85">
        <v>11</v>
      </c>
      <c r="H85">
        <v>31</v>
      </c>
      <c r="I85" s="5">
        <f t="shared" si="10"/>
        <v>405.97014925373134</v>
      </c>
      <c r="J85" s="5">
        <f t="shared" si="11"/>
        <v>55</v>
      </c>
      <c r="K85" s="5">
        <f t="shared" si="12"/>
        <v>62</v>
      </c>
      <c r="L85" s="5">
        <f t="shared" si="9"/>
        <v>5.2297014925373128E-2</v>
      </c>
    </row>
    <row r="86" spans="1:12" x14ac:dyDescent="0.25">
      <c r="A86" t="s">
        <v>125</v>
      </c>
      <c r="B86" t="s">
        <v>126</v>
      </c>
      <c r="C86" t="s">
        <v>92</v>
      </c>
      <c r="D86" t="str">
        <f>VLOOKUP(C86,cc!$A$2:$B$28,2,FALSE)</f>
        <v>EE</v>
      </c>
      <c r="E86" t="str">
        <f t="shared" si="8"/>
        <v>EETRT</v>
      </c>
      <c r="F86">
        <v>26</v>
      </c>
      <c r="G86">
        <v>1</v>
      </c>
      <c r="H86">
        <v>2</v>
      </c>
      <c r="I86" s="5">
        <f t="shared" si="10"/>
        <v>77.611940298507463</v>
      </c>
      <c r="J86" s="5">
        <f t="shared" si="11"/>
        <v>5</v>
      </c>
      <c r="K86" s="5">
        <f t="shared" si="12"/>
        <v>4</v>
      </c>
      <c r="L86" s="5">
        <f t="shared" si="9"/>
        <v>8.6611940298507474E-3</v>
      </c>
    </row>
    <row r="87" spans="1:12" x14ac:dyDescent="0.25">
      <c r="A87" t="s">
        <v>7</v>
      </c>
      <c r="B87" t="s">
        <v>44</v>
      </c>
      <c r="C87" t="s">
        <v>93</v>
      </c>
      <c r="D87" t="str">
        <f>VLOOKUP(C87,cc!$A$2:$B$28,2,FALSE)</f>
        <v>FI</v>
      </c>
      <c r="E87" t="str">
        <f t="shared" si="8"/>
        <v>FIBRL</v>
      </c>
      <c r="F87">
        <v>111</v>
      </c>
      <c r="G87">
        <v>1</v>
      </c>
      <c r="H87">
        <v>2</v>
      </c>
      <c r="I87" s="5">
        <f t="shared" si="10"/>
        <v>331.34328358208955</v>
      </c>
      <c r="J87" s="5">
        <f t="shared" si="11"/>
        <v>5</v>
      </c>
      <c r="K87" s="5">
        <f t="shared" si="12"/>
        <v>4</v>
      </c>
      <c r="L87" s="5">
        <f t="shared" si="9"/>
        <v>3.4034328358208958E-2</v>
      </c>
    </row>
    <row r="88" spans="1:12" x14ac:dyDescent="0.25">
      <c r="A88" t="s">
        <v>30</v>
      </c>
      <c r="B88" t="s">
        <v>69</v>
      </c>
      <c r="C88" t="s">
        <v>93</v>
      </c>
      <c r="D88" t="str">
        <f>VLOOKUP(C88,cc!$A$2:$B$28,2,FALSE)</f>
        <v>FI</v>
      </c>
      <c r="E88" t="str">
        <f t="shared" si="8"/>
        <v>FIBRO</v>
      </c>
      <c r="F88">
        <v>40</v>
      </c>
      <c r="G88">
        <v>10</v>
      </c>
      <c r="H88">
        <v>17</v>
      </c>
      <c r="I88" s="5">
        <f t="shared" si="10"/>
        <v>119.40298507462686</v>
      </c>
      <c r="J88" s="5">
        <f t="shared" si="11"/>
        <v>50</v>
      </c>
      <c r="K88" s="5">
        <f t="shared" si="12"/>
        <v>34</v>
      </c>
      <c r="L88" s="5">
        <f t="shared" si="9"/>
        <v>2.0340298507462686E-2</v>
      </c>
    </row>
    <row r="89" spans="1:12" x14ac:dyDescent="0.25">
      <c r="A89" t="s">
        <v>31</v>
      </c>
      <c r="B89" t="s">
        <v>70</v>
      </c>
      <c r="C89" t="s">
        <v>93</v>
      </c>
      <c r="D89" t="str">
        <f>VLOOKUP(C89,cc!$A$2:$B$28,2,FALSE)</f>
        <v>FI</v>
      </c>
      <c r="E89" t="str">
        <f t="shared" si="8"/>
        <v>FIMIX</v>
      </c>
      <c r="F89">
        <v>110</v>
      </c>
      <c r="G89">
        <v>1</v>
      </c>
      <c r="H89">
        <v>2</v>
      </c>
      <c r="I89" s="5">
        <f t="shared" si="10"/>
        <v>328.35820895522386</v>
      </c>
      <c r="J89" s="5">
        <f t="shared" si="11"/>
        <v>5</v>
      </c>
      <c r="K89" s="5">
        <f t="shared" si="12"/>
        <v>4</v>
      </c>
      <c r="L89" s="5">
        <f t="shared" si="9"/>
        <v>3.3735820895522385E-2</v>
      </c>
    </row>
    <row r="90" spans="1:12" x14ac:dyDescent="0.25">
      <c r="A90" t="s">
        <v>28</v>
      </c>
      <c r="B90" t="s">
        <v>67</v>
      </c>
      <c r="C90" t="s">
        <v>93</v>
      </c>
      <c r="D90" t="str">
        <f>VLOOKUP(C90,cc!$A$2:$B$28,2,FALSE)</f>
        <v>FI</v>
      </c>
      <c r="E90" t="str">
        <f t="shared" si="8"/>
        <v>FIOAT</v>
      </c>
      <c r="F90">
        <v>110</v>
      </c>
      <c r="G90">
        <v>1</v>
      </c>
      <c r="H90">
        <v>2</v>
      </c>
      <c r="I90" s="5">
        <f t="shared" si="10"/>
        <v>328.35820895522386</v>
      </c>
      <c r="J90" s="5">
        <f t="shared" si="11"/>
        <v>5</v>
      </c>
      <c r="K90" s="5">
        <f t="shared" si="12"/>
        <v>4</v>
      </c>
      <c r="L90" s="5">
        <f t="shared" si="9"/>
        <v>3.3735820895522385E-2</v>
      </c>
    </row>
    <row r="91" spans="1:12" x14ac:dyDescent="0.25">
      <c r="A91" t="s">
        <v>19</v>
      </c>
      <c r="B91" t="s">
        <v>57</v>
      </c>
      <c r="C91" t="s">
        <v>93</v>
      </c>
      <c r="D91" t="str">
        <f>VLOOKUP(C91,cc!$A$2:$B$28,2,FALSE)</f>
        <v>FI</v>
      </c>
      <c r="E91" t="str">
        <f t="shared" si="8"/>
        <v>FIPOT</v>
      </c>
      <c r="F91">
        <v>70</v>
      </c>
      <c r="G91">
        <v>29</v>
      </c>
      <c r="H91">
        <v>60</v>
      </c>
      <c r="I91" s="5">
        <f t="shared" si="10"/>
        <v>208.955223880597</v>
      </c>
      <c r="J91" s="5">
        <f t="shared" si="11"/>
        <v>145</v>
      </c>
      <c r="K91" s="5">
        <f t="shared" si="12"/>
        <v>120</v>
      </c>
      <c r="L91" s="5">
        <f t="shared" si="9"/>
        <v>4.7395522388059705E-2</v>
      </c>
    </row>
    <row r="92" spans="1:12" x14ac:dyDescent="0.25">
      <c r="A92" t="s">
        <v>11</v>
      </c>
      <c r="B92" t="s">
        <v>49</v>
      </c>
      <c r="C92" t="s">
        <v>93</v>
      </c>
      <c r="D92" t="str">
        <f>VLOOKUP(C92,cc!$A$2:$B$28,2,FALSE)</f>
        <v>FI</v>
      </c>
      <c r="E92" t="str">
        <f t="shared" si="8"/>
        <v>FIRAP</v>
      </c>
      <c r="F92">
        <v>93</v>
      </c>
      <c r="G92">
        <v>4</v>
      </c>
      <c r="H92">
        <v>8</v>
      </c>
      <c r="I92" s="5">
        <f t="shared" si="10"/>
        <v>277.61194029850742</v>
      </c>
      <c r="J92" s="5">
        <f t="shared" si="11"/>
        <v>20</v>
      </c>
      <c r="K92" s="5">
        <f t="shared" si="12"/>
        <v>16</v>
      </c>
      <c r="L92" s="5">
        <f t="shared" si="9"/>
        <v>3.1361194029850742E-2</v>
      </c>
    </row>
    <row r="93" spans="1:12" x14ac:dyDescent="0.25">
      <c r="A93" t="s">
        <v>12</v>
      </c>
      <c r="B93" t="s">
        <v>50</v>
      </c>
      <c r="C93" t="s">
        <v>93</v>
      </c>
      <c r="D93" t="str">
        <f>VLOOKUP(C93,cc!$A$2:$B$28,2,FALSE)</f>
        <v>FI</v>
      </c>
      <c r="E93" t="str">
        <f t="shared" si="8"/>
        <v>FIRYE</v>
      </c>
      <c r="F93">
        <v>111</v>
      </c>
      <c r="G93">
        <v>1</v>
      </c>
      <c r="H93">
        <v>2</v>
      </c>
      <c r="I93" s="5">
        <f t="shared" si="10"/>
        <v>331.34328358208955</v>
      </c>
      <c r="J93" s="5">
        <f t="shared" si="11"/>
        <v>5</v>
      </c>
      <c r="K93" s="5">
        <f t="shared" si="12"/>
        <v>4</v>
      </c>
      <c r="L93" s="5">
        <f t="shared" si="9"/>
        <v>3.4034328358208958E-2</v>
      </c>
    </row>
    <row r="94" spans="1:12" x14ac:dyDescent="0.25">
      <c r="A94" t="s">
        <v>32</v>
      </c>
      <c r="B94" t="s">
        <v>71</v>
      </c>
      <c r="C94" t="s">
        <v>93</v>
      </c>
      <c r="D94" t="str">
        <f>VLOOKUP(C94,cc!$A$2:$B$28,2,FALSE)</f>
        <v>FI</v>
      </c>
      <c r="E94" t="str">
        <f t="shared" si="8"/>
        <v>FISTR</v>
      </c>
      <c r="F94">
        <v>33</v>
      </c>
      <c r="G94">
        <v>7</v>
      </c>
      <c r="H94">
        <v>51</v>
      </c>
      <c r="I94" s="5">
        <f t="shared" si="10"/>
        <v>98.507462686567152</v>
      </c>
      <c r="J94" s="5">
        <f t="shared" si="11"/>
        <v>35</v>
      </c>
      <c r="K94" s="5">
        <f t="shared" si="12"/>
        <v>102</v>
      </c>
      <c r="L94" s="5">
        <f t="shared" si="9"/>
        <v>2.3550746268656716E-2</v>
      </c>
    </row>
    <row r="95" spans="1:12" x14ac:dyDescent="0.25">
      <c r="A95" t="s">
        <v>15</v>
      </c>
      <c r="B95" t="s">
        <v>114</v>
      </c>
      <c r="C95" t="s">
        <v>93</v>
      </c>
      <c r="D95" t="str">
        <f>VLOOKUP(C95,cc!$A$2:$B$28,2,FALSE)</f>
        <v>FI</v>
      </c>
      <c r="E95" t="str">
        <f t="shared" si="8"/>
        <v>FIWHE</v>
      </c>
      <c r="F95">
        <v>93</v>
      </c>
      <c r="G95">
        <v>2</v>
      </c>
      <c r="H95">
        <v>3</v>
      </c>
      <c r="I95" s="5">
        <f t="shared" si="10"/>
        <v>277.61194029850742</v>
      </c>
      <c r="J95" s="5">
        <f t="shared" si="11"/>
        <v>10</v>
      </c>
      <c r="K95" s="5">
        <f t="shared" si="12"/>
        <v>6</v>
      </c>
      <c r="L95" s="5">
        <f t="shared" si="9"/>
        <v>2.9361194029850744E-2</v>
      </c>
    </row>
    <row r="96" spans="1:12" x14ac:dyDescent="0.25">
      <c r="A96" t="s">
        <v>125</v>
      </c>
      <c r="B96" t="s">
        <v>126</v>
      </c>
      <c r="C96" t="s">
        <v>93</v>
      </c>
      <c r="D96" t="str">
        <f>VLOOKUP(C96,cc!$A$2:$B$28,2,FALSE)</f>
        <v>FI</v>
      </c>
      <c r="E96" t="str">
        <f t="shared" si="8"/>
        <v>FITRT</v>
      </c>
      <c r="F96">
        <v>104</v>
      </c>
      <c r="G96">
        <v>1</v>
      </c>
      <c r="H96">
        <v>2</v>
      </c>
      <c r="I96" s="5">
        <f t="shared" si="10"/>
        <v>310.44776119402985</v>
      </c>
      <c r="J96" s="5">
        <f t="shared" si="11"/>
        <v>5</v>
      </c>
      <c r="K96" s="5">
        <f t="shared" si="12"/>
        <v>4</v>
      </c>
      <c r="L96" s="5">
        <f t="shared" si="9"/>
        <v>3.1944776119402989E-2</v>
      </c>
    </row>
    <row r="97" spans="1:12" x14ac:dyDescent="0.25">
      <c r="A97" t="s">
        <v>7</v>
      </c>
      <c r="B97" t="s">
        <v>44</v>
      </c>
      <c r="C97" t="s">
        <v>94</v>
      </c>
      <c r="D97" t="str">
        <f>VLOOKUP(C97,cc!$A$2:$B$28,2,FALSE)</f>
        <v>FR</v>
      </c>
      <c r="E97" t="str">
        <f t="shared" si="8"/>
        <v>FRBRL</v>
      </c>
      <c r="F97">
        <v>6</v>
      </c>
      <c r="G97">
        <v>9</v>
      </c>
      <c r="H97">
        <v>17</v>
      </c>
      <c r="I97" s="5">
        <f t="shared" si="10"/>
        <v>17.910447761194028</v>
      </c>
      <c r="J97" s="5">
        <f t="shared" si="11"/>
        <v>45</v>
      </c>
      <c r="K97" s="5">
        <f t="shared" si="12"/>
        <v>34</v>
      </c>
      <c r="L97" s="5">
        <f t="shared" si="9"/>
        <v>9.6910447761194042E-3</v>
      </c>
    </row>
    <row r="98" spans="1:12" x14ac:dyDescent="0.25">
      <c r="A98" t="s">
        <v>8</v>
      </c>
      <c r="B98" t="s">
        <v>45</v>
      </c>
      <c r="C98" t="s">
        <v>94</v>
      </c>
      <c r="D98" t="str">
        <f>VLOOKUP(C98,cc!$A$2:$B$28,2,FALSE)</f>
        <v>FR</v>
      </c>
      <c r="E98" t="str">
        <f t="shared" si="8"/>
        <v>FRGRP</v>
      </c>
      <c r="F98">
        <v>33</v>
      </c>
      <c r="G98">
        <v>7</v>
      </c>
      <c r="H98">
        <v>21</v>
      </c>
      <c r="I98" s="5">
        <f t="shared" si="10"/>
        <v>98.507462686567152</v>
      </c>
      <c r="J98" s="5">
        <f t="shared" si="11"/>
        <v>35</v>
      </c>
      <c r="K98" s="5">
        <f t="shared" si="12"/>
        <v>42</v>
      </c>
      <c r="L98" s="5">
        <f t="shared" si="9"/>
        <v>1.7550746268656717E-2</v>
      </c>
    </row>
    <row r="99" spans="1:12" x14ac:dyDescent="0.25">
      <c r="A99" t="s">
        <v>9</v>
      </c>
      <c r="B99" t="s">
        <v>46</v>
      </c>
      <c r="C99" t="s">
        <v>94</v>
      </c>
      <c r="D99" t="str">
        <f>VLOOKUP(C99,cc!$A$2:$B$28,2,FALSE)</f>
        <v>FR</v>
      </c>
      <c r="E99" t="str">
        <f t="shared" si="8"/>
        <v>FRMAI</v>
      </c>
      <c r="F99">
        <v>152</v>
      </c>
      <c r="G99">
        <v>16</v>
      </c>
      <c r="H99">
        <v>30</v>
      </c>
      <c r="I99" s="5">
        <f t="shared" si="10"/>
        <v>453.73134328358208</v>
      </c>
      <c r="J99" s="5">
        <f t="shared" si="11"/>
        <v>80</v>
      </c>
      <c r="K99" s="5">
        <f t="shared" si="12"/>
        <v>60</v>
      </c>
      <c r="L99" s="5">
        <f t="shared" si="9"/>
        <v>5.937313432835821E-2</v>
      </c>
    </row>
    <row r="100" spans="1:12" x14ac:dyDescent="0.25">
      <c r="A100" t="s">
        <v>18</v>
      </c>
      <c r="B100" t="s">
        <v>59</v>
      </c>
      <c r="C100" t="s">
        <v>94</v>
      </c>
      <c r="D100" t="str">
        <f>VLOOKUP(C100,cc!$A$2:$B$28,2,FALSE)</f>
        <v>FR</v>
      </c>
      <c r="E100" t="str">
        <f t="shared" si="8"/>
        <v>FRPEA</v>
      </c>
      <c r="F100">
        <v>6</v>
      </c>
      <c r="G100">
        <v>18</v>
      </c>
      <c r="H100">
        <v>32</v>
      </c>
      <c r="I100" s="5">
        <f t="shared" si="10"/>
        <v>17.910447761194028</v>
      </c>
      <c r="J100" s="5">
        <f t="shared" si="11"/>
        <v>90</v>
      </c>
      <c r="K100" s="5">
        <f t="shared" si="12"/>
        <v>64</v>
      </c>
      <c r="L100" s="5">
        <f t="shared" si="9"/>
        <v>1.7191044776119404E-2</v>
      </c>
    </row>
    <row r="101" spans="1:12" x14ac:dyDescent="0.25">
      <c r="A101" t="s">
        <v>19</v>
      </c>
      <c r="B101" t="s">
        <v>57</v>
      </c>
      <c r="C101" t="s">
        <v>94</v>
      </c>
      <c r="D101" t="str">
        <f>VLOOKUP(C101,cc!$A$2:$B$28,2,FALSE)</f>
        <v>FR</v>
      </c>
      <c r="E101" t="str">
        <f t="shared" si="8"/>
        <v>FRPOT</v>
      </c>
      <c r="F101">
        <v>62</v>
      </c>
      <c r="G101">
        <v>15</v>
      </c>
      <c r="H101">
        <v>42</v>
      </c>
      <c r="I101" s="5">
        <f t="shared" si="10"/>
        <v>185.07462686567163</v>
      </c>
      <c r="J101" s="5">
        <f t="shared" si="11"/>
        <v>75</v>
      </c>
      <c r="K101" s="5">
        <f t="shared" si="12"/>
        <v>84</v>
      </c>
      <c r="L101" s="5">
        <f t="shared" si="9"/>
        <v>3.4407462686567164E-2</v>
      </c>
    </row>
    <row r="102" spans="1:12" x14ac:dyDescent="0.25">
      <c r="A102" t="s">
        <v>11</v>
      </c>
      <c r="B102" t="s">
        <v>49</v>
      </c>
      <c r="C102" t="s">
        <v>94</v>
      </c>
      <c r="D102" t="str">
        <f>VLOOKUP(C102,cc!$A$2:$B$28,2,FALSE)</f>
        <v>FR</v>
      </c>
      <c r="E102" t="str">
        <f t="shared" si="8"/>
        <v>FRRAP</v>
      </c>
      <c r="F102">
        <v>166</v>
      </c>
      <c r="G102">
        <v>14</v>
      </c>
      <c r="H102">
        <v>30</v>
      </c>
      <c r="I102" s="5">
        <f t="shared" si="10"/>
        <v>495.52238805970148</v>
      </c>
      <c r="J102" s="5">
        <f t="shared" si="11"/>
        <v>70</v>
      </c>
      <c r="K102" s="5">
        <f t="shared" si="12"/>
        <v>60</v>
      </c>
      <c r="L102" s="5">
        <f t="shared" si="9"/>
        <v>6.2552238805970148E-2</v>
      </c>
    </row>
    <row r="103" spans="1:12" x14ac:dyDescent="0.25">
      <c r="A103" t="s">
        <v>14</v>
      </c>
      <c r="B103" t="s">
        <v>52</v>
      </c>
      <c r="C103" t="s">
        <v>94</v>
      </c>
      <c r="D103" t="str">
        <f>VLOOKUP(C103,cc!$A$2:$B$28,2,FALSE)</f>
        <v>FR</v>
      </c>
      <c r="E103" t="str">
        <f t="shared" si="8"/>
        <v>FRSUG</v>
      </c>
      <c r="F103">
        <v>104</v>
      </c>
      <c r="G103">
        <v>22</v>
      </c>
      <c r="H103">
        <v>64</v>
      </c>
      <c r="I103" s="5">
        <f t="shared" si="10"/>
        <v>310.44776119402985</v>
      </c>
      <c r="J103" s="5">
        <f t="shared" si="11"/>
        <v>110</v>
      </c>
      <c r="K103" s="5">
        <f t="shared" si="12"/>
        <v>128</v>
      </c>
      <c r="L103" s="5">
        <f t="shared" si="9"/>
        <v>5.4844776119402992E-2</v>
      </c>
    </row>
    <row r="104" spans="1:12" x14ac:dyDescent="0.25">
      <c r="A104" t="s">
        <v>21</v>
      </c>
      <c r="B104" t="s">
        <v>60</v>
      </c>
      <c r="C104" t="s">
        <v>94</v>
      </c>
      <c r="D104" t="str">
        <f>VLOOKUP(C104,cc!$A$2:$B$28,2,FALSE)</f>
        <v>FR</v>
      </c>
      <c r="E104" t="str">
        <f t="shared" si="8"/>
        <v>FRSUN</v>
      </c>
      <c r="F104">
        <v>57</v>
      </c>
      <c r="G104">
        <v>15</v>
      </c>
      <c r="H104">
        <v>35</v>
      </c>
      <c r="I104" s="5">
        <f t="shared" si="10"/>
        <v>170.14925373134326</v>
      </c>
      <c r="J104" s="5">
        <f t="shared" si="11"/>
        <v>75</v>
      </c>
      <c r="K104" s="5">
        <f t="shared" si="12"/>
        <v>70</v>
      </c>
      <c r="L104" s="5">
        <f t="shared" si="9"/>
        <v>3.1514925373134328E-2</v>
      </c>
    </row>
    <row r="105" spans="1:12" x14ac:dyDescent="0.25">
      <c r="A105" t="s">
        <v>15</v>
      </c>
      <c r="B105" t="s">
        <v>114</v>
      </c>
      <c r="C105" t="s">
        <v>94</v>
      </c>
      <c r="D105" t="str">
        <f>VLOOKUP(C105,cc!$A$2:$B$28,2,FALSE)</f>
        <v>FR</v>
      </c>
      <c r="E105" t="str">
        <f t="shared" si="8"/>
        <v>FRWHE</v>
      </c>
      <c r="F105">
        <v>172</v>
      </c>
      <c r="G105">
        <v>8</v>
      </c>
      <c r="H105">
        <v>14</v>
      </c>
      <c r="I105" s="5">
        <f t="shared" si="10"/>
        <v>513.43283582089555</v>
      </c>
      <c r="J105" s="5">
        <f t="shared" si="11"/>
        <v>40</v>
      </c>
      <c r="K105" s="5">
        <f t="shared" si="12"/>
        <v>28</v>
      </c>
      <c r="L105" s="5">
        <f t="shared" si="9"/>
        <v>5.8143283582089554E-2</v>
      </c>
    </row>
    <row r="106" spans="1:12" x14ac:dyDescent="0.25">
      <c r="A106" t="s">
        <v>125</v>
      </c>
      <c r="B106" t="s">
        <v>126</v>
      </c>
      <c r="C106" t="s">
        <v>94</v>
      </c>
      <c r="D106" t="str">
        <f>VLOOKUP(C106,cc!$A$2:$B$28,2,FALSE)</f>
        <v>FR</v>
      </c>
      <c r="E106" t="str">
        <f t="shared" si="8"/>
        <v>FRTRT</v>
      </c>
      <c r="F106">
        <v>6</v>
      </c>
      <c r="G106">
        <v>9</v>
      </c>
      <c r="H106">
        <v>17</v>
      </c>
      <c r="I106" s="5">
        <f t="shared" si="10"/>
        <v>17.910447761194028</v>
      </c>
      <c r="J106" s="5">
        <f t="shared" si="11"/>
        <v>45</v>
      </c>
      <c r="K106" s="5">
        <f t="shared" si="12"/>
        <v>34</v>
      </c>
      <c r="L106" s="5">
        <f t="shared" si="9"/>
        <v>9.6910447761194042E-3</v>
      </c>
    </row>
    <row r="107" spans="1:12" x14ac:dyDescent="0.25">
      <c r="A107" t="s">
        <v>7</v>
      </c>
      <c r="B107" t="s">
        <v>44</v>
      </c>
      <c r="C107" t="s">
        <v>95</v>
      </c>
      <c r="D107" t="str">
        <f>VLOOKUP(C107,cc!$A$2:$B$28,2,FALSE)</f>
        <v>DE</v>
      </c>
      <c r="E107" t="str">
        <f t="shared" si="8"/>
        <v>DEBRL</v>
      </c>
      <c r="F107">
        <v>92</v>
      </c>
      <c r="G107">
        <v>5</v>
      </c>
      <c r="H107">
        <v>14</v>
      </c>
      <c r="I107" s="5">
        <f t="shared" si="10"/>
        <v>274.62686567164178</v>
      </c>
      <c r="J107" s="5">
        <f t="shared" si="11"/>
        <v>25</v>
      </c>
      <c r="K107" s="5">
        <f t="shared" si="12"/>
        <v>28</v>
      </c>
      <c r="L107" s="5">
        <f t="shared" si="9"/>
        <v>3.2762686567164183E-2</v>
      </c>
    </row>
    <row r="108" spans="1:12" x14ac:dyDescent="0.25">
      <c r="A108" t="s">
        <v>8</v>
      </c>
      <c r="B108" t="s">
        <v>45</v>
      </c>
      <c r="C108" t="s">
        <v>95</v>
      </c>
      <c r="D108" t="str">
        <f>VLOOKUP(C108,cc!$A$2:$B$28,2,FALSE)</f>
        <v>DE</v>
      </c>
      <c r="E108" t="str">
        <f t="shared" si="8"/>
        <v>DEGRP</v>
      </c>
      <c r="F108">
        <v>41</v>
      </c>
      <c r="G108">
        <v>3</v>
      </c>
      <c r="H108">
        <v>48</v>
      </c>
      <c r="I108" s="5">
        <f t="shared" si="10"/>
        <v>122.38805970149254</v>
      </c>
      <c r="J108" s="5">
        <f t="shared" si="11"/>
        <v>15</v>
      </c>
      <c r="K108" s="5">
        <f t="shared" si="12"/>
        <v>96</v>
      </c>
      <c r="L108" s="5">
        <f t="shared" si="9"/>
        <v>2.3338805970149253E-2</v>
      </c>
    </row>
    <row r="109" spans="1:12" x14ac:dyDescent="0.25">
      <c r="A109" t="s">
        <v>9</v>
      </c>
      <c r="B109" t="s">
        <v>46</v>
      </c>
      <c r="C109" t="s">
        <v>95</v>
      </c>
      <c r="D109" t="str">
        <f>VLOOKUP(C109,cc!$A$2:$B$28,2,FALSE)</f>
        <v>DE</v>
      </c>
      <c r="E109" t="str">
        <f t="shared" si="8"/>
        <v>DEMAI</v>
      </c>
      <c r="F109">
        <v>116</v>
      </c>
      <c r="G109">
        <v>17</v>
      </c>
      <c r="H109">
        <v>43</v>
      </c>
      <c r="I109" s="5">
        <f t="shared" si="10"/>
        <v>346.26865671641787</v>
      </c>
      <c r="J109" s="5">
        <f t="shared" si="11"/>
        <v>85</v>
      </c>
      <c r="K109" s="5">
        <f t="shared" si="12"/>
        <v>86</v>
      </c>
      <c r="L109" s="5">
        <f t="shared" si="9"/>
        <v>5.1726865671641781E-2</v>
      </c>
    </row>
    <row r="110" spans="1:12" x14ac:dyDescent="0.25">
      <c r="A110" t="s">
        <v>28</v>
      </c>
      <c r="B110" t="s">
        <v>67</v>
      </c>
      <c r="C110" t="s">
        <v>95</v>
      </c>
      <c r="D110" t="str">
        <f>VLOOKUP(C110,cc!$A$2:$B$28,2,FALSE)</f>
        <v>DE</v>
      </c>
      <c r="E110" t="str">
        <f t="shared" si="8"/>
        <v>DEOAT</v>
      </c>
      <c r="F110">
        <v>90</v>
      </c>
      <c r="G110">
        <v>5</v>
      </c>
      <c r="H110">
        <v>14</v>
      </c>
      <c r="I110" s="5">
        <f t="shared" si="10"/>
        <v>268.65671641791045</v>
      </c>
      <c r="J110" s="5">
        <f t="shared" si="11"/>
        <v>25</v>
      </c>
      <c r="K110" s="5">
        <f t="shared" si="12"/>
        <v>28</v>
      </c>
      <c r="L110" s="5">
        <f t="shared" si="9"/>
        <v>3.2165671641791044E-2</v>
      </c>
    </row>
    <row r="111" spans="1:12" x14ac:dyDescent="0.25">
      <c r="A111" t="s">
        <v>19</v>
      </c>
      <c r="B111" t="s">
        <v>57</v>
      </c>
      <c r="C111" t="s">
        <v>95</v>
      </c>
      <c r="D111" t="str">
        <f>VLOOKUP(C111,cc!$A$2:$B$28,2,FALSE)</f>
        <v>DE</v>
      </c>
      <c r="E111" t="str">
        <f t="shared" si="8"/>
        <v>DEPOT</v>
      </c>
      <c r="F111">
        <v>115</v>
      </c>
      <c r="G111">
        <v>29</v>
      </c>
      <c r="H111">
        <v>135</v>
      </c>
      <c r="I111" s="5">
        <f t="shared" si="10"/>
        <v>343.28358208955223</v>
      </c>
      <c r="J111" s="5">
        <f t="shared" si="11"/>
        <v>145</v>
      </c>
      <c r="K111" s="5">
        <f t="shared" si="12"/>
        <v>270</v>
      </c>
      <c r="L111" s="5">
        <f t="shared" si="9"/>
        <v>7.5828358208955227E-2</v>
      </c>
    </row>
    <row r="112" spans="1:12" x14ac:dyDescent="0.25">
      <c r="A112" t="s">
        <v>11</v>
      </c>
      <c r="B112" t="s">
        <v>49</v>
      </c>
      <c r="C112" t="s">
        <v>95</v>
      </c>
      <c r="D112" t="str">
        <f>VLOOKUP(C112,cc!$A$2:$B$28,2,FALSE)</f>
        <v>DE</v>
      </c>
      <c r="E112" t="str">
        <f t="shared" si="8"/>
        <v>DERAP</v>
      </c>
      <c r="F112">
        <v>135</v>
      </c>
      <c r="G112">
        <v>10</v>
      </c>
      <c r="H112">
        <v>59</v>
      </c>
      <c r="I112" s="5">
        <f t="shared" si="10"/>
        <v>402.98507462686564</v>
      </c>
      <c r="J112" s="5">
        <f t="shared" si="11"/>
        <v>50</v>
      </c>
      <c r="K112" s="5">
        <f t="shared" si="12"/>
        <v>118</v>
      </c>
      <c r="L112" s="5">
        <f t="shared" si="9"/>
        <v>5.7098507462686569E-2</v>
      </c>
    </row>
    <row r="113" spans="1:12" x14ac:dyDescent="0.25">
      <c r="A113" t="s">
        <v>12</v>
      </c>
      <c r="B113" t="s">
        <v>50</v>
      </c>
      <c r="C113" t="s">
        <v>95</v>
      </c>
      <c r="D113" t="str">
        <f>VLOOKUP(C113,cc!$A$2:$B$28,2,FALSE)</f>
        <v>DE</v>
      </c>
      <c r="E113" t="str">
        <f t="shared" si="8"/>
        <v>DERYE</v>
      </c>
      <c r="F113">
        <v>91</v>
      </c>
      <c r="G113">
        <v>5</v>
      </c>
      <c r="H113">
        <v>14</v>
      </c>
      <c r="I113" s="5">
        <f t="shared" si="10"/>
        <v>271.64179104477608</v>
      </c>
      <c r="J113" s="5">
        <f t="shared" si="11"/>
        <v>25</v>
      </c>
      <c r="K113" s="5">
        <f t="shared" si="12"/>
        <v>28</v>
      </c>
      <c r="L113" s="5">
        <f t="shared" si="9"/>
        <v>3.246417910447761E-2</v>
      </c>
    </row>
    <row r="114" spans="1:12" x14ac:dyDescent="0.25">
      <c r="A114" t="s">
        <v>14</v>
      </c>
      <c r="B114" t="s">
        <v>52</v>
      </c>
      <c r="C114" t="s">
        <v>95</v>
      </c>
      <c r="D114" t="str">
        <f>VLOOKUP(C114,cc!$A$2:$B$28,2,FALSE)</f>
        <v>DE</v>
      </c>
      <c r="E114" t="str">
        <f t="shared" si="8"/>
        <v>DESUG</v>
      </c>
      <c r="F114">
        <v>122</v>
      </c>
      <c r="G114">
        <v>24</v>
      </c>
      <c r="H114">
        <v>115</v>
      </c>
      <c r="I114" s="5">
        <f t="shared" si="10"/>
        <v>364.17910447761193</v>
      </c>
      <c r="J114" s="5">
        <f t="shared" si="11"/>
        <v>120</v>
      </c>
      <c r="K114" s="5">
        <f t="shared" si="12"/>
        <v>230</v>
      </c>
      <c r="L114" s="5">
        <f t="shared" si="9"/>
        <v>7.141791044776119E-2</v>
      </c>
    </row>
    <row r="115" spans="1:12" x14ac:dyDescent="0.25">
      <c r="A115" t="s">
        <v>15</v>
      </c>
      <c r="B115" t="s">
        <v>53</v>
      </c>
      <c r="C115" t="s">
        <v>95</v>
      </c>
      <c r="D115" t="str">
        <f>VLOOKUP(C115,cc!$A$2:$B$28,2,FALSE)</f>
        <v>DE</v>
      </c>
      <c r="E115" t="str">
        <f t="shared" si="8"/>
        <v>DEWHE</v>
      </c>
      <c r="F115">
        <v>146</v>
      </c>
      <c r="G115">
        <v>5</v>
      </c>
      <c r="H115">
        <v>12</v>
      </c>
      <c r="I115" s="5">
        <f t="shared" si="10"/>
        <v>435.82089552238801</v>
      </c>
      <c r="J115" s="5">
        <f t="shared" si="11"/>
        <v>25</v>
      </c>
      <c r="K115" s="5">
        <f t="shared" si="12"/>
        <v>24</v>
      </c>
      <c r="L115" s="5">
        <f t="shared" si="9"/>
        <v>4.8482089552238802E-2</v>
      </c>
    </row>
    <row r="116" spans="1:12" x14ac:dyDescent="0.25">
      <c r="A116" t="s">
        <v>125</v>
      </c>
      <c r="B116" t="s">
        <v>126</v>
      </c>
      <c r="C116" t="s">
        <v>95</v>
      </c>
      <c r="D116" t="str">
        <f>VLOOKUP(C116,cc!$A$2:$B$28,2,FALSE)</f>
        <v>DE</v>
      </c>
      <c r="E116" t="str">
        <f t="shared" si="8"/>
        <v>DETRT</v>
      </c>
      <c r="F116">
        <v>92</v>
      </c>
      <c r="G116">
        <v>5</v>
      </c>
      <c r="H116">
        <v>14</v>
      </c>
      <c r="I116" s="5">
        <f t="shared" si="10"/>
        <v>274.62686567164178</v>
      </c>
      <c r="J116" s="5">
        <f t="shared" si="11"/>
        <v>25</v>
      </c>
      <c r="K116" s="5">
        <f t="shared" si="12"/>
        <v>28</v>
      </c>
      <c r="L116" s="5">
        <f t="shared" si="9"/>
        <v>3.2762686567164183E-2</v>
      </c>
    </row>
    <row r="117" spans="1:12" x14ac:dyDescent="0.25">
      <c r="A117" t="s">
        <v>7</v>
      </c>
      <c r="B117" t="s">
        <v>44</v>
      </c>
      <c r="C117" t="s">
        <v>96</v>
      </c>
      <c r="D117" t="str">
        <f>VLOOKUP(C117,cc!$A$2:$B$28,2,FALSE)</f>
        <v>GR</v>
      </c>
      <c r="E117" t="str">
        <f t="shared" si="8"/>
        <v>GRBRL</v>
      </c>
      <c r="F117">
        <v>105</v>
      </c>
      <c r="G117">
        <v>12</v>
      </c>
      <c r="H117">
        <v>4</v>
      </c>
      <c r="I117" s="5">
        <f t="shared" si="10"/>
        <v>313.43283582089549</v>
      </c>
      <c r="J117" s="5">
        <f t="shared" si="11"/>
        <v>60</v>
      </c>
      <c r="K117" s="5">
        <f t="shared" si="12"/>
        <v>8</v>
      </c>
      <c r="L117" s="5">
        <f t="shared" si="9"/>
        <v>3.814328358208955E-2</v>
      </c>
    </row>
    <row r="118" spans="1:12" x14ac:dyDescent="0.25">
      <c r="A118" t="s">
        <v>8</v>
      </c>
      <c r="B118" t="s">
        <v>45</v>
      </c>
      <c r="C118" t="s">
        <v>96</v>
      </c>
      <c r="D118" t="str">
        <f>VLOOKUP(C118,cc!$A$2:$B$28,2,FALSE)</f>
        <v>GR</v>
      </c>
      <c r="E118" t="str">
        <f t="shared" si="8"/>
        <v>GRGRP</v>
      </c>
      <c r="F118">
        <v>53</v>
      </c>
      <c r="G118">
        <v>8</v>
      </c>
      <c r="H118">
        <v>8</v>
      </c>
      <c r="I118" s="5">
        <f t="shared" si="10"/>
        <v>158.20895522388059</v>
      </c>
      <c r="J118" s="5">
        <f t="shared" si="11"/>
        <v>40</v>
      </c>
      <c r="K118" s="5">
        <f t="shared" si="12"/>
        <v>16</v>
      </c>
      <c r="L118" s="5">
        <f t="shared" si="9"/>
        <v>2.1420895522388059E-2</v>
      </c>
    </row>
    <row r="119" spans="1:12" x14ac:dyDescent="0.25">
      <c r="A119" t="s">
        <v>9</v>
      </c>
      <c r="B119" t="s">
        <v>46</v>
      </c>
      <c r="C119" t="s">
        <v>96</v>
      </c>
      <c r="D119" t="str">
        <f>VLOOKUP(C119,cc!$A$2:$B$28,2,FALSE)</f>
        <v>GR</v>
      </c>
      <c r="E119" t="str">
        <f t="shared" si="8"/>
        <v>GRMAI</v>
      </c>
      <c r="F119">
        <v>288</v>
      </c>
      <c r="G119">
        <v>12</v>
      </c>
      <c r="H119">
        <v>8</v>
      </c>
      <c r="I119" s="5">
        <f t="shared" si="10"/>
        <v>859.70149253731336</v>
      </c>
      <c r="J119" s="5">
        <f t="shared" si="11"/>
        <v>60</v>
      </c>
      <c r="K119" s="5">
        <f t="shared" si="12"/>
        <v>16</v>
      </c>
      <c r="L119" s="5">
        <f t="shared" si="9"/>
        <v>9.3570149253731347E-2</v>
      </c>
    </row>
    <row r="120" spans="1:12" x14ac:dyDescent="0.25">
      <c r="A120" t="s">
        <v>28</v>
      </c>
      <c r="B120" t="s">
        <v>67</v>
      </c>
      <c r="C120" t="s">
        <v>96</v>
      </c>
      <c r="D120" t="str">
        <f>VLOOKUP(C120,cc!$A$2:$B$28,2,FALSE)</f>
        <v>GR</v>
      </c>
      <c r="E120" t="str">
        <f t="shared" si="8"/>
        <v>GROAT</v>
      </c>
      <c r="F120">
        <v>105</v>
      </c>
      <c r="G120">
        <v>12</v>
      </c>
      <c r="H120">
        <v>4</v>
      </c>
      <c r="I120" s="5">
        <f t="shared" si="10"/>
        <v>313.43283582089549</v>
      </c>
      <c r="J120" s="5">
        <f t="shared" si="11"/>
        <v>60</v>
      </c>
      <c r="K120" s="5">
        <f t="shared" si="12"/>
        <v>8</v>
      </c>
      <c r="L120" s="5">
        <f t="shared" si="9"/>
        <v>3.814328358208955E-2</v>
      </c>
    </row>
    <row r="121" spans="1:12" x14ac:dyDescent="0.25">
      <c r="A121" t="s">
        <v>23</v>
      </c>
      <c r="B121" t="s">
        <v>62</v>
      </c>
      <c r="C121" t="s">
        <v>96</v>
      </c>
      <c r="D121" t="str">
        <f>VLOOKUP(C121,cc!$A$2:$B$28,2,FALSE)</f>
        <v>GR</v>
      </c>
      <c r="E121" t="str">
        <f t="shared" si="8"/>
        <v>GROLI</v>
      </c>
      <c r="F121">
        <v>58</v>
      </c>
      <c r="G121">
        <v>12</v>
      </c>
      <c r="H121">
        <v>15</v>
      </c>
      <c r="I121" s="5">
        <f t="shared" si="10"/>
        <v>173.13432835820893</v>
      </c>
      <c r="J121" s="5">
        <f t="shared" si="11"/>
        <v>60</v>
      </c>
      <c r="K121" s="5">
        <f t="shared" si="12"/>
        <v>30</v>
      </c>
      <c r="L121" s="5">
        <f t="shared" si="9"/>
        <v>2.6313432835820893E-2</v>
      </c>
    </row>
    <row r="122" spans="1:12" x14ac:dyDescent="0.25">
      <c r="A122" t="s">
        <v>20</v>
      </c>
      <c r="B122" t="s">
        <v>58</v>
      </c>
      <c r="C122" t="s">
        <v>96</v>
      </c>
      <c r="D122" t="str">
        <f>VLOOKUP(C122,cc!$A$2:$B$28,2,FALSE)</f>
        <v>GR</v>
      </c>
      <c r="E122" t="str">
        <f t="shared" si="8"/>
        <v>GROTP</v>
      </c>
      <c r="F122">
        <v>17</v>
      </c>
      <c r="G122">
        <v>3</v>
      </c>
      <c r="H122">
        <v>7</v>
      </c>
      <c r="I122" s="5">
        <f t="shared" si="10"/>
        <v>50.746268656716417</v>
      </c>
      <c r="J122" s="5">
        <f t="shared" si="11"/>
        <v>15</v>
      </c>
      <c r="K122" s="5">
        <f t="shared" si="12"/>
        <v>14</v>
      </c>
      <c r="L122" s="5">
        <f t="shared" si="9"/>
        <v>7.9746268656716406E-3</v>
      </c>
    </row>
    <row r="123" spans="1:12" x14ac:dyDescent="0.25">
      <c r="A123" t="s">
        <v>33</v>
      </c>
      <c r="B123" t="s">
        <v>72</v>
      </c>
      <c r="C123" t="s">
        <v>96</v>
      </c>
      <c r="D123" t="str">
        <f>VLOOKUP(C123,cc!$A$2:$B$28,2,FALSE)</f>
        <v>GR</v>
      </c>
      <c r="E123" t="str">
        <f t="shared" si="8"/>
        <v>GRSEE</v>
      </c>
      <c r="F123">
        <v>57</v>
      </c>
      <c r="G123">
        <v>11</v>
      </c>
      <c r="H123">
        <v>15</v>
      </c>
      <c r="I123" s="5">
        <f t="shared" si="10"/>
        <v>170.14925373134326</v>
      </c>
      <c r="J123" s="5">
        <f t="shared" si="11"/>
        <v>55</v>
      </c>
      <c r="K123" s="5">
        <f t="shared" si="12"/>
        <v>30</v>
      </c>
      <c r="L123" s="5">
        <f t="shared" si="9"/>
        <v>2.5514925373134326E-2</v>
      </c>
    </row>
    <row r="124" spans="1:12" x14ac:dyDescent="0.25">
      <c r="A124" t="s">
        <v>21</v>
      </c>
      <c r="B124" t="s">
        <v>60</v>
      </c>
      <c r="C124" t="s">
        <v>96</v>
      </c>
      <c r="D124" t="str">
        <f>VLOOKUP(C124,cc!$A$2:$B$28,2,FALSE)</f>
        <v>GR</v>
      </c>
      <c r="E124" t="str">
        <f t="shared" si="8"/>
        <v>GRSUN</v>
      </c>
      <c r="F124">
        <v>58</v>
      </c>
      <c r="G124">
        <v>13</v>
      </c>
      <c r="H124">
        <v>15</v>
      </c>
      <c r="I124" s="5">
        <f t="shared" si="10"/>
        <v>173.13432835820893</v>
      </c>
      <c r="J124" s="5">
        <f t="shared" si="11"/>
        <v>65</v>
      </c>
      <c r="K124" s="5">
        <f t="shared" si="12"/>
        <v>30</v>
      </c>
      <c r="L124" s="5">
        <f t="shared" si="9"/>
        <v>2.6813432835820893E-2</v>
      </c>
    </row>
    <row r="125" spans="1:12" x14ac:dyDescent="0.25">
      <c r="A125" t="s">
        <v>15</v>
      </c>
      <c r="B125" t="s">
        <v>114</v>
      </c>
      <c r="C125" t="s">
        <v>96</v>
      </c>
      <c r="D125" t="str">
        <f>VLOOKUP(C125,cc!$A$2:$B$28,2,FALSE)</f>
        <v>GR</v>
      </c>
      <c r="E125" t="str">
        <f t="shared" si="8"/>
        <v>GRWHE</v>
      </c>
      <c r="F125">
        <v>60</v>
      </c>
      <c r="G125">
        <v>6</v>
      </c>
      <c r="H125">
        <v>1</v>
      </c>
      <c r="I125" s="5">
        <f t="shared" si="10"/>
        <v>179.1044776119403</v>
      </c>
      <c r="J125" s="5">
        <f t="shared" si="11"/>
        <v>30</v>
      </c>
      <c r="K125" s="5">
        <f t="shared" si="12"/>
        <v>2</v>
      </c>
      <c r="L125" s="5">
        <f t="shared" si="9"/>
        <v>2.1110447761194032E-2</v>
      </c>
    </row>
    <row r="126" spans="1:12" x14ac:dyDescent="0.25">
      <c r="A126" t="s">
        <v>125</v>
      </c>
      <c r="B126" t="s">
        <v>126</v>
      </c>
      <c r="C126" t="s">
        <v>96</v>
      </c>
      <c r="D126" t="str">
        <f>VLOOKUP(C126,cc!$A$2:$B$28,2,FALSE)</f>
        <v>GR</v>
      </c>
      <c r="E126" t="str">
        <f t="shared" si="8"/>
        <v>GRTRT</v>
      </c>
      <c r="F126">
        <v>105</v>
      </c>
      <c r="G126">
        <v>12</v>
      </c>
      <c r="H126">
        <v>4</v>
      </c>
      <c r="I126" s="5">
        <f t="shared" si="10"/>
        <v>313.43283582089549</v>
      </c>
      <c r="J126" s="5">
        <f t="shared" si="11"/>
        <v>60</v>
      </c>
      <c r="K126" s="5">
        <f t="shared" si="12"/>
        <v>8</v>
      </c>
      <c r="L126" s="5">
        <f t="shared" si="9"/>
        <v>3.814328358208955E-2</v>
      </c>
    </row>
    <row r="127" spans="1:12" x14ac:dyDescent="0.25">
      <c r="A127" t="s">
        <v>34</v>
      </c>
      <c r="B127" t="s">
        <v>73</v>
      </c>
      <c r="C127" t="s">
        <v>97</v>
      </c>
      <c r="D127" t="str">
        <f>VLOOKUP(C127,cc!$A$2:$B$28,2,FALSE)</f>
        <v>HU</v>
      </c>
      <c r="E127" t="str">
        <f t="shared" si="8"/>
        <v>HUAPP</v>
      </c>
      <c r="F127">
        <v>45</v>
      </c>
      <c r="G127">
        <v>1</v>
      </c>
      <c r="H127">
        <v>2</v>
      </c>
      <c r="I127" s="5">
        <f t="shared" si="10"/>
        <v>134.32835820895522</v>
      </c>
      <c r="J127" s="5">
        <f t="shared" si="11"/>
        <v>5</v>
      </c>
      <c r="K127" s="5">
        <f t="shared" si="12"/>
        <v>4</v>
      </c>
      <c r="L127" s="5">
        <f t="shared" si="9"/>
        <v>1.4332835820895524E-2</v>
      </c>
    </row>
    <row r="128" spans="1:12" x14ac:dyDescent="0.25">
      <c r="A128" t="s">
        <v>7</v>
      </c>
      <c r="B128" t="s">
        <v>44</v>
      </c>
      <c r="C128" t="s">
        <v>97</v>
      </c>
      <c r="D128" t="str">
        <f>VLOOKUP(C128,cc!$A$2:$B$28,2,FALSE)</f>
        <v>HU</v>
      </c>
      <c r="E128" t="str">
        <f t="shared" si="8"/>
        <v>HUBRL</v>
      </c>
      <c r="F128">
        <v>32</v>
      </c>
      <c r="G128">
        <v>1</v>
      </c>
      <c r="H128">
        <v>1</v>
      </c>
      <c r="I128" s="5">
        <f t="shared" si="10"/>
        <v>95.522388059701484</v>
      </c>
      <c r="J128" s="5">
        <f t="shared" si="11"/>
        <v>5</v>
      </c>
      <c r="K128" s="5">
        <f t="shared" si="12"/>
        <v>2</v>
      </c>
      <c r="L128" s="5">
        <f t="shared" si="9"/>
        <v>1.0252238805970149E-2</v>
      </c>
    </row>
    <row r="129" spans="1:12" x14ac:dyDescent="0.25">
      <c r="A129" t="s">
        <v>8</v>
      </c>
      <c r="B129" t="s">
        <v>45</v>
      </c>
      <c r="C129" t="s">
        <v>97</v>
      </c>
      <c r="D129" t="str">
        <f>VLOOKUP(C129,cc!$A$2:$B$28,2,FALSE)</f>
        <v>HU</v>
      </c>
      <c r="E129" t="str">
        <f t="shared" si="8"/>
        <v>HUGRP</v>
      </c>
      <c r="F129">
        <v>45</v>
      </c>
      <c r="G129">
        <v>1</v>
      </c>
      <c r="H129">
        <v>2</v>
      </c>
      <c r="I129" s="5">
        <f t="shared" si="10"/>
        <v>134.32835820895522</v>
      </c>
      <c r="J129" s="5">
        <f t="shared" si="11"/>
        <v>5</v>
      </c>
      <c r="K129" s="5">
        <f t="shared" si="12"/>
        <v>4</v>
      </c>
      <c r="L129" s="5">
        <f t="shared" si="9"/>
        <v>1.4332835820895524E-2</v>
      </c>
    </row>
    <row r="130" spans="1:12" x14ac:dyDescent="0.25">
      <c r="A130" t="s">
        <v>9</v>
      </c>
      <c r="B130" t="s">
        <v>46</v>
      </c>
      <c r="C130" t="s">
        <v>97</v>
      </c>
      <c r="D130" t="str">
        <f>VLOOKUP(C130,cc!$A$2:$B$28,2,FALSE)</f>
        <v>HU</v>
      </c>
      <c r="E130" t="str">
        <f t="shared" si="8"/>
        <v>HUMAI</v>
      </c>
      <c r="F130">
        <v>140</v>
      </c>
      <c r="G130">
        <v>12</v>
      </c>
      <c r="H130">
        <v>31</v>
      </c>
      <c r="I130" s="5">
        <f t="shared" si="10"/>
        <v>417.91044776119401</v>
      </c>
      <c r="J130" s="5">
        <f t="shared" si="11"/>
        <v>60</v>
      </c>
      <c r="K130" s="5">
        <f t="shared" si="12"/>
        <v>62</v>
      </c>
      <c r="L130" s="5">
        <f t="shared" si="9"/>
        <v>5.3991044776119407E-2</v>
      </c>
    </row>
    <row r="131" spans="1:12" x14ac:dyDescent="0.25">
      <c r="A131" t="s">
        <v>11</v>
      </c>
      <c r="B131" t="s">
        <v>49</v>
      </c>
      <c r="C131" t="s">
        <v>97</v>
      </c>
      <c r="D131" t="str">
        <f>VLOOKUP(C131,cc!$A$2:$B$28,2,FALSE)</f>
        <v>HU</v>
      </c>
      <c r="E131" t="str">
        <f t="shared" si="8"/>
        <v>HURAP</v>
      </c>
      <c r="F131">
        <v>149</v>
      </c>
      <c r="G131">
        <v>21</v>
      </c>
      <c r="H131">
        <v>31</v>
      </c>
      <c r="I131" s="5">
        <f t="shared" si="10"/>
        <v>444.77611940298505</v>
      </c>
      <c r="J131" s="5">
        <f t="shared" si="11"/>
        <v>105</v>
      </c>
      <c r="K131" s="5">
        <f t="shared" si="12"/>
        <v>62</v>
      </c>
      <c r="L131" s="5">
        <f t="shared" si="9"/>
        <v>6.1177611940298506E-2</v>
      </c>
    </row>
    <row r="132" spans="1:12" x14ac:dyDescent="0.25">
      <c r="A132" t="s">
        <v>12</v>
      </c>
      <c r="B132" t="s">
        <v>50</v>
      </c>
      <c r="C132" t="s">
        <v>97</v>
      </c>
      <c r="D132" t="str">
        <f>VLOOKUP(C132,cc!$A$2:$B$28,2,FALSE)</f>
        <v>HU</v>
      </c>
      <c r="E132" t="str">
        <f t="shared" si="8"/>
        <v>HURYE</v>
      </c>
      <c r="F132">
        <v>34</v>
      </c>
      <c r="G132">
        <v>1</v>
      </c>
      <c r="H132">
        <v>2</v>
      </c>
      <c r="I132" s="5">
        <f t="shared" si="10"/>
        <v>101.49253731343283</v>
      </c>
      <c r="J132" s="5">
        <f t="shared" si="11"/>
        <v>5</v>
      </c>
      <c r="K132" s="5">
        <f t="shared" si="12"/>
        <v>4</v>
      </c>
      <c r="L132" s="5">
        <f t="shared" si="9"/>
        <v>1.1049253731343285E-2</v>
      </c>
    </row>
    <row r="133" spans="1:12" x14ac:dyDescent="0.25">
      <c r="A133" t="s">
        <v>13</v>
      </c>
      <c r="B133" t="s">
        <v>51</v>
      </c>
      <c r="C133" t="s">
        <v>97</v>
      </c>
      <c r="D133" t="str">
        <f>VLOOKUP(C133,cc!$A$2:$B$28,2,FALSE)</f>
        <v>HU</v>
      </c>
      <c r="E133" t="str">
        <f t="shared" si="8"/>
        <v>HUSOY</v>
      </c>
      <c r="F133">
        <v>52</v>
      </c>
      <c r="G133">
        <v>1</v>
      </c>
      <c r="H133">
        <v>2</v>
      </c>
      <c r="I133" s="5">
        <f t="shared" si="10"/>
        <v>155.22388059701493</v>
      </c>
      <c r="J133" s="5">
        <f t="shared" si="11"/>
        <v>5</v>
      </c>
      <c r="K133" s="5">
        <f t="shared" si="12"/>
        <v>4</v>
      </c>
      <c r="L133" s="5">
        <f t="shared" si="9"/>
        <v>1.6422388059701493E-2</v>
      </c>
    </row>
    <row r="134" spans="1:12" x14ac:dyDescent="0.25">
      <c r="A134" t="s">
        <v>21</v>
      </c>
      <c r="B134" t="s">
        <v>60</v>
      </c>
      <c r="C134" t="s">
        <v>97</v>
      </c>
      <c r="D134" t="str">
        <f>VLOOKUP(C134,cc!$A$2:$B$28,2,FALSE)</f>
        <v>HU</v>
      </c>
      <c r="E134" t="str">
        <f t="shared" si="8"/>
        <v>HUSUN</v>
      </c>
      <c r="F134">
        <v>52</v>
      </c>
      <c r="G134">
        <v>1</v>
      </c>
      <c r="H134">
        <v>2</v>
      </c>
      <c r="I134" s="5">
        <f t="shared" si="10"/>
        <v>155.22388059701493</v>
      </c>
      <c r="J134" s="5">
        <f t="shared" si="11"/>
        <v>5</v>
      </c>
      <c r="K134" s="5">
        <f t="shared" si="12"/>
        <v>4</v>
      </c>
      <c r="L134" s="5">
        <f t="shared" si="9"/>
        <v>1.6422388059701493E-2</v>
      </c>
    </row>
    <row r="135" spans="1:12" x14ac:dyDescent="0.25">
      <c r="A135" t="s">
        <v>15</v>
      </c>
      <c r="B135" t="s">
        <v>114</v>
      </c>
      <c r="C135" t="s">
        <v>97</v>
      </c>
      <c r="D135" t="str">
        <f>VLOOKUP(C135,cc!$A$2:$B$28,2,FALSE)</f>
        <v>HU</v>
      </c>
      <c r="E135" t="str">
        <f t="shared" si="8"/>
        <v>HUWHE</v>
      </c>
      <c r="F135">
        <v>138</v>
      </c>
      <c r="G135">
        <v>13</v>
      </c>
      <c r="H135">
        <v>13</v>
      </c>
      <c r="I135" s="5">
        <f t="shared" si="10"/>
        <v>411.94029850746267</v>
      </c>
      <c r="J135" s="5">
        <f t="shared" si="11"/>
        <v>65</v>
      </c>
      <c r="K135" s="5">
        <f t="shared" si="12"/>
        <v>26</v>
      </c>
      <c r="L135" s="5">
        <f t="shared" si="9"/>
        <v>5.0294029850746269E-2</v>
      </c>
    </row>
    <row r="136" spans="1:12" x14ac:dyDescent="0.25">
      <c r="A136" t="s">
        <v>125</v>
      </c>
      <c r="B136" t="s">
        <v>126</v>
      </c>
      <c r="C136" t="s">
        <v>97</v>
      </c>
      <c r="D136" t="str">
        <f>VLOOKUP(C136,cc!$A$2:$B$28,2,FALSE)</f>
        <v>HU</v>
      </c>
      <c r="E136" t="str">
        <f t="shared" ref="E136:E199" si="13">CONCATENATE(D136,A136)</f>
        <v>HUTRT</v>
      </c>
      <c r="F136">
        <v>35</v>
      </c>
      <c r="G136">
        <v>1</v>
      </c>
      <c r="H136">
        <v>2</v>
      </c>
      <c r="I136" s="5">
        <f t="shared" si="10"/>
        <v>104.4776119402985</v>
      </c>
      <c r="J136" s="5">
        <f t="shared" si="11"/>
        <v>5</v>
      </c>
      <c r="K136" s="5">
        <f t="shared" si="12"/>
        <v>4</v>
      </c>
      <c r="L136" s="5">
        <f t="shared" ref="L136:L199" si="14">(I136+J136+K136)*0.0001</f>
        <v>1.1347761194029851E-2</v>
      </c>
    </row>
    <row r="137" spans="1:12" x14ac:dyDescent="0.25">
      <c r="A137" t="s">
        <v>7</v>
      </c>
      <c r="B137" t="s">
        <v>44</v>
      </c>
      <c r="C137" t="s">
        <v>98</v>
      </c>
      <c r="D137" t="str">
        <f>VLOOKUP(C137,cc!$A$2:$B$28,2,FALSE)</f>
        <v>IE</v>
      </c>
      <c r="E137" t="str">
        <f t="shared" si="13"/>
        <v>IEBRL</v>
      </c>
      <c r="F137">
        <v>128</v>
      </c>
      <c r="G137">
        <v>32</v>
      </c>
      <c r="H137">
        <v>77</v>
      </c>
      <c r="I137" s="5">
        <f t="shared" si="10"/>
        <v>382.08955223880594</v>
      </c>
      <c r="J137" s="5">
        <f t="shared" si="11"/>
        <v>160</v>
      </c>
      <c r="K137" s="5">
        <f t="shared" si="12"/>
        <v>154</v>
      </c>
      <c r="L137" s="5">
        <f t="shared" si="14"/>
        <v>6.9608955223880595E-2</v>
      </c>
    </row>
    <row r="138" spans="1:12" x14ac:dyDescent="0.25">
      <c r="A138" t="s">
        <v>30</v>
      </c>
      <c r="B138" t="s">
        <v>69</v>
      </c>
      <c r="C138" t="s">
        <v>98</v>
      </c>
      <c r="D138" t="str">
        <f>VLOOKUP(C138,cc!$A$2:$B$28,2,FALSE)</f>
        <v>IE</v>
      </c>
      <c r="E138" t="str">
        <f t="shared" si="13"/>
        <v>IEBRO</v>
      </c>
      <c r="F138">
        <v>9</v>
      </c>
      <c r="G138">
        <v>16</v>
      </c>
      <c r="H138">
        <v>48</v>
      </c>
      <c r="I138" s="5">
        <f t="shared" si="10"/>
        <v>26.865671641791042</v>
      </c>
      <c r="J138" s="5">
        <f t="shared" si="11"/>
        <v>80</v>
      </c>
      <c r="K138" s="5">
        <f t="shared" si="12"/>
        <v>96</v>
      </c>
      <c r="L138" s="5">
        <f t="shared" si="14"/>
        <v>2.0286567164179106E-2</v>
      </c>
    </row>
    <row r="139" spans="1:12" x14ac:dyDescent="0.25">
      <c r="A139" t="s">
        <v>35</v>
      </c>
      <c r="B139" t="s">
        <v>74</v>
      </c>
      <c r="C139" t="s">
        <v>98</v>
      </c>
      <c r="D139" t="str">
        <f>VLOOKUP(C139,cc!$A$2:$B$28,2,FALSE)</f>
        <v>IE</v>
      </c>
      <c r="E139" t="str">
        <f t="shared" si="13"/>
        <v>IECAB</v>
      </c>
      <c r="F139">
        <v>171</v>
      </c>
      <c r="G139">
        <v>48</v>
      </c>
      <c r="H139">
        <v>93</v>
      </c>
      <c r="I139" s="5">
        <f t="shared" si="10"/>
        <v>510.44776119402979</v>
      </c>
      <c r="J139" s="5">
        <f t="shared" si="11"/>
        <v>240</v>
      </c>
      <c r="K139" s="5">
        <f t="shared" si="12"/>
        <v>186</v>
      </c>
      <c r="L139" s="5">
        <f t="shared" si="14"/>
        <v>9.3644776119402987E-2</v>
      </c>
    </row>
    <row r="140" spans="1:12" x14ac:dyDescent="0.25">
      <c r="A140" t="s">
        <v>36</v>
      </c>
      <c r="B140" t="s">
        <v>75</v>
      </c>
      <c r="C140" t="s">
        <v>98</v>
      </c>
      <c r="D140" t="str">
        <f>VLOOKUP(C140,cc!$A$2:$B$28,2,FALSE)</f>
        <v>IE</v>
      </c>
      <c r="E140" t="str">
        <f t="shared" si="13"/>
        <v>IECAR</v>
      </c>
      <c r="F140">
        <v>166</v>
      </c>
      <c r="G140">
        <v>46</v>
      </c>
      <c r="H140">
        <v>90</v>
      </c>
      <c r="I140" s="5">
        <f t="shared" si="10"/>
        <v>495.52238805970148</v>
      </c>
      <c r="J140" s="5">
        <f t="shared" si="11"/>
        <v>230</v>
      </c>
      <c r="K140" s="5">
        <f t="shared" si="12"/>
        <v>180</v>
      </c>
      <c r="L140" s="5">
        <f t="shared" si="14"/>
        <v>9.0552238805970159E-2</v>
      </c>
    </row>
    <row r="141" spans="1:12" x14ac:dyDescent="0.25">
      <c r="A141" t="s">
        <v>37</v>
      </c>
      <c r="B141" t="s">
        <v>76</v>
      </c>
      <c r="C141" t="s">
        <v>98</v>
      </c>
      <c r="D141" t="str">
        <f>VLOOKUP(C141,cc!$A$2:$B$28,2,FALSE)</f>
        <v>IE</v>
      </c>
      <c r="E141" t="str">
        <f t="shared" si="13"/>
        <v>IECAU</v>
      </c>
      <c r="F141">
        <v>168</v>
      </c>
      <c r="G141">
        <v>47</v>
      </c>
      <c r="H141">
        <v>92</v>
      </c>
      <c r="I141" s="5">
        <f t="shared" si="10"/>
        <v>501.49253731343282</v>
      </c>
      <c r="J141" s="5">
        <f t="shared" si="11"/>
        <v>235</v>
      </c>
      <c r="K141" s="5">
        <f t="shared" si="12"/>
        <v>184</v>
      </c>
      <c r="L141" s="5">
        <f t="shared" si="14"/>
        <v>9.2049253731343289E-2</v>
      </c>
    </row>
    <row r="142" spans="1:12" x14ac:dyDescent="0.25">
      <c r="A142" t="s">
        <v>28</v>
      </c>
      <c r="B142" t="s">
        <v>67</v>
      </c>
      <c r="C142" t="s">
        <v>98</v>
      </c>
      <c r="D142" t="str">
        <f>VLOOKUP(C142,cc!$A$2:$B$28,2,FALSE)</f>
        <v>IE</v>
      </c>
      <c r="E142" t="str">
        <f t="shared" si="13"/>
        <v>IEOAT</v>
      </c>
      <c r="F142">
        <v>125</v>
      </c>
      <c r="G142">
        <v>32</v>
      </c>
      <c r="H142">
        <v>76</v>
      </c>
      <c r="I142" s="5">
        <f t="shared" ref="I142:I205" si="15">F142/$J$2</f>
        <v>373.13432835820896</v>
      </c>
      <c r="J142" s="5">
        <f t="shared" ref="J142:J205" si="16">G142/$K$2</f>
        <v>160</v>
      </c>
      <c r="K142" s="5">
        <f t="shared" ref="K142:K205" si="17">H142/$L$2</f>
        <v>152</v>
      </c>
      <c r="L142" s="5">
        <f t="shared" si="14"/>
        <v>6.8513432835820898E-2</v>
      </c>
    </row>
    <row r="143" spans="1:12" x14ac:dyDescent="0.25">
      <c r="A143" t="s">
        <v>19</v>
      </c>
      <c r="B143" t="s">
        <v>57</v>
      </c>
      <c r="C143" t="s">
        <v>98</v>
      </c>
      <c r="D143" t="str">
        <f>VLOOKUP(C143,cc!$A$2:$B$28,2,FALSE)</f>
        <v>IE</v>
      </c>
      <c r="E143" t="str">
        <f t="shared" si="13"/>
        <v>IEPOT</v>
      </c>
      <c r="F143">
        <v>119</v>
      </c>
      <c r="G143">
        <v>112</v>
      </c>
      <c r="H143">
        <v>237</v>
      </c>
      <c r="I143" s="5">
        <f t="shared" si="15"/>
        <v>355.2238805970149</v>
      </c>
      <c r="J143" s="5">
        <f t="shared" si="16"/>
        <v>560</v>
      </c>
      <c r="K143" s="5">
        <f t="shared" si="17"/>
        <v>474</v>
      </c>
      <c r="L143" s="5">
        <f t="shared" si="14"/>
        <v>0.1389223880597015</v>
      </c>
    </row>
    <row r="144" spans="1:12" x14ac:dyDescent="0.25">
      <c r="A144" t="s">
        <v>11</v>
      </c>
      <c r="B144" t="s">
        <v>49</v>
      </c>
      <c r="C144" t="s">
        <v>98</v>
      </c>
      <c r="D144" t="str">
        <f>VLOOKUP(C144,cc!$A$2:$B$28,2,FALSE)</f>
        <v>IE</v>
      </c>
      <c r="E144" t="str">
        <f t="shared" si="13"/>
        <v>IERAP</v>
      </c>
      <c r="F144">
        <v>173</v>
      </c>
      <c r="G144">
        <v>20</v>
      </c>
      <c r="H144">
        <v>61</v>
      </c>
      <c r="I144" s="5">
        <f t="shared" si="15"/>
        <v>516.41791044776119</v>
      </c>
      <c r="J144" s="5">
        <f t="shared" si="16"/>
        <v>100</v>
      </c>
      <c r="K144" s="5">
        <f t="shared" si="17"/>
        <v>122</v>
      </c>
      <c r="L144" s="5">
        <f t="shared" si="14"/>
        <v>7.3841791044776117E-2</v>
      </c>
    </row>
    <row r="145" spans="1:12" x14ac:dyDescent="0.25">
      <c r="A145" t="s">
        <v>15</v>
      </c>
      <c r="B145" t="s">
        <v>114</v>
      </c>
      <c r="C145" t="s">
        <v>98</v>
      </c>
      <c r="D145" t="str">
        <f>VLOOKUP(C145,cc!$A$2:$B$28,2,FALSE)</f>
        <v>IE</v>
      </c>
      <c r="E145" t="str">
        <f t="shared" si="13"/>
        <v>IEWHE</v>
      </c>
      <c r="F145">
        <v>192</v>
      </c>
      <c r="G145">
        <v>29</v>
      </c>
      <c r="H145">
        <v>85</v>
      </c>
      <c r="I145" s="5">
        <f t="shared" si="15"/>
        <v>573.1343283582089</v>
      </c>
      <c r="J145" s="5">
        <f t="shared" si="16"/>
        <v>145</v>
      </c>
      <c r="K145" s="5">
        <f t="shared" si="17"/>
        <v>170</v>
      </c>
      <c r="L145" s="5">
        <f t="shared" si="14"/>
        <v>8.8813432835820896E-2</v>
      </c>
    </row>
    <row r="146" spans="1:12" x14ac:dyDescent="0.25">
      <c r="A146" t="s">
        <v>7</v>
      </c>
      <c r="B146" t="s">
        <v>44</v>
      </c>
      <c r="C146" t="s">
        <v>99</v>
      </c>
      <c r="D146" t="str">
        <f>VLOOKUP(C146,cc!$A$2:$B$28,2,FALSE)</f>
        <v>IT</v>
      </c>
      <c r="E146" t="str">
        <f t="shared" si="13"/>
        <v>ITBRL</v>
      </c>
      <c r="F146">
        <v>93</v>
      </c>
      <c r="G146">
        <v>14</v>
      </c>
      <c r="H146">
        <v>3</v>
      </c>
      <c r="I146" s="5">
        <f t="shared" si="15"/>
        <v>277.61194029850742</v>
      </c>
      <c r="J146" s="5">
        <f t="shared" si="16"/>
        <v>70</v>
      </c>
      <c r="K146" s="5">
        <f t="shared" si="17"/>
        <v>6</v>
      </c>
      <c r="L146" s="5">
        <f t="shared" si="14"/>
        <v>3.5361194029850745E-2</v>
      </c>
    </row>
    <row r="147" spans="1:12" x14ac:dyDescent="0.25">
      <c r="A147" t="s">
        <v>8</v>
      </c>
      <c r="B147" t="s">
        <v>45</v>
      </c>
      <c r="C147" t="s">
        <v>99</v>
      </c>
      <c r="D147" t="str">
        <f>VLOOKUP(C147,cc!$A$2:$B$28,2,FALSE)</f>
        <v>IT</v>
      </c>
      <c r="E147" t="str">
        <f t="shared" si="13"/>
        <v>ITGRP</v>
      </c>
      <c r="F147">
        <v>57</v>
      </c>
      <c r="G147">
        <v>6</v>
      </c>
      <c r="H147">
        <v>23</v>
      </c>
      <c r="I147" s="5">
        <f t="shared" si="15"/>
        <v>170.14925373134326</v>
      </c>
      <c r="J147" s="5">
        <f t="shared" si="16"/>
        <v>30</v>
      </c>
      <c r="K147" s="5">
        <f t="shared" si="17"/>
        <v>46</v>
      </c>
      <c r="L147" s="5">
        <f t="shared" si="14"/>
        <v>2.4614925373134328E-2</v>
      </c>
    </row>
    <row r="148" spans="1:12" x14ac:dyDescent="0.25">
      <c r="A148" t="s">
        <v>9</v>
      </c>
      <c r="B148" t="s">
        <v>46</v>
      </c>
      <c r="C148" t="s">
        <v>99</v>
      </c>
      <c r="D148" t="str">
        <f>VLOOKUP(C148,cc!$A$2:$B$28,2,FALSE)</f>
        <v>IT</v>
      </c>
      <c r="E148" t="str">
        <f t="shared" si="13"/>
        <v>ITMAI</v>
      </c>
      <c r="F148">
        <v>209</v>
      </c>
      <c r="G148">
        <v>23</v>
      </c>
      <c r="H148">
        <v>56</v>
      </c>
      <c r="I148" s="5">
        <f t="shared" si="15"/>
        <v>623.88059701492534</v>
      </c>
      <c r="J148" s="5">
        <f t="shared" si="16"/>
        <v>115</v>
      </c>
      <c r="K148" s="5">
        <f t="shared" si="17"/>
        <v>112</v>
      </c>
      <c r="L148" s="5">
        <f t="shared" si="14"/>
        <v>8.5088059701492538E-2</v>
      </c>
    </row>
    <row r="149" spans="1:12" x14ac:dyDescent="0.25">
      <c r="A149" t="s">
        <v>28</v>
      </c>
      <c r="B149" t="s">
        <v>67</v>
      </c>
      <c r="C149" t="s">
        <v>99</v>
      </c>
      <c r="D149" t="str">
        <f>VLOOKUP(C149,cc!$A$2:$B$28,2,FALSE)</f>
        <v>IT</v>
      </c>
      <c r="E149" t="str">
        <f t="shared" si="13"/>
        <v>ITOAT</v>
      </c>
      <c r="F149">
        <v>93</v>
      </c>
      <c r="G149">
        <v>14</v>
      </c>
      <c r="H149">
        <v>3</v>
      </c>
      <c r="I149" s="5">
        <f t="shared" si="15"/>
        <v>277.61194029850742</v>
      </c>
      <c r="J149" s="5">
        <f t="shared" si="16"/>
        <v>70</v>
      </c>
      <c r="K149" s="5">
        <f t="shared" si="17"/>
        <v>6</v>
      </c>
      <c r="L149" s="5">
        <f t="shared" si="14"/>
        <v>3.5361194029850745E-2</v>
      </c>
    </row>
    <row r="150" spans="1:12" x14ac:dyDescent="0.25">
      <c r="A150" t="s">
        <v>23</v>
      </c>
      <c r="B150" t="s">
        <v>62</v>
      </c>
      <c r="C150" t="s">
        <v>99</v>
      </c>
      <c r="D150" t="str">
        <f>VLOOKUP(C150,cc!$A$2:$B$28,2,FALSE)</f>
        <v>IT</v>
      </c>
      <c r="E150" t="str">
        <f t="shared" si="13"/>
        <v>ITOLI</v>
      </c>
      <c r="F150">
        <v>49</v>
      </c>
      <c r="G150">
        <v>5</v>
      </c>
      <c r="H150">
        <v>8</v>
      </c>
      <c r="I150" s="5">
        <f t="shared" si="15"/>
        <v>146.26865671641789</v>
      </c>
      <c r="J150" s="5">
        <f t="shared" si="16"/>
        <v>25</v>
      </c>
      <c r="K150" s="5">
        <f t="shared" si="17"/>
        <v>16</v>
      </c>
      <c r="L150" s="5">
        <f t="shared" si="14"/>
        <v>1.872686567164179E-2</v>
      </c>
    </row>
    <row r="151" spans="1:12" x14ac:dyDescent="0.25">
      <c r="A151" t="s">
        <v>38</v>
      </c>
      <c r="B151" t="s">
        <v>77</v>
      </c>
      <c r="C151" t="s">
        <v>99</v>
      </c>
      <c r="D151" t="str">
        <f>VLOOKUP(C151,cc!$A$2:$B$28,2,FALSE)</f>
        <v>IT</v>
      </c>
      <c r="E151" t="str">
        <f t="shared" si="13"/>
        <v>ITRIC</v>
      </c>
      <c r="F151">
        <v>93</v>
      </c>
      <c r="G151">
        <v>14</v>
      </c>
      <c r="H151">
        <v>3</v>
      </c>
      <c r="I151" s="5">
        <f t="shared" si="15"/>
        <v>277.61194029850742</v>
      </c>
      <c r="J151" s="5">
        <f t="shared" si="16"/>
        <v>70</v>
      </c>
      <c r="K151" s="5">
        <f t="shared" si="17"/>
        <v>6</v>
      </c>
      <c r="L151" s="5">
        <f t="shared" si="14"/>
        <v>3.5361194029850745E-2</v>
      </c>
    </row>
    <row r="152" spans="1:12" x14ac:dyDescent="0.25">
      <c r="A152" t="s">
        <v>13</v>
      </c>
      <c r="B152" t="s">
        <v>51</v>
      </c>
      <c r="C152" t="s">
        <v>99</v>
      </c>
      <c r="D152" t="str">
        <f>VLOOKUP(C152,cc!$A$2:$B$28,2,FALSE)</f>
        <v>IT</v>
      </c>
      <c r="E152" t="str">
        <f t="shared" si="13"/>
        <v>ITSOY</v>
      </c>
      <c r="F152">
        <v>49</v>
      </c>
      <c r="G152">
        <v>5</v>
      </c>
      <c r="H152">
        <v>8</v>
      </c>
      <c r="I152" s="5">
        <f t="shared" si="15"/>
        <v>146.26865671641789</v>
      </c>
      <c r="J152" s="5">
        <f t="shared" si="16"/>
        <v>25</v>
      </c>
      <c r="K152" s="5">
        <f t="shared" si="17"/>
        <v>16</v>
      </c>
      <c r="L152" s="5">
        <f t="shared" si="14"/>
        <v>1.872686567164179E-2</v>
      </c>
    </row>
    <row r="153" spans="1:12" x14ac:dyDescent="0.25">
      <c r="A153" t="s">
        <v>21</v>
      </c>
      <c r="B153" t="s">
        <v>60</v>
      </c>
      <c r="C153" t="s">
        <v>99</v>
      </c>
      <c r="D153" t="str">
        <f>VLOOKUP(C153,cc!$A$2:$B$28,2,FALSE)</f>
        <v>IT</v>
      </c>
      <c r="E153" t="str">
        <f t="shared" si="13"/>
        <v>ITSUN</v>
      </c>
      <c r="F153">
        <v>48</v>
      </c>
      <c r="G153">
        <v>5</v>
      </c>
      <c r="H153">
        <v>8</v>
      </c>
      <c r="I153" s="5">
        <f t="shared" si="15"/>
        <v>143.28358208955223</v>
      </c>
      <c r="J153" s="5">
        <f t="shared" si="16"/>
        <v>25</v>
      </c>
      <c r="K153" s="5">
        <f t="shared" si="17"/>
        <v>16</v>
      </c>
      <c r="L153" s="5">
        <f t="shared" si="14"/>
        <v>1.8428358208955224E-2</v>
      </c>
    </row>
    <row r="154" spans="1:12" x14ac:dyDescent="0.25">
      <c r="A154" t="s">
        <v>15</v>
      </c>
      <c r="B154" t="s">
        <v>114</v>
      </c>
      <c r="C154" t="s">
        <v>99</v>
      </c>
      <c r="D154" t="str">
        <f>VLOOKUP(C154,cc!$A$2:$B$28,2,FALSE)</f>
        <v>IT</v>
      </c>
      <c r="E154" t="str">
        <f t="shared" si="13"/>
        <v>ITWHE</v>
      </c>
      <c r="F154">
        <v>112</v>
      </c>
      <c r="G154">
        <v>13</v>
      </c>
      <c r="H154">
        <v>2</v>
      </c>
      <c r="I154" s="5">
        <f t="shared" si="15"/>
        <v>334.32835820895519</v>
      </c>
      <c r="J154" s="5">
        <f t="shared" si="16"/>
        <v>65</v>
      </c>
      <c r="K154" s="5">
        <f t="shared" si="17"/>
        <v>4</v>
      </c>
      <c r="L154" s="5">
        <f t="shared" si="14"/>
        <v>4.0332835820895523E-2</v>
      </c>
    </row>
    <row r="155" spans="1:12" x14ac:dyDescent="0.25">
      <c r="A155" t="s">
        <v>125</v>
      </c>
      <c r="B155" t="s">
        <v>126</v>
      </c>
      <c r="C155" t="s">
        <v>99</v>
      </c>
      <c r="D155" t="str">
        <f>VLOOKUP(C155,cc!$A$2:$B$28,2,FALSE)</f>
        <v>IT</v>
      </c>
      <c r="E155" t="str">
        <f t="shared" si="13"/>
        <v>ITTRT</v>
      </c>
      <c r="F155">
        <v>93</v>
      </c>
      <c r="G155">
        <v>14</v>
      </c>
      <c r="H155">
        <v>3</v>
      </c>
      <c r="I155" s="5">
        <f t="shared" si="15"/>
        <v>277.61194029850742</v>
      </c>
      <c r="J155" s="5">
        <f t="shared" si="16"/>
        <v>70</v>
      </c>
      <c r="K155" s="5">
        <f t="shared" si="17"/>
        <v>6</v>
      </c>
      <c r="L155" s="5">
        <f t="shared" si="14"/>
        <v>3.5361194029850745E-2</v>
      </c>
    </row>
    <row r="156" spans="1:12" x14ac:dyDescent="0.25">
      <c r="A156" t="s">
        <v>7</v>
      </c>
      <c r="B156" t="s">
        <v>44</v>
      </c>
      <c r="C156" t="s">
        <v>100</v>
      </c>
      <c r="D156" t="str">
        <f>VLOOKUP(C156,cc!$A$2:$B$28,2,FALSE)</f>
        <v>LV</v>
      </c>
      <c r="E156" t="str">
        <f t="shared" si="13"/>
        <v>LVBRL</v>
      </c>
      <c r="F156">
        <v>16</v>
      </c>
      <c r="G156">
        <v>8</v>
      </c>
      <c r="H156">
        <v>11</v>
      </c>
      <c r="I156" s="5">
        <f t="shared" si="15"/>
        <v>47.761194029850742</v>
      </c>
      <c r="J156" s="5">
        <f t="shared" si="16"/>
        <v>40</v>
      </c>
      <c r="K156" s="5">
        <f t="shared" si="17"/>
        <v>22</v>
      </c>
      <c r="L156" s="5">
        <f t="shared" si="14"/>
        <v>1.0976119402985075E-2</v>
      </c>
    </row>
    <row r="157" spans="1:12" x14ac:dyDescent="0.25">
      <c r="A157" t="s">
        <v>30</v>
      </c>
      <c r="B157" t="s">
        <v>69</v>
      </c>
      <c r="C157" t="s">
        <v>100</v>
      </c>
      <c r="D157" t="str">
        <f>VLOOKUP(C157,cc!$A$2:$B$28,2,FALSE)</f>
        <v>LV</v>
      </c>
      <c r="E157" t="str">
        <f t="shared" si="13"/>
        <v>LVBRO</v>
      </c>
      <c r="F157">
        <v>19</v>
      </c>
      <c r="G157">
        <v>15</v>
      </c>
      <c r="H157">
        <v>22</v>
      </c>
      <c r="I157" s="5">
        <f t="shared" si="15"/>
        <v>56.71641791044776</v>
      </c>
      <c r="J157" s="5">
        <f t="shared" si="16"/>
        <v>75</v>
      </c>
      <c r="K157" s="5">
        <f t="shared" si="17"/>
        <v>44</v>
      </c>
      <c r="L157" s="5">
        <f t="shared" si="14"/>
        <v>1.7571641791044777E-2</v>
      </c>
    </row>
    <row r="158" spans="1:12" x14ac:dyDescent="0.25">
      <c r="A158" t="s">
        <v>39</v>
      </c>
      <c r="B158" t="s">
        <v>78</v>
      </c>
      <c r="C158" t="s">
        <v>100</v>
      </c>
      <c r="D158" t="str">
        <f>VLOOKUP(C158,cc!$A$2:$B$28,2,FALSE)</f>
        <v>LV</v>
      </c>
      <c r="E158" t="str">
        <f t="shared" si="13"/>
        <v>LVCER</v>
      </c>
      <c r="F158">
        <v>72</v>
      </c>
      <c r="G158">
        <v>9</v>
      </c>
      <c r="H158">
        <v>21</v>
      </c>
      <c r="I158" s="5">
        <f t="shared" si="15"/>
        <v>214.92537313432834</v>
      </c>
      <c r="J158" s="5">
        <f t="shared" si="16"/>
        <v>45</v>
      </c>
      <c r="K158" s="5">
        <f t="shared" si="17"/>
        <v>42</v>
      </c>
      <c r="L158" s="5">
        <f t="shared" si="14"/>
        <v>3.0192537313432834E-2</v>
      </c>
    </row>
    <row r="159" spans="1:12" x14ac:dyDescent="0.25">
      <c r="A159" t="s">
        <v>28</v>
      </c>
      <c r="B159" t="s">
        <v>67</v>
      </c>
      <c r="C159" t="s">
        <v>100</v>
      </c>
      <c r="D159" t="str">
        <f>VLOOKUP(C159,cc!$A$2:$B$28,2,FALSE)</f>
        <v>LV</v>
      </c>
      <c r="E159" t="str">
        <f t="shared" si="13"/>
        <v>LVOAT</v>
      </c>
      <c r="F159">
        <v>17</v>
      </c>
      <c r="G159">
        <v>8</v>
      </c>
      <c r="H159">
        <v>11</v>
      </c>
      <c r="I159" s="5">
        <f t="shared" si="15"/>
        <v>50.746268656716417</v>
      </c>
      <c r="J159" s="5">
        <f t="shared" si="16"/>
        <v>40</v>
      </c>
      <c r="K159" s="5">
        <f t="shared" si="17"/>
        <v>22</v>
      </c>
      <c r="L159" s="5">
        <f t="shared" si="14"/>
        <v>1.1274626865671641E-2</v>
      </c>
    </row>
    <row r="160" spans="1:12" x14ac:dyDescent="0.25">
      <c r="A160" t="s">
        <v>18</v>
      </c>
      <c r="B160" t="s">
        <v>59</v>
      </c>
      <c r="C160" t="s">
        <v>100</v>
      </c>
      <c r="D160" t="str">
        <f>VLOOKUP(C160,cc!$A$2:$B$28,2,FALSE)</f>
        <v>LV</v>
      </c>
      <c r="E160" t="str">
        <f t="shared" si="13"/>
        <v>LVPEA</v>
      </c>
      <c r="F160">
        <v>21</v>
      </c>
      <c r="G160">
        <v>13</v>
      </c>
      <c r="H160">
        <v>21</v>
      </c>
      <c r="I160" s="5">
        <f t="shared" si="15"/>
        <v>62.686567164179102</v>
      </c>
      <c r="J160" s="5">
        <f t="shared" si="16"/>
        <v>65</v>
      </c>
      <c r="K160" s="5">
        <f t="shared" si="17"/>
        <v>42</v>
      </c>
      <c r="L160" s="5">
        <f t="shared" si="14"/>
        <v>1.6968656716417913E-2</v>
      </c>
    </row>
    <row r="161" spans="1:12" x14ac:dyDescent="0.25">
      <c r="A161" t="s">
        <v>19</v>
      </c>
      <c r="B161" t="s">
        <v>57</v>
      </c>
      <c r="C161" t="s">
        <v>100</v>
      </c>
      <c r="D161" t="str">
        <f>VLOOKUP(C161,cc!$A$2:$B$28,2,FALSE)</f>
        <v>LV</v>
      </c>
      <c r="E161" t="str">
        <f t="shared" si="13"/>
        <v>LVPOT</v>
      </c>
      <c r="F161">
        <v>22</v>
      </c>
      <c r="G161">
        <v>21</v>
      </c>
      <c r="H161">
        <v>31</v>
      </c>
      <c r="I161" s="5">
        <f t="shared" si="15"/>
        <v>65.671641791044777</v>
      </c>
      <c r="J161" s="5">
        <f t="shared" si="16"/>
        <v>105</v>
      </c>
      <c r="K161" s="5">
        <f t="shared" si="17"/>
        <v>62</v>
      </c>
      <c r="L161" s="5">
        <f t="shared" si="14"/>
        <v>2.3267164179104478E-2</v>
      </c>
    </row>
    <row r="162" spans="1:12" x14ac:dyDescent="0.25">
      <c r="A162" t="s">
        <v>11</v>
      </c>
      <c r="B162" t="s">
        <v>49</v>
      </c>
      <c r="C162" t="s">
        <v>100</v>
      </c>
      <c r="D162" t="str">
        <f>VLOOKUP(C162,cc!$A$2:$B$28,2,FALSE)</f>
        <v>LV</v>
      </c>
      <c r="E162" t="str">
        <f t="shared" si="13"/>
        <v>LVRAP</v>
      </c>
      <c r="F162">
        <v>104</v>
      </c>
      <c r="G162">
        <v>12</v>
      </c>
      <c r="H162">
        <v>35</v>
      </c>
      <c r="I162" s="5">
        <f t="shared" si="15"/>
        <v>310.44776119402985</v>
      </c>
      <c r="J162" s="5">
        <f t="shared" si="16"/>
        <v>60</v>
      </c>
      <c r="K162" s="5">
        <f t="shared" si="17"/>
        <v>70</v>
      </c>
      <c r="L162" s="5">
        <f t="shared" si="14"/>
        <v>4.4044776119402988E-2</v>
      </c>
    </row>
    <row r="163" spans="1:12" x14ac:dyDescent="0.25">
      <c r="A163" t="s">
        <v>12</v>
      </c>
      <c r="B163" t="s">
        <v>50</v>
      </c>
      <c r="C163" t="s">
        <v>100</v>
      </c>
      <c r="D163" t="str">
        <f>VLOOKUP(C163,cc!$A$2:$B$28,2,FALSE)</f>
        <v>LV</v>
      </c>
      <c r="E163" t="str">
        <f t="shared" si="13"/>
        <v>LVRYE</v>
      </c>
      <c r="F163">
        <v>18</v>
      </c>
      <c r="G163">
        <v>7</v>
      </c>
      <c r="H163">
        <v>11</v>
      </c>
      <c r="I163" s="5">
        <f t="shared" si="15"/>
        <v>53.731343283582085</v>
      </c>
      <c r="J163" s="5">
        <f t="shared" si="16"/>
        <v>35</v>
      </c>
      <c r="K163" s="5">
        <f t="shared" si="17"/>
        <v>22</v>
      </c>
      <c r="L163" s="5">
        <f t="shared" si="14"/>
        <v>1.1073134328358209E-2</v>
      </c>
    </row>
    <row r="164" spans="1:12" x14ac:dyDescent="0.25">
      <c r="A164" t="s">
        <v>15</v>
      </c>
      <c r="B164" t="s">
        <v>114</v>
      </c>
      <c r="C164" t="s">
        <v>100</v>
      </c>
      <c r="D164" t="str">
        <f>VLOOKUP(C164,cc!$A$2:$B$28,2,FALSE)</f>
        <v>LV</v>
      </c>
      <c r="E164" t="str">
        <f t="shared" si="13"/>
        <v>LVWHE</v>
      </c>
      <c r="F164">
        <v>113</v>
      </c>
      <c r="G164">
        <v>12</v>
      </c>
      <c r="H164">
        <v>33</v>
      </c>
      <c r="I164" s="5">
        <f t="shared" si="15"/>
        <v>337.31343283582089</v>
      </c>
      <c r="J164" s="5">
        <f t="shared" si="16"/>
        <v>60</v>
      </c>
      <c r="K164" s="5">
        <f t="shared" si="17"/>
        <v>66</v>
      </c>
      <c r="L164" s="5">
        <f t="shared" si="14"/>
        <v>4.6331343283582092E-2</v>
      </c>
    </row>
    <row r="165" spans="1:12" x14ac:dyDescent="0.25">
      <c r="A165" t="s">
        <v>125</v>
      </c>
      <c r="B165" t="s">
        <v>126</v>
      </c>
      <c r="C165" t="s">
        <v>100</v>
      </c>
      <c r="D165" t="str">
        <f>VLOOKUP(C165,cc!$A$2:$B$28,2,FALSE)</f>
        <v>LV</v>
      </c>
      <c r="E165" t="str">
        <f t="shared" si="13"/>
        <v>LVTRT</v>
      </c>
      <c r="F165">
        <v>18</v>
      </c>
      <c r="G165">
        <v>7</v>
      </c>
      <c r="H165">
        <v>11</v>
      </c>
      <c r="I165" s="5">
        <f t="shared" si="15"/>
        <v>53.731343283582085</v>
      </c>
      <c r="J165" s="5">
        <f t="shared" si="16"/>
        <v>35</v>
      </c>
      <c r="K165" s="5">
        <f t="shared" si="17"/>
        <v>22</v>
      </c>
      <c r="L165" s="5">
        <f t="shared" si="14"/>
        <v>1.1073134328358209E-2</v>
      </c>
    </row>
    <row r="166" spans="1:12" x14ac:dyDescent="0.25">
      <c r="A166" t="s">
        <v>7</v>
      </c>
      <c r="B166" t="s">
        <v>44</v>
      </c>
      <c r="C166" t="s">
        <v>101</v>
      </c>
      <c r="D166" t="str">
        <f>VLOOKUP(C166,cc!$A$2:$B$28,2,FALSE)</f>
        <v>LT</v>
      </c>
      <c r="E166" t="str">
        <f t="shared" si="13"/>
        <v>LTBRL</v>
      </c>
      <c r="F166">
        <v>27</v>
      </c>
      <c r="G166">
        <v>5</v>
      </c>
      <c r="H166">
        <v>28</v>
      </c>
      <c r="I166" s="5">
        <f t="shared" si="15"/>
        <v>80.597014925373131</v>
      </c>
      <c r="J166" s="5">
        <f t="shared" si="16"/>
        <v>25</v>
      </c>
      <c r="K166" s="5">
        <f t="shared" si="17"/>
        <v>56</v>
      </c>
      <c r="L166" s="5">
        <f t="shared" si="14"/>
        <v>1.6159701492537312E-2</v>
      </c>
    </row>
    <row r="167" spans="1:12" x14ac:dyDescent="0.25">
      <c r="A167" t="s">
        <v>30</v>
      </c>
      <c r="B167" t="s">
        <v>69</v>
      </c>
      <c r="C167" t="s">
        <v>101</v>
      </c>
      <c r="D167" t="str">
        <f>VLOOKUP(C167,cc!$A$2:$B$28,2,FALSE)</f>
        <v>LT</v>
      </c>
      <c r="E167" t="str">
        <f t="shared" si="13"/>
        <v>LTBRO</v>
      </c>
      <c r="F167">
        <v>5</v>
      </c>
      <c r="G167">
        <v>7</v>
      </c>
      <c r="H167">
        <v>18</v>
      </c>
      <c r="I167" s="5">
        <f t="shared" si="15"/>
        <v>14.925373134328357</v>
      </c>
      <c r="J167" s="5">
        <f t="shared" si="16"/>
        <v>35</v>
      </c>
      <c r="K167" s="5">
        <f t="shared" si="17"/>
        <v>36</v>
      </c>
      <c r="L167" s="5">
        <f t="shared" si="14"/>
        <v>8.592537313432836E-3</v>
      </c>
    </row>
    <row r="168" spans="1:12" x14ac:dyDescent="0.25">
      <c r="A168" t="s">
        <v>40</v>
      </c>
      <c r="B168" t="s">
        <v>79</v>
      </c>
      <c r="C168" t="s">
        <v>101</v>
      </c>
      <c r="D168" t="str">
        <f>VLOOKUP(C168,cc!$A$2:$B$28,2,FALSE)</f>
        <v>LT</v>
      </c>
      <c r="E168" t="str">
        <f t="shared" si="13"/>
        <v>LTBUC</v>
      </c>
      <c r="F168">
        <v>40</v>
      </c>
      <c r="G168">
        <v>7</v>
      </c>
      <c r="H168">
        <v>35</v>
      </c>
      <c r="I168" s="5">
        <f t="shared" si="15"/>
        <v>119.40298507462686</v>
      </c>
      <c r="J168" s="5">
        <f t="shared" si="16"/>
        <v>35</v>
      </c>
      <c r="K168" s="5">
        <f t="shared" si="17"/>
        <v>70</v>
      </c>
      <c r="L168" s="5">
        <f t="shared" si="14"/>
        <v>2.2440298507462687E-2</v>
      </c>
    </row>
    <row r="169" spans="1:12" x14ac:dyDescent="0.25">
      <c r="A169" t="s">
        <v>39</v>
      </c>
      <c r="B169" t="s">
        <v>78</v>
      </c>
      <c r="C169" t="s">
        <v>101</v>
      </c>
      <c r="D169" t="str">
        <f>VLOOKUP(C169,cc!$A$2:$B$28,2,FALSE)</f>
        <v>LT</v>
      </c>
      <c r="E169" t="str">
        <f t="shared" si="13"/>
        <v>LTCER</v>
      </c>
      <c r="F169">
        <v>69</v>
      </c>
      <c r="G169">
        <v>10</v>
      </c>
      <c r="H169">
        <v>21</v>
      </c>
      <c r="I169" s="5">
        <f t="shared" si="15"/>
        <v>205.97014925373134</v>
      </c>
      <c r="J169" s="5">
        <f t="shared" si="16"/>
        <v>50</v>
      </c>
      <c r="K169" s="5">
        <f t="shared" si="17"/>
        <v>42</v>
      </c>
      <c r="L169" s="5">
        <f t="shared" si="14"/>
        <v>2.9797014925373136E-2</v>
      </c>
    </row>
    <row r="170" spans="1:12" x14ac:dyDescent="0.25">
      <c r="A170" t="s">
        <v>28</v>
      </c>
      <c r="B170" t="s">
        <v>67</v>
      </c>
      <c r="C170" t="s">
        <v>101</v>
      </c>
      <c r="D170" t="str">
        <f>VLOOKUP(C170,cc!$A$2:$B$28,2,FALSE)</f>
        <v>LT</v>
      </c>
      <c r="E170" t="str">
        <f t="shared" si="13"/>
        <v>LTOAT</v>
      </c>
      <c r="F170">
        <v>25</v>
      </c>
      <c r="G170">
        <v>4</v>
      </c>
      <c r="H170">
        <v>27</v>
      </c>
      <c r="I170" s="5">
        <f t="shared" si="15"/>
        <v>74.626865671641781</v>
      </c>
      <c r="J170" s="5">
        <f t="shared" si="16"/>
        <v>20</v>
      </c>
      <c r="K170" s="5">
        <f t="shared" si="17"/>
        <v>54</v>
      </c>
      <c r="L170" s="5">
        <f t="shared" si="14"/>
        <v>1.4862686567164178E-2</v>
      </c>
    </row>
    <row r="171" spans="1:12" x14ac:dyDescent="0.25">
      <c r="A171" t="s">
        <v>18</v>
      </c>
      <c r="B171" t="s">
        <v>59</v>
      </c>
      <c r="C171" t="s">
        <v>101</v>
      </c>
      <c r="D171" t="str">
        <f>VLOOKUP(C171,cc!$A$2:$B$28,2,FALSE)</f>
        <v>LT</v>
      </c>
      <c r="E171" t="str">
        <f t="shared" si="13"/>
        <v>LTPEA</v>
      </c>
      <c r="F171">
        <v>5</v>
      </c>
      <c r="G171">
        <v>7</v>
      </c>
      <c r="H171">
        <v>18</v>
      </c>
      <c r="I171" s="5">
        <f t="shared" si="15"/>
        <v>14.925373134328357</v>
      </c>
      <c r="J171" s="5">
        <f t="shared" si="16"/>
        <v>35</v>
      </c>
      <c r="K171" s="5">
        <f t="shared" si="17"/>
        <v>36</v>
      </c>
      <c r="L171" s="5">
        <f t="shared" si="14"/>
        <v>8.592537313432836E-3</v>
      </c>
    </row>
    <row r="172" spans="1:12" x14ac:dyDescent="0.25">
      <c r="A172" t="s">
        <v>11</v>
      </c>
      <c r="B172" t="s">
        <v>49</v>
      </c>
      <c r="C172" t="s">
        <v>101</v>
      </c>
      <c r="D172" t="str">
        <f>VLOOKUP(C172,cc!$A$2:$B$28,2,FALSE)</f>
        <v>LT</v>
      </c>
      <c r="E172" t="str">
        <f t="shared" si="13"/>
        <v>LTRAP</v>
      </c>
      <c r="F172">
        <v>103</v>
      </c>
      <c r="G172">
        <v>11</v>
      </c>
      <c r="H172">
        <v>32</v>
      </c>
      <c r="I172" s="5">
        <f t="shared" si="15"/>
        <v>307.46268656716416</v>
      </c>
      <c r="J172" s="5">
        <f t="shared" si="16"/>
        <v>55</v>
      </c>
      <c r="K172" s="5">
        <f t="shared" si="17"/>
        <v>64</v>
      </c>
      <c r="L172" s="5">
        <f t="shared" si="14"/>
        <v>4.2646268656716418E-2</v>
      </c>
    </row>
    <row r="173" spans="1:12" x14ac:dyDescent="0.25">
      <c r="A173" t="s">
        <v>12</v>
      </c>
      <c r="B173" t="s">
        <v>50</v>
      </c>
      <c r="C173" t="s">
        <v>101</v>
      </c>
      <c r="D173" t="str">
        <f>VLOOKUP(C173,cc!$A$2:$B$28,2,FALSE)</f>
        <v>LT</v>
      </c>
      <c r="E173" t="str">
        <f t="shared" si="13"/>
        <v>LTRYE</v>
      </c>
      <c r="F173">
        <v>22</v>
      </c>
      <c r="G173">
        <v>4</v>
      </c>
      <c r="H173">
        <v>26</v>
      </c>
      <c r="I173" s="5">
        <f t="shared" si="15"/>
        <v>65.671641791044777</v>
      </c>
      <c r="J173" s="5">
        <f t="shared" si="16"/>
        <v>20</v>
      </c>
      <c r="K173" s="5">
        <f t="shared" si="17"/>
        <v>52</v>
      </c>
      <c r="L173" s="5">
        <f t="shared" si="14"/>
        <v>1.3767164179104478E-2</v>
      </c>
    </row>
    <row r="174" spans="1:12" x14ac:dyDescent="0.25">
      <c r="A174" t="s">
        <v>15</v>
      </c>
      <c r="B174" t="s">
        <v>114</v>
      </c>
      <c r="C174" t="s">
        <v>101</v>
      </c>
      <c r="D174" t="str">
        <f>VLOOKUP(C174,cc!$A$2:$B$28,2,FALSE)</f>
        <v>LT</v>
      </c>
      <c r="E174" t="str">
        <f t="shared" si="13"/>
        <v>LTWHE</v>
      </c>
      <c r="F174">
        <v>99</v>
      </c>
      <c r="G174">
        <v>11</v>
      </c>
      <c r="H174">
        <v>23</v>
      </c>
      <c r="I174" s="5">
        <f t="shared" si="15"/>
        <v>295.52238805970148</v>
      </c>
      <c r="J174" s="5">
        <f t="shared" si="16"/>
        <v>55</v>
      </c>
      <c r="K174" s="5">
        <f t="shared" si="17"/>
        <v>46</v>
      </c>
      <c r="L174" s="5">
        <f t="shared" si="14"/>
        <v>3.9652238805970151E-2</v>
      </c>
    </row>
    <row r="175" spans="1:12" x14ac:dyDescent="0.25">
      <c r="A175" t="s">
        <v>125</v>
      </c>
      <c r="B175" t="s">
        <v>126</v>
      </c>
      <c r="C175" t="s">
        <v>101</v>
      </c>
      <c r="D175" t="str">
        <f>VLOOKUP(C175,cc!$A$2:$B$28,2,FALSE)</f>
        <v>LT</v>
      </c>
      <c r="E175" t="str">
        <f t="shared" si="13"/>
        <v>LTTRT</v>
      </c>
      <c r="F175">
        <v>23</v>
      </c>
      <c r="G175">
        <v>4</v>
      </c>
      <c r="H175">
        <v>26</v>
      </c>
      <c r="I175" s="5">
        <f t="shared" si="15"/>
        <v>68.656716417910445</v>
      </c>
      <c r="J175" s="5">
        <f t="shared" si="16"/>
        <v>20</v>
      </c>
      <c r="K175" s="5">
        <f t="shared" si="17"/>
        <v>52</v>
      </c>
      <c r="L175" s="5">
        <f t="shared" si="14"/>
        <v>1.4065671641791046E-2</v>
      </c>
    </row>
    <row r="176" spans="1:12" x14ac:dyDescent="0.25">
      <c r="A176" t="s">
        <v>34</v>
      </c>
      <c r="B176" t="s">
        <v>73</v>
      </c>
      <c r="C176" t="s">
        <v>102</v>
      </c>
      <c r="D176" t="str">
        <f>VLOOKUP(C176,cc!$A$2:$B$28,2,FALSE)</f>
        <v>LU</v>
      </c>
      <c r="E176" t="str">
        <f t="shared" si="13"/>
        <v>LUAPP</v>
      </c>
      <c r="F176">
        <v>88</v>
      </c>
      <c r="G176">
        <v>8</v>
      </c>
      <c r="H176">
        <v>15</v>
      </c>
      <c r="I176" s="5">
        <f t="shared" si="15"/>
        <v>262.68656716417911</v>
      </c>
      <c r="J176" s="5">
        <f t="shared" si="16"/>
        <v>40</v>
      </c>
      <c r="K176" s="5">
        <f t="shared" si="17"/>
        <v>30</v>
      </c>
      <c r="L176" s="5">
        <f t="shared" si="14"/>
        <v>3.3268656716417912E-2</v>
      </c>
    </row>
    <row r="177" spans="1:12" x14ac:dyDescent="0.25">
      <c r="A177" t="s">
        <v>7</v>
      </c>
      <c r="B177" t="s">
        <v>44</v>
      </c>
      <c r="C177" t="s">
        <v>102</v>
      </c>
      <c r="D177" t="str">
        <f>VLOOKUP(C177,cc!$A$2:$B$28,2,FALSE)</f>
        <v>LU</v>
      </c>
      <c r="E177" t="str">
        <f t="shared" si="13"/>
        <v>LUBRL</v>
      </c>
      <c r="F177">
        <v>130</v>
      </c>
      <c r="G177">
        <v>6</v>
      </c>
      <c r="H177">
        <v>7</v>
      </c>
      <c r="I177" s="5">
        <f t="shared" si="15"/>
        <v>388.05970149253727</v>
      </c>
      <c r="J177" s="5">
        <f t="shared" si="16"/>
        <v>30</v>
      </c>
      <c r="K177" s="5">
        <f t="shared" si="17"/>
        <v>14</v>
      </c>
      <c r="L177" s="5">
        <f t="shared" si="14"/>
        <v>4.3205970149253731E-2</v>
      </c>
    </row>
    <row r="178" spans="1:12" x14ac:dyDescent="0.25">
      <c r="A178" t="s">
        <v>8</v>
      </c>
      <c r="B178" t="s">
        <v>45</v>
      </c>
      <c r="C178" t="s">
        <v>102</v>
      </c>
      <c r="D178" t="str">
        <f>VLOOKUP(C178,cc!$A$2:$B$28,2,FALSE)</f>
        <v>LU</v>
      </c>
      <c r="E178" t="str">
        <f t="shared" si="13"/>
        <v>LUGRP</v>
      </c>
      <c r="F178">
        <v>95</v>
      </c>
      <c r="G178">
        <v>9</v>
      </c>
      <c r="H178">
        <v>18</v>
      </c>
      <c r="I178" s="5">
        <f t="shared" si="15"/>
        <v>283.58208955223881</v>
      </c>
      <c r="J178" s="5">
        <f t="shared" si="16"/>
        <v>45</v>
      </c>
      <c r="K178" s="5">
        <f t="shared" si="17"/>
        <v>36</v>
      </c>
      <c r="L178" s="5">
        <f t="shared" si="14"/>
        <v>3.6458208955223885E-2</v>
      </c>
    </row>
    <row r="179" spans="1:12" x14ac:dyDescent="0.25">
      <c r="A179" t="s">
        <v>28</v>
      </c>
      <c r="B179" t="s">
        <v>67</v>
      </c>
      <c r="C179" t="s">
        <v>102</v>
      </c>
      <c r="D179" t="str">
        <f>VLOOKUP(C179,cc!$A$2:$B$28,2,FALSE)</f>
        <v>LU</v>
      </c>
      <c r="E179" t="str">
        <f t="shared" si="13"/>
        <v>LUOAT</v>
      </c>
      <c r="F179">
        <v>113</v>
      </c>
      <c r="G179">
        <v>6</v>
      </c>
      <c r="H179">
        <v>7</v>
      </c>
      <c r="I179" s="5">
        <f t="shared" si="15"/>
        <v>337.31343283582089</v>
      </c>
      <c r="J179" s="5">
        <f t="shared" si="16"/>
        <v>30</v>
      </c>
      <c r="K179" s="5">
        <f t="shared" si="17"/>
        <v>14</v>
      </c>
      <c r="L179" s="5">
        <f t="shared" si="14"/>
        <v>3.8131343283582093E-2</v>
      </c>
    </row>
    <row r="180" spans="1:12" x14ac:dyDescent="0.25">
      <c r="A180" t="s">
        <v>18</v>
      </c>
      <c r="B180" t="s">
        <v>59</v>
      </c>
      <c r="C180" t="s">
        <v>102</v>
      </c>
      <c r="D180" t="str">
        <f>VLOOKUP(C180,cc!$A$2:$B$28,2,FALSE)</f>
        <v>LU</v>
      </c>
      <c r="E180" t="str">
        <f t="shared" si="13"/>
        <v>LUPEA</v>
      </c>
      <c r="F180">
        <v>16</v>
      </c>
      <c r="G180">
        <v>9</v>
      </c>
      <c r="H180">
        <v>12</v>
      </c>
      <c r="I180" s="5">
        <f t="shared" si="15"/>
        <v>47.761194029850742</v>
      </c>
      <c r="J180" s="5">
        <f t="shared" si="16"/>
        <v>45</v>
      </c>
      <c r="K180" s="5">
        <f t="shared" si="17"/>
        <v>24</v>
      </c>
      <c r="L180" s="5">
        <f t="shared" si="14"/>
        <v>1.1676119402985075E-2</v>
      </c>
    </row>
    <row r="181" spans="1:12" x14ac:dyDescent="0.25">
      <c r="A181" t="s">
        <v>19</v>
      </c>
      <c r="B181" t="s">
        <v>57</v>
      </c>
      <c r="C181" t="s">
        <v>102</v>
      </c>
      <c r="D181" t="str">
        <f>VLOOKUP(C181,cc!$A$2:$B$28,2,FALSE)</f>
        <v>LU</v>
      </c>
      <c r="E181" t="str">
        <f t="shared" si="13"/>
        <v>LUPOT</v>
      </c>
      <c r="F181">
        <v>234</v>
      </c>
      <c r="G181">
        <v>26</v>
      </c>
      <c r="H181">
        <v>53</v>
      </c>
      <c r="I181" s="5">
        <f t="shared" si="15"/>
        <v>698.50746268656712</v>
      </c>
      <c r="J181" s="5">
        <f t="shared" si="16"/>
        <v>130</v>
      </c>
      <c r="K181" s="5">
        <f t="shared" si="17"/>
        <v>106</v>
      </c>
      <c r="L181" s="5">
        <f t="shared" si="14"/>
        <v>9.3450746268656723E-2</v>
      </c>
    </row>
    <row r="182" spans="1:12" x14ac:dyDescent="0.25">
      <c r="A182" t="s">
        <v>11</v>
      </c>
      <c r="B182" t="s">
        <v>49</v>
      </c>
      <c r="C182" t="s">
        <v>102</v>
      </c>
      <c r="D182" t="str">
        <f>VLOOKUP(C182,cc!$A$2:$B$28,2,FALSE)</f>
        <v>LU</v>
      </c>
      <c r="E182" t="str">
        <f t="shared" si="13"/>
        <v>LURAP</v>
      </c>
      <c r="F182">
        <v>259</v>
      </c>
      <c r="G182">
        <v>13</v>
      </c>
      <c r="H182">
        <v>20</v>
      </c>
      <c r="I182" s="5">
        <f t="shared" si="15"/>
        <v>773.1343283582089</v>
      </c>
      <c r="J182" s="5">
        <f t="shared" si="16"/>
        <v>65</v>
      </c>
      <c r="K182" s="5">
        <f t="shared" si="17"/>
        <v>40</v>
      </c>
      <c r="L182" s="5">
        <f t="shared" si="14"/>
        <v>8.7813432835820895E-2</v>
      </c>
    </row>
    <row r="183" spans="1:12" x14ac:dyDescent="0.25">
      <c r="A183" t="s">
        <v>12</v>
      </c>
      <c r="B183" t="s">
        <v>50</v>
      </c>
      <c r="C183" t="s">
        <v>102</v>
      </c>
      <c r="D183" t="str">
        <f>VLOOKUP(C183,cc!$A$2:$B$28,2,FALSE)</f>
        <v>LU</v>
      </c>
      <c r="E183" t="str">
        <f t="shared" si="13"/>
        <v>LURYE</v>
      </c>
      <c r="F183">
        <v>221</v>
      </c>
      <c r="G183">
        <v>12</v>
      </c>
      <c r="H183">
        <v>12</v>
      </c>
      <c r="I183" s="5">
        <f t="shared" si="15"/>
        <v>659.70149253731336</v>
      </c>
      <c r="J183" s="5">
        <f t="shared" si="16"/>
        <v>60</v>
      </c>
      <c r="K183" s="5">
        <f t="shared" si="17"/>
        <v>24</v>
      </c>
      <c r="L183" s="5">
        <f t="shared" si="14"/>
        <v>7.4370149253731338E-2</v>
      </c>
    </row>
    <row r="184" spans="1:12" x14ac:dyDescent="0.25">
      <c r="A184" t="s">
        <v>15</v>
      </c>
      <c r="B184" t="s">
        <v>114</v>
      </c>
      <c r="C184" t="s">
        <v>102</v>
      </c>
      <c r="D184" t="str">
        <f>VLOOKUP(C184,cc!$A$2:$B$28,2,FALSE)</f>
        <v>LU</v>
      </c>
      <c r="E184" t="str">
        <f t="shared" si="13"/>
        <v>LUWHE</v>
      </c>
      <c r="F184">
        <v>258</v>
      </c>
      <c r="G184">
        <v>6</v>
      </c>
      <c r="H184">
        <v>6</v>
      </c>
      <c r="I184" s="5">
        <f t="shared" si="15"/>
        <v>770.14925373134326</v>
      </c>
      <c r="J184" s="5">
        <f t="shared" si="16"/>
        <v>30</v>
      </c>
      <c r="K184" s="5">
        <f t="shared" si="17"/>
        <v>12</v>
      </c>
      <c r="L184" s="5">
        <f t="shared" si="14"/>
        <v>8.1214925373134336E-2</v>
      </c>
    </row>
    <row r="185" spans="1:12" x14ac:dyDescent="0.25">
      <c r="A185" t="s">
        <v>125</v>
      </c>
      <c r="B185" t="s">
        <v>126</v>
      </c>
      <c r="C185" t="s">
        <v>102</v>
      </c>
      <c r="D185" t="str">
        <f>VLOOKUP(C185,cc!$A$2:$B$28,2,FALSE)</f>
        <v>LU</v>
      </c>
      <c r="E185" t="str">
        <f t="shared" si="13"/>
        <v>LUTRT</v>
      </c>
      <c r="F185">
        <v>114</v>
      </c>
      <c r="G185">
        <v>6</v>
      </c>
      <c r="H185">
        <v>7</v>
      </c>
      <c r="I185" s="5">
        <f t="shared" si="15"/>
        <v>340.29850746268653</v>
      </c>
      <c r="J185" s="5">
        <f t="shared" si="16"/>
        <v>30</v>
      </c>
      <c r="K185" s="5">
        <f t="shared" si="17"/>
        <v>14</v>
      </c>
      <c r="L185" s="5">
        <f t="shared" si="14"/>
        <v>3.8429850746268653E-2</v>
      </c>
    </row>
    <row r="186" spans="1:12" x14ac:dyDescent="0.25">
      <c r="A186" t="s">
        <v>8</v>
      </c>
      <c r="B186" t="s">
        <v>45</v>
      </c>
      <c r="C186" t="s">
        <v>103</v>
      </c>
      <c r="D186" t="str">
        <f>VLOOKUP(C186,cc!$A$2:$B$28,2,FALSE)</f>
        <v>MT</v>
      </c>
      <c r="E186" t="str">
        <f t="shared" si="13"/>
        <v>MTGRP</v>
      </c>
      <c r="F186">
        <v>231</v>
      </c>
      <c r="G186">
        <v>39</v>
      </c>
      <c r="H186">
        <v>40</v>
      </c>
      <c r="I186" s="5">
        <f t="shared" si="15"/>
        <v>689.55223880597009</v>
      </c>
      <c r="J186" s="5">
        <f t="shared" si="16"/>
        <v>195</v>
      </c>
      <c r="K186" s="5">
        <f t="shared" si="17"/>
        <v>80</v>
      </c>
      <c r="L186" s="5">
        <f t="shared" si="14"/>
        <v>9.6455223880597019E-2</v>
      </c>
    </row>
    <row r="187" spans="1:12" x14ac:dyDescent="0.25">
      <c r="A187" t="s">
        <v>19</v>
      </c>
      <c r="B187" t="s">
        <v>57</v>
      </c>
      <c r="C187" t="s">
        <v>103</v>
      </c>
      <c r="D187" t="str">
        <f>VLOOKUP(C187,cc!$A$2:$B$28,2,FALSE)</f>
        <v>MT</v>
      </c>
      <c r="E187" t="str">
        <f t="shared" si="13"/>
        <v>MTPOT</v>
      </c>
      <c r="F187">
        <v>746</v>
      </c>
      <c r="G187">
        <v>122</v>
      </c>
      <c r="H187">
        <v>167</v>
      </c>
      <c r="I187" s="5">
        <f t="shared" si="15"/>
        <v>2226.8656716417909</v>
      </c>
      <c r="J187" s="5">
        <f t="shared" si="16"/>
        <v>610</v>
      </c>
      <c r="K187" s="5">
        <f t="shared" si="17"/>
        <v>334</v>
      </c>
      <c r="L187" s="5">
        <f t="shared" si="14"/>
        <v>0.3170865671641791</v>
      </c>
    </row>
    <row r="188" spans="1:12" x14ac:dyDescent="0.25">
      <c r="A188" t="s">
        <v>7</v>
      </c>
      <c r="B188" t="s">
        <v>44</v>
      </c>
      <c r="C188" t="s">
        <v>104</v>
      </c>
      <c r="D188" t="str">
        <f>VLOOKUP(C188,cc!$A$2:$B$28,2,FALSE)</f>
        <v>NL</v>
      </c>
      <c r="E188" t="str">
        <f t="shared" si="13"/>
        <v>NLBRL</v>
      </c>
      <c r="F188">
        <v>29</v>
      </c>
      <c r="G188">
        <v>0</v>
      </c>
      <c r="H188">
        <v>4</v>
      </c>
      <c r="I188" s="5">
        <f t="shared" si="15"/>
        <v>86.567164179104466</v>
      </c>
      <c r="J188" s="5">
        <f t="shared" si="16"/>
        <v>0</v>
      </c>
      <c r="K188" s="5">
        <f t="shared" si="17"/>
        <v>8</v>
      </c>
      <c r="L188" s="5">
        <f t="shared" si="14"/>
        <v>9.4567164179104463E-3</v>
      </c>
    </row>
    <row r="189" spans="1:12" x14ac:dyDescent="0.25">
      <c r="A189" t="s">
        <v>36</v>
      </c>
      <c r="B189" t="s">
        <v>75</v>
      </c>
      <c r="C189" t="s">
        <v>104</v>
      </c>
      <c r="D189" t="str">
        <f>VLOOKUP(C189,cc!$A$2:$B$28,2,FALSE)</f>
        <v>NL</v>
      </c>
      <c r="E189" t="str">
        <f t="shared" si="13"/>
        <v>NLCAR</v>
      </c>
      <c r="F189">
        <v>115</v>
      </c>
      <c r="G189">
        <v>10</v>
      </c>
      <c r="H189">
        <v>78</v>
      </c>
      <c r="I189" s="5">
        <f t="shared" si="15"/>
        <v>343.28358208955223</v>
      </c>
      <c r="J189" s="5">
        <f t="shared" si="16"/>
        <v>50</v>
      </c>
      <c r="K189" s="5">
        <f t="shared" si="17"/>
        <v>156</v>
      </c>
      <c r="L189" s="5">
        <f t="shared" si="14"/>
        <v>5.4928358208955232E-2</v>
      </c>
    </row>
    <row r="190" spans="1:12" x14ac:dyDescent="0.25">
      <c r="A190" t="s">
        <v>17</v>
      </c>
      <c r="B190" t="s">
        <v>55</v>
      </c>
      <c r="C190" t="s">
        <v>104</v>
      </c>
      <c r="D190" t="str">
        <f>VLOOKUP(C190,cc!$A$2:$B$28,2,FALSE)</f>
        <v>NL</v>
      </c>
      <c r="E190" t="str">
        <f t="shared" si="13"/>
        <v>NLLET</v>
      </c>
      <c r="F190">
        <v>114</v>
      </c>
      <c r="G190">
        <v>10</v>
      </c>
      <c r="H190">
        <v>77</v>
      </c>
      <c r="I190" s="5">
        <f t="shared" si="15"/>
        <v>340.29850746268653</v>
      </c>
      <c r="J190" s="5">
        <f t="shared" si="16"/>
        <v>50</v>
      </c>
      <c r="K190" s="5">
        <f t="shared" si="17"/>
        <v>154</v>
      </c>
      <c r="L190" s="5">
        <f t="shared" si="14"/>
        <v>5.4429850746268653E-2</v>
      </c>
    </row>
    <row r="191" spans="1:12" x14ac:dyDescent="0.25">
      <c r="A191" t="s">
        <v>9</v>
      </c>
      <c r="B191" t="s">
        <v>46</v>
      </c>
      <c r="C191" t="s">
        <v>104</v>
      </c>
      <c r="D191" t="str">
        <f>VLOOKUP(C191,cc!$A$2:$B$28,2,FALSE)</f>
        <v>NL</v>
      </c>
      <c r="E191" t="str">
        <f t="shared" si="13"/>
        <v>NLMAI</v>
      </c>
      <c r="F191">
        <v>29</v>
      </c>
      <c r="G191">
        <v>2</v>
      </c>
      <c r="H191">
        <v>8</v>
      </c>
      <c r="I191" s="5">
        <f t="shared" si="15"/>
        <v>86.567164179104466</v>
      </c>
      <c r="J191" s="5">
        <f t="shared" si="16"/>
        <v>10</v>
      </c>
      <c r="K191" s="5">
        <f t="shared" si="17"/>
        <v>16</v>
      </c>
      <c r="L191" s="5">
        <f t="shared" si="14"/>
        <v>1.1256716417910448E-2</v>
      </c>
    </row>
    <row r="192" spans="1:12" x14ac:dyDescent="0.25">
      <c r="A192" t="s">
        <v>41</v>
      </c>
      <c r="B192" t="s">
        <v>81</v>
      </c>
      <c r="C192" t="s">
        <v>104</v>
      </c>
      <c r="D192" t="str">
        <f>VLOOKUP(C192,cc!$A$2:$B$28,2,FALSE)</f>
        <v>NL</v>
      </c>
      <c r="E192" t="str">
        <f t="shared" si="13"/>
        <v>NLONI</v>
      </c>
      <c r="F192">
        <v>114</v>
      </c>
      <c r="G192">
        <v>10</v>
      </c>
      <c r="H192">
        <v>77</v>
      </c>
      <c r="I192" s="5">
        <f t="shared" si="15"/>
        <v>340.29850746268653</v>
      </c>
      <c r="J192" s="5">
        <f t="shared" si="16"/>
        <v>50</v>
      </c>
      <c r="K192" s="5">
        <f t="shared" si="17"/>
        <v>154</v>
      </c>
      <c r="L192" s="5">
        <f t="shared" si="14"/>
        <v>5.4429850746268653E-2</v>
      </c>
    </row>
    <row r="193" spans="1:12" x14ac:dyDescent="0.25">
      <c r="A193" t="s">
        <v>42</v>
      </c>
      <c r="B193" t="s">
        <v>82</v>
      </c>
      <c r="C193" t="s">
        <v>104</v>
      </c>
      <c r="D193" t="str">
        <f>VLOOKUP(C193,cc!$A$2:$B$28,2,FALSE)</f>
        <v>NL</v>
      </c>
      <c r="E193" t="str">
        <f t="shared" si="13"/>
        <v>NLPER</v>
      </c>
      <c r="F193">
        <v>52</v>
      </c>
      <c r="G193">
        <v>7</v>
      </c>
      <c r="H193">
        <v>61</v>
      </c>
      <c r="I193" s="5">
        <f t="shared" si="15"/>
        <v>155.22388059701493</v>
      </c>
      <c r="J193" s="5">
        <f t="shared" si="16"/>
        <v>35</v>
      </c>
      <c r="K193" s="5">
        <f t="shared" si="17"/>
        <v>122</v>
      </c>
      <c r="L193" s="5">
        <f t="shared" si="14"/>
        <v>3.1222388059701497E-2</v>
      </c>
    </row>
    <row r="194" spans="1:12" x14ac:dyDescent="0.25">
      <c r="A194" t="s">
        <v>19</v>
      </c>
      <c r="B194" t="s">
        <v>57</v>
      </c>
      <c r="C194" t="s">
        <v>104</v>
      </c>
      <c r="D194" t="str">
        <f>VLOOKUP(C194,cc!$A$2:$B$28,2,FALSE)</f>
        <v>NL</v>
      </c>
      <c r="E194" t="str">
        <f t="shared" si="13"/>
        <v>NLPOT</v>
      </c>
      <c r="F194">
        <v>151</v>
      </c>
      <c r="G194">
        <v>20</v>
      </c>
      <c r="H194">
        <v>167</v>
      </c>
      <c r="I194" s="5">
        <f t="shared" si="15"/>
        <v>450.74626865671638</v>
      </c>
      <c r="J194" s="5">
        <f t="shared" si="16"/>
        <v>100</v>
      </c>
      <c r="K194" s="5">
        <f t="shared" si="17"/>
        <v>334</v>
      </c>
      <c r="L194" s="5">
        <f t="shared" si="14"/>
        <v>8.8474626865671646E-2</v>
      </c>
    </row>
    <row r="195" spans="1:12" x14ac:dyDescent="0.25">
      <c r="A195" t="s">
        <v>14</v>
      </c>
      <c r="B195" t="s">
        <v>52</v>
      </c>
      <c r="C195" t="s">
        <v>104</v>
      </c>
      <c r="D195" t="str">
        <f>VLOOKUP(C195,cc!$A$2:$B$28,2,FALSE)</f>
        <v>NL</v>
      </c>
      <c r="E195" t="str">
        <f t="shared" si="13"/>
        <v>NLSUG</v>
      </c>
      <c r="F195">
        <v>120</v>
      </c>
      <c r="G195">
        <v>8</v>
      </c>
      <c r="H195">
        <v>32</v>
      </c>
      <c r="I195" s="5">
        <f t="shared" si="15"/>
        <v>358.20895522388059</v>
      </c>
      <c r="J195" s="5">
        <f t="shared" si="16"/>
        <v>40</v>
      </c>
      <c r="K195" s="5">
        <f t="shared" si="17"/>
        <v>64</v>
      </c>
      <c r="L195" s="5">
        <f t="shared" si="14"/>
        <v>4.6220895522388061E-2</v>
      </c>
    </row>
    <row r="196" spans="1:12" x14ac:dyDescent="0.25">
      <c r="A196" t="s">
        <v>15</v>
      </c>
      <c r="B196" t="s">
        <v>114</v>
      </c>
      <c r="C196" t="s">
        <v>104</v>
      </c>
      <c r="D196" t="str">
        <f>VLOOKUP(C196,cc!$A$2:$B$28,2,FALSE)</f>
        <v>NL</v>
      </c>
      <c r="E196" t="str">
        <f t="shared" si="13"/>
        <v>NLWHE</v>
      </c>
      <c r="F196">
        <v>133</v>
      </c>
      <c r="G196">
        <v>1</v>
      </c>
      <c r="H196">
        <v>4</v>
      </c>
      <c r="I196" s="5">
        <f t="shared" si="15"/>
        <v>397.0149253731343</v>
      </c>
      <c r="J196" s="5">
        <f t="shared" si="16"/>
        <v>5</v>
      </c>
      <c r="K196" s="5">
        <f t="shared" si="17"/>
        <v>8</v>
      </c>
      <c r="L196" s="5">
        <f t="shared" si="14"/>
        <v>4.100149253731343E-2</v>
      </c>
    </row>
    <row r="197" spans="1:12" x14ac:dyDescent="0.25">
      <c r="A197" t="s">
        <v>15</v>
      </c>
      <c r="B197" t="s">
        <v>126</v>
      </c>
      <c r="C197" t="s">
        <v>104</v>
      </c>
      <c r="D197" t="str">
        <f>VLOOKUP(C197,cc!$A$2:$B$28,2,FALSE)</f>
        <v>NL</v>
      </c>
      <c r="E197" t="str">
        <f t="shared" si="13"/>
        <v>NLWHE</v>
      </c>
      <c r="F197">
        <v>29</v>
      </c>
      <c r="G197">
        <v>0</v>
      </c>
      <c r="H197">
        <v>4</v>
      </c>
      <c r="I197" s="5">
        <f t="shared" si="15"/>
        <v>86.567164179104466</v>
      </c>
      <c r="J197" s="5">
        <f t="shared" si="16"/>
        <v>0</v>
      </c>
      <c r="K197" s="5">
        <f t="shared" si="17"/>
        <v>8</v>
      </c>
      <c r="L197" s="5">
        <f t="shared" si="14"/>
        <v>9.4567164179104463E-3</v>
      </c>
    </row>
    <row r="198" spans="1:12" x14ac:dyDescent="0.25">
      <c r="A198" t="s">
        <v>7</v>
      </c>
      <c r="B198" t="s">
        <v>44</v>
      </c>
      <c r="C198" t="s">
        <v>105</v>
      </c>
      <c r="D198" t="str">
        <f>VLOOKUP(C198,cc!$A$2:$B$28,2,FALSE)</f>
        <v>PL</v>
      </c>
      <c r="E198" t="str">
        <f t="shared" si="13"/>
        <v>PLBRL</v>
      </c>
      <c r="F198">
        <v>54</v>
      </c>
      <c r="G198">
        <v>7</v>
      </c>
      <c r="H198">
        <v>18</v>
      </c>
      <c r="I198" s="5">
        <f t="shared" si="15"/>
        <v>161.19402985074626</v>
      </c>
      <c r="J198" s="5">
        <f t="shared" si="16"/>
        <v>35</v>
      </c>
      <c r="K198" s="5">
        <f t="shared" si="17"/>
        <v>36</v>
      </c>
      <c r="L198" s="5">
        <f t="shared" si="14"/>
        <v>2.3219402985074626E-2</v>
      </c>
    </row>
    <row r="199" spans="1:12" x14ac:dyDescent="0.25">
      <c r="A199" t="s">
        <v>9</v>
      </c>
      <c r="B199" t="s">
        <v>46</v>
      </c>
      <c r="C199" t="s">
        <v>105</v>
      </c>
      <c r="D199" t="str">
        <f>VLOOKUP(C199,cc!$A$2:$B$28,2,FALSE)</f>
        <v>PL</v>
      </c>
      <c r="E199" t="str">
        <f t="shared" si="13"/>
        <v>PLMAI</v>
      </c>
      <c r="F199">
        <v>128</v>
      </c>
      <c r="G199">
        <v>21</v>
      </c>
      <c r="H199">
        <v>82</v>
      </c>
      <c r="I199" s="5">
        <f t="shared" si="15"/>
        <v>382.08955223880594</v>
      </c>
      <c r="J199" s="5">
        <f t="shared" si="16"/>
        <v>105</v>
      </c>
      <c r="K199" s="5">
        <f t="shared" si="17"/>
        <v>164</v>
      </c>
      <c r="L199" s="5">
        <f t="shared" si="14"/>
        <v>6.5108955223880591E-2</v>
      </c>
    </row>
    <row r="200" spans="1:12" x14ac:dyDescent="0.25">
      <c r="A200" t="s">
        <v>31</v>
      </c>
      <c r="B200" t="s">
        <v>70</v>
      </c>
      <c r="C200" t="s">
        <v>105</v>
      </c>
      <c r="D200" t="str">
        <f>VLOOKUP(C200,cc!$A$2:$B$28,2,FALSE)</f>
        <v>PL</v>
      </c>
      <c r="E200" t="str">
        <f t="shared" ref="E200:E263" si="18">CONCATENATE(D200,A200)</f>
        <v>PLMIX</v>
      </c>
      <c r="F200">
        <v>53</v>
      </c>
      <c r="G200">
        <v>8</v>
      </c>
      <c r="H200">
        <v>19</v>
      </c>
      <c r="I200" s="5">
        <f t="shared" si="15"/>
        <v>158.20895522388059</v>
      </c>
      <c r="J200" s="5">
        <f t="shared" si="16"/>
        <v>40</v>
      </c>
      <c r="K200" s="5">
        <f t="shared" si="17"/>
        <v>38</v>
      </c>
      <c r="L200" s="5">
        <f t="shared" ref="L200:L263" si="19">(I200+J200+K200)*0.0001</f>
        <v>2.3620895522388059E-2</v>
      </c>
    </row>
    <row r="201" spans="1:12" x14ac:dyDescent="0.25">
      <c r="A201" t="s">
        <v>28</v>
      </c>
      <c r="B201" t="s">
        <v>67</v>
      </c>
      <c r="C201" t="s">
        <v>105</v>
      </c>
      <c r="D201" t="str">
        <f>VLOOKUP(C201,cc!$A$2:$B$28,2,FALSE)</f>
        <v>PL</v>
      </c>
      <c r="E201" t="str">
        <f t="shared" si="18"/>
        <v>PLOAT</v>
      </c>
      <c r="F201">
        <v>54</v>
      </c>
      <c r="G201">
        <v>7</v>
      </c>
      <c r="H201">
        <v>17</v>
      </c>
      <c r="I201" s="5">
        <f t="shared" si="15"/>
        <v>161.19402985074626</v>
      </c>
      <c r="J201" s="5">
        <f t="shared" si="16"/>
        <v>35</v>
      </c>
      <c r="K201" s="5">
        <f t="shared" si="17"/>
        <v>34</v>
      </c>
      <c r="L201" s="5">
        <f t="shared" si="19"/>
        <v>2.3019402985074627E-2</v>
      </c>
    </row>
    <row r="202" spans="1:12" x14ac:dyDescent="0.25">
      <c r="A202" t="s">
        <v>19</v>
      </c>
      <c r="B202" t="s">
        <v>57</v>
      </c>
      <c r="C202" t="s">
        <v>105</v>
      </c>
      <c r="D202" t="str">
        <f>VLOOKUP(C202,cc!$A$2:$B$28,2,FALSE)</f>
        <v>PL</v>
      </c>
      <c r="E202" t="str">
        <f t="shared" si="18"/>
        <v>PLPOT</v>
      </c>
      <c r="F202">
        <v>15</v>
      </c>
      <c r="G202">
        <v>5</v>
      </c>
      <c r="H202">
        <v>14</v>
      </c>
      <c r="I202" s="5">
        <f t="shared" si="15"/>
        <v>44.776119402985074</v>
      </c>
      <c r="J202" s="5">
        <f t="shared" si="16"/>
        <v>25</v>
      </c>
      <c r="K202" s="5">
        <f t="shared" si="17"/>
        <v>28</v>
      </c>
      <c r="L202" s="5">
        <f t="shared" si="19"/>
        <v>9.7776119402985077E-3</v>
      </c>
    </row>
    <row r="203" spans="1:12" x14ac:dyDescent="0.25">
      <c r="A203" t="s">
        <v>11</v>
      </c>
      <c r="B203" t="s">
        <v>49</v>
      </c>
      <c r="C203" t="s">
        <v>105</v>
      </c>
      <c r="D203" t="str">
        <f>VLOOKUP(C203,cc!$A$2:$B$28,2,FALSE)</f>
        <v>PL</v>
      </c>
      <c r="E203" t="str">
        <f t="shared" si="18"/>
        <v>PLRAP</v>
      </c>
      <c r="F203">
        <v>127</v>
      </c>
      <c r="G203">
        <v>21</v>
      </c>
      <c r="H203">
        <v>53</v>
      </c>
      <c r="I203" s="5">
        <f t="shared" si="15"/>
        <v>379.1044776119403</v>
      </c>
      <c r="J203" s="5">
        <f t="shared" si="16"/>
        <v>105</v>
      </c>
      <c r="K203" s="5">
        <f t="shared" si="17"/>
        <v>106</v>
      </c>
      <c r="L203" s="5">
        <f t="shared" si="19"/>
        <v>5.9010447761194032E-2</v>
      </c>
    </row>
    <row r="204" spans="1:12" x14ac:dyDescent="0.25">
      <c r="A204" t="s">
        <v>12</v>
      </c>
      <c r="B204" t="s">
        <v>50</v>
      </c>
      <c r="C204" t="s">
        <v>105</v>
      </c>
      <c r="D204" t="str">
        <f>VLOOKUP(C204,cc!$A$2:$B$28,2,FALSE)</f>
        <v>PL</v>
      </c>
      <c r="E204" t="str">
        <f t="shared" si="18"/>
        <v>PLRYE</v>
      </c>
      <c r="F204">
        <v>54</v>
      </c>
      <c r="G204">
        <v>7</v>
      </c>
      <c r="H204">
        <v>17</v>
      </c>
      <c r="I204" s="5">
        <f t="shared" si="15"/>
        <v>161.19402985074626</v>
      </c>
      <c r="J204" s="5">
        <f t="shared" si="16"/>
        <v>35</v>
      </c>
      <c r="K204" s="5">
        <f t="shared" si="17"/>
        <v>34</v>
      </c>
      <c r="L204" s="5">
        <f t="shared" si="19"/>
        <v>2.3019402985074627E-2</v>
      </c>
    </row>
    <row r="205" spans="1:12" x14ac:dyDescent="0.25">
      <c r="A205" t="s">
        <v>14</v>
      </c>
      <c r="B205" t="s">
        <v>52</v>
      </c>
      <c r="C205" t="s">
        <v>105</v>
      </c>
      <c r="D205" t="str">
        <f>VLOOKUP(C205,cc!$A$2:$B$28,2,FALSE)</f>
        <v>PL</v>
      </c>
      <c r="E205" t="str">
        <f t="shared" si="18"/>
        <v>PLSUG</v>
      </c>
      <c r="F205">
        <v>149</v>
      </c>
      <c r="G205">
        <v>24</v>
      </c>
      <c r="H205">
        <v>64</v>
      </c>
      <c r="I205" s="5">
        <f t="shared" si="15"/>
        <v>444.77611940298505</v>
      </c>
      <c r="J205" s="5">
        <f t="shared" si="16"/>
        <v>120</v>
      </c>
      <c r="K205" s="5">
        <f t="shared" si="17"/>
        <v>128</v>
      </c>
      <c r="L205" s="5">
        <f t="shared" si="19"/>
        <v>6.9277611940298509E-2</v>
      </c>
    </row>
    <row r="206" spans="1:12" x14ac:dyDescent="0.25">
      <c r="A206" t="s">
        <v>15</v>
      </c>
      <c r="B206" t="s">
        <v>114</v>
      </c>
      <c r="C206" t="s">
        <v>105</v>
      </c>
      <c r="D206" t="str">
        <f>VLOOKUP(C206,cc!$A$2:$B$28,2,FALSE)</f>
        <v>PL</v>
      </c>
      <c r="E206" t="str">
        <f t="shared" si="18"/>
        <v>PLWHE</v>
      </c>
      <c r="F206">
        <v>80</v>
      </c>
      <c r="G206">
        <v>14</v>
      </c>
      <c r="H206">
        <v>38</v>
      </c>
      <c r="I206" s="5">
        <f t="shared" ref="I206:I267" si="20">F206/$J$2</f>
        <v>238.80597014925371</v>
      </c>
      <c r="J206" s="5">
        <f t="shared" ref="J206:J267" si="21">G206/$K$2</f>
        <v>70</v>
      </c>
      <c r="K206" s="5">
        <f t="shared" ref="K206:K267" si="22">H206/$L$2</f>
        <v>76</v>
      </c>
      <c r="L206" s="5">
        <f t="shared" si="19"/>
        <v>3.8480597014925372E-2</v>
      </c>
    </row>
    <row r="207" spans="1:12" x14ac:dyDescent="0.25">
      <c r="A207" t="s">
        <v>125</v>
      </c>
      <c r="B207" t="s">
        <v>126</v>
      </c>
      <c r="C207" t="s">
        <v>105</v>
      </c>
      <c r="D207" t="str">
        <f>VLOOKUP(C207,cc!$A$2:$B$28,2,FALSE)</f>
        <v>PL</v>
      </c>
      <c r="E207" t="str">
        <f t="shared" si="18"/>
        <v>PLTRT</v>
      </c>
      <c r="F207">
        <v>54</v>
      </c>
      <c r="G207">
        <v>7</v>
      </c>
      <c r="H207">
        <v>17</v>
      </c>
      <c r="I207" s="5">
        <f t="shared" si="20"/>
        <v>161.19402985074626</v>
      </c>
      <c r="J207" s="5">
        <f t="shared" si="21"/>
        <v>35</v>
      </c>
      <c r="K207" s="5">
        <f t="shared" si="22"/>
        <v>34</v>
      </c>
      <c r="L207" s="5">
        <f t="shared" si="19"/>
        <v>2.3019402985074627E-2</v>
      </c>
    </row>
    <row r="208" spans="1:12" x14ac:dyDescent="0.25">
      <c r="A208" t="s">
        <v>24</v>
      </c>
      <c r="B208" t="s">
        <v>63</v>
      </c>
      <c r="C208" t="s">
        <v>106</v>
      </c>
      <c r="D208" t="str">
        <f>VLOOKUP(C208,cc!$A$2:$B$28,2,FALSE)</f>
        <v>PT</v>
      </c>
      <c r="E208" t="str">
        <f t="shared" si="18"/>
        <v>PTALM</v>
      </c>
      <c r="F208">
        <v>0</v>
      </c>
      <c r="G208">
        <v>0</v>
      </c>
      <c r="H208">
        <v>0</v>
      </c>
      <c r="I208" s="5">
        <f t="shared" si="20"/>
        <v>0</v>
      </c>
      <c r="J208" s="5">
        <f t="shared" si="21"/>
        <v>0</v>
      </c>
      <c r="K208" s="5">
        <f t="shared" si="22"/>
        <v>0</v>
      </c>
      <c r="L208" s="5">
        <f t="shared" si="19"/>
        <v>0</v>
      </c>
    </row>
    <row r="209" spans="1:12" x14ac:dyDescent="0.25">
      <c r="A209" t="s">
        <v>8</v>
      </c>
      <c r="B209" t="s">
        <v>45</v>
      </c>
      <c r="C209" t="s">
        <v>106</v>
      </c>
      <c r="D209" t="str">
        <f>VLOOKUP(C209,cc!$A$2:$B$28,2,FALSE)</f>
        <v>PT</v>
      </c>
      <c r="E209" t="str">
        <f t="shared" si="18"/>
        <v>PTGRP</v>
      </c>
      <c r="F209">
        <v>45</v>
      </c>
      <c r="G209">
        <v>11</v>
      </c>
      <c r="H209">
        <v>16</v>
      </c>
      <c r="I209" s="5">
        <f t="shared" si="20"/>
        <v>134.32835820895522</v>
      </c>
      <c r="J209" s="5">
        <f t="shared" si="21"/>
        <v>55</v>
      </c>
      <c r="K209" s="5">
        <f t="shared" si="22"/>
        <v>32</v>
      </c>
      <c r="L209" s="5">
        <f t="shared" si="19"/>
        <v>2.2132835820895522E-2</v>
      </c>
    </row>
    <row r="210" spans="1:12" x14ac:dyDescent="0.25">
      <c r="A210" t="s">
        <v>9</v>
      </c>
      <c r="B210" t="s">
        <v>46</v>
      </c>
      <c r="C210" t="s">
        <v>106</v>
      </c>
      <c r="D210" t="str">
        <f>VLOOKUP(C210,cc!$A$2:$B$28,2,FALSE)</f>
        <v>PT</v>
      </c>
      <c r="E210" t="str">
        <f t="shared" si="18"/>
        <v>PTMAI</v>
      </c>
      <c r="F210">
        <v>217</v>
      </c>
      <c r="G210">
        <v>29</v>
      </c>
      <c r="H210">
        <v>61</v>
      </c>
      <c r="I210" s="5">
        <f t="shared" si="20"/>
        <v>647.76119402985069</v>
      </c>
      <c r="J210" s="5">
        <f t="shared" si="21"/>
        <v>145</v>
      </c>
      <c r="K210" s="5">
        <f t="shared" si="22"/>
        <v>122</v>
      </c>
      <c r="L210" s="5">
        <f t="shared" si="19"/>
        <v>9.147611940298507E-2</v>
      </c>
    </row>
    <row r="211" spans="1:12" x14ac:dyDescent="0.25">
      <c r="A211" t="s">
        <v>28</v>
      </c>
      <c r="B211" t="s">
        <v>67</v>
      </c>
      <c r="C211" t="s">
        <v>106</v>
      </c>
      <c r="D211" t="str">
        <f>VLOOKUP(C211,cc!$A$2:$B$28,2,FALSE)</f>
        <v>PT</v>
      </c>
      <c r="E211" t="str">
        <f t="shared" si="18"/>
        <v>PTOAT</v>
      </c>
      <c r="F211">
        <v>173</v>
      </c>
      <c r="G211">
        <v>1</v>
      </c>
      <c r="H211">
        <v>1</v>
      </c>
      <c r="I211" s="5">
        <f t="shared" si="20"/>
        <v>516.41791044776119</v>
      </c>
      <c r="J211" s="5">
        <f t="shared" si="21"/>
        <v>5</v>
      </c>
      <c r="K211" s="5">
        <f t="shared" si="22"/>
        <v>2</v>
      </c>
      <c r="L211" s="5">
        <f t="shared" si="19"/>
        <v>5.2341791044776119E-2</v>
      </c>
    </row>
    <row r="212" spans="1:12" x14ac:dyDescent="0.25">
      <c r="A212" t="s">
        <v>23</v>
      </c>
      <c r="B212" t="s">
        <v>62</v>
      </c>
      <c r="C212" t="s">
        <v>106</v>
      </c>
      <c r="D212" t="str">
        <f>VLOOKUP(C212,cc!$A$2:$B$28,2,FALSE)</f>
        <v>PT</v>
      </c>
      <c r="E212" t="str">
        <f t="shared" si="18"/>
        <v>PTOLI</v>
      </c>
      <c r="F212">
        <v>63</v>
      </c>
      <c r="G212">
        <v>7</v>
      </c>
      <c r="H212">
        <v>20</v>
      </c>
      <c r="I212" s="5">
        <f t="shared" si="20"/>
        <v>188.0597014925373</v>
      </c>
      <c r="J212" s="5">
        <f t="shared" si="21"/>
        <v>35</v>
      </c>
      <c r="K212" s="5">
        <f t="shared" si="22"/>
        <v>40</v>
      </c>
      <c r="L212" s="5">
        <f t="shared" si="19"/>
        <v>2.6305970149253736E-2</v>
      </c>
    </row>
    <row r="213" spans="1:12" x14ac:dyDescent="0.25">
      <c r="A213" t="s">
        <v>43</v>
      </c>
      <c r="B213" t="s">
        <v>83</v>
      </c>
      <c r="C213" t="s">
        <v>106</v>
      </c>
      <c r="D213" t="str">
        <f>VLOOKUP(C213,cc!$A$2:$B$28,2,FALSE)</f>
        <v>PT</v>
      </c>
      <c r="E213" t="str">
        <f t="shared" si="18"/>
        <v>PTOTN</v>
      </c>
      <c r="F213">
        <v>0</v>
      </c>
      <c r="G213">
        <v>0</v>
      </c>
      <c r="H213">
        <v>0</v>
      </c>
      <c r="I213" s="5">
        <f t="shared" si="20"/>
        <v>0</v>
      </c>
      <c r="J213" s="5">
        <f t="shared" si="21"/>
        <v>0</v>
      </c>
      <c r="K213" s="5">
        <f t="shared" si="22"/>
        <v>0</v>
      </c>
      <c r="L213" s="5">
        <f t="shared" si="19"/>
        <v>0</v>
      </c>
    </row>
    <row r="214" spans="1:12" x14ac:dyDescent="0.25">
      <c r="A214" t="s">
        <v>43</v>
      </c>
      <c r="B214" t="s">
        <v>84</v>
      </c>
      <c r="C214" t="s">
        <v>106</v>
      </c>
      <c r="D214" t="str">
        <f>VLOOKUP(C214,cc!$A$2:$B$28,2,FALSE)</f>
        <v>PT</v>
      </c>
      <c r="E214" t="str">
        <f t="shared" si="18"/>
        <v>PTOTN</v>
      </c>
      <c r="F214">
        <v>0</v>
      </c>
      <c r="G214">
        <v>0</v>
      </c>
      <c r="H214">
        <v>0</v>
      </c>
      <c r="I214" s="5">
        <f t="shared" si="20"/>
        <v>0</v>
      </c>
      <c r="J214" s="5">
        <f t="shared" si="21"/>
        <v>0</v>
      </c>
      <c r="K214" s="5">
        <f t="shared" si="22"/>
        <v>0</v>
      </c>
      <c r="L214" s="5">
        <f t="shared" si="19"/>
        <v>0</v>
      </c>
    </row>
    <row r="215" spans="1:12" x14ac:dyDescent="0.25">
      <c r="A215" t="s">
        <v>38</v>
      </c>
      <c r="B215" t="s">
        <v>77</v>
      </c>
      <c r="C215" t="s">
        <v>106</v>
      </c>
      <c r="D215" t="str">
        <f>VLOOKUP(C215,cc!$A$2:$B$28,2,FALSE)</f>
        <v>PT</v>
      </c>
      <c r="E215" t="str">
        <f t="shared" si="18"/>
        <v>PTRIC</v>
      </c>
      <c r="F215">
        <v>168</v>
      </c>
      <c r="G215">
        <v>1</v>
      </c>
      <c r="H215">
        <v>1</v>
      </c>
      <c r="I215" s="5">
        <f t="shared" si="20"/>
        <v>501.49253731343282</v>
      </c>
      <c r="J215" s="5">
        <f t="shared" si="21"/>
        <v>5</v>
      </c>
      <c r="K215" s="5">
        <f t="shared" si="22"/>
        <v>2</v>
      </c>
      <c r="L215" s="5">
        <f t="shared" si="19"/>
        <v>5.0849253731343282E-2</v>
      </c>
    </row>
    <row r="216" spans="1:12" x14ac:dyDescent="0.25">
      <c r="A216" t="s">
        <v>15</v>
      </c>
      <c r="B216" t="s">
        <v>114</v>
      </c>
      <c r="C216" t="s">
        <v>106</v>
      </c>
      <c r="D216" t="str">
        <f>VLOOKUP(C216,cc!$A$2:$B$28,2,FALSE)</f>
        <v>PT</v>
      </c>
      <c r="E216" t="str">
        <f t="shared" si="18"/>
        <v>PTWHE</v>
      </c>
      <c r="F216">
        <v>73</v>
      </c>
      <c r="G216">
        <v>13</v>
      </c>
      <c r="H216">
        <v>10</v>
      </c>
      <c r="I216" s="5">
        <f t="shared" si="20"/>
        <v>217.91044776119401</v>
      </c>
      <c r="J216" s="5">
        <f t="shared" si="21"/>
        <v>65</v>
      </c>
      <c r="K216" s="5">
        <f t="shared" si="22"/>
        <v>20</v>
      </c>
      <c r="L216" s="5">
        <f t="shared" si="19"/>
        <v>3.0291044776119401E-2</v>
      </c>
    </row>
    <row r="217" spans="1:12" x14ac:dyDescent="0.25">
      <c r="A217" t="s">
        <v>125</v>
      </c>
      <c r="B217" t="s">
        <v>126</v>
      </c>
      <c r="C217" t="s">
        <v>106</v>
      </c>
      <c r="D217" t="str">
        <f>VLOOKUP(C217,cc!$A$2:$B$28,2,FALSE)</f>
        <v>PT</v>
      </c>
      <c r="E217" t="str">
        <f t="shared" si="18"/>
        <v>PTTRT</v>
      </c>
      <c r="F217">
        <v>168</v>
      </c>
      <c r="G217">
        <v>1</v>
      </c>
      <c r="H217">
        <v>1</v>
      </c>
      <c r="I217" s="5">
        <f t="shared" si="20"/>
        <v>501.49253731343282</v>
      </c>
      <c r="J217" s="5">
        <f t="shared" si="21"/>
        <v>5</v>
      </c>
      <c r="K217" s="5">
        <f t="shared" si="22"/>
        <v>2</v>
      </c>
      <c r="L217" s="5">
        <f t="shared" si="19"/>
        <v>5.0849253731343282E-2</v>
      </c>
    </row>
    <row r="218" spans="1:12" x14ac:dyDescent="0.25">
      <c r="A218" t="s">
        <v>7</v>
      </c>
      <c r="B218" t="s">
        <v>44</v>
      </c>
      <c r="C218" t="s">
        <v>107</v>
      </c>
      <c r="D218" t="str">
        <f>VLOOKUP(C218,cc!$A$2:$B$28,2,FALSE)</f>
        <v>RO</v>
      </c>
      <c r="E218" t="str">
        <f t="shared" si="18"/>
        <v>ROBRL</v>
      </c>
      <c r="F218">
        <v>15</v>
      </c>
      <c r="G218">
        <v>3</v>
      </c>
      <c r="H218">
        <v>0</v>
      </c>
      <c r="I218" s="5">
        <f t="shared" si="20"/>
        <v>44.776119402985074</v>
      </c>
      <c r="J218" s="5">
        <f t="shared" si="21"/>
        <v>15</v>
      </c>
      <c r="K218" s="5">
        <f t="shared" si="22"/>
        <v>0</v>
      </c>
      <c r="L218" s="5">
        <f t="shared" si="19"/>
        <v>5.9776119402985073E-3</v>
      </c>
    </row>
    <row r="219" spans="1:12" x14ac:dyDescent="0.25">
      <c r="A219" t="s">
        <v>8</v>
      </c>
      <c r="B219" t="s">
        <v>45</v>
      </c>
      <c r="C219" t="s">
        <v>107</v>
      </c>
      <c r="D219" t="str">
        <f>VLOOKUP(C219,cc!$A$2:$B$28,2,FALSE)</f>
        <v>RO</v>
      </c>
      <c r="E219" t="str">
        <f t="shared" si="18"/>
        <v>ROGRP</v>
      </c>
      <c r="F219">
        <v>13</v>
      </c>
      <c r="G219">
        <v>4</v>
      </c>
      <c r="H219">
        <v>10</v>
      </c>
      <c r="I219" s="5">
        <f t="shared" si="20"/>
        <v>38.805970149253731</v>
      </c>
      <c r="J219" s="5">
        <f t="shared" si="21"/>
        <v>20</v>
      </c>
      <c r="K219" s="5">
        <f t="shared" si="22"/>
        <v>20</v>
      </c>
      <c r="L219" s="5">
        <f t="shared" si="19"/>
        <v>7.8805970149253748E-3</v>
      </c>
    </row>
    <row r="220" spans="1:12" x14ac:dyDescent="0.25">
      <c r="A220" t="s">
        <v>9</v>
      </c>
      <c r="B220" t="s">
        <v>46</v>
      </c>
      <c r="C220" t="s">
        <v>107</v>
      </c>
      <c r="D220" t="str">
        <f>VLOOKUP(C220,cc!$A$2:$B$28,2,FALSE)</f>
        <v>RO</v>
      </c>
      <c r="E220" t="str">
        <f t="shared" si="18"/>
        <v>ROMAI</v>
      </c>
      <c r="F220">
        <v>88</v>
      </c>
      <c r="G220">
        <v>14</v>
      </c>
      <c r="H220">
        <v>7</v>
      </c>
      <c r="I220" s="5">
        <f t="shared" si="20"/>
        <v>262.68656716417911</v>
      </c>
      <c r="J220" s="5">
        <f t="shared" si="21"/>
        <v>70</v>
      </c>
      <c r="K220" s="5">
        <f t="shared" si="22"/>
        <v>14</v>
      </c>
      <c r="L220" s="5">
        <f t="shared" si="19"/>
        <v>3.466865671641791E-2</v>
      </c>
    </row>
    <row r="221" spans="1:12" x14ac:dyDescent="0.25">
      <c r="A221" t="s">
        <v>28</v>
      </c>
      <c r="B221" t="s">
        <v>67</v>
      </c>
      <c r="C221" t="s">
        <v>107</v>
      </c>
      <c r="D221" t="str">
        <f>VLOOKUP(C221,cc!$A$2:$B$28,2,FALSE)</f>
        <v>RO</v>
      </c>
      <c r="E221" t="str">
        <f t="shared" si="18"/>
        <v>ROOAT</v>
      </c>
      <c r="F221">
        <v>15</v>
      </c>
      <c r="G221">
        <v>3</v>
      </c>
      <c r="H221">
        <v>0</v>
      </c>
      <c r="I221" s="5">
        <f t="shared" si="20"/>
        <v>44.776119402985074</v>
      </c>
      <c r="J221" s="5">
        <f t="shared" si="21"/>
        <v>15</v>
      </c>
      <c r="K221" s="5">
        <f t="shared" si="22"/>
        <v>0</v>
      </c>
      <c r="L221" s="5">
        <f t="shared" si="19"/>
        <v>5.9776119402985073E-3</v>
      </c>
    </row>
    <row r="222" spans="1:12" x14ac:dyDescent="0.25">
      <c r="A222" t="s">
        <v>19</v>
      </c>
      <c r="B222" t="s">
        <v>57</v>
      </c>
      <c r="C222" t="s">
        <v>107</v>
      </c>
      <c r="D222" t="str">
        <f>VLOOKUP(C222,cc!$A$2:$B$28,2,FALSE)</f>
        <v>RO</v>
      </c>
      <c r="E222" t="str">
        <f t="shared" si="18"/>
        <v>ROPOT</v>
      </c>
      <c r="F222">
        <v>42</v>
      </c>
      <c r="G222">
        <v>11</v>
      </c>
      <c r="H222">
        <v>23</v>
      </c>
      <c r="I222" s="5">
        <f t="shared" si="20"/>
        <v>125.3731343283582</v>
      </c>
      <c r="J222" s="5">
        <f t="shared" si="21"/>
        <v>55</v>
      </c>
      <c r="K222" s="5">
        <f t="shared" si="22"/>
        <v>46</v>
      </c>
      <c r="L222" s="5">
        <f t="shared" si="19"/>
        <v>2.2637313432835822E-2</v>
      </c>
    </row>
    <row r="223" spans="1:12" x14ac:dyDescent="0.25">
      <c r="A223" t="s">
        <v>11</v>
      </c>
      <c r="B223" t="s">
        <v>49</v>
      </c>
      <c r="C223" t="s">
        <v>107</v>
      </c>
      <c r="D223" t="str">
        <f>VLOOKUP(C223,cc!$A$2:$B$28,2,FALSE)</f>
        <v>RO</v>
      </c>
      <c r="E223" t="str">
        <f t="shared" si="18"/>
        <v>RORAP</v>
      </c>
      <c r="F223">
        <v>94</v>
      </c>
      <c r="G223">
        <v>14</v>
      </c>
      <c r="H223">
        <v>10</v>
      </c>
      <c r="I223" s="5">
        <f t="shared" si="20"/>
        <v>280.59701492537312</v>
      </c>
      <c r="J223" s="5">
        <f t="shared" si="21"/>
        <v>70</v>
      </c>
      <c r="K223" s="5">
        <f t="shared" si="22"/>
        <v>20</v>
      </c>
      <c r="L223" s="5">
        <f t="shared" si="19"/>
        <v>3.705970149253731E-2</v>
      </c>
    </row>
    <row r="224" spans="1:12" x14ac:dyDescent="0.25">
      <c r="A224" t="s">
        <v>13</v>
      </c>
      <c r="B224" t="s">
        <v>51</v>
      </c>
      <c r="C224" t="s">
        <v>107</v>
      </c>
      <c r="D224" t="str">
        <f>VLOOKUP(C224,cc!$A$2:$B$28,2,FALSE)</f>
        <v>RO</v>
      </c>
      <c r="E224" t="str">
        <f t="shared" si="18"/>
        <v>ROSOY</v>
      </c>
      <c r="F224">
        <v>8</v>
      </c>
      <c r="G224">
        <v>3</v>
      </c>
      <c r="H224">
        <v>4</v>
      </c>
      <c r="I224" s="5">
        <f t="shared" si="20"/>
        <v>23.880597014925371</v>
      </c>
      <c r="J224" s="5">
        <f t="shared" si="21"/>
        <v>15</v>
      </c>
      <c r="K224" s="5">
        <f t="shared" si="22"/>
        <v>8</v>
      </c>
      <c r="L224" s="5">
        <f t="shared" si="19"/>
        <v>4.6880597014925373E-3</v>
      </c>
    </row>
    <row r="225" spans="1:12" x14ac:dyDescent="0.25">
      <c r="A225" t="s">
        <v>21</v>
      </c>
      <c r="B225" t="s">
        <v>60</v>
      </c>
      <c r="C225" t="s">
        <v>107</v>
      </c>
      <c r="D225" t="str">
        <f>VLOOKUP(C225,cc!$A$2:$B$28,2,FALSE)</f>
        <v>RO</v>
      </c>
      <c r="E225" t="str">
        <f t="shared" si="18"/>
        <v>ROSUN</v>
      </c>
      <c r="F225">
        <v>8</v>
      </c>
      <c r="G225">
        <v>4</v>
      </c>
      <c r="H225">
        <v>4</v>
      </c>
      <c r="I225" s="5">
        <f t="shared" si="20"/>
        <v>23.880597014925371</v>
      </c>
      <c r="J225" s="5">
        <f t="shared" si="21"/>
        <v>20</v>
      </c>
      <c r="K225" s="5">
        <f t="shared" si="22"/>
        <v>8</v>
      </c>
      <c r="L225" s="5">
        <f t="shared" si="19"/>
        <v>5.1880597014925377E-3</v>
      </c>
    </row>
    <row r="226" spans="1:12" x14ac:dyDescent="0.25">
      <c r="A226" t="s">
        <v>15</v>
      </c>
      <c r="B226" t="s">
        <v>53</v>
      </c>
      <c r="C226" t="s">
        <v>107</v>
      </c>
      <c r="D226" t="str">
        <f>VLOOKUP(C226,cc!$A$2:$B$28,2,FALSE)</f>
        <v>RO</v>
      </c>
      <c r="E226" t="str">
        <f t="shared" si="18"/>
        <v>ROWHE</v>
      </c>
      <c r="F226">
        <v>81</v>
      </c>
      <c r="G226">
        <v>18</v>
      </c>
      <c r="H226">
        <v>11</v>
      </c>
      <c r="I226" s="5">
        <f t="shared" si="20"/>
        <v>241.79104477611938</v>
      </c>
      <c r="J226" s="5">
        <f t="shared" si="21"/>
        <v>90</v>
      </c>
      <c r="K226" s="5">
        <f t="shared" si="22"/>
        <v>22</v>
      </c>
      <c r="L226" s="5">
        <f t="shared" si="19"/>
        <v>3.5379104477611945E-2</v>
      </c>
    </row>
    <row r="227" spans="1:12" x14ac:dyDescent="0.25">
      <c r="A227" t="s">
        <v>125</v>
      </c>
      <c r="B227" t="s">
        <v>126</v>
      </c>
      <c r="C227" t="s">
        <v>107</v>
      </c>
      <c r="D227" t="str">
        <f>VLOOKUP(C227,cc!$A$2:$B$28,2,FALSE)</f>
        <v>RO</v>
      </c>
      <c r="E227" t="str">
        <f t="shared" si="18"/>
        <v>ROTRT</v>
      </c>
      <c r="F227">
        <v>15</v>
      </c>
      <c r="G227">
        <v>3</v>
      </c>
      <c r="H227">
        <v>0</v>
      </c>
      <c r="I227" s="5">
        <f t="shared" si="20"/>
        <v>44.776119402985074</v>
      </c>
      <c r="J227" s="5">
        <f t="shared" si="21"/>
        <v>15</v>
      </c>
      <c r="K227" s="5">
        <f t="shared" si="22"/>
        <v>0</v>
      </c>
      <c r="L227" s="5">
        <f t="shared" si="19"/>
        <v>5.9776119402985073E-3</v>
      </c>
    </row>
    <row r="228" spans="1:12" x14ac:dyDescent="0.25">
      <c r="A228" t="s">
        <v>7</v>
      </c>
      <c r="B228" t="s">
        <v>44</v>
      </c>
      <c r="C228" t="s">
        <v>108</v>
      </c>
      <c r="D228" t="str">
        <f>VLOOKUP(C228,cc!$A$2:$B$28,2,FALSE)</f>
        <v>SK</v>
      </c>
      <c r="E228" t="str">
        <f t="shared" si="18"/>
        <v>SKBRL</v>
      </c>
      <c r="F228">
        <v>70</v>
      </c>
      <c r="G228">
        <v>5</v>
      </c>
      <c r="H228">
        <v>10</v>
      </c>
      <c r="I228" s="5">
        <f t="shared" si="20"/>
        <v>208.955223880597</v>
      </c>
      <c r="J228" s="5">
        <f t="shared" si="21"/>
        <v>25</v>
      </c>
      <c r="K228" s="5">
        <f t="shared" si="22"/>
        <v>20</v>
      </c>
      <c r="L228" s="5">
        <f t="shared" si="19"/>
        <v>2.5395522388059703E-2</v>
      </c>
    </row>
    <row r="229" spans="1:12" x14ac:dyDescent="0.25">
      <c r="A229" t="s">
        <v>9</v>
      </c>
      <c r="B229" t="s">
        <v>46</v>
      </c>
      <c r="C229" t="s">
        <v>108</v>
      </c>
      <c r="D229" t="str">
        <f>VLOOKUP(C229,cc!$A$2:$B$28,2,FALSE)</f>
        <v>SK</v>
      </c>
      <c r="E229" t="str">
        <f t="shared" si="18"/>
        <v>SKMAI</v>
      </c>
      <c r="F229">
        <v>119</v>
      </c>
      <c r="G229">
        <v>15</v>
      </c>
      <c r="H229">
        <v>13</v>
      </c>
      <c r="I229" s="5">
        <f t="shared" si="20"/>
        <v>355.2238805970149</v>
      </c>
      <c r="J229" s="5">
        <f t="shared" si="21"/>
        <v>75</v>
      </c>
      <c r="K229" s="5">
        <f t="shared" si="22"/>
        <v>26</v>
      </c>
      <c r="L229" s="5">
        <f t="shared" si="19"/>
        <v>4.5622388059701494E-2</v>
      </c>
    </row>
    <row r="230" spans="1:12" x14ac:dyDescent="0.25">
      <c r="A230" t="s">
        <v>28</v>
      </c>
      <c r="B230" t="s">
        <v>67</v>
      </c>
      <c r="C230" t="s">
        <v>108</v>
      </c>
      <c r="D230" t="str">
        <f>VLOOKUP(C230,cc!$A$2:$B$28,2,FALSE)</f>
        <v>SK</v>
      </c>
      <c r="E230" t="str">
        <f t="shared" si="18"/>
        <v>SKOAT</v>
      </c>
      <c r="F230">
        <v>70</v>
      </c>
      <c r="G230">
        <v>5</v>
      </c>
      <c r="H230">
        <v>10</v>
      </c>
      <c r="I230" s="5">
        <f t="shared" si="20"/>
        <v>208.955223880597</v>
      </c>
      <c r="J230" s="5">
        <f t="shared" si="21"/>
        <v>25</v>
      </c>
      <c r="K230" s="5">
        <f t="shared" si="22"/>
        <v>20</v>
      </c>
      <c r="L230" s="5">
        <f t="shared" si="19"/>
        <v>2.5395522388059703E-2</v>
      </c>
    </row>
    <row r="231" spans="1:12" x14ac:dyDescent="0.25">
      <c r="A231" t="s">
        <v>11</v>
      </c>
      <c r="B231" t="s">
        <v>49</v>
      </c>
      <c r="C231" t="s">
        <v>108</v>
      </c>
      <c r="D231" t="str">
        <f>VLOOKUP(C231,cc!$A$2:$B$28,2,FALSE)</f>
        <v>SK</v>
      </c>
      <c r="E231" t="str">
        <f t="shared" si="18"/>
        <v>SKRAP</v>
      </c>
      <c r="F231">
        <v>150</v>
      </c>
      <c r="G231">
        <v>14</v>
      </c>
      <c r="H231">
        <v>13</v>
      </c>
      <c r="I231" s="5">
        <f t="shared" si="20"/>
        <v>447.76119402985074</v>
      </c>
      <c r="J231" s="5">
        <f t="shared" si="21"/>
        <v>70</v>
      </c>
      <c r="K231" s="5">
        <f t="shared" si="22"/>
        <v>26</v>
      </c>
      <c r="L231" s="5">
        <f t="shared" si="19"/>
        <v>5.4376119402985069E-2</v>
      </c>
    </row>
    <row r="232" spans="1:12" x14ac:dyDescent="0.25">
      <c r="A232" t="s">
        <v>12</v>
      </c>
      <c r="B232" t="s">
        <v>50</v>
      </c>
      <c r="C232" t="s">
        <v>108</v>
      </c>
      <c r="D232" t="str">
        <f>VLOOKUP(C232,cc!$A$2:$B$28,2,FALSE)</f>
        <v>SK</v>
      </c>
      <c r="E232" t="str">
        <f t="shared" si="18"/>
        <v>SKRYE</v>
      </c>
      <c r="F232">
        <v>70</v>
      </c>
      <c r="G232">
        <v>5</v>
      </c>
      <c r="H232">
        <v>10</v>
      </c>
      <c r="I232" s="5">
        <f t="shared" si="20"/>
        <v>208.955223880597</v>
      </c>
      <c r="J232" s="5">
        <f t="shared" si="21"/>
        <v>25</v>
      </c>
      <c r="K232" s="5">
        <f t="shared" si="22"/>
        <v>20</v>
      </c>
      <c r="L232" s="5">
        <f t="shared" si="19"/>
        <v>2.5395522388059703E-2</v>
      </c>
    </row>
    <row r="233" spans="1:12" x14ac:dyDescent="0.25">
      <c r="A233" t="s">
        <v>13</v>
      </c>
      <c r="B233" t="s">
        <v>51</v>
      </c>
      <c r="C233" t="s">
        <v>108</v>
      </c>
      <c r="D233" t="str">
        <f>VLOOKUP(C233,cc!$A$2:$B$28,2,FALSE)</f>
        <v>SK</v>
      </c>
      <c r="E233" t="str">
        <f t="shared" si="18"/>
        <v>SKSOY</v>
      </c>
      <c r="F233">
        <v>111</v>
      </c>
      <c r="G233">
        <v>9</v>
      </c>
      <c r="H233">
        <v>12</v>
      </c>
      <c r="I233" s="5">
        <f t="shared" si="20"/>
        <v>331.34328358208955</v>
      </c>
      <c r="J233" s="5">
        <f t="shared" si="21"/>
        <v>45</v>
      </c>
      <c r="K233" s="5">
        <f t="shared" si="22"/>
        <v>24</v>
      </c>
      <c r="L233" s="5">
        <f t="shared" si="19"/>
        <v>4.0034328358208957E-2</v>
      </c>
    </row>
    <row r="234" spans="1:12" x14ac:dyDescent="0.25">
      <c r="A234" t="s">
        <v>14</v>
      </c>
      <c r="B234" t="s">
        <v>52</v>
      </c>
      <c r="C234" t="s">
        <v>108</v>
      </c>
      <c r="D234" t="str">
        <f>VLOOKUP(C234,cc!$A$2:$B$28,2,FALSE)</f>
        <v>SK</v>
      </c>
      <c r="E234" t="str">
        <f t="shared" si="18"/>
        <v>SKSUG</v>
      </c>
      <c r="F234">
        <v>119</v>
      </c>
      <c r="G234">
        <v>18</v>
      </c>
      <c r="H234">
        <v>47</v>
      </c>
      <c r="I234" s="5">
        <f t="shared" si="20"/>
        <v>355.2238805970149</v>
      </c>
      <c r="J234" s="5">
        <f t="shared" si="21"/>
        <v>90</v>
      </c>
      <c r="K234" s="5">
        <f t="shared" si="22"/>
        <v>94</v>
      </c>
      <c r="L234" s="5">
        <f t="shared" si="19"/>
        <v>5.3922388059701488E-2</v>
      </c>
    </row>
    <row r="235" spans="1:12" x14ac:dyDescent="0.25">
      <c r="A235" t="s">
        <v>21</v>
      </c>
      <c r="B235" t="s">
        <v>60</v>
      </c>
      <c r="C235" t="s">
        <v>108</v>
      </c>
      <c r="D235" t="str">
        <f>VLOOKUP(C235,cc!$A$2:$B$28,2,FALSE)</f>
        <v>SK</v>
      </c>
      <c r="E235" t="str">
        <f t="shared" si="18"/>
        <v>SKSUN</v>
      </c>
      <c r="F235">
        <v>113</v>
      </c>
      <c r="G235">
        <v>9</v>
      </c>
      <c r="H235">
        <v>12</v>
      </c>
      <c r="I235" s="5">
        <f t="shared" si="20"/>
        <v>337.31343283582089</v>
      </c>
      <c r="J235" s="5">
        <f t="shared" si="21"/>
        <v>45</v>
      </c>
      <c r="K235" s="5">
        <f t="shared" si="22"/>
        <v>24</v>
      </c>
      <c r="L235" s="5">
        <f t="shared" si="19"/>
        <v>4.0631343283582089E-2</v>
      </c>
    </row>
    <row r="236" spans="1:12" x14ac:dyDescent="0.25">
      <c r="A236" t="s">
        <v>15</v>
      </c>
      <c r="B236" t="s">
        <v>114</v>
      </c>
      <c r="C236" t="s">
        <v>108</v>
      </c>
      <c r="D236" t="str">
        <f>VLOOKUP(C236,cc!$A$2:$B$28,2,FALSE)</f>
        <v>SK</v>
      </c>
      <c r="E236" t="str">
        <f t="shared" si="18"/>
        <v>SKWHE</v>
      </c>
      <c r="F236">
        <v>130</v>
      </c>
      <c r="G236">
        <v>10</v>
      </c>
      <c r="H236">
        <v>13</v>
      </c>
      <c r="I236" s="5">
        <f t="shared" si="20"/>
        <v>388.05970149253727</v>
      </c>
      <c r="J236" s="5">
        <f t="shared" si="21"/>
        <v>50</v>
      </c>
      <c r="K236" s="5">
        <f t="shared" si="22"/>
        <v>26</v>
      </c>
      <c r="L236" s="5">
        <f t="shared" si="19"/>
        <v>4.6405970149253732E-2</v>
      </c>
    </row>
    <row r="237" spans="1:12" x14ac:dyDescent="0.25">
      <c r="A237" t="s">
        <v>125</v>
      </c>
      <c r="B237" t="s">
        <v>126</v>
      </c>
      <c r="C237" t="s">
        <v>108</v>
      </c>
      <c r="D237" t="str">
        <f>VLOOKUP(C237,cc!$A$2:$B$28,2,FALSE)</f>
        <v>SK</v>
      </c>
      <c r="E237" t="str">
        <f t="shared" si="18"/>
        <v>SKTRT</v>
      </c>
      <c r="F237">
        <v>70</v>
      </c>
      <c r="G237">
        <v>5</v>
      </c>
      <c r="H237">
        <v>10</v>
      </c>
      <c r="I237" s="5">
        <f t="shared" si="20"/>
        <v>208.955223880597</v>
      </c>
      <c r="J237" s="5">
        <f t="shared" si="21"/>
        <v>25</v>
      </c>
      <c r="K237" s="5">
        <f t="shared" si="22"/>
        <v>20</v>
      </c>
      <c r="L237" s="5">
        <f t="shared" si="19"/>
        <v>2.5395522388059703E-2</v>
      </c>
    </row>
    <row r="238" spans="1:12" x14ac:dyDescent="0.25">
      <c r="A238" t="s">
        <v>34</v>
      </c>
      <c r="B238" t="s">
        <v>73</v>
      </c>
      <c r="C238" t="s">
        <v>109</v>
      </c>
      <c r="D238" t="str">
        <f>VLOOKUP(C238,cc!$A$2:$B$28,2,FALSE)</f>
        <v>SI</v>
      </c>
      <c r="E238" t="str">
        <f t="shared" si="18"/>
        <v>SIAPP</v>
      </c>
      <c r="F238">
        <v>31</v>
      </c>
      <c r="G238">
        <v>9</v>
      </c>
      <c r="H238">
        <v>24</v>
      </c>
      <c r="I238" s="5">
        <f t="shared" si="20"/>
        <v>92.537313432835816</v>
      </c>
      <c r="J238" s="5">
        <f t="shared" si="21"/>
        <v>45</v>
      </c>
      <c r="K238" s="5">
        <f t="shared" si="22"/>
        <v>48</v>
      </c>
      <c r="L238" s="5">
        <f t="shared" si="19"/>
        <v>1.8553731343283583E-2</v>
      </c>
    </row>
    <row r="239" spans="1:12" x14ac:dyDescent="0.25">
      <c r="A239" t="s">
        <v>7</v>
      </c>
      <c r="B239" t="s">
        <v>44</v>
      </c>
      <c r="C239" t="s">
        <v>109</v>
      </c>
      <c r="D239" t="str">
        <f>VLOOKUP(C239,cc!$A$2:$B$28,2,FALSE)</f>
        <v>SI</v>
      </c>
      <c r="E239" t="str">
        <f t="shared" si="18"/>
        <v>SIBRL</v>
      </c>
      <c r="F239">
        <v>170</v>
      </c>
      <c r="G239">
        <v>19</v>
      </c>
      <c r="H239">
        <v>48</v>
      </c>
      <c r="I239" s="5">
        <f t="shared" si="20"/>
        <v>507.46268656716416</v>
      </c>
      <c r="J239" s="5">
        <f t="shared" si="21"/>
        <v>95</v>
      </c>
      <c r="K239" s="5">
        <f t="shared" si="22"/>
        <v>96</v>
      </c>
      <c r="L239" s="5">
        <f t="shared" si="19"/>
        <v>6.984626865671642E-2</v>
      </c>
    </row>
    <row r="240" spans="1:12" x14ac:dyDescent="0.25">
      <c r="A240" t="s">
        <v>39</v>
      </c>
      <c r="B240" t="s">
        <v>78</v>
      </c>
      <c r="C240" t="s">
        <v>109</v>
      </c>
      <c r="D240" t="str">
        <f>VLOOKUP(C240,cc!$A$2:$B$28,2,FALSE)</f>
        <v>SI</v>
      </c>
      <c r="E240" t="str">
        <f t="shared" si="18"/>
        <v>SICER</v>
      </c>
      <c r="F240">
        <v>81</v>
      </c>
      <c r="G240">
        <v>12</v>
      </c>
      <c r="H240">
        <v>24</v>
      </c>
      <c r="I240" s="5">
        <f t="shared" si="20"/>
        <v>241.79104477611938</v>
      </c>
      <c r="J240" s="5">
        <f t="shared" si="21"/>
        <v>60</v>
      </c>
      <c r="K240" s="5">
        <f t="shared" si="22"/>
        <v>48</v>
      </c>
      <c r="L240" s="5">
        <f t="shared" si="19"/>
        <v>3.497910447761194E-2</v>
      </c>
    </row>
    <row r="241" spans="1:12" x14ac:dyDescent="0.25">
      <c r="A241" t="s">
        <v>8</v>
      </c>
      <c r="B241" t="s">
        <v>45</v>
      </c>
      <c r="C241" t="s">
        <v>109</v>
      </c>
      <c r="D241" t="str">
        <f>VLOOKUP(C241,cc!$A$2:$B$28,2,FALSE)</f>
        <v>SI</v>
      </c>
      <c r="E241" t="str">
        <f t="shared" si="18"/>
        <v>SIGRP</v>
      </c>
      <c r="F241">
        <v>31</v>
      </c>
      <c r="G241">
        <v>9</v>
      </c>
      <c r="H241">
        <v>24</v>
      </c>
      <c r="I241" s="5">
        <f t="shared" si="20"/>
        <v>92.537313432835816</v>
      </c>
      <c r="J241" s="5">
        <f t="shared" si="21"/>
        <v>45</v>
      </c>
      <c r="K241" s="5">
        <f t="shared" si="22"/>
        <v>48</v>
      </c>
      <c r="L241" s="5">
        <f t="shared" si="19"/>
        <v>1.8553731343283583E-2</v>
      </c>
    </row>
    <row r="242" spans="1:12" x14ac:dyDescent="0.25">
      <c r="A242" t="s">
        <v>9</v>
      </c>
      <c r="B242" t="s">
        <v>46</v>
      </c>
      <c r="C242" t="s">
        <v>109</v>
      </c>
      <c r="D242" t="str">
        <f>VLOOKUP(C242,cc!$A$2:$B$28,2,FALSE)</f>
        <v>SI</v>
      </c>
      <c r="E242" t="str">
        <f t="shared" si="18"/>
        <v>SIMAI</v>
      </c>
      <c r="F242">
        <v>133</v>
      </c>
      <c r="G242">
        <v>19</v>
      </c>
      <c r="H242">
        <v>40</v>
      </c>
      <c r="I242" s="5">
        <f t="shared" si="20"/>
        <v>397.0149253731343</v>
      </c>
      <c r="J242" s="5">
        <f t="shared" si="21"/>
        <v>95</v>
      </c>
      <c r="K242" s="5">
        <f t="shared" si="22"/>
        <v>80</v>
      </c>
      <c r="L242" s="5">
        <f t="shared" si="19"/>
        <v>5.7201492537313429E-2</v>
      </c>
    </row>
    <row r="243" spans="1:12" x14ac:dyDescent="0.25">
      <c r="A243" t="s">
        <v>29</v>
      </c>
      <c r="B243" t="s">
        <v>68</v>
      </c>
      <c r="C243" t="s">
        <v>109</v>
      </c>
      <c r="D243" t="str">
        <f>VLOOKUP(C243,cc!$A$2:$B$28,2,FALSE)</f>
        <v>SI</v>
      </c>
      <c r="E243" t="str">
        <f t="shared" si="18"/>
        <v>SIOTO</v>
      </c>
      <c r="F243">
        <v>58</v>
      </c>
      <c r="G243">
        <v>11</v>
      </c>
      <c r="H243">
        <v>22</v>
      </c>
      <c r="I243" s="5">
        <f t="shared" si="20"/>
        <v>173.13432835820893</v>
      </c>
      <c r="J243" s="5">
        <f t="shared" si="21"/>
        <v>55</v>
      </c>
      <c r="K243" s="5">
        <f t="shared" si="22"/>
        <v>44</v>
      </c>
      <c r="L243" s="5">
        <f t="shared" si="19"/>
        <v>2.7213432835820891E-2</v>
      </c>
    </row>
    <row r="244" spans="1:12" x14ac:dyDescent="0.25">
      <c r="A244" t="s">
        <v>19</v>
      </c>
      <c r="B244" t="s">
        <v>57</v>
      </c>
      <c r="C244" t="s">
        <v>109</v>
      </c>
      <c r="D244" t="str">
        <f>VLOOKUP(C244,cc!$A$2:$B$28,2,FALSE)</f>
        <v>SI</v>
      </c>
      <c r="E244" t="str">
        <f t="shared" si="18"/>
        <v>SIPOT</v>
      </c>
      <c r="F244">
        <v>128</v>
      </c>
      <c r="G244">
        <v>29</v>
      </c>
      <c r="H244">
        <v>101</v>
      </c>
      <c r="I244" s="5">
        <f t="shared" si="20"/>
        <v>382.08955223880594</v>
      </c>
      <c r="J244" s="5">
        <f t="shared" si="21"/>
        <v>145</v>
      </c>
      <c r="K244" s="5">
        <f t="shared" si="22"/>
        <v>202</v>
      </c>
      <c r="L244" s="5">
        <f t="shared" si="19"/>
        <v>7.2908955223880592E-2</v>
      </c>
    </row>
    <row r="245" spans="1:12" x14ac:dyDescent="0.25">
      <c r="A245" t="s">
        <v>11</v>
      </c>
      <c r="B245" t="s">
        <v>49</v>
      </c>
      <c r="C245" t="s">
        <v>109</v>
      </c>
      <c r="D245" t="str">
        <f>VLOOKUP(C245,cc!$A$2:$B$28,2,FALSE)</f>
        <v>SI</v>
      </c>
      <c r="E245" t="str">
        <f t="shared" si="18"/>
        <v>SIRAP</v>
      </c>
      <c r="F245">
        <v>133</v>
      </c>
      <c r="G245">
        <v>17</v>
      </c>
      <c r="H245">
        <v>55</v>
      </c>
      <c r="I245" s="5">
        <f t="shared" si="20"/>
        <v>397.0149253731343</v>
      </c>
      <c r="J245" s="5">
        <f t="shared" si="21"/>
        <v>85</v>
      </c>
      <c r="K245" s="5">
        <f t="shared" si="22"/>
        <v>110</v>
      </c>
      <c r="L245" s="5">
        <f t="shared" si="19"/>
        <v>5.9201492537313424E-2</v>
      </c>
    </row>
    <row r="246" spans="1:12" x14ac:dyDescent="0.25">
      <c r="A246" t="s">
        <v>15</v>
      </c>
      <c r="B246" t="s">
        <v>114</v>
      </c>
      <c r="C246" t="s">
        <v>109</v>
      </c>
      <c r="D246" t="str">
        <f>VLOOKUP(C246,cc!$A$2:$B$28,2,FALSE)</f>
        <v>SI</v>
      </c>
      <c r="E246" t="str">
        <f t="shared" si="18"/>
        <v>SIWHE</v>
      </c>
      <c r="F246">
        <v>139</v>
      </c>
      <c r="G246">
        <v>15</v>
      </c>
      <c r="H246">
        <v>39</v>
      </c>
      <c r="I246" s="5">
        <f t="shared" si="20"/>
        <v>414.92537313432831</v>
      </c>
      <c r="J246" s="5">
        <f t="shared" si="21"/>
        <v>75</v>
      </c>
      <c r="K246" s="5">
        <f t="shared" si="22"/>
        <v>78</v>
      </c>
      <c r="L246" s="5">
        <f t="shared" si="19"/>
        <v>5.6792537313432832E-2</v>
      </c>
    </row>
    <row r="247" spans="1:12" x14ac:dyDescent="0.25">
      <c r="A247" t="s">
        <v>125</v>
      </c>
      <c r="B247" t="s">
        <v>126</v>
      </c>
      <c r="C247" t="s">
        <v>109</v>
      </c>
      <c r="D247" t="str">
        <f>VLOOKUP(C247,cc!$A$2:$B$28,2,FALSE)</f>
        <v>SI</v>
      </c>
      <c r="E247" t="str">
        <f t="shared" si="18"/>
        <v>SITRT</v>
      </c>
      <c r="F247">
        <v>171</v>
      </c>
      <c r="G247">
        <v>19</v>
      </c>
      <c r="H247">
        <v>49</v>
      </c>
      <c r="I247" s="5">
        <f t="shared" si="20"/>
        <v>510.44776119402979</v>
      </c>
      <c r="J247" s="5">
        <f t="shared" si="21"/>
        <v>95</v>
      </c>
      <c r="K247" s="5">
        <f t="shared" si="22"/>
        <v>98</v>
      </c>
      <c r="L247" s="5">
        <f t="shared" si="19"/>
        <v>7.0344776119402985E-2</v>
      </c>
    </row>
    <row r="248" spans="1:12" x14ac:dyDescent="0.25">
      <c r="A248" t="s">
        <v>24</v>
      </c>
      <c r="B248" t="s">
        <v>63</v>
      </c>
      <c r="C248" t="s">
        <v>110</v>
      </c>
      <c r="D248" t="str">
        <f>VLOOKUP(C248,cc!$A$2:$B$28,2,FALSE)</f>
        <v>ES</v>
      </c>
      <c r="E248" t="str">
        <f t="shared" si="18"/>
        <v>ESALM</v>
      </c>
      <c r="F248">
        <v>0</v>
      </c>
      <c r="G248">
        <v>0</v>
      </c>
      <c r="H248">
        <v>0</v>
      </c>
      <c r="I248" s="5">
        <f t="shared" si="20"/>
        <v>0</v>
      </c>
      <c r="J248" s="5">
        <f t="shared" si="21"/>
        <v>0</v>
      </c>
      <c r="K248" s="5">
        <f t="shared" si="22"/>
        <v>0</v>
      </c>
      <c r="L248" s="5">
        <f t="shared" si="19"/>
        <v>0</v>
      </c>
    </row>
    <row r="249" spans="1:12" x14ac:dyDescent="0.25">
      <c r="A249" t="s">
        <v>7</v>
      </c>
      <c r="B249" t="s">
        <v>44</v>
      </c>
      <c r="C249" t="s">
        <v>110</v>
      </c>
      <c r="D249" t="str">
        <f>VLOOKUP(C249,cc!$A$2:$B$28,2,FALSE)</f>
        <v>ES</v>
      </c>
      <c r="E249" t="str">
        <f t="shared" si="18"/>
        <v>ESBRL</v>
      </c>
      <c r="F249">
        <v>69</v>
      </c>
      <c r="G249">
        <v>4</v>
      </c>
      <c r="H249">
        <v>42</v>
      </c>
      <c r="I249" s="5">
        <f t="shared" si="20"/>
        <v>205.97014925373134</v>
      </c>
      <c r="J249" s="5">
        <f t="shared" si="21"/>
        <v>20</v>
      </c>
      <c r="K249" s="5">
        <f t="shared" si="22"/>
        <v>84</v>
      </c>
      <c r="L249" s="5">
        <f t="shared" si="19"/>
        <v>3.0997014925373136E-2</v>
      </c>
    </row>
    <row r="250" spans="1:12" x14ac:dyDescent="0.25">
      <c r="A250" t="s">
        <v>8</v>
      </c>
      <c r="B250" t="s">
        <v>45</v>
      </c>
      <c r="C250" t="s">
        <v>110</v>
      </c>
      <c r="D250" t="str">
        <f>VLOOKUP(C250,cc!$A$2:$B$28,2,FALSE)</f>
        <v>ES</v>
      </c>
      <c r="E250" t="str">
        <f t="shared" si="18"/>
        <v>ESGRP</v>
      </c>
      <c r="F250">
        <v>19</v>
      </c>
      <c r="G250">
        <v>8</v>
      </c>
      <c r="H250">
        <v>10</v>
      </c>
      <c r="I250" s="5">
        <f t="shared" si="20"/>
        <v>56.71641791044776</v>
      </c>
      <c r="J250" s="5">
        <f t="shared" si="21"/>
        <v>40</v>
      </c>
      <c r="K250" s="5">
        <f t="shared" si="22"/>
        <v>20</v>
      </c>
      <c r="L250" s="5">
        <f t="shared" si="19"/>
        <v>1.1671641791044777E-2</v>
      </c>
    </row>
    <row r="251" spans="1:12" x14ac:dyDescent="0.25">
      <c r="A251" t="s">
        <v>9</v>
      </c>
      <c r="B251" t="s">
        <v>46</v>
      </c>
      <c r="C251" t="s">
        <v>110</v>
      </c>
      <c r="D251" t="str">
        <f>VLOOKUP(C251,cc!$A$2:$B$28,2,FALSE)</f>
        <v>ES</v>
      </c>
      <c r="E251" t="str">
        <f t="shared" si="18"/>
        <v>ESMAI</v>
      </c>
      <c r="F251">
        <v>252</v>
      </c>
      <c r="G251">
        <v>44</v>
      </c>
      <c r="H251">
        <v>63</v>
      </c>
      <c r="I251" s="5">
        <f t="shared" si="20"/>
        <v>752.2388059701492</v>
      </c>
      <c r="J251" s="5">
        <f t="shared" si="21"/>
        <v>220</v>
      </c>
      <c r="K251" s="5">
        <f t="shared" si="22"/>
        <v>126</v>
      </c>
      <c r="L251" s="5">
        <f t="shared" si="19"/>
        <v>0.10982388059701494</v>
      </c>
    </row>
    <row r="252" spans="1:12" x14ac:dyDescent="0.25">
      <c r="A252" t="s">
        <v>28</v>
      </c>
      <c r="B252" t="s">
        <v>67</v>
      </c>
      <c r="C252" t="s">
        <v>110</v>
      </c>
      <c r="D252" t="str">
        <f>VLOOKUP(C252,cc!$A$2:$B$28,2,FALSE)</f>
        <v>ES</v>
      </c>
      <c r="E252" t="str">
        <f t="shared" si="18"/>
        <v>ESOAT</v>
      </c>
      <c r="F252">
        <v>69</v>
      </c>
      <c r="G252">
        <v>4</v>
      </c>
      <c r="H252">
        <v>42</v>
      </c>
      <c r="I252" s="5">
        <f t="shared" si="20"/>
        <v>205.97014925373134</v>
      </c>
      <c r="J252" s="5">
        <f t="shared" si="21"/>
        <v>20</v>
      </c>
      <c r="K252" s="5">
        <f t="shared" si="22"/>
        <v>84</v>
      </c>
      <c r="L252" s="5">
        <f t="shared" si="19"/>
        <v>3.0997014925373136E-2</v>
      </c>
    </row>
    <row r="253" spans="1:12" x14ac:dyDescent="0.25">
      <c r="A253" t="s">
        <v>23</v>
      </c>
      <c r="B253" t="s">
        <v>62</v>
      </c>
      <c r="C253" t="s">
        <v>110</v>
      </c>
      <c r="D253" t="str">
        <f>VLOOKUP(C253,cc!$A$2:$B$28,2,FALSE)</f>
        <v>ES</v>
      </c>
      <c r="E253" t="str">
        <f t="shared" si="18"/>
        <v>ESOLI</v>
      </c>
      <c r="F253">
        <v>12</v>
      </c>
      <c r="G253">
        <v>5</v>
      </c>
      <c r="H253">
        <v>3</v>
      </c>
      <c r="I253" s="5">
        <f t="shared" si="20"/>
        <v>35.820895522388057</v>
      </c>
      <c r="J253" s="5">
        <f t="shared" si="21"/>
        <v>25</v>
      </c>
      <c r="K253" s="5">
        <f t="shared" si="22"/>
        <v>6</v>
      </c>
      <c r="L253" s="5">
        <f t="shared" si="19"/>
        <v>6.6820895522388063E-3</v>
      </c>
    </row>
    <row r="254" spans="1:12" x14ac:dyDescent="0.25">
      <c r="A254" t="s">
        <v>20</v>
      </c>
      <c r="B254" t="s">
        <v>58</v>
      </c>
      <c r="C254" t="s">
        <v>110</v>
      </c>
      <c r="D254" t="str">
        <f>VLOOKUP(C254,cc!$A$2:$B$28,2,FALSE)</f>
        <v>ES</v>
      </c>
      <c r="E254" t="str">
        <f t="shared" si="18"/>
        <v>ESOTP</v>
      </c>
      <c r="F254">
        <v>34</v>
      </c>
      <c r="G254">
        <v>12</v>
      </c>
      <c r="H254">
        <v>23</v>
      </c>
      <c r="I254" s="5">
        <f t="shared" si="20"/>
        <v>101.49253731343283</v>
      </c>
      <c r="J254" s="5">
        <f t="shared" si="21"/>
        <v>60</v>
      </c>
      <c r="K254" s="5">
        <f t="shared" si="22"/>
        <v>46</v>
      </c>
      <c r="L254" s="5">
        <f t="shared" si="19"/>
        <v>2.0749253731343283E-2</v>
      </c>
    </row>
    <row r="255" spans="1:12" x14ac:dyDescent="0.25">
      <c r="A255" t="s">
        <v>21</v>
      </c>
      <c r="B255" t="s">
        <v>60</v>
      </c>
      <c r="C255" t="s">
        <v>110</v>
      </c>
      <c r="D255" t="str">
        <f>VLOOKUP(C255,cc!$A$2:$B$28,2,FALSE)</f>
        <v>ES</v>
      </c>
      <c r="E255" t="str">
        <f t="shared" si="18"/>
        <v>ESSUN</v>
      </c>
      <c r="F255">
        <v>12</v>
      </c>
      <c r="G255">
        <v>5</v>
      </c>
      <c r="H255">
        <v>3</v>
      </c>
      <c r="I255" s="5">
        <f t="shared" si="20"/>
        <v>35.820895522388057</v>
      </c>
      <c r="J255" s="5">
        <f t="shared" si="21"/>
        <v>25</v>
      </c>
      <c r="K255" s="5">
        <f t="shared" si="22"/>
        <v>6</v>
      </c>
      <c r="L255" s="5">
        <f t="shared" si="19"/>
        <v>6.6820895522388063E-3</v>
      </c>
    </row>
    <row r="256" spans="1:12" x14ac:dyDescent="0.25">
      <c r="A256" t="s">
        <v>15</v>
      </c>
      <c r="B256" t="s">
        <v>114</v>
      </c>
      <c r="C256" t="s">
        <v>110</v>
      </c>
      <c r="D256" t="str">
        <f>VLOOKUP(C256,cc!$A$2:$B$28,2,FALSE)</f>
        <v>ES</v>
      </c>
      <c r="E256" t="str">
        <f t="shared" si="18"/>
        <v>ESWHE</v>
      </c>
      <c r="F256">
        <v>149</v>
      </c>
      <c r="G256">
        <v>24</v>
      </c>
      <c r="H256">
        <v>37</v>
      </c>
      <c r="I256" s="5">
        <f t="shared" si="20"/>
        <v>444.77611940298505</v>
      </c>
      <c r="J256" s="5">
        <f t="shared" si="21"/>
        <v>120</v>
      </c>
      <c r="K256" s="5">
        <f t="shared" si="22"/>
        <v>74</v>
      </c>
      <c r="L256" s="5">
        <f t="shared" si="19"/>
        <v>6.3877611940298507E-2</v>
      </c>
    </row>
    <row r="257" spans="1:12" x14ac:dyDescent="0.25">
      <c r="A257" t="s">
        <v>125</v>
      </c>
      <c r="B257" t="s">
        <v>126</v>
      </c>
      <c r="C257" t="s">
        <v>110</v>
      </c>
      <c r="D257" t="str">
        <f>VLOOKUP(C257,cc!$A$2:$B$28,2,FALSE)</f>
        <v>ES</v>
      </c>
      <c r="E257" t="str">
        <f t="shared" si="18"/>
        <v>ESTRT</v>
      </c>
      <c r="F257">
        <v>68</v>
      </c>
      <c r="G257">
        <v>3</v>
      </c>
      <c r="H257">
        <v>41</v>
      </c>
      <c r="I257" s="5">
        <f t="shared" si="20"/>
        <v>202.98507462686567</v>
      </c>
      <c r="J257" s="5">
        <f t="shared" si="21"/>
        <v>15</v>
      </c>
      <c r="K257" s="5">
        <f t="shared" si="22"/>
        <v>82</v>
      </c>
      <c r="L257" s="5">
        <f t="shared" si="19"/>
        <v>2.9998507462686567E-2</v>
      </c>
    </row>
    <row r="258" spans="1:12" x14ac:dyDescent="0.25">
      <c r="A258" t="s">
        <v>7</v>
      </c>
      <c r="B258" t="s">
        <v>44</v>
      </c>
      <c r="C258" t="s">
        <v>111</v>
      </c>
      <c r="D258" t="str">
        <f>VLOOKUP(C258,cc!$A$2:$B$28,2,FALSE)</f>
        <v>SE</v>
      </c>
      <c r="E258" t="str">
        <f t="shared" si="18"/>
        <v>SEBRL</v>
      </c>
      <c r="F258">
        <v>82</v>
      </c>
      <c r="G258">
        <v>5</v>
      </c>
      <c r="H258">
        <v>13</v>
      </c>
      <c r="I258" s="5">
        <f t="shared" si="20"/>
        <v>244.77611940298507</v>
      </c>
      <c r="J258" s="5">
        <f t="shared" si="21"/>
        <v>25</v>
      </c>
      <c r="K258" s="5">
        <f t="shared" si="22"/>
        <v>26</v>
      </c>
      <c r="L258" s="5">
        <f t="shared" si="19"/>
        <v>2.9577611940298506E-2</v>
      </c>
    </row>
    <row r="259" spans="1:12" x14ac:dyDescent="0.25">
      <c r="A259" t="s">
        <v>30</v>
      </c>
      <c r="B259" t="s">
        <v>69</v>
      </c>
      <c r="C259" t="s">
        <v>111</v>
      </c>
      <c r="D259" t="str">
        <f>VLOOKUP(C259,cc!$A$2:$B$28,2,FALSE)</f>
        <v>SE</v>
      </c>
      <c r="E259" t="str">
        <f t="shared" si="18"/>
        <v>SEBRO</v>
      </c>
      <c r="F259">
        <v>0</v>
      </c>
      <c r="G259">
        <v>7</v>
      </c>
      <c r="H259">
        <v>0</v>
      </c>
      <c r="I259" s="5">
        <f t="shared" si="20"/>
        <v>0</v>
      </c>
      <c r="J259" s="5">
        <f t="shared" si="21"/>
        <v>35</v>
      </c>
      <c r="K259" s="5">
        <f t="shared" si="22"/>
        <v>0</v>
      </c>
      <c r="L259" s="5">
        <f t="shared" si="19"/>
        <v>3.5000000000000001E-3</v>
      </c>
    </row>
    <row r="260" spans="1:12" x14ac:dyDescent="0.25">
      <c r="A260" t="s">
        <v>28</v>
      </c>
      <c r="B260" t="s">
        <v>67</v>
      </c>
      <c r="C260" t="s">
        <v>111</v>
      </c>
      <c r="D260" t="str">
        <f>VLOOKUP(C260,cc!$A$2:$B$28,2,FALSE)</f>
        <v>SE</v>
      </c>
      <c r="E260" t="str">
        <f t="shared" si="18"/>
        <v>SEOAT</v>
      </c>
      <c r="F260">
        <v>82</v>
      </c>
      <c r="G260">
        <v>5</v>
      </c>
      <c r="H260">
        <v>13</v>
      </c>
      <c r="I260" s="5">
        <f t="shared" si="20"/>
        <v>244.77611940298507</v>
      </c>
      <c r="J260" s="5">
        <f t="shared" si="21"/>
        <v>25</v>
      </c>
      <c r="K260" s="5">
        <f t="shared" si="22"/>
        <v>26</v>
      </c>
      <c r="L260" s="5">
        <f t="shared" si="19"/>
        <v>2.9577611940298506E-2</v>
      </c>
    </row>
    <row r="261" spans="1:12" x14ac:dyDescent="0.25">
      <c r="A261" t="s">
        <v>18</v>
      </c>
      <c r="B261" t="s">
        <v>59</v>
      </c>
      <c r="C261" t="s">
        <v>111</v>
      </c>
      <c r="D261" t="str">
        <f>VLOOKUP(C261,cc!$A$2:$B$28,2,FALSE)</f>
        <v>SE</v>
      </c>
      <c r="E261" t="str">
        <f t="shared" si="18"/>
        <v>SEPEA</v>
      </c>
      <c r="F261">
        <v>0</v>
      </c>
      <c r="G261">
        <v>7</v>
      </c>
      <c r="H261">
        <v>0</v>
      </c>
      <c r="I261" s="5">
        <f t="shared" si="20"/>
        <v>0</v>
      </c>
      <c r="J261" s="5">
        <f t="shared" si="21"/>
        <v>35</v>
      </c>
      <c r="K261" s="5">
        <f t="shared" si="22"/>
        <v>0</v>
      </c>
      <c r="L261" s="5">
        <f t="shared" si="19"/>
        <v>3.5000000000000001E-3</v>
      </c>
    </row>
    <row r="262" spans="1:12" x14ac:dyDescent="0.25">
      <c r="A262" t="s">
        <v>19</v>
      </c>
      <c r="B262" t="s">
        <v>57</v>
      </c>
      <c r="C262" t="s">
        <v>111</v>
      </c>
      <c r="D262" t="str">
        <f>VLOOKUP(C262,cc!$A$2:$B$28,2,FALSE)</f>
        <v>SE</v>
      </c>
      <c r="E262" t="str">
        <f t="shared" si="18"/>
        <v>SEPOT</v>
      </c>
      <c r="F262">
        <v>74</v>
      </c>
      <c r="G262">
        <v>20</v>
      </c>
      <c r="H262">
        <v>141</v>
      </c>
      <c r="I262" s="5">
        <f t="shared" si="20"/>
        <v>220.89552238805967</v>
      </c>
      <c r="J262" s="5">
        <f t="shared" si="21"/>
        <v>100</v>
      </c>
      <c r="K262" s="5">
        <f t="shared" si="22"/>
        <v>282</v>
      </c>
      <c r="L262" s="5">
        <f t="shared" si="19"/>
        <v>6.0289552238805971E-2</v>
      </c>
    </row>
    <row r="263" spans="1:12" x14ac:dyDescent="0.25">
      <c r="A263" t="s">
        <v>11</v>
      </c>
      <c r="B263" t="s">
        <v>49</v>
      </c>
      <c r="C263" t="s">
        <v>111</v>
      </c>
      <c r="D263" t="str">
        <f>VLOOKUP(C263,cc!$A$2:$B$28,2,FALSE)</f>
        <v>SE</v>
      </c>
      <c r="E263" t="str">
        <f t="shared" si="18"/>
        <v>SERAP</v>
      </c>
      <c r="F263">
        <v>82</v>
      </c>
      <c r="G263">
        <v>5</v>
      </c>
      <c r="H263">
        <v>13</v>
      </c>
      <c r="I263" s="5">
        <f t="shared" si="20"/>
        <v>244.77611940298507</v>
      </c>
      <c r="J263" s="5">
        <f t="shared" si="21"/>
        <v>25</v>
      </c>
      <c r="K263" s="5">
        <f t="shared" si="22"/>
        <v>26</v>
      </c>
      <c r="L263" s="5">
        <f t="shared" si="19"/>
        <v>2.9577611940298506E-2</v>
      </c>
    </row>
    <row r="264" spans="1:12" x14ac:dyDescent="0.25">
      <c r="A264" t="s">
        <v>12</v>
      </c>
      <c r="B264" t="s">
        <v>50</v>
      </c>
      <c r="C264" t="s">
        <v>111</v>
      </c>
      <c r="D264" t="str">
        <f>VLOOKUP(C264,cc!$A$2:$B$28,2,FALSE)</f>
        <v>SE</v>
      </c>
      <c r="E264" t="str">
        <f t="shared" ref="E264:E267" si="23">CONCATENATE(D264,A264)</f>
        <v>SERYE</v>
      </c>
      <c r="F264">
        <v>82</v>
      </c>
      <c r="G264">
        <v>5</v>
      </c>
      <c r="H264">
        <v>13</v>
      </c>
      <c r="I264" s="5">
        <f t="shared" si="20"/>
        <v>244.77611940298507</v>
      </c>
      <c r="J264" s="5">
        <f t="shared" si="21"/>
        <v>25</v>
      </c>
      <c r="K264" s="5">
        <f t="shared" si="22"/>
        <v>26</v>
      </c>
      <c r="L264" s="5">
        <f t="shared" ref="L264:L267" si="24">(I264+J264+K264)*0.0001</f>
        <v>2.9577611940298506E-2</v>
      </c>
    </row>
    <row r="265" spans="1:12" x14ac:dyDescent="0.25">
      <c r="A265" t="s">
        <v>14</v>
      </c>
      <c r="B265" t="s">
        <v>52</v>
      </c>
      <c r="C265" t="s">
        <v>111</v>
      </c>
      <c r="D265" t="str">
        <f>VLOOKUP(C265,cc!$A$2:$B$28,2,FALSE)</f>
        <v>SE</v>
      </c>
      <c r="E265" t="str">
        <f t="shared" si="23"/>
        <v>SESUG</v>
      </c>
      <c r="F265">
        <v>82</v>
      </c>
      <c r="G265">
        <v>12</v>
      </c>
      <c r="H265">
        <v>36</v>
      </c>
      <c r="I265" s="5">
        <f t="shared" si="20"/>
        <v>244.77611940298507</v>
      </c>
      <c r="J265" s="5">
        <f t="shared" si="21"/>
        <v>60</v>
      </c>
      <c r="K265" s="5">
        <f t="shared" si="22"/>
        <v>72</v>
      </c>
      <c r="L265" s="5">
        <f t="shared" si="24"/>
        <v>3.7677611940298505E-2</v>
      </c>
    </row>
    <row r="266" spans="1:12" x14ac:dyDescent="0.25">
      <c r="A266" t="s">
        <v>15</v>
      </c>
      <c r="B266" t="s">
        <v>114</v>
      </c>
      <c r="C266" t="s">
        <v>111</v>
      </c>
      <c r="D266" t="str">
        <f>VLOOKUP(C266,cc!$A$2:$B$28,2,FALSE)</f>
        <v>SE</v>
      </c>
      <c r="E266" t="str">
        <f t="shared" si="23"/>
        <v>SEWHE</v>
      </c>
      <c r="F266">
        <v>107</v>
      </c>
      <c r="G266">
        <v>7</v>
      </c>
      <c r="H266">
        <v>13</v>
      </c>
      <c r="I266" s="5">
        <f t="shared" si="20"/>
        <v>319.40298507462683</v>
      </c>
      <c r="J266" s="5">
        <f t="shared" si="21"/>
        <v>35</v>
      </c>
      <c r="K266" s="5">
        <f t="shared" si="22"/>
        <v>26</v>
      </c>
      <c r="L266" s="5">
        <f t="shared" si="24"/>
        <v>3.8040298507462683E-2</v>
      </c>
    </row>
    <row r="267" spans="1:12" x14ac:dyDescent="0.25">
      <c r="A267" t="s">
        <v>125</v>
      </c>
      <c r="B267" t="s">
        <v>126</v>
      </c>
      <c r="C267" t="s">
        <v>111</v>
      </c>
      <c r="D267" t="str">
        <f>VLOOKUP(C267,cc!$A$2:$B$28,2,FALSE)</f>
        <v>SE</v>
      </c>
      <c r="E267" t="str">
        <f t="shared" si="23"/>
        <v>SETRT</v>
      </c>
      <c r="F267">
        <v>82</v>
      </c>
      <c r="G267">
        <v>5</v>
      </c>
      <c r="H267">
        <v>13</v>
      </c>
      <c r="I267" s="5">
        <f t="shared" si="20"/>
        <v>244.77611940298507</v>
      </c>
      <c r="J267" s="5">
        <f t="shared" si="21"/>
        <v>25</v>
      </c>
      <c r="K267" s="5">
        <f t="shared" si="22"/>
        <v>26</v>
      </c>
      <c r="L267" s="5">
        <f t="shared" si="24"/>
        <v>2.9577611940298506E-2</v>
      </c>
    </row>
    <row r="270" spans="1:12" x14ac:dyDescent="0.25">
      <c r="A270" s="3" t="s">
        <v>6</v>
      </c>
      <c r="B270" s="2" t="s">
        <v>112</v>
      </c>
    </row>
  </sheetData>
  <autoFilter ref="A6:L267" xr:uid="{00000000-0001-0000-0000-000000000000}"/>
  <sortState xmlns:xlrd2="http://schemas.microsoft.com/office/spreadsheetml/2017/richdata2" ref="A7:L267">
    <sortCondition ref="C7:C267"/>
  </sortState>
  <hyperlinks>
    <hyperlink ref="B270" r:id="rId1" xr:uid="{0A026BB9-55E5-4ED6-90AA-7B9E3954D531}"/>
    <hyperlink ref="B1" r:id="rId2" xr:uid="{04F4F7D3-8DFA-4246-9BB7-A5AA7D2916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DE86-5A64-49C6-A1CF-53A0207E53A0}">
  <dimension ref="A1:B28"/>
  <sheetViews>
    <sheetView workbookViewId="0">
      <selection activeCell="I17" sqref="I17"/>
    </sheetView>
  </sheetViews>
  <sheetFormatPr defaultRowHeight="15" x14ac:dyDescent="0.25"/>
  <sheetData>
    <row r="1" spans="1:2" x14ac:dyDescent="0.25">
      <c r="A1" t="s">
        <v>2</v>
      </c>
      <c r="B1" t="s">
        <v>1249</v>
      </c>
    </row>
    <row r="2" spans="1:2" x14ac:dyDescent="0.25">
      <c r="A2" t="s">
        <v>85</v>
      </c>
      <c r="B2" t="s">
        <v>1250</v>
      </c>
    </row>
    <row r="3" spans="1:2" x14ac:dyDescent="0.25">
      <c r="A3" t="s">
        <v>86</v>
      </c>
      <c r="B3" t="s">
        <v>1251</v>
      </c>
    </row>
    <row r="4" spans="1:2" x14ac:dyDescent="0.25">
      <c r="A4" t="s">
        <v>87</v>
      </c>
      <c r="B4" t="s">
        <v>1252</v>
      </c>
    </row>
    <row r="5" spans="1:2" x14ac:dyDescent="0.25">
      <c r="A5" t="s">
        <v>89</v>
      </c>
      <c r="B5" t="s">
        <v>1253</v>
      </c>
    </row>
    <row r="6" spans="1:2" x14ac:dyDescent="0.25">
      <c r="A6" t="s">
        <v>90</v>
      </c>
      <c r="B6" t="s">
        <v>1254</v>
      </c>
    </row>
    <row r="7" spans="1:2" x14ac:dyDescent="0.25">
      <c r="A7" t="s">
        <v>95</v>
      </c>
      <c r="B7" t="s">
        <v>1255</v>
      </c>
    </row>
    <row r="8" spans="1:2" x14ac:dyDescent="0.25">
      <c r="A8" t="s">
        <v>91</v>
      </c>
      <c r="B8" t="s">
        <v>1256</v>
      </c>
    </row>
    <row r="9" spans="1:2" x14ac:dyDescent="0.25">
      <c r="A9" t="s">
        <v>110</v>
      </c>
      <c r="B9" t="s">
        <v>1257</v>
      </c>
    </row>
    <row r="10" spans="1:2" x14ac:dyDescent="0.25">
      <c r="A10" t="s">
        <v>92</v>
      </c>
      <c r="B10" t="s">
        <v>1258</v>
      </c>
    </row>
    <row r="11" spans="1:2" x14ac:dyDescent="0.25">
      <c r="A11" t="s">
        <v>93</v>
      </c>
      <c r="B11" t="s">
        <v>1259</v>
      </c>
    </row>
    <row r="12" spans="1:2" x14ac:dyDescent="0.25">
      <c r="A12" t="s">
        <v>94</v>
      </c>
      <c r="B12" t="s">
        <v>1260</v>
      </c>
    </row>
    <row r="13" spans="1:2" x14ac:dyDescent="0.25">
      <c r="A13" t="s">
        <v>96</v>
      </c>
      <c r="B13" t="s">
        <v>1277</v>
      </c>
    </row>
    <row r="14" spans="1:2" x14ac:dyDescent="0.25">
      <c r="A14" t="s">
        <v>88</v>
      </c>
      <c r="B14" t="s">
        <v>1261</v>
      </c>
    </row>
    <row r="15" spans="1:2" x14ac:dyDescent="0.25">
      <c r="A15" t="s">
        <v>97</v>
      </c>
      <c r="B15" t="s">
        <v>1262</v>
      </c>
    </row>
    <row r="16" spans="1:2" x14ac:dyDescent="0.25">
      <c r="A16" t="s">
        <v>98</v>
      </c>
      <c r="B16" t="s">
        <v>1263</v>
      </c>
    </row>
    <row r="17" spans="1:2" x14ac:dyDescent="0.25">
      <c r="A17" t="s">
        <v>99</v>
      </c>
      <c r="B17" t="s">
        <v>1264</v>
      </c>
    </row>
    <row r="18" spans="1:2" x14ac:dyDescent="0.25">
      <c r="A18" t="s">
        <v>101</v>
      </c>
      <c r="B18" t="s">
        <v>1265</v>
      </c>
    </row>
    <row r="19" spans="1:2" x14ac:dyDescent="0.25">
      <c r="A19" t="s">
        <v>102</v>
      </c>
      <c r="B19" t="s">
        <v>1266</v>
      </c>
    </row>
    <row r="20" spans="1:2" x14ac:dyDescent="0.25">
      <c r="A20" t="s">
        <v>100</v>
      </c>
      <c r="B20" t="s">
        <v>1267</v>
      </c>
    </row>
    <row r="21" spans="1:2" x14ac:dyDescent="0.25">
      <c r="A21" t="s">
        <v>103</v>
      </c>
      <c r="B21" t="s">
        <v>1268</v>
      </c>
    </row>
    <row r="22" spans="1:2" x14ac:dyDescent="0.25">
      <c r="A22" t="s">
        <v>104</v>
      </c>
      <c r="B22" t="s">
        <v>1269</v>
      </c>
    </row>
    <row r="23" spans="1:2" x14ac:dyDescent="0.25">
      <c r="A23" t="s">
        <v>105</v>
      </c>
      <c r="B23" t="s">
        <v>1270</v>
      </c>
    </row>
    <row r="24" spans="1:2" x14ac:dyDescent="0.25">
      <c r="A24" t="s">
        <v>106</v>
      </c>
      <c r="B24" t="s">
        <v>1271</v>
      </c>
    </row>
    <row r="25" spans="1:2" x14ac:dyDescent="0.25">
      <c r="A25" t="s">
        <v>107</v>
      </c>
      <c r="B25" t="s">
        <v>1272</v>
      </c>
    </row>
    <row r="26" spans="1:2" x14ac:dyDescent="0.25">
      <c r="A26" t="s">
        <v>108</v>
      </c>
      <c r="B26" t="s">
        <v>1273</v>
      </c>
    </row>
    <row r="27" spans="1:2" x14ac:dyDescent="0.25">
      <c r="A27" t="s">
        <v>109</v>
      </c>
      <c r="B27" t="s">
        <v>1274</v>
      </c>
    </row>
    <row r="28" spans="1:2" x14ac:dyDescent="0.25">
      <c r="A28" t="s">
        <v>111</v>
      </c>
      <c r="B28" t="s">
        <v>1275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20C5-2029-4678-8507-C0885DCB712D}">
  <dimension ref="A1:L1081"/>
  <sheetViews>
    <sheetView topLeftCell="A1011" workbookViewId="0">
      <selection activeCell="K1017" sqref="K1017"/>
    </sheetView>
  </sheetViews>
  <sheetFormatPr defaultRowHeight="15" x14ac:dyDescent="0.25"/>
  <cols>
    <col min="2" max="2" width="15.28515625" bestFit="1" customWidth="1"/>
    <col min="3" max="4" width="15.28515625" customWidth="1"/>
    <col min="6" max="6" width="15.28515625" customWidth="1"/>
    <col min="7" max="7" width="7.7109375" bestFit="1" customWidth="1"/>
    <col min="8" max="8" width="21.7109375" bestFit="1" customWidth="1"/>
    <col min="9" max="9" width="24.7109375" bestFit="1" customWidth="1"/>
    <col min="10" max="10" width="20.140625" bestFit="1" customWidth="1"/>
    <col min="11" max="11" width="41" bestFit="1" customWidth="1"/>
    <col min="12" max="12" width="52" bestFit="1" customWidth="1"/>
  </cols>
  <sheetData>
    <row r="1" spans="1:12" x14ac:dyDescent="0.25">
      <c r="A1" t="s">
        <v>1244</v>
      </c>
      <c r="B1" t="s">
        <v>1245</v>
      </c>
      <c r="C1" t="s">
        <v>2</v>
      </c>
      <c r="D1" t="s">
        <v>1</v>
      </c>
      <c r="E1" t="s">
        <v>1278</v>
      </c>
      <c r="F1" t="s">
        <v>1248</v>
      </c>
      <c r="G1" t="s">
        <v>1246</v>
      </c>
      <c r="H1" t="s">
        <v>1247</v>
      </c>
      <c r="I1" t="s">
        <v>1280</v>
      </c>
      <c r="J1" t="s">
        <v>1279</v>
      </c>
      <c r="K1" t="s">
        <v>130</v>
      </c>
      <c r="L1" t="s">
        <v>1285</v>
      </c>
    </row>
    <row r="2" spans="1:12" x14ac:dyDescent="0.25">
      <c r="A2" t="s">
        <v>136</v>
      </c>
      <c r="B2" t="s">
        <v>137</v>
      </c>
      <c r="C2" t="str">
        <f>LEFT(B2,2)</f>
        <v>AT</v>
      </c>
      <c r="D2" t="str">
        <f>MID(B2,7,3)</f>
        <v>MAI</v>
      </c>
      <c r="E2" t="str">
        <f t="shared" ref="E2:E65" si="0">C2&amp;D2</f>
        <v>ATMAI</v>
      </c>
      <c r="F2" t="str">
        <f>MID(B2,10,1)</f>
        <v>H</v>
      </c>
      <c r="G2" t="s">
        <v>138</v>
      </c>
      <c r="H2">
        <v>1</v>
      </c>
      <c r="I2">
        <v>0.16</v>
      </c>
      <c r="J2" t="str">
        <f>B2&amp;G2</f>
        <v>ATL000MAIHI0ATLFER</v>
      </c>
      <c r="K2">
        <f>_xlfn.IFNA(IF(F2="H",VLOOKUP(E2,Fertiliser_data!$E$7:$L$267,8,FALSE),VLOOKUP(E2,Fertiliser_data!$E$7:$L$267,8,FALSE)*0.65),IF(F2="H",0.038,(0.038*0.65)))</f>
        <v>5.1628358208955227E-2</v>
      </c>
      <c r="L2">
        <f>IF($C2="IE",$K2*CF_231025!$E$16,$K2/VLOOKUP($C2,CF_231025!$A$2:$E$28,5,FALSE))</f>
        <v>1.3028449725993627E-2</v>
      </c>
    </row>
    <row r="3" spans="1:12" x14ac:dyDescent="0.25">
      <c r="A3" t="s">
        <v>136</v>
      </c>
      <c r="B3" t="s">
        <v>139</v>
      </c>
      <c r="C3" t="str">
        <f t="shared" ref="C3:C66" si="1">LEFT(B3,2)</f>
        <v>AT</v>
      </c>
      <c r="D3" t="str">
        <f t="shared" ref="D3:D66" si="2">MID(B3,7,3)</f>
        <v>MAI</v>
      </c>
      <c r="E3" t="str">
        <f t="shared" si="0"/>
        <v>ATMAI</v>
      </c>
      <c r="F3" t="str">
        <f t="shared" ref="F3:F66" si="3">MID(B3,10,1)</f>
        <v>H</v>
      </c>
      <c r="G3" t="s">
        <v>138</v>
      </c>
      <c r="H3">
        <v>1</v>
      </c>
      <c r="I3">
        <v>0.16</v>
      </c>
      <c r="J3" t="str">
        <f t="shared" ref="J3:J66" si="4">B3&amp;G3</f>
        <v>ATL000MAIHR0ATLFER</v>
      </c>
      <c r="K3">
        <f>_xlfn.IFNA(IF(F3="H",VLOOKUP(E3,Fertiliser_data!$E$7:$L$267,8,FALSE),VLOOKUP(E3,Fertiliser_data!$E$7:$L$267,8,FALSE)*0.65),IF(F3="H",0.038,(0.038*0.65)))</f>
        <v>5.1628358208955227E-2</v>
      </c>
      <c r="L3">
        <f>IF($C3="IE",$K3*CF_231025!$E$16,$K3/VLOOKUP($C3,CF_231025!$A$2:$E$28,5,FALSE))</f>
        <v>1.3028449725993627E-2</v>
      </c>
    </row>
    <row r="4" spans="1:12" x14ac:dyDescent="0.25">
      <c r="A4" t="s">
        <v>136</v>
      </c>
      <c r="B4" t="s">
        <v>140</v>
      </c>
      <c r="C4" t="str">
        <f t="shared" si="1"/>
        <v>AT</v>
      </c>
      <c r="D4" t="str">
        <f t="shared" si="2"/>
        <v>MAI</v>
      </c>
      <c r="E4" t="str">
        <f t="shared" si="0"/>
        <v>ATMAI</v>
      </c>
      <c r="F4" t="str">
        <f t="shared" si="3"/>
        <v>L</v>
      </c>
      <c r="G4" t="s">
        <v>138</v>
      </c>
      <c r="H4">
        <v>1</v>
      </c>
      <c r="I4">
        <v>0.06</v>
      </c>
      <c r="J4" t="str">
        <f t="shared" si="4"/>
        <v>ATL000MAILI0ATLFER</v>
      </c>
      <c r="K4">
        <f>_xlfn.IFNA(IF(F4="H",VLOOKUP(E4,Fertiliser_data!$E$7:$L$267,8,FALSE),VLOOKUP(E4,Fertiliser_data!$E$7:$L$267,8,FALSE)*0.65),IF(F4="H",0.038,(0.038*0.65)))</f>
        <v>3.3558432835820898E-2</v>
      </c>
      <c r="L4">
        <f>IF($C4="IE",$K4*CF_231025!$E$16,$K4/VLOOKUP($C4,CF_231025!$A$2:$E$28,5,FALSE))</f>
        <v>8.4684923218958583E-3</v>
      </c>
    </row>
    <row r="5" spans="1:12" x14ac:dyDescent="0.25">
      <c r="A5" t="s">
        <v>136</v>
      </c>
      <c r="B5" t="s">
        <v>141</v>
      </c>
      <c r="C5" t="str">
        <f t="shared" si="1"/>
        <v>AT</v>
      </c>
      <c r="D5" t="str">
        <f t="shared" si="2"/>
        <v>MAI</v>
      </c>
      <c r="E5" t="str">
        <f t="shared" si="0"/>
        <v>ATMAI</v>
      </c>
      <c r="F5" t="str">
        <f t="shared" si="3"/>
        <v>L</v>
      </c>
      <c r="G5" t="s">
        <v>138</v>
      </c>
      <c r="H5">
        <v>1</v>
      </c>
      <c r="I5">
        <v>0.06</v>
      </c>
      <c r="J5" t="str">
        <f t="shared" si="4"/>
        <v>ATL000MAILR0ATLFER</v>
      </c>
      <c r="K5">
        <f>_xlfn.IFNA(IF(F5="H",VLOOKUP(E5,Fertiliser_data!$E$7:$L$267,8,FALSE),VLOOKUP(E5,Fertiliser_data!$E$7:$L$267,8,FALSE)*0.65),IF(F5="H",0.038,(0.038*0.65)))</f>
        <v>3.3558432835820898E-2</v>
      </c>
      <c r="L5">
        <f>IF($C5="IE",$K5*CF_231025!$E$16,$K5/VLOOKUP($C5,CF_231025!$A$2:$E$28,5,FALSE))</f>
        <v>8.4684923218958583E-3</v>
      </c>
    </row>
    <row r="6" spans="1:12" x14ac:dyDescent="0.25">
      <c r="A6" t="s">
        <v>136</v>
      </c>
      <c r="B6" t="s">
        <v>142</v>
      </c>
      <c r="C6" t="str">
        <f t="shared" si="1"/>
        <v>AT</v>
      </c>
      <c r="D6" t="str">
        <f t="shared" si="2"/>
        <v>RAP</v>
      </c>
      <c r="E6" t="str">
        <f t="shared" si="0"/>
        <v>ATRAP</v>
      </c>
      <c r="F6" t="str">
        <f t="shared" si="3"/>
        <v>H</v>
      </c>
      <c r="G6" t="s">
        <v>138</v>
      </c>
      <c r="H6">
        <v>1</v>
      </c>
      <c r="I6">
        <v>0.26</v>
      </c>
      <c r="J6" t="str">
        <f t="shared" si="4"/>
        <v>ATL000RAPHI0ATLFER</v>
      </c>
      <c r="K6">
        <f>_xlfn.IFNA(IF(F6="H",VLOOKUP(E6,Fertiliser_data!$E$7:$L$267,8,FALSE),VLOOKUP(E6,Fertiliser_data!$E$7:$L$267,8,FALSE)*0.65),IF(F6="H",0.038,(0.038*0.65)))</f>
        <v>4.9308955223880596E-2</v>
      </c>
      <c r="L6">
        <f>IF($C6="IE",$K6*CF_231025!$E$16,$K6/VLOOKUP($C6,CF_231025!$A$2:$E$28,5,FALSE))</f>
        <v>1.2443146876287225E-2</v>
      </c>
    </row>
    <row r="7" spans="1:12" x14ac:dyDescent="0.25">
      <c r="A7" t="s">
        <v>136</v>
      </c>
      <c r="B7" t="s">
        <v>143</v>
      </c>
      <c r="C7" t="str">
        <f t="shared" si="1"/>
        <v>AT</v>
      </c>
      <c r="D7" t="str">
        <f t="shared" si="2"/>
        <v>RAP</v>
      </c>
      <c r="E7" t="str">
        <f t="shared" si="0"/>
        <v>ATRAP</v>
      </c>
      <c r="F7" t="str">
        <f t="shared" si="3"/>
        <v>H</v>
      </c>
      <c r="G7" t="s">
        <v>138</v>
      </c>
      <c r="H7">
        <v>1</v>
      </c>
      <c r="I7">
        <v>0.26</v>
      </c>
      <c r="J7" t="str">
        <f t="shared" si="4"/>
        <v>ATL000RAPHR0ATLFER</v>
      </c>
      <c r="K7">
        <f>_xlfn.IFNA(IF(F7="H",VLOOKUP(E7,Fertiliser_data!$E$7:$L$267,8,FALSE),VLOOKUP(E7,Fertiliser_data!$E$7:$L$267,8,FALSE)*0.65),IF(F7="H",0.038,(0.038*0.65)))</f>
        <v>4.9308955223880596E-2</v>
      </c>
      <c r="L7">
        <f>IF($C7="IE",$K7*CF_231025!$E$16,$K7/VLOOKUP($C7,CF_231025!$A$2:$E$28,5,FALSE))</f>
        <v>1.2443146876287225E-2</v>
      </c>
    </row>
    <row r="8" spans="1:12" x14ac:dyDescent="0.25">
      <c r="A8" t="s">
        <v>136</v>
      </c>
      <c r="B8" t="s">
        <v>144</v>
      </c>
      <c r="C8" t="str">
        <f t="shared" si="1"/>
        <v>AT</v>
      </c>
      <c r="D8" t="str">
        <f t="shared" si="2"/>
        <v>RAP</v>
      </c>
      <c r="E8" t="str">
        <f t="shared" si="0"/>
        <v>ATRAP</v>
      </c>
      <c r="F8" t="str">
        <f t="shared" si="3"/>
        <v>L</v>
      </c>
      <c r="G8" t="s">
        <v>138</v>
      </c>
      <c r="H8">
        <v>1</v>
      </c>
      <c r="I8">
        <v>0.1</v>
      </c>
      <c r="J8" t="str">
        <f t="shared" si="4"/>
        <v>ATL000RAPLI0ATLFER</v>
      </c>
      <c r="K8">
        <f>_xlfn.IFNA(IF(F8="H",VLOOKUP(E8,Fertiliser_data!$E$7:$L$267,8,FALSE),VLOOKUP(E8,Fertiliser_data!$E$7:$L$267,8,FALSE)*0.65),IF(F8="H",0.038,(0.038*0.65)))</f>
        <v>3.2050820895522386E-2</v>
      </c>
      <c r="L8">
        <f>IF($C8="IE",$K8*CF_231025!$E$16,$K8/VLOOKUP($C8,CF_231025!$A$2:$E$28,5,FALSE))</f>
        <v>8.0880454695866962E-3</v>
      </c>
    </row>
    <row r="9" spans="1:12" x14ac:dyDescent="0.25">
      <c r="A9" t="s">
        <v>136</v>
      </c>
      <c r="B9" t="s">
        <v>145</v>
      </c>
      <c r="C9" t="str">
        <f t="shared" si="1"/>
        <v>AT</v>
      </c>
      <c r="D9" t="str">
        <f t="shared" si="2"/>
        <v>RAP</v>
      </c>
      <c r="E9" t="str">
        <f t="shared" si="0"/>
        <v>ATRAP</v>
      </c>
      <c r="F9" t="str">
        <f t="shared" si="3"/>
        <v>L</v>
      </c>
      <c r="G9" t="s">
        <v>138</v>
      </c>
      <c r="H9">
        <v>1</v>
      </c>
      <c r="I9">
        <v>0.1</v>
      </c>
      <c r="J9" t="str">
        <f t="shared" si="4"/>
        <v>ATL000RAPLR0ATLFER</v>
      </c>
      <c r="K9">
        <f>_xlfn.IFNA(IF(F9="H",VLOOKUP(E9,Fertiliser_data!$E$7:$L$267,8,FALSE),VLOOKUP(E9,Fertiliser_data!$E$7:$L$267,8,FALSE)*0.65),IF(F9="H",0.038,(0.038*0.65)))</f>
        <v>3.2050820895522386E-2</v>
      </c>
      <c r="L9">
        <f>IF($C9="IE",$K9*CF_231025!$E$16,$K9/VLOOKUP($C9,CF_231025!$A$2:$E$28,5,FALSE))</f>
        <v>8.0880454695866962E-3</v>
      </c>
    </row>
    <row r="10" spans="1:12" x14ac:dyDescent="0.25">
      <c r="A10" t="s">
        <v>136</v>
      </c>
      <c r="B10" t="s">
        <v>146</v>
      </c>
      <c r="C10" t="str">
        <f t="shared" si="1"/>
        <v>AT</v>
      </c>
      <c r="D10" t="str">
        <f t="shared" si="2"/>
        <v>SOY</v>
      </c>
      <c r="E10" t="str">
        <f t="shared" si="0"/>
        <v>ATSOY</v>
      </c>
      <c r="F10" t="str">
        <f t="shared" si="3"/>
        <v>H</v>
      </c>
      <c r="G10" t="s">
        <v>138</v>
      </c>
      <c r="H10">
        <v>1</v>
      </c>
      <c r="I10">
        <v>0.17</v>
      </c>
      <c r="J10" t="str">
        <f t="shared" si="4"/>
        <v>ATL000SOYHI0ATLFER</v>
      </c>
      <c r="K10">
        <f>_xlfn.IFNA(IF(F10="H",VLOOKUP(E10,Fertiliser_data!$E$7:$L$267,8,FALSE),VLOOKUP(E10,Fertiliser_data!$E$7:$L$267,8,FALSE)*0.65),IF(F10="H",0.038,(0.038*0.65)))</f>
        <v>1.9361194029850749E-2</v>
      </c>
      <c r="L10">
        <f>IF($C10="IE",$K10*CF_231025!$E$16,$K10/VLOOKUP($C10,CF_231025!$A$2:$E$28,5,FALSE))</f>
        <v>4.8858098882827716E-3</v>
      </c>
    </row>
    <row r="11" spans="1:12" x14ac:dyDescent="0.25">
      <c r="A11" t="s">
        <v>136</v>
      </c>
      <c r="B11" t="s">
        <v>147</v>
      </c>
      <c r="C11" t="str">
        <f t="shared" si="1"/>
        <v>AT</v>
      </c>
      <c r="D11" t="str">
        <f t="shared" si="2"/>
        <v>SOY</v>
      </c>
      <c r="E11" t="str">
        <f t="shared" si="0"/>
        <v>ATSOY</v>
      </c>
      <c r="F11" t="str">
        <f t="shared" si="3"/>
        <v>H</v>
      </c>
      <c r="G11" t="s">
        <v>138</v>
      </c>
      <c r="H11">
        <v>1</v>
      </c>
      <c r="I11">
        <v>0.17</v>
      </c>
      <c r="J11" t="str">
        <f t="shared" si="4"/>
        <v>ATL000SOYHR0ATLFER</v>
      </c>
      <c r="K11">
        <f>_xlfn.IFNA(IF(F11="H",VLOOKUP(E11,Fertiliser_data!$E$7:$L$267,8,FALSE),VLOOKUP(E11,Fertiliser_data!$E$7:$L$267,8,FALSE)*0.65),IF(F11="H",0.038,(0.038*0.65)))</f>
        <v>1.9361194029850749E-2</v>
      </c>
      <c r="L11">
        <f>IF($C11="IE",$K11*CF_231025!$E$16,$K11/VLOOKUP($C11,CF_231025!$A$2:$E$28,5,FALSE))</f>
        <v>4.8858098882827716E-3</v>
      </c>
    </row>
    <row r="12" spans="1:12" x14ac:dyDescent="0.25">
      <c r="A12" t="s">
        <v>136</v>
      </c>
      <c r="B12" t="s">
        <v>148</v>
      </c>
      <c r="C12" t="str">
        <f t="shared" si="1"/>
        <v>AT</v>
      </c>
      <c r="D12" t="str">
        <f t="shared" si="2"/>
        <v>SOY</v>
      </c>
      <c r="E12" t="str">
        <f t="shared" si="0"/>
        <v>ATSOY</v>
      </c>
      <c r="F12" t="str">
        <f t="shared" si="3"/>
        <v>L</v>
      </c>
      <c r="G12" t="s">
        <v>138</v>
      </c>
      <c r="H12">
        <v>1</v>
      </c>
      <c r="I12">
        <v>0.06</v>
      </c>
      <c r="J12" t="str">
        <f t="shared" si="4"/>
        <v>ATL000SOYLI0ATLFER</v>
      </c>
      <c r="K12">
        <f>_xlfn.IFNA(IF(F12="H",VLOOKUP(E12,Fertiliser_data!$E$7:$L$267,8,FALSE),VLOOKUP(E12,Fertiliser_data!$E$7:$L$267,8,FALSE)*0.65),IF(F12="H",0.038,(0.038*0.65)))</f>
        <v>1.2584776119402986E-2</v>
      </c>
      <c r="L12">
        <f>IF($C12="IE",$K12*CF_231025!$E$16,$K12/VLOOKUP($C12,CF_231025!$A$2:$E$28,5,FALSE))</f>
        <v>3.1757764273838015E-3</v>
      </c>
    </row>
    <row r="13" spans="1:12" x14ac:dyDescent="0.25">
      <c r="A13" t="s">
        <v>136</v>
      </c>
      <c r="B13" t="s">
        <v>149</v>
      </c>
      <c r="C13" t="str">
        <f t="shared" si="1"/>
        <v>AT</v>
      </c>
      <c r="D13" t="str">
        <f t="shared" si="2"/>
        <v>SOY</v>
      </c>
      <c r="E13" t="str">
        <f t="shared" si="0"/>
        <v>ATSOY</v>
      </c>
      <c r="F13" t="str">
        <f t="shared" si="3"/>
        <v>L</v>
      </c>
      <c r="G13" t="s">
        <v>138</v>
      </c>
      <c r="H13">
        <v>1</v>
      </c>
      <c r="I13">
        <v>0.06</v>
      </c>
      <c r="J13" t="str">
        <f t="shared" si="4"/>
        <v>ATL000SOYLR0ATLFER</v>
      </c>
      <c r="K13">
        <f>_xlfn.IFNA(IF(F13="H",VLOOKUP(E13,Fertiliser_data!$E$7:$L$267,8,FALSE),VLOOKUP(E13,Fertiliser_data!$E$7:$L$267,8,FALSE)*0.65),IF(F13="H",0.038,(0.038*0.65)))</f>
        <v>1.2584776119402986E-2</v>
      </c>
      <c r="L13">
        <f>IF($C13="IE",$K13*CF_231025!$E$16,$K13/VLOOKUP($C13,CF_231025!$A$2:$E$28,5,FALSE))</f>
        <v>3.1757764273838015E-3</v>
      </c>
    </row>
    <row r="14" spans="1:12" x14ac:dyDescent="0.25">
      <c r="A14" t="s">
        <v>136</v>
      </c>
      <c r="B14" t="s">
        <v>150</v>
      </c>
      <c r="C14" t="str">
        <f t="shared" si="1"/>
        <v>AT</v>
      </c>
      <c r="D14" t="str">
        <f t="shared" si="2"/>
        <v>SUG</v>
      </c>
      <c r="E14" t="str">
        <f t="shared" si="0"/>
        <v>ATSUG</v>
      </c>
      <c r="F14" t="str">
        <f t="shared" si="3"/>
        <v>H</v>
      </c>
      <c r="G14" t="s">
        <v>138</v>
      </c>
      <c r="H14">
        <v>1</v>
      </c>
      <c r="I14">
        <v>0.17</v>
      </c>
      <c r="J14" t="str">
        <f t="shared" si="4"/>
        <v>ATL000SUGHI0ATLFER</v>
      </c>
      <c r="K14">
        <f>_xlfn.IFNA(IF(F14="H",VLOOKUP(E14,Fertiliser_data!$E$7:$L$267,8,FALSE),VLOOKUP(E14,Fertiliser_data!$E$7:$L$267,8,FALSE)*0.65),IF(F14="H",0.038,(0.038*0.65)))</f>
        <v>4.6068656716417911E-2</v>
      </c>
      <c r="L14">
        <f>IF($C14="IE",$K14*CF_231025!$E$16,$K14/VLOOKUP($C14,CF_231025!$A$2:$E$28,5,FALSE))</f>
        <v>1.1625455443396238E-2</v>
      </c>
    </row>
    <row r="15" spans="1:12" x14ac:dyDescent="0.25">
      <c r="A15" t="s">
        <v>136</v>
      </c>
      <c r="B15" t="s">
        <v>151</v>
      </c>
      <c r="C15" t="str">
        <f t="shared" si="1"/>
        <v>AT</v>
      </c>
      <c r="D15" t="str">
        <f t="shared" si="2"/>
        <v>SUG</v>
      </c>
      <c r="E15" t="str">
        <f t="shared" si="0"/>
        <v>ATSUG</v>
      </c>
      <c r="F15" t="str">
        <f t="shared" si="3"/>
        <v>H</v>
      </c>
      <c r="G15" t="s">
        <v>138</v>
      </c>
      <c r="H15">
        <v>1</v>
      </c>
      <c r="I15">
        <v>0.17</v>
      </c>
      <c r="J15" t="str">
        <f t="shared" si="4"/>
        <v>ATL000SUGHR0ATLFER</v>
      </c>
      <c r="K15">
        <f>_xlfn.IFNA(IF(F15="H",VLOOKUP(E15,Fertiliser_data!$E$7:$L$267,8,FALSE),VLOOKUP(E15,Fertiliser_data!$E$7:$L$267,8,FALSE)*0.65),IF(F15="H",0.038,(0.038*0.65)))</f>
        <v>4.6068656716417911E-2</v>
      </c>
      <c r="L15">
        <f>IF($C15="IE",$K15*CF_231025!$E$16,$K15/VLOOKUP($C15,CF_231025!$A$2:$E$28,5,FALSE))</f>
        <v>1.1625455443396238E-2</v>
      </c>
    </row>
    <row r="16" spans="1:12" x14ac:dyDescent="0.25">
      <c r="A16" t="s">
        <v>136</v>
      </c>
      <c r="B16" t="s">
        <v>152</v>
      </c>
      <c r="C16" t="str">
        <f t="shared" si="1"/>
        <v>AT</v>
      </c>
      <c r="D16" t="str">
        <f t="shared" si="2"/>
        <v>SUG</v>
      </c>
      <c r="E16" t="str">
        <f t="shared" si="0"/>
        <v>ATSUG</v>
      </c>
      <c r="F16" t="str">
        <f t="shared" si="3"/>
        <v>L</v>
      </c>
      <c r="G16" t="s">
        <v>138</v>
      </c>
      <c r="H16">
        <v>1</v>
      </c>
      <c r="I16">
        <v>0.06</v>
      </c>
      <c r="J16" t="str">
        <f t="shared" si="4"/>
        <v>ATL000SUGLI0ATLFER</v>
      </c>
      <c r="K16">
        <f>_xlfn.IFNA(IF(F16="H",VLOOKUP(E16,Fertiliser_data!$E$7:$L$267,8,FALSE),VLOOKUP(E16,Fertiliser_data!$E$7:$L$267,8,FALSE)*0.65),IF(F16="H",0.038,(0.038*0.65)))</f>
        <v>2.9944626865671644E-2</v>
      </c>
      <c r="L16">
        <f>IF($C16="IE",$K16*CF_231025!$E$16,$K16/VLOOKUP($C16,CF_231025!$A$2:$E$28,5,FALSE))</f>
        <v>7.556546038207556E-3</v>
      </c>
    </row>
    <row r="17" spans="1:12" x14ac:dyDescent="0.25">
      <c r="A17" t="s">
        <v>136</v>
      </c>
      <c r="B17" t="s">
        <v>153</v>
      </c>
      <c r="C17" t="str">
        <f t="shared" si="1"/>
        <v>AT</v>
      </c>
      <c r="D17" t="str">
        <f t="shared" si="2"/>
        <v>SUG</v>
      </c>
      <c r="E17" t="str">
        <f t="shared" si="0"/>
        <v>ATSUG</v>
      </c>
      <c r="F17" t="str">
        <f t="shared" si="3"/>
        <v>L</v>
      </c>
      <c r="G17" t="s">
        <v>138</v>
      </c>
      <c r="H17">
        <v>1</v>
      </c>
      <c r="I17">
        <v>0.06</v>
      </c>
      <c r="J17" t="str">
        <f t="shared" si="4"/>
        <v>ATL000SUGLR0ATLFER</v>
      </c>
      <c r="K17">
        <f>_xlfn.IFNA(IF(F17="H",VLOOKUP(E17,Fertiliser_data!$E$7:$L$267,8,FALSE),VLOOKUP(E17,Fertiliser_data!$E$7:$L$267,8,FALSE)*0.65),IF(F17="H",0.038,(0.038*0.65)))</f>
        <v>2.9944626865671644E-2</v>
      </c>
      <c r="L17">
        <f>IF($C17="IE",$K17*CF_231025!$E$16,$K17/VLOOKUP($C17,CF_231025!$A$2:$E$28,5,FALSE))</f>
        <v>7.556546038207556E-3</v>
      </c>
    </row>
    <row r="18" spans="1:12" x14ac:dyDescent="0.25">
      <c r="A18" t="s">
        <v>136</v>
      </c>
      <c r="B18" t="s">
        <v>154</v>
      </c>
      <c r="C18" t="str">
        <f t="shared" si="1"/>
        <v>AT</v>
      </c>
      <c r="D18" t="str">
        <f t="shared" si="2"/>
        <v>OTH</v>
      </c>
      <c r="E18" t="str">
        <f t="shared" si="0"/>
        <v>ATOTH</v>
      </c>
      <c r="F18" t="str">
        <f t="shared" si="3"/>
        <v>H</v>
      </c>
      <c r="G18" t="s">
        <v>138</v>
      </c>
      <c r="H18">
        <v>1</v>
      </c>
      <c r="I18">
        <v>0.17</v>
      </c>
      <c r="J18" t="str">
        <f t="shared" si="4"/>
        <v>ATL000OTHHI0ATLFER</v>
      </c>
      <c r="K18">
        <f>_xlfn.IFNA(IF(F18="H",VLOOKUP(E18,Fertiliser_data!$E$7:$L$267,8,FALSE),VLOOKUP(E18,Fertiliser_data!$E$7:$L$267,8,FALSE)*0.65),IF(F18="H",0.038,(0.038*0.65)))</f>
        <v>3.7999999999999999E-2</v>
      </c>
      <c r="L18">
        <f>IF($C18="IE",$K18*CF_231025!$E$16,$K18/VLOOKUP($C18,CF_231025!$A$2:$E$28,5,FALSE))</f>
        <v>9.5893246805179889E-3</v>
      </c>
    </row>
    <row r="19" spans="1:12" x14ac:dyDescent="0.25">
      <c r="A19" t="s">
        <v>136</v>
      </c>
      <c r="B19" t="s">
        <v>155</v>
      </c>
      <c r="C19" t="str">
        <f t="shared" si="1"/>
        <v>AT</v>
      </c>
      <c r="D19" t="str">
        <f t="shared" si="2"/>
        <v>OTH</v>
      </c>
      <c r="E19" t="str">
        <f t="shared" si="0"/>
        <v>ATOTH</v>
      </c>
      <c r="F19" t="str">
        <f t="shared" si="3"/>
        <v>H</v>
      </c>
      <c r="G19" t="s">
        <v>138</v>
      </c>
      <c r="H19">
        <v>1</v>
      </c>
      <c r="I19">
        <v>0.17</v>
      </c>
      <c r="J19" t="str">
        <f t="shared" si="4"/>
        <v>ATL000OTHHR0ATLFER</v>
      </c>
      <c r="K19">
        <f>_xlfn.IFNA(IF(F19="H",VLOOKUP(E19,Fertiliser_data!$E$7:$L$267,8,FALSE),VLOOKUP(E19,Fertiliser_data!$E$7:$L$267,8,FALSE)*0.65),IF(F19="H",0.038,(0.038*0.65)))</f>
        <v>3.7999999999999999E-2</v>
      </c>
      <c r="L19">
        <f>IF($C19="IE",$K19*CF_231025!$E$16,$K19/VLOOKUP($C19,CF_231025!$A$2:$E$28,5,FALSE))</f>
        <v>9.5893246805179889E-3</v>
      </c>
    </row>
    <row r="20" spans="1:12" x14ac:dyDescent="0.25">
      <c r="A20" t="s">
        <v>136</v>
      </c>
      <c r="B20" t="s">
        <v>156</v>
      </c>
      <c r="C20" t="str">
        <f t="shared" si="1"/>
        <v>AT</v>
      </c>
      <c r="D20" t="str">
        <f t="shared" si="2"/>
        <v>OTH</v>
      </c>
      <c r="E20" t="str">
        <f t="shared" si="0"/>
        <v>ATOTH</v>
      </c>
      <c r="F20" t="str">
        <f t="shared" si="3"/>
        <v>L</v>
      </c>
      <c r="G20" t="s">
        <v>138</v>
      </c>
      <c r="H20">
        <v>1</v>
      </c>
      <c r="I20">
        <v>0.06</v>
      </c>
      <c r="J20" t="str">
        <f t="shared" si="4"/>
        <v>ATL000OTHLI0ATLFER</v>
      </c>
      <c r="K20">
        <f>_xlfn.IFNA(IF(F20="H",VLOOKUP(E20,Fertiliser_data!$E$7:$L$267,8,FALSE),VLOOKUP(E20,Fertiliser_data!$E$7:$L$267,8,FALSE)*0.65),IF(F20="H",0.038,(0.038*0.65)))</f>
        <v>2.47E-2</v>
      </c>
      <c r="L20">
        <f>IF($C20="IE",$K20*CF_231025!$E$16,$K20/VLOOKUP($C20,CF_231025!$A$2:$E$28,5,FALSE))</f>
        <v>6.2330610423366921E-3</v>
      </c>
    </row>
    <row r="21" spans="1:12" x14ac:dyDescent="0.25">
      <c r="A21" t="s">
        <v>136</v>
      </c>
      <c r="B21" t="s">
        <v>157</v>
      </c>
      <c r="C21" t="str">
        <f t="shared" si="1"/>
        <v>AT</v>
      </c>
      <c r="D21" t="str">
        <f t="shared" si="2"/>
        <v>OTH</v>
      </c>
      <c r="E21" t="str">
        <f t="shared" si="0"/>
        <v>ATOTH</v>
      </c>
      <c r="F21" t="str">
        <f t="shared" si="3"/>
        <v>L</v>
      </c>
      <c r="G21" t="s">
        <v>138</v>
      </c>
      <c r="H21">
        <v>1</v>
      </c>
      <c r="I21">
        <v>0.06</v>
      </c>
      <c r="J21" t="str">
        <f t="shared" si="4"/>
        <v>ATL000OTHLR0ATLFER</v>
      </c>
      <c r="K21">
        <f>_xlfn.IFNA(IF(F21="H",VLOOKUP(E21,Fertiliser_data!$E$7:$L$267,8,FALSE),VLOOKUP(E21,Fertiliser_data!$E$7:$L$267,8,FALSE)*0.65),IF(F21="H",0.038,(0.038*0.65)))</f>
        <v>2.47E-2</v>
      </c>
      <c r="L21">
        <f>IF($C21="IE",$K21*CF_231025!$E$16,$K21/VLOOKUP($C21,CF_231025!$A$2:$E$28,5,FALSE))</f>
        <v>6.2330610423366921E-3</v>
      </c>
    </row>
    <row r="22" spans="1:12" x14ac:dyDescent="0.25">
      <c r="A22" t="s">
        <v>136</v>
      </c>
      <c r="B22" t="s">
        <v>158</v>
      </c>
      <c r="C22" t="str">
        <f t="shared" si="1"/>
        <v>AT</v>
      </c>
      <c r="D22" t="str">
        <f t="shared" si="2"/>
        <v>OTO</v>
      </c>
      <c r="E22" t="str">
        <f t="shared" si="0"/>
        <v>ATOTO</v>
      </c>
      <c r="F22" t="str">
        <f t="shared" si="3"/>
        <v>H</v>
      </c>
      <c r="G22" t="s">
        <v>138</v>
      </c>
      <c r="H22">
        <v>1</v>
      </c>
      <c r="I22">
        <v>0.17</v>
      </c>
      <c r="J22" t="str">
        <f t="shared" si="4"/>
        <v>ATL000OTOHI0ATLFER</v>
      </c>
      <c r="K22">
        <f>_xlfn.IFNA(IF(F22="H",VLOOKUP(E22,Fertiliser_data!$E$7:$L$267,8,FALSE),VLOOKUP(E22,Fertiliser_data!$E$7:$L$267,8,FALSE)*0.65),IF(F22="H",0.038,(0.038*0.65)))</f>
        <v>3.7999999999999999E-2</v>
      </c>
      <c r="L22">
        <f>IF($C22="IE",$K22*CF_231025!$E$16,$K22/VLOOKUP($C22,CF_231025!$A$2:$E$28,5,FALSE))</f>
        <v>9.5893246805179889E-3</v>
      </c>
    </row>
    <row r="23" spans="1:12" x14ac:dyDescent="0.25">
      <c r="A23" t="s">
        <v>136</v>
      </c>
      <c r="B23" t="s">
        <v>159</v>
      </c>
      <c r="C23" t="str">
        <f t="shared" si="1"/>
        <v>AT</v>
      </c>
      <c r="D23" t="str">
        <f t="shared" si="2"/>
        <v>OTO</v>
      </c>
      <c r="E23" t="str">
        <f t="shared" si="0"/>
        <v>ATOTO</v>
      </c>
      <c r="F23" t="str">
        <f t="shared" si="3"/>
        <v>H</v>
      </c>
      <c r="G23" t="s">
        <v>138</v>
      </c>
      <c r="H23">
        <v>1</v>
      </c>
      <c r="I23">
        <v>0.17</v>
      </c>
      <c r="J23" t="str">
        <f t="shared" si="4"/>
        <v>ATL000OTOHR0ATLFER</v>
      </c>
      <c r="K23">
        <f>_xlfn.IFNA(IF(F23="H",VLOOKUP(E23,Fertiliser_data!$E$7:$L$267,8,FALSE),VLOOKUP(E23,Fertiliser_data!$E$7:$L$267,8,FALSE)*0.65),IF(F23="H",0.038,(0.038*0.65)))</f>
        <v>3.7999999999999999E-2</v>
      </c>
      <c r="L23">
        <f>IF($C23="IE",$K23*CF_231025!$E$16,$K23/VLOOKUP($C23,CF_231025!$A$2:$E$28,5,FALSE))</f>
        <v>9.5893246805179889E-3</v>
      </c>
    </row>
    <row r="24" spans="1:12" x14ac:dyDescent="0.25">
      <c r="A24" t="s">
        <v>136</v>
      </c>
      <c r="B24" t="s">
        <v>160</v>
      </c>
      <c r="C24" t="str">
        <f t="shared" si="1"/>
        <v>AT</v>
      </c>
      <c r="D24" t="str">
        <f t="shared" si="2"/>
        <v>OTO</v>
      </c>
      <c r="E24" t="str">
        <f t="shared" si="0"/>
        <v>ATOTO</v>
      </c>
      <c r="F24" t="str">
        <f t="shared" si="3"/>
        <v>L</v>
      </c>
      <c r="G24" t="s">
        <v>138</v>
      </c>
      <c r="H24">
        <v>1</v>
      </c>
      <c r="I24">
        <v>0.06</v>
      </c>
      <c r="J24" t="str">
        <f t="shared" si="4"/>
        <v>ATL000OTOLI0ATLFER</v>
      </c>
      <c r="K24">
        <f>_xlfn.IFNA(IF(F24="H",VLOOKUP(E24,Fertiliser_data!$E$7:$L$267,8,FALSE),VLOOKUP(E24,Fertiliser_data!$E$7:$L$267,8,FALSE)*0.65),IF(F24="H",0.038,(0.038*0.65)))</f>
        <v>2.47E-2</v>
      </c>
      <c r="L24">
        <f>IF($C24="IE",$K24*CF_231025!$E$16,$K24/VLOOKUP($C24,CF_231025!$A$2:$E$28,5,FALSE))</f>
        <v>6.2330610423366921E-3</v>
      </c>
    </row>
    <row r="25" spans="1:12" x14ac:dyDescent="0.25">
      <c r="A25" t="s">
        <v>136</v>
      </c>
      <c r="B25" t="s">
        <v>161</v>
      </c>
      <c r="C25" t="str">
        <f t="shared" si="1"/>
        <v>AT</v>
      </c>
      <c r="D25" t="str">
        <f t="shared" si="2"/>
        <v>OTO</v>
      </c>
      <c r="E25" t="str">
        <f t="shared" si="0"/>
        <v>ATOTO</v>
      </c>
      <c r="F25" t="str">
        <f t="shared" si="3"/>
        <v>L</v>
      </c>
      <c r="G25" t="s">
        <v>138</v>
      </c>
      <c r="H25">
        <v>1</v>
      </c>
      <c r="I25">
        <v>0.06</v>
      </c>
      <c r="J25" t="str">
        <f t="shared" si="4"/>
        <v>ATL000OTOLR0ATLFER</v>
      </c>
      <c r="K25">
        <f>_xlfn.IFNA(IF(F25="H",VLOOKUP(E25,Fertiliser_data!$E$7:$L$267,8,FALSE),VLOOKUP(E25,Fertiliser_data!$E$7:$L$267,8,FALSE)*0.65),IF(F25="H",0.038,(0.038*0.65)))</f>
        <v>2.47E-2</v>
      </c>
      <c r="L25">
        <f>IF($C25="IE",$K25*CF_231025!$E$16,$K25/VLOOKUP($C25,CF_231025!$A$2:$E$28,5,FALSE))</f>
        <v>6.2330610423366921E-3</v>
      </c>
    </row>
    <row r="26" spans="1:12" x14ac:dyDescent="0.25">
      <c r="A26" t="s">
        <v>136</v>
      </c>
      <c r="B26" t="s">
        <v>162</v>
      </c>
      <c r="C26" t="str">
        <f t="shared" si="1"/>
        <v>AT</v>
      </c>
      <c r="D26" t="str">
        <f t="shared" si="2"/>
        <v>BRL</v>
      </c>
      <c r="E26" t="str">
        <f t="shared" si="0"/>
        <v>ATBRL</v>
      </c>
      <c r="F26" t="str">
        <f t="shared" si="3"/>
        <v>H</v>
      </c>
      <c r="G26" t="s">
        <v>138</v>
      </c>
      <c r="H26">
        <v>1</v>
      </c>
      <c r="I26">
        <v>0.15</v>
      </c>
      <c r="J26" t="str">
        <f t="shared" si="4"/>
        <v>ATL000BRLHI0ATLFER</v>
      </c>
      <c r="K26">
        <f>_xlfn.IFNA(IF(F26="H",VLOOKUP(E26,Fertiliser_data!$E$7:$L$267,8,FALSE),VLOOKUP(E26,Fertiliser_data!$E$7:$L$267,8,FALSE)*0.65),IF(F26="H",0.038,(0.038*0.65)))</f>
        <v>2.1411940298507463E-2</v>
      </c>
      <c r="L26">
        <f>IF($C26="IE",$K26*CF_231025!$E$16,$K26/VLOOKUP($C26,CF_231025!$A$2:$E$28,5,FALSE))</f>
        <v>5.4033170411119822E-3</v>
      </c>
    </row>
    <row r="27" spans="1:12" x14ac:dyDescent="0.25">
      <c r="A27" t="s">
        <v>136</v>
      </c>
      <c r="B27" t="s">
        <v>163</v>
      </c>
      <c r="C27" t="str">
        <f t="shared" si="1"/>
        <v>AT</v>
      </c>
      <c r="D27" t="str">
        <f t="shared" si="2"/>
        <v>BRL</v>
      </c>
      <c r="E27" t="str">
        <f t="shared" si="0"/>
        <v>ATBRL</v>
      </c>
      <c r="F27" t="str">
        <f t="shared" si="3"/>
        <v>H</v>
      </c>
      <c r="G27" t="s">
        <v>138</v>
      </c>
      <c r="H27">
        <v>1</v>
      </c>
      <c r="I27">
        <v>0.15</v>
      </c>
      <c r="J27" t="str">
        <f t="shared" si="4"/>
        <v>ATL000BRLHR0ATLFER</v>
      </c>
      <c r="K27">
        <f>_xlfn.IFNA(IF(F27="H",VLOOKUP(E27,Fertiliser_data!$E$7:$L$267,8,FALSE),VLOOKUP(E27,Fertiliser_data!$E$7:$L$267,8,FALSE)*0.65),IF(F27="H",0.038,(0.038*0.65)))</f>
        <v>2.1411940298507463E-2</v>
      </c>
      <c r="L27">
        <f>IF($C27="IE",$K27*CF_231025!$E$16,$K27/VLOOKUP($C27,CF_231025!$A$2:$E$28,5,FALSE))</f>
        <v>5.4033170411119822E-3</v>
      </c>
    </row>
    <row r="28" spans="1:12" x14ac:dyDescent="0.25">
      <c r="A28" t="s">
        <v>136</v>
      </c>
      <c r="B28" t="s">
        <v>164</v>
      </c>
      <c r="C28" t="str">
        <f t="shared" si="1"/>
        <v>AT</v>
      </c>
      <c r="D28" t="str">
        <f t="shared" si="2"/>
        <v>BRL</v>
      </c>
      <c r="E28" t="str">
        <f t="shared" si="0"/>
        <v>ATBRL</v>
      </c>
      <c r="F28" t="str">
        <f t="shared" si="3"/>
        <v>L</v>
      </c>
      <c r="G28" t="s">
        <v>138</v>
      </c>
      <c r="H28">
        <v>1</v>
      </c>
      <c r="I28">
        <v>0.06</v>
      </c>
      <c r="J28" t="str">
        <f t="shared" si="4"/>
        <v>ATL000BRLLI0ATLFER</v>
      </c>
      <c r="K28">
        <f>_xlfn.IFNA(IF(F28="H",VLOOKUP(E28,Fertiliser_data!$E$7:$L$267,8,FALSE),VLOOKUP(E28,Fertiliser_data!$E$7:$L$267,8,FALSE)*0.65),IF(F28="H",0.038,(0.038*0.65)))</f>
        <v>1.3917761194029852E-2</v>
      </c>
      <c r="L28">
        <f>IF($C28="IE",$K28*CF_231025!$E$16,$K28/VLOOKUP($C28,CF_231025!$A$2:$E$28,5,FALSE))</f>
        <v>3.5121560767227885E-3</v>
      </c>
    </row>
    <row r="29" spans="1:12" x14ac:dyDescent="0.25">
      <c r="A29" t="s">
        <v>136</v>
      </c>
      <c r="B29" t="s">
        <v>165</v>
      </c>
      <c r="C29" t="str">
        <f t="shared" si="1"/>
        <v>AT</v>
      </c>
      <c r="D29" t="str">
        <f t="shared" si="2"/>
        <v>BRL</v>
      </c>
      <c r="E29" t="str">
        <f t="shared" si="0"/>
        <v>ATBRL</v>
      </c>
      <c r="F29" t="str">
        <f t="shared" si="3"/>
        <v>L</v>
      </c>
      <c r="G29" t="s">
        <v>138</v>
      </c>
      <c r="H29">
        <v>1</v>
      </c>
      <c r="I29">
        <v>0.06</v>
      </c>
      <c r="J29" t="str">
        <f t="shared" si="4"/>
        <v>ATL000BRLLR0ATLFER</v>
      </c>
      <c r="K29">
        <f>_xlfn.IFNA(IF(F29="H",VLOOKUP(E29,Fertiliser_data!$E$7:$L$267,8,FALSE),VLOOKUP(E29,Fertiliser_data!$E$7:$L$267,8,FALSE)*0.65),IF(F29="H",0.038,(0.038*0.65)))</f>
        <v>1.3917761194029852E-2</v>
      </c>
      <c r="L29">
        <f>IF($C29="IE",$K29*CF_231025!$E$16,$K29/VLOOKUP($C29,CF_231025!$A$2:$E$28,5,FALSE))</f>
        <v>3.5121560767227885E-3</v>
      </c>
    </row>
    <row r="30" spans="1:12" x14ac:dyDescent="0.25">
      <c r="A30" t="s">
        <v>136</v>
      </c>
      <c r="B30" t="s">
        <v>166</v>
      </c>
      <c r="C30" t="str">
        <f t="shared" si="1"/>
        <v>AT</v>
      </c>
      <c r="D30" t="str">
        <f t="shared" si="2"/>
        <v>RYE</v>
      </c>
      <c r="E30" t="str">
        <f t="shared" si="0"/>
        <v>ATRYE</v>
      </c>
      <c r="F30" t="str">
        <f t="shared" si="3"/>
        <v>H</v>
      </c>
      <c r="G30" t="s">
        <v>138</v>
      </c>
      <c r="H30">
        <v>1</v>
      </c>
      <c r="I30">
        <v>0.11</v>
      </c>
      <c r="J30" t="str">
        <f t="shared" si="4"/>
        <v>ATL000RYEHI0ATLFER</v>
      </c>
      <c r="K30">
        <f>_xlfn.IFNA(IF(F30="H",VLOOKUP(E30,Fertiliser_data!$E$7:$L$267,8,FALSE),VLOOKUP(E30,Fertiliser_data!$E$7:$L$267,8,FALSE)*0.65),IF(F30="H",0.038,(0.038*0.65)))</f>
        <v>2.1411940298507463E-2</v>
      </c>
      <c r="L30">
        <f>IF($C30="IE",$K30*CF_231025!$E$16,$K30/VLOOKUP($C30,CF_231025!$A$2:$E$28,5,FALSE))</f>
        <v>5.4033170411119822E-3</v>
      </c>
    </row>
    <row r="31" spans="1:12" x14ac:dyDescent="0.25">
      <c r="A31" t="s">
        <v>136</v>
      </c>
      <c r="B31" t="s">
        <v>167</v>
      </c>
      <c r="C31" t="str">
        <f t="shared" si="1"/>
        <v>AT</v>
      </c>
      <c r="D31" t="str">
        <f t="shared" si="2"/>
        <v>RYE</v>
      </c>
      <c r="E31" t="str">
        <f t="shared" si="0"/>
        <v>ATRYE</v>
      </c>
      <c r="F31" t="str">
        <f t="shared" si="3"/>
        <v>H</v>
      </c>
      <c r="G31" t="s">
        <v>138</v>
      </c>
      <c r="H31">
        <v>1</v>
      </c>
      <c r="I31">
        <v>0.11</v>
      </c>
      <c r="J31" t="str">
        <f t="shared" si="4"/>
        <v>ATL000RYEHR0ATLFER</v>
      </c>
      <c r="K31">
        <f>_xlfn.IFNA(IF(F31="H",VLOOKUP(E31,Fertiliser_data!$E$7:$L$267,8,FALSE),VLOOKUP(E31,Fertiliser_data!$E$7:$L$267,8,FALSE)*0.65),IF(F31="H",0.038,(0.038*0.65)))</f>
        <v>2.1411940298507463E-2</v>
      </c>
      <c r="L31">
        <f>IF($C31="IE",$K31*CF_231025!$E$16,$K31/VLOOKUP($C31,CF_231025!$A$2:$E$28,5,FALSE))</f>
        <v>5.4033170411119822E-3</v>
      </c>
    </row>
    <row r="32" spans="1:12" x14ac:dyDescent="0.25">
      <c r="A32" t="s">
        <v>136</v>
      </c>
      <c r="B32" t="s">
        <v>168</v>
      </c>
      <c r="C32" t="str">
        <f t="shared" si="1"/>
        <v>AT</v>
      </c>
      <c r="D32" t="str">
        <f t="shared" si="2"/>
        <v>RYE</v>
      </c>
      <c r="E32" t="str">
        <f t="shared" si="0"/>
        <v>ATRYE</v>
      </c>
      <c r="F32" t="str">
        <f t="shared" si="3"/>
        <v>L</v>
      </c>
      <c r="G32" t="s">
        <v>138</v>
      </c>
      <c r="H32">
        <v>1</v>
      </c>
      <c r="I32">
        <v>0.04</v>
      </c>
      <c r="J32" t="str">
        <f t="shared" si="4"/>
        <v>ATL000RYELI0ATLFER</v>
      </c>
      <c r="K32">
        <f>_xlfn.IFNA(IF(F32="H",VLOOKUP(E32,Fertiliser_data!$E$7:$L$267,8,FALSE),VLOOKUP(E32,Fertiliser_data!$E$7:$L$267,8,FALSE)*0.65),IF(F32="H",0.038,(0.038*0.65)))</f>
        <v>1.3917761194029852E-2</v>
      </c>
      <c r="L32">
        <f>IF($C32="IE",$K32*CF_231025!$E$16,$K32/VLOOKUP($C32,CF_231025!$A$2:$E$28,5,FALSE))</f>
        <v>3.5121560767227885E-3</v>
      </c>
    </row>
    <row r="33" spans="1:12" x14ac:dyDescent="0.25">
      <c r="A33" t="s">
        <v>136</v>
      </c>
      <c r="B33" t="s">
        <v>169</v>
      </c>
      <c r="C33" t="str">
        <f t="shared" si="1"/>
        <v>AT</v>
      </c>
      <c r="D33" t="str">
        <f t="shared" si="2"/>
        <v>RYE</v>
      </c>
      <c r="E33" t="str">
        <f t="shared" si="0"/>
        <v>ATRYE</v>
      </c>
      <c r="F33" t="str">
        <f t="shared" si="3"/>
        <v>L</v>
      </c>
      <c r="G33" t="s">
        <v>138</v>
      </c>
      <c r="H33">
        <v>1</v>
      </c>
      <c r="I33">
        <v>0.04</v>
      </c>
      <c r="J33" t="str">
        <f t="shared" si="4"/>
        <v>ATL000RYELR0ATLFER</v>
      </c>
      <c r="K33">
        <f>_xlfn.IFNA(IF(F33="H",VLOOKUP(E33,Fertiliser_data!$E$7:$L$267,8,FALSE),VLOOKUP(E33,Fertiliser_data!$E$7:$L$267,8,FALSE)*0.65),IF(F33="H",0.038,(0.038*0.65)))</f>
        <v>1.3917761194029852E-2</v>
      </c>
      <c r="L33">
        <f>IF($C33="IE",$K33*CF_231025!$E$16,$K33/VLOOKUP($C33,CF_231025!$A$2:$E$28,5,FALSE))</f>
        <v>3.5121560767227885E-3</v>
      </c>
    </row>
    <row r="34" spans="1:12" x14ac:dyDescent="0.25">
      <c r="A34" t="s">
        <v>136</v>
      </c>
      <c r="B34" t="s">
        <v>170</v>
      </c>
      <c r="C34" t="str">
        <f t="shared" si="1"/>
        <v>AT</v>
      </c>
      <c r="D34" t="str">
        <f t="shared" si="2"/>
        <v>GRP</v>
      </c>
      <c r="E34" t="str">
        <f t="shared" si="0"/>
        <v>ATGRP</v>
      </c>
      <c r="F34" t="str">
        <f t="shared" si="3"/>
        <v>H</v>
      </c>
      <c r="G34" t="s">
        <v>138</v>
      </c>
      <c r="H34">
        <v>1</v>
      </c>
      <c r="I34">
        <v>0.17</v>
      </c>
      <c r="J34" t="str">
        <f t="shared" si="4"/>
        <v>ATL000GRPHI0ATLFER</v>
      </c>
      <c r="K34">
        <f>_xlfn.IFNA(IF(F34="H",VLOOKUP(E34,Fertiliser_data!$E$7:$L$267,8,FALSE),VLOOKUP(E34,Fertiliser_data!$E$7:$L$267,8,FALSE)*0.65),IF(F34="H",0.038,(0.038*0.65)))</f>
        <v>1.5446268656716416E-2</v>
      </c>
      <c r="L34">
        <f>IF($C34="IE",$K34*CF_231025!$E$16,$K34/VLOOKUP($C34,CF_231025!$A$2:$E$28,5,FALSE))</f>
        <v>3.8978759276779517E-3</v>
      </c>
    </row>
    <row r="35" spans="1:12" x14ac:dyDescent="0.25">
      <c r="A35" t="s">
        <v>136</v>
      </c>
      <c r="B35" t="s">
        <v>171</v>
      </c>
      <c r="C35" t="str">
        <f t="shared" si="1"/>
        <v>AT</v>
      </c>
      <c r="D35" t="str">
        <f t="shared" si="2"/>
        <v>GRP</v>
      </c>
      <c r="E35" t="str">
        <f t="shared" si="0"/>
        <v>ATGRP</v>
      </c>
      <c r="F35" t="str">
        <f t="shared" si="3"/>
        <v>H</v>
      </c>
      <c r="G35" t="s">
        <v>138</v>
      </c>
      <c r="H35">
        <v>1</v>
      </c>
      <c r="I35">
        <v>0.17</v>
      </c>
      <c r="J35" t="str">
        <f t="shared" si="4"/>
        <v>ATL000GRPHR0ATLFER</v>
      </c>
      <c r="K35">
        <f>_xlfn.IFNA(IF(F35="H",VLOOKUP(E35,Fertiliser_data!$E$7:$L$267,8,FALSE),VLOOKUP(E35,Fertiliser_data!$E$7:$L$267,8,FALSE)*0.65),IF(F35="H",0.038,(0.038*0.65)))</f>
        <v>1.5446268656716416E-2</v>
      </c>
      <c r="L35">
        <f>IF($C35="IE",$K35*CF_231025!$E$16,$K35/VLOOKUP($C35,CF_231025!$A$2:$E$28,5,FALSE))</f>
        <v>3.8978759276779517E-3</v>
      </c>
    </row>
    <row r="36" spans="1:12" x14ac:dyDescent="0.25">
      <c r="A36" t="s">
        <v>136</v>
      </c>
      <c r="B36" t="s">
        <v>172</v>
      </c>
      <c r="C36" t="str">
        <f t="shared" si="1"/>
        <v>AT</v>
      </c>
      <c r="D36" t="str">
        <f t="shared" si="2"/>
        <v>GRP</v>
      </c>
      <c r="E36" t="str">
        <f t="shared" si="0"/>
        <v>ATGRP</v>
      </c>
      <c r="F36" t="str">
        <f t="shared" si="3"/>
        <v>L</v>
      </c>
      <c r="G36" t="s">
        <v>138</v>
      </c>
      <c r="H36">
        <v>1</v>
      </c>
      <c r="I36">
        <v>0.06</v>
      </c>
      <c r="J36" t="str">
        <f t="shared" si="4"/>
        <v>ATL000GRPLI0ATLFER</v>
      </c>
      <c r="K36">
        <f>_xlfn.IFNA(IF(F36="H",VLOOKUP(E36,Fertiliser_data!$E$7:$L$267,8,FALSE),VLOOKUP(E36,Fertiliser_data!$E$7:$L$267,8,FALSE)*0.65),IF(F36="H",0.038,(0.038*0.65)))</f>
        <v>1.0040074626865672E-2</v>
      </c>
      <c r="L36">
        <f>IF($C36="IE",$K36*CF_231025!$E$16,$K36/VLOOKUP($C36,CF_231025!$A$2:$E$28,5,FALSE))</f>
        <v>2.5336193529906688E-3</v>
      </c>
    </row>
    <row r="37" spans="1:12" x14ac:dyDescent="0.25">
      <c r="A37" t="s">
        <v>136</v>
      </c>
      <c r="B37" t="s">
        <v>173</v>
      </c>
      <c r="C37" t="str">
        <f t="shared" si="1"/>
        <v>AT</v>
      </c>
      <c r="D37" t="str">
        <f t="shared" si="2"/>
        <v>GRP</v>
      </c>
      <c r="E37" t="str">
        <f t="shared" si="0"/>
        <v>ATGRP</v>
      </c>
      <c r="F37" t="str">
        <f t="shared" si="3"/>
        <v>L</v>
      </c>
      <c r="G37" t="s">
        <v>138</v>
      </c>
      <c r="H37">
        <v>1</v>
      </c>
      <c r="I37">
        <v>0.06</v>
      </c>
      <c r="J37" t="str">
        <f t="shared" si="4"/>
        <v>ATL000GRPLR0ATLFER</v>
      </c>
      <c r="K37">
        <f>_xlfn.IFNA(IF(F37="H",VLOOKUP(E37,Fertiliser_data!$E$7:$L$267,8,FALSE),VLOOKUP(E37,Fertiliser_data!$E$7:$L$267,8,FALSE)*0.65),IF(F37="H",0.038,(0.038*0.65)))</f>
        <v>1.0040074626865672E-2</v>
      </c>
      <c r="L37">
        <f>IF($C37="IE",$K37*CF_231025!$E$16,$K37/VLOOKUP($C37,CF_231025!$A$2:$E$28,5,FALSE))</f>
        <v>2.5336193529906688E-3</v>
      </c>
    </row>
    <row r="38" spans="1:12" x14ac:dyDescent="0.25">
      <c r="A38" t="s">
        <v>136</v>
      </c>
      <c r="B38" t="s">
        <v>174</v>
      </c>
      <c r="C38" t="str">
        <f t="shared" si="1"/>
        <v>AT</v>
      </c>
      <c r="D38" t="str">
        <f t="shared" si="2"/>
        <v>WHE</v>
      </c>
      <c r="E38" t="str">
        <f t="shared" si="0"/>
        <v>ATWHE</v>
      </c>
      <c r="F38" t="str">
        <f t="shared" si="3"/>
        <v>H</v>
      </c>
      <c r="G38" t="s">
        <v>138</v>
      </c>
      <c r="H38">
        <v>1</v>
      </c>
      <c r="I38">
        <v>0.2</v>
      </c>
      <c r="J38" t="str">
        <f t="shared" si="4"/>
        <v>ATL000WHEHI0ATLFER</v>
      </c>
      <c r="K38">
        <f>_xlfn.IFNA(IF(F38="H",VLOOKUP(E38,Fertiliser_data!$E$7:$L$267,8,FALSE),VLOOKUP(E38,Fertiliser_data!$E$7:$L$267,8,FALSE)*0.65),IF(F38="H",0.038,(0.038*0.65)))</f>
        <v>3.9623880597014931E-2</v>
      </c>
      <c r="L38">
        <f>IF($C38="IE",$K38*CF_231025!$E$16,$K38/VLOOKUP($C38,CF_231025!$A$2:$E$28,5,FALSE))</f>
        <v>9.9991120038645555E-3</v>
      </c>
    </row>
    <row r="39" spans="1:12" x14ac:dyDescent="0.25">
      <c r="A39" t="s">
        <v>136</v>
      </c>
      <c r="B39" t="s">
        <v>175</v>
      </c>
      <c r="C39" t="str">
        <f t="shared" si="1"/>
        <v>AT</v>
      </c>
      <c r="D39" t="str">
        <f t="shared" si="2"/>
        <v>WHE</v>
      </c>
      <c r="E39" t="str">
        <f t="shared" si="0"/>
        <v>ATWHE</v>
      </c>
      <c r="F39" t="str">
        <f t="shared" si="3"/>
        <v>H</v>
      </c>
      <c r="G39" t="s">
        <v>138</v>
      </c>
      <c r="H39">
        <v>1</v>
      </c>
      <c r="I39">
        <v>0.2</v>
      </c>
      <c r="J39" t="str">
        <f t="shared" si="4"/>
        <v>ATL000WHEHR0ATLFER</v>
      </c>
      <c r="K39">
        <f>_xlfn.IFNA(IF(F39="H",VLOOKUP(E39,Fertiliser_data!$E$7:$L$267,8,FALSE),VLOOKUP(E39,Fertiliser_data!$E$7:$L$267,8,FALSE)*0.65),IF(F39="H",0.038,(0.038*0.65)))</f>
        <v>3.9623880597014931E-2</v>
      </c>
      <c r="L39">
        <f>IF($C39="IE",$K39*CF_231025!$E$16,$K39/VLOOKUP($C39,CF_231025!$A$2:$E$28,5,FALSE))</f>
        <v>9.9991120038645555E-3</v>
      </c>
    </row>
    <row r="40" spans="1:12" x14ac:dyDescent="0.25">
      <c r="A40" t="s">
        <v>136</v>
      </c>
      <c r="B40" t="s">
        <v>176</v>
      </c>
      <c r="C40" t="str">
        <f t="shared" si="1"/>
        <v>AT</v>
      </c>
      <c r="D40" t="str">
        <f t="shared" si="2"/>
        <v>WHE</v>
      </c>
      <c r="E40" t="str">
        <f t="shared" si="0"/>
        <v>ATWHE</v>
      </c>
      <c r="F40" t="str">
        <f t="shared" si="3"/>
        <v>L</v>
      </c>
      <c r="G40" t="s">
        <v>138</v>
      </c>
      <c r="H40">
        <v>1</v>
      </c>
      <c r="I40">
        <v>7.0000000000000007E-2</v>
      </c>
      <c r="J40" t="str">
        <f t="shared" si="4"/>
        <v>ATL000WHELI0ATLFER</v>
      </c>
      <c r="K40">
        <f>_xlfn.IFNA(IF(F40="H",VLOOKUP(E40,Fertiliser_data!$E$7:$L$267,8,FALSE),VLOOKUP(E40,Fertiliser_data!$E$7:$L$267,8,FALSE)*0.65),IF(F40="H",0.038,(0.038*0.65)))</f>
        <v>2.5755522388059705E-2</v>
      </c>
      <c r="L40">
        <f>IF($C40="IE",$K40*CF_231025!$E$16,$K40/VLOOKUP($C40,CF_231025!$A$2:$E$28,5,FALSE))</f>
        <v>6.4994228025119618E-3</v>
      </c>
    </row>
    <row r="41" spans="1:12" x14ac:dyDescent="0.25">
      <c r="A41" t="s">
        <v>136</v>
      </c>
      <c r="B41" t="s">
        <v>177</v>
      </c>
      <c r="C41" t="str">
        <f t="shared" si="1"/>
        <v>AT</v>
      </c>
      <c r="D41" t="str">
        <f t="shared" si="2"/>
        <v>WHE</v>
      </c>
      <c r="E41" t="str">
        <f t="shared" si="0"/>
        <v>ATWHE</v>
      </c>
      <c r="F41" t="str">
        <f t="shared" si="3"/>
        <v>L</v>
      </c>
      <c r="G41" t="s">
        <v>138</v>
      </c>
      <c r="H41">
        <v>1</v>
      </c>
      <c r="I41">
        <v>7.0000000000000007E-2</v>
      </c>
      <c r="J41" t="str">
        <f t="shared" si="4"/>
        <v>ATL000WHELR0ATLFER</v>
      </c>
      <c r="K41">
        <f>_xlfn.IFNA(IF(F41="H",VLOOKUP(E41,Fertiliser_data!$E$7:$L$267,8,FALSE),VLOOKUP(E41,Fertiliser_data!$E$7:$L$267,8,FALSE)*0.65),IF(F41="H",0.038,(0.038*0.65)))</f>
        <v>2.5755522388059705E-2</v>
      </c>
      <c r="L41">
        <f>IF($C41="IE",$K41*CF_231025!$E$16,$K41/VLOOKUP($C41,CF_231025!$A$2:$E$28,5,FALSE))</f>
        <v>6.4994228025119618E-3</v>
      </c>
    </row>
    <row r="42" spans="1:12" x14ac:dyDescent="0.25">
      <c r="A42" t="s">
        <v>136</v>
      </c>
      <c r="B42" t="s">
        <v>178</v>
      </c>
      <c r="C42" t="str">
        <f t="shared" si="1"/>
        <v>BE</v>
      </c>
      <c r="D42" t="str">
        <f t="shared" si="2"/>
        <v>POT</v>
      </c>
      <c r="E42" t="str">
        <f t="shared" si="0"/>
        <v>BEPOT</v>
      </c>
      <c r="F42" t="str">
        <f t="shared" si="3"/>
        <v>H</v>
      </c>
      <c r="G42" t="s">
        <v>179</v>
      </c>
      <c r="H42">
        <v>1</v>
      </c>
      <c r="I42">
        <v>0.17</v>
      </c>
      <c r="J42" t="str">
        <f t="shared" si="4"/>
        <v>BEL000POTHI0BELFER</v>
      </c>
      <c r="K42">
        <f>_xlfn.IFNA(IF(F42="H",VLOOKUP(E42,Fertiliser_data!$E$7:$L$267,8,FALSE),VLOOKUP(E42,Fertiliser_data!$E$7:$L$267,8,FALSE)*0.65),IF(F42="H",0.038,(0.038*0.65)))</f>
        <v>8.87268656716418E-2</v>
      </c>
      <c r="L42">
        <f>IF($C42="IE",$K42*CF_231025!$E$16,$K42/VLOOKUP($C42,CF_231025!$A$2:$E$28,5,FALSE))</f>
        <v>3.1804513508842745E-2</v>
      </c>
    </row>
    <row r="43" spans="1:12" x14ac:dyDescent="0.25">
      <c r="A43" t="s">
        <v>136</v>
      </c>
      <c r="B43" t="s">
        <v>180</v>
      </c>
      <c r="C43" t="str">
        <f t="shared" si="1"/>
        <v>BE</v>
      </c>
      <c r="D43" t="str">
        <f t="shared" si="2"/>
        <v>POT</v>
      </c>
      <c r="E43" t="str">
        <f t="shared" si="0"/>
        <v>BEPOT</v>
      </c>
      <c r="F43" t="str">
        <f t="shared" si="3"/>
        <v>H</v>
      </c>
      <c r="G43" t="s">
        <v>179</v>
      </c>
      <c r="H43">
        <v>1</v>
      </c>
      <c r="I43">
        <v>0.17</v>
      </c>
      <c r="J43" t="str">
        <f t="shared" si="4"/>
        <v>BEL000POTHR0BELFER</v>
      </c>
      <c r="K43">
        <f>_xlfn.IFNA(IF(F43="H",VLOOKUP(E43,Fertiliser_data!$E$7:$L$267,8,FALSE),VLOOKUP(E43,Fertiliser_data!$E$7:$L$267,8,FALSE)*0.65),IF(F43="H",0.038,(0.038*0.65)))</f>
        <v>8.87268656716418E-2</v>
      </c>
      <c r="L43">
        <f>IF($C43="IE",$K43*CF_231025!$E$16,$K43/VLOOKUP($C43,CF_231025!$A$2:$E$28,5,FALSE))</f>
        <v>3.1804513508842745E-2</v>
      </c>
    </row>
    <row r="44" spans="1:12" x14ac:dyDescent="0.25">
      <c r="A44" t="s">
        <v>136</v>
      </c>
      <c r="B44" t="s">
        <v>181</v>
      </c>
      <c r="C44" t="str">
        <f t="shared" si="1"/>
        <v>BE</v>
      </c>
      <c r="D44" t="str">
        <f t="shared" si="2"/>
        <v>POT</v>
      </c>
      <c r="E44" t="str">
        <f t="shared" si="0"/>
        <v>BEPOT</v>
      </c>
      <c r="F44" t="str">
        <f t="shared" si="3"/>
        <v>L</v>
      </c>
      <c r="G44" t="s">
        <v>179</v>
      </c>
      <c r="H44">
        <v>1</v>
      </c>
      <c r="I44">
        <v>0.06</v>
      </c>
      <c r="J44" t="str">
        <f t="shared" si="4"/>
        <v>BEL000POTLI0BELFER</v>
      </c>
      <c r="K44">
        <f>_xlfn.IFNA(IF(F44="H",VLOOKUP(E44,Fertiliser_data!$E$7:$L$267,8,FALSE),VLOOKUP(E44,Fertiliser_data!$E$7:$L$267,8,FALSE)*0.65),IF(F44="H",0.038,(0.038*0.65)))</f>
        <v>5.7672462686567172E-2</v>
      </c>
      <c r="L44">
        <f>IF($C44="IE",$K44*CF_231025!$E$16,$K44/VLOOKUP($C44,CF_231025!$A$2:$E$28,5,FALSE))</f>
        <v>2.0672933780747783E-2</v>
      </c>
    </row>
    <row r="45" spans="1:12" x14ac:dyDescent="0.25">
      <c r="A45" t="s">
        <v>136</v>
      </c>
      <c r="B45" t="s">
        <v>182</v>
      </c>
      <c r="C45" t="str">
        <f t="shared" si="1"/>
        <v>BE</v>
      </c>
      <c r="D45" t="str">
        <f t="shared" si="2"/>
        <v>POT</v>
      </c>
      <c r="E45" t="str">
        <f t="shared" si="0"/>
        <v>BEPOT</v>
      </c>
      <c r="F45" t="str">
        <f t="shared" si="3"/>
        <v>L</v>
      </c>
      <c r="G45" t="s">
        <v>179</v>
      </c>
      <c r="H45">
        <v>1</v>
      </c>
      <c r="I45">
        <v>0.06</v>
      </c>
      <c r="J45" t="str">
        <f t="shared" si="4"/>
        <v>BEL000POTLR0BELFER</v>
      </c>
      <c r="K45">
        <f>_xlfn.IFNA(IF(F45="H",VLOOKUP(E45,Fertiliser_data!$E$7:$L$267,8,FALSE),VLOOKUP(E45,Fertiliser_data!$E$7:$L$267,8,FALSE)*0.65),IF(F45="H",0.038,(0.038*0.65)))</f>
        <v>5.7672462686567172E-2</v>
      </c>
      <c r="L45">
        <f>IF($C45="IE",$K45*CF_231025!$E$16,$K45/VLOOKUP($C45,CF_231025!$A$2:$E$28,5,FALSE))</f>
        <v>2.0672933780747783E-2</v>
      </c>
    </row>
    <row r="46" spans="1:12" x14ac:dyDescent="0.25">
      <c r="A46" t="s">
        <v>136</v>
      </c>
      <c r="B46" t="s">
        <v>183</v>
      </c>
      <c r="C46" t="str">
        <f t="shared" si="1"/>
        <v>BE</v>
      </c>
      <c r="D46" t="str">
        <f t="shared" si="2"/>
        <v>PER</v>
      </c>
      <c r="E46" t="str">
        <f t="shared" si="0"/>
        <v>BEPER</v>
      </c>
      <c r="F46" t="str">
        <f t="shared" si="3"/>
        <v>H</v>
      </c>
      <c r="G46" t="s">
        <v>179</v>
      </c>
      <c r="H46">
        <v>1</v>
      </c>
      <c r="I46">
        <v>0.17</v>
      </c>
      <c r="J46" t="str">
        <f t="shared" si="4"/>
        <v>BEL000PERHI0BELFER</v>
      </c>
      <c r="K46">
        <f>_xlfn.IFNA(IF(F46="H",VLOOKUP(E46,Fertiliser_data!$E$7:$L$267,8,FALSE),VLOOKUP(E46,Fertiliser_data!$E$7:$L$267,8,FALSE)*0.65),IF(F46="H",0.038,(0.038*0.65)))</f>
        <v>3.7999999999999999E-2</v>
      </c>
      <c r="L46">
        <f>IF($C46="IE",$K46*CF_231025!$E$16,$K46/VLOOKUP($C46,CF_231025!$A$2:$E$28,5,FALSE))</f>
        <v>1.3621257825207936E-2</v>
      </c>
    </row>
    <row r="47" spans="1:12" x14ac:dyDescent="0.25">
      <c r="A47" t="s">
        <v>136</v>
      </c>
      <c r="B47" t="s">
        <v>184</v>
      </c>
      <c r="C47" t="str">
        <f t="shared" si="1"/>
        <v>BE</v>
      </c>
      <c r="D47" t="str">
        <f t="shared" si="2"/>
        <v>PER</v>
      </c>
      <c r="E47" t="str">
        <f t="shared" si="0"/>
        <v>BEPER</v>
      </c>
      <c r="F47" t="str">
        <f t="shared" si="3"/>
        <v>H</v>
      </c>
      <c r="G47" t="s">
        <v>179</v>
      </c>
      <c r="H47">
        <v>1</v>
      </c>
      <c r="I47">
        <v>0.17</v>
      </c>
      <c r="J47" t="str">
        <f t="shared" si="4"/>
        <v>BEL000PERHR0BELFER</v>
      </c>
      <c r="K47">
        <f>_xlfn.IFNA(IF(F47="H",VLOOKUP(E47,Fertiliser_data!$E$7:$L$267,8,FALSE),VLOOKUP(E47,Fertiliser_data!$E$7:$L$267,8,FALSE)*0.65),IF(F47="H",0.038,(0.038*0.65)))</f>
        <v>3.7999999999999999E-2</v>
      </c>
      <c r="L47">
        <f>IF($C47="IE",$K47*CF_231025!$E$16,$K47/VLOOKUP($C47,CF_231025!$A$2:$E$28,5,FALSE))</f>
        <v>1.3621257825207936E-2</v>
      </c>
    </row>
    <row r="48" spans="1:12" x14ac:dyDescent="0.25">
      <c r="A48" t="s">
        <v>136</v>
      </c>
      <c r="B48" t="s">
        <v>185</v>
      </c>
      <c r="C48" t="str">
        <f t="shared" si="1"/>
        <v>BE</v>
      </c>
      <c r="D48" t="str">
        <f t="shared" si="2"/>
        <v>PER</v>
      </c>
      <c r="E48" t="str">
        <f t="shared" si="0"/>
        <v>BEPER</v>
      </c>
      <c r="F48" t="str">
        <f t="shared" si="3"/>
        <v>L</v>
      </c>
      <c r="G48" t="s">
        <v>179</v>
      </c>
      <c r="H48">
        <v>1</v>
      </c>
      <c r="I48">
        <v>0.06</v>
      </c>
      <c r="J48" t="str">
        <f t="shared" si="4"/>
        <v>BEL000PERLI0BELFER</v>
      </c>
      <c r="K48">
        <f>_xlfn.IFNA(IF(F48="H",VLOOKUP(E48,Fertiliser_data!$E$7:$L$267,8,FALSE),VLOOKUP(E48,Fertiliser_data!$E$7:$L$267,8,FALSE)*0.65),IF(F48="H",0.038,(0.038*0.65)))</f>
        <v>2.47E-2</v>
      </c>
      <c r="L48">
        <f>IF($C48="IE",$K48*CF_231025!$E$16,$K48/VLOOKUP($C48,CF_231025!$A$2:$E$28,5,FALSE))</f>
        <v>8.8538175863851591E-3</v>
      </c>
    </row>
    <row r="49" spans="1:12" x14ac:dyDescent="0.25">
      <c r="A49" t="s">
        <v>136</v>
      </c>
      <c r="B49" t="s">
        <v>186</v>
      </c>
      <c r="C49" t="str">
        <f t="shared" si="1"/>
        <v>BE</v>
      </c>
      <c r="D49" t="str">
        <f t="shared" si="2"/>
        <v>PER</v>
      </c>
      <c r="E49" t="str">
        <f t="shared" si="0"/>
        <v>BEPER</v>
      </c>
      <c r="F49" t="str">
        <f t="shared" si="3"/>
        <v>L</v>
      </c>
      <c r="G49" t="s">
        <v>179</v>
      </c>
      <c r="H49">
        <v>1</v>
      </c>
      <c r="I49">
        <v>0.06</v>
      </c>
      <c r="J49" t="str">
        <f t="shared" si="4"/>
        <v>BEL000PERLR0BELFER</v>
      </c>
      <c r="K49">
        <f>_xlfn.IFNA(IF(F49="H",VLOOKUP(E49,Fertiliser_data!$E$7:$L$267,8,FALSE),VLOOKUP(E49,Fertiliser_data!$E$7:$L$267,8,FALSE)*0.65),IF(F49="H",0.038,(0.038*0.65)))</f>
        <v>2.47E-2</v>
      </c>
      <c r="L49">
        <f>IF($C49="IE",$K49*CF_231025!$E$16,$K49/VLOOKUP($C49,CF_231025!$A$2:$E$28,5,FALSE))</f>
        <v>8.8538175863851591E-3</v>
      </c>
    </row>
    <row r="50" spans="1:12" x14ac:dyDescent="0.25">
      <c r="A50" t="s">
        <v>136</v>
      </c>
      <c r="B50" t="s">
        <v>187</v>
      </c>
      <c r="C50" t="str">
        <f t="shared" si="1"/>
        <v>BE</v>
      </c>
      <c r="D50" t="str">
        <f t="shared" si="2"/>
        <v>BRL</v>
      </c>
      <c r="E50" t="str">
        <f t="shared" si="0"/>
        <v>BEBRL</v>
      </c>
      <c r="F50" t="str">
        <f t="shared" si="3"/>
        <v>H</v>
      </c>
      <c r="G50" t="s">
        <v>179</v>
      </c>
      <c r="H50">
        <v>1</v>
      </c>
      <c r="I50">
        <v>0.15</v>
      </c>
      <c r="J50" t="str">
        <f t="shared" si="4"/>
        <v>BEL000BRLHI0BELFER</v>
      </c>
      <c r="K50">
        <f>_xlfn.IFNA(IF(F50="H",VLOOKUP(E50,Fertiliser_data!$E$7:$L$267,8,FALSE),VLOOKUP(E50,Fertiliser_data!$E$7:$L$267,8,FALSE)*0.65),IF(F50="H",0.038,(0.038*0.65)))</f>
        <v>4.4205970149253732E-2</v>
      </c>
      <c r="L50">
        <f>IF($C50="IE",$K50*CF_231025!$E$16,$K50/VLOOKUP($C50,CF_231025!$A$2:$E$28,5,FALSE))</f>
        <v>1.5845813600432392E-2</v>
      </c>
    </row>
    <row r="51" spans="1:12" x14ac:dyDescent="0.25">
      <c r="A51" t="s">
        <v>136</v>
      </c>
      <c r="B51" t="s">
        <v>188</v>
      </c>
      <c r="C51" t="str">
        <f t="shared" si="1"/>
        <v>BE</v>
      </c>
      <c r="D51" t="str">
        <f t="shared" si="2"/>
        <v>BRL</v>
      </c>
      <c r="E51" t="str">
        <f t="shared" si="0"/>
        <v>BEBRL</v>
      </c>
      <c r="F51" t="str">
        <f t="shared" si="3"/>
        <v>H</v>
      </c>
      <c r="G51" t="s">
        <v>179</v>
      </c>
      <c r="H51">
        <v>1</v>
      </c>
      <c r="I51">
        <v>0.15</v>
      </c>
      <c r="J51" t="str">
        <f t="shared" si="4"/>
        <v>BEL000BRLHR0BELFER</v>
      </c>
      <c r="K51">
        <f>_xlfn.IFNA(IF(F51="H",VLOOKUP(E51,Fertiliser_data!$E$7:$L$267,8,FALSE),VLOOKUP(E51,Fertiliser_data!$E$7:$L$267,8,FALSE)*0.65),IF(F51="H",0.038,(0.038*0.65)))</f>
        <v>4.4205970149253732E-2</v>
      </c>
      <c r="L51">
        <f>IF($C51="IE",$K51*CF_231025!$E$16,$K51/VLOOKUP($C51,CF_231025!$A$2:$E$28,5,FALSE))</f>
        <v>1.5845813600432392E-2</v>
      </c>
    </row>
    <row r="52" spans="1:12" x14ac:dyDescent="0.25">
      <c r="A52" t="s">
        <v>136</v>
      </c>
      <c r="B52" t="s">
        <v>189</v>
      </c>
      <c r="C52" t="str">
        <f t="shared" si="1"/>
        <v>BE</v>
      </c>
      <c r="D52" t="str">
        <f t="shared" si="2"/>
        <v>BRL</v>
      </c>
      <c r="E52" t="str">
        <f t="shared" si="0"/>
        <v>BEBRL</v>
      </c>
      <c r="F52" t="str">
        <f t="shared" si="3"/>
        <v>L</v>
      </c>
      <c r="G52" t="s">
        <v>179</v>
      </c>
      <c r="H52">
        <v>1</v>
      </c>
      <c r="I52">
        <v>0.06</v>
      </c>
      <c r="J52" t="str">
        <f t="shared" si="4"/>
        <v>BEL000BRLLI0BELFER</v>
      </c>
      <c r="K52">
        <f>_xlfn.IFNA(IF(F52="H",VLOOKUP(E52,Fertiliser_data!$E$7:$L$267,8,FALSE),VLOOKUP(E52,Fertiliser_data!$E$7:$L$267,8,FALSE)*0.65),IF(F52="H",0.038,(0.038*0.65)))</f>
        <v>2.8733880597014927E-2</v>
      </c>
      <c r="L52">
        <f>IF($C52="IE",$K52*CF_231025!$E$16,$K52/VLOOKUP($C52,CF_231025!$A$2:$E$28,5,FALSE))</f>
        <v>1.0299778840281054E-2</v>
      </c>
    </row>
    <row r="53" spans="1:12" x14ac:dyDescent="0.25">
      <c r="A53" t="s">
        <v>136</v>
      </c>
      <c r="B53" t="s">
        <v>190</v>
      </c>
      <c r="C53" t="str">
        <f t="shared" si="1"/>
        <v>BE</v>
      </c>
      <c r="D53" t="str">
        <f t="shared" si="2"/>
        <v>BRL</v>
      </c>
      <c r="E53" t="str">
        <f t="shared" si="0"/>
        <v>BEBRL</v>
      </c>
      <c r="F53" t="str">
        <f t="shared" si="3"/>
        <v>L</v>
      </c>
      <c r="G53" t="s">
        <v>179</v>
      </c>
      <c r="H53">
        <v>1</v>
      </c>
      <c r="I53">
        <v>0.06</v>
      </c>
      <c r="J53" t="str">
        <f t="shared" si="4"/>
        <v>BEL000BRLLR0BELFER</v>
      </c>
      <c r="K53">
        <f>_xlfn.IFNA(IF(F53="H",VLOOKUP(E53,Fertiliser_data!$E$7:$L$267,8,FALSE),VLOOKUP(E53,Fertiliser_data!$E$7:$L$267,8,FALSE)*0.65),IF(F53="H",0.038,(0.038*0.65)))</f>
        <v>2.8733880597014927E-2</v>
      </c>
      <c r="L53">
        <f>IF($C53="IE",$K53*CF_231025!$E$16,$K53/VLOOKUP($C53,CF_231025!$A$2:$E$28,5,FALSE))</f>
        <v>1.0299778840281054E-2</v>
      </c>
    </row>
    <row r="54" spans="1:12" x14ac:dyDescent="0.25">
      <c r="A54" t="s">
        <v>136</v>
      </c>
      <c r="B54" t="s">
        <v>191</v>
      </c>
      <c r="C54" t="str">
        <f t="shared" si="1"/>
        <v>BE</v>
      </c>
      <c r="D54" t="str">
        <f t="shared" si="2"/>
        <v>PEA</v>
      </c>
      <c r="E54" t="str">
        <f t="shared" si="0"/>
        <v>BEPEA</v>
      </c>
      <c r="F54" t="str">
        <f t="shared" si="3"/>
        <v>H</v>
      </c>
      <c r="G54" t="s">
        <v>179</v>
      </c>
      <c r="H54">
        <v>1</v>
      </c>
      <c r="I54">
        <v>0.17</v>
      </c>
      <c r="J54" t="str">
        <f t="shared" si="4"/>
        <v>BEL000PEAHI0BELFER</v>
      </c>
      <c r="K54">
        <f>_xlfn.IFNA(IF(F54="H",VLOOKUP(E54,Fertiliser_data!$E$7:$L$267,8,FALSE),VLOOKUP(E54,Fertiliser_data!$E$7:$L$267,8,FALSE)*0.65),IF(F54="H",0.038,(0.038*0.65)))</f>
        <v>6.1798507462686565E-2</v>
      </c>
      <c r="L54">
        <f>IF($C54="IE",$K54*CF_231025!$E$16,$K54/VLOOKUP($C54,CF_231025!$A$2:$E$28,5,FALSE))</f>
        <v>2.2151931667428695E-2</v>
      </c>
    </row>
    <row r="55" spans="1:12" x14ac:dyDescent="0.25">
      <c r="A55" t="s">
        <v>136</v>
      </c>
      <c r="B55" t="s">
        <v>192</v>
      </c>
      <c r="C55" t="str">
        <f t="shared" si="1"/>
        <v>BE</v>
      </c>
      <c r="D55" t="str">
        <f t="shared" si="2"/>
        <v>PEA</v>
      </c>
      <c r="E55" t="str">
        <f t="shared" si="0"/>
        <v>BEPEA</v>
      </c>
      <c r="F55" t="str">
        <f t="shared" si="3"/>
        <v>H</v>
      </c>
      <c r="G55" t="s">
        <v>179</v>
      </c>
      <c r="H55">
        <v>1</v>
      </c>
      <c r="I55">
        <v>0.17</v>
      </c>
      <c r="J55" t="str">
        <f t="shared" si="4"/>
        <v>BEL000PEAHR0BELFER</v>
      </c>
      <c r="K55">
        <f>_xlfn.IFNA(IF(F55="H",VLOOKUP(E55,Fertiliser_data!$E$7:$L$267,8,FALSE),VLOOKUP(E55,Fertiliser_data!$E$7:$L$267,8,FALSE)*0.65),IF(F55="H",0.038,(0.038*0.65)))</f>
        <v>6.1798507462686565E-2</v>
      </c>
      <c r="L55">
        <f>IF($C55="IE",$K55*CF_231025!$E$16,$K55/VLOOKUP($C55,CF_231025!$A$2:$E$28,5,FALSE))</f>
        <v>2.2151931667428695E-2</v>
      </c>
    </row>
    <row r="56" spans="1:12" x14ac:dyDescent="0.25">
      <c r="A56" t="s">
        <v>136</v>
      </c>
      <c r="B56" t="s">
        <v>193</v>
      </c>
      <c r="C56" t="str">
        <f t="shared" si="1"/>
        <v>BE</v>
      </c>
      <c r="D56" t="str">
        <f t="shared" si="2"/>
        <v>PEA</v>
      </c>
      <c r="E56" t="str">
        <f t="shared" si="0"/>
        <v>BEPEA</v>
      </c>
      <c r="F56" t="str">
        <f t="shared" si="3"/>
        <v>L</v>
      </c>
      <c r="G56" t="s">
        <v>179</v>
      </c>
      <c r="H56">
        <v>1</v>
      </c>
      <c r="I56">
        <v>0.06</v>
      </c>
      <c r="J56" t="str">
        <f t="shared" si="4"/>
        <v>BEL000PEALI0BELFER</v>
      </c>
      <c r="K56">
        <f>_xlfn.IFNA(IF(F56="H",VLOOKUP(E56,Fertiliser_data!$E$7:$L$267,8,FALSE),VLOOKUP(E56,Fertiliser_data!$E$7:$L$267,8,FALSE)*0.65),IF(F56="H",0.038,(0.038*0.65)))</f>
        <v>4.0169029850746267E-2</v>
      </c>
      <c r="L56">
        <f>IF($C56="IE",$K56*CF_231025!$E$16,$K56/VLOOKUP($C56,CF_231025!$A$2:$E$28,5,FALSE))</f>
        <v>1.4398755583828653E-2</v>
      </c>
    </row>
    <row r="57" spans="1:12" x14ac:dyDescent="0.25">
      <c r="A57" t="s">
        <v>136</v>
      </c>
      <c r="B57" t="s">
        <v>194</v>
      </c>
      <c r="C57" t="str">
        <f t="shared" si="1"/>
        <v>BE</v>
      </c>
      <c r="D57" t="str">
        <f t="shared" si="2"/>
        <v>PEA</v>
      </c>
      <c r="E57" t="str">
        <f t="shared" si="0"/>
        <v>BEPEA</v>
      </c>
      <c r="F57" t="str">
        <f t="shared" si="3"/>
        <v>L</v>
      </c>
      <c r="G57" t="s">
        <v>179</v>
      </c>
      <c r="H57">
        <v>1</v>
      </c>
      <c r="I57">
        <v>0.06</v>
      </c>
      <c r="J57" t="str">
        <f t="shared" si="4"/>
        <v>BEL000PEALR0BELFER</v>
      </c>
      <c r="K57">
        <f>_xlfn.IFNA(IF(F57="H",VLOOKUP(E57,Fertiliser_data!$E$7:$L$267,8,FALSE),VLOOKUP(E57,Fertiliser_data!$E$7:$L$267,8,FALSE)*0.65),IF(F57="H",0.038,(0.038*0.65)))</f>
        <v>4.0169029850746267E-2</v>
      </c>
      <c r="L57">
        <f>IF($C57="IE",$K57*CF_231025!$E$16,$K57/VLOOKUP($C57,CF_231025!$A$2:$E$28,5,FALSE))</f>
        <v>1.4398755583828653E-2</v>
      </c>
    </row>
    <row r="58" spans="1:12" x14ac:dyDescent="0.25">
      <c r="A58" t="s">
        <v>136</v>
      </c>
      <c r="B58" t="s">
        <v>195</v>
      </c>
      <c r="C58" t="str">
        <f t="shared" si="1"/>
        <v>BE</v>
      </c>
      <c r="D58" t="str">
        <f t="shared" si="2"/>
        <v>OTH</v>
      </c>
      <c r="E58" t="str">
        <f t="shared" si="0"/>
        <v>BEOTH</v>
      </c>
      <c r="F58" t="str">
        <f t="shared" si="3"/>
        <v>H</v>
      </c>
      <c r="G58" t="s">
        <v>179</v>
      </c>
      <c r="H58">
        <v>1</v>
      </c>
      <c r="I58">
        <v>0.17</v>
      </c>
      <c r="J58" t="str">
        <f t="shared" si="4"/>
        <v>BEL000OTHHI0BELFER</v>
      </c>
      <c r="K58">
        <f>_xlfn.IFNA(IF(F58="H",VLOOKUP(E58,Fertiliser_data!$E$7:$L$267,8,FALSE),VLOOKUP(E58,Fertiliser_data!$E$7:$L$267,8,FALSE)*0.65),IF(F58="H",0.038,(0.038*0.65)))</f>
        <v>3.7999999999999999E-2</v>
      </c>
      <c r="L58">
        <f>IF($C58="IE",$K58*CF_231025!$E$16,$K58/VLOOKUP($C58,CF_231025!$A$2:$E$28,5,FALSE))</f>
        <v>1.3621257825207936E-2</v>
      </c>
    </row>
    <row r="59" spans="1:12" x14ac:dyDescent="0.25">
      <c r="A59" t="s">
        <v>136</v>
      </c>
      <c r="B59" t="s">
        <v>196</v>
      </c>
      <c r="C59" t="str">
        <f t="shared" si="1"/>
        <v>BE</v>
      </c>
      <c r="D59" t="str">
        <f t="shared" si="2"/>
        <v>OTH</v>
      </c>
      <c r="E59" t="str">
        <f t="shared" si="0"/>
        <v>BEOTH</v>
      </c>
      <c r="F59" t="str">
        <f t="shared" si="3"/>
        <v>H</v>
      </c>
      <c r="G59" t="s">
        <v>179</v>
      </c>
      <c r="H59">
        <v>1</v>
      </c>
      <c r="I59">
        <v>0.17</v>
      </c>
      <c r="J59" t="str">
        <f t="shared" si="4"/>
        <v>BEL000OTHHR0BELFER</v>
      </c>
      <c r="K59">
        <f>_xlfn.IFNA(IF(F59="H",VLOOKUP(E59,Fertiliser_data!$E$7:$L$267,8,FALSE),VLOOKUP(E59,Fertiliser_data!$E$7:$L$267,8,FALSE)*0.65),IF(F59="H",0.038,(0.038*0.65)))</f>
        <v>3.7999999999999999E-2</v>
      </c>
      <c r="L59">
        <f>IF($C59="IE",$K59*CF_231025!$E$16,$K59/VLOOKUP($C59,CF_231025!$A$2:$E$28,5,FALSE))</f>
        <v>1.3621257825207936E-2</v>
      </c>
    </row>
    <row r="60" spans="1:12" x14ac:dyDescent="0.25">
      <c r="A60" t="s">
        <v>136</v>
      </c>
      <c r="B60" t="s">
        <v>197</v>
      </c>
      <c r="C60" t="str">
        <f t="shared" si="1"/>
        <v>BE</v>
      </c>
      <c r="D60" t="str">
        <f t="shared" si="2"/>
        <v>OTH</v>
      </c>
      <c r="E60" t="str">
        <f t="shared" si="0"/>
        <v>BEOTH</v>
      </c>
      <c r="F60" t="str">
        <f t="shared" si="3"/>
        <v>L</v>
      </c>
      <c r="G60" t="s">
        <v>179</v>
      </c>
      <c r="H60">
        <v>1</v>
      </c>
      <c r="I60">
        <v>0.06</v>
      </c>
      <c r="J60" t="str">
        <f t="shared" si="4"/>
        <v>BEL000OTHLI0BELFER</v>
      </c>
      <c r="K60">
        <f>_xlfn.IFNA(IF(F60="H",VLOOKUP(E60,Fertiliser_data!$E$7:$L$267,8,FALSE),VLOOKUP(E60,Fertiliser_data!$E$7:$L$267,8,FALSE)*0.65),IF(F60="H",0.038,(0.038*0.65)))</f>
        <v>2.47E-2</v>
      </c>
      <c r="L60">
        <f>IF($C60="IE",$K60*CF_231025!$E$16,$K60/VLOOKUP($C60,CF_231025!$A$2:$E$28,5,FALSE))</f>
        <v>8.8538175863851591E-3</v>
      </c>
    </row>
    <row r="61" spans="1:12" x14ac:dyDescent="0.25">
      <c r="A61" t="s">
        <v>136</v>
      </c>
      <c r="B61" t="s">
        <v>198</v>
      </c>
      <c r="C61" t="str">
        <f t="shared" si="1"/>
        <v>BE</v>
      </c>
      <c r="D61" t="str">
        <f t="shared" si="2"/>
        <v>OTH</v>
      </c>
      <c r="E61" t="str">
        <f t="shared" si="0"/>
        <v>BEOTH</v>
      </c>
      <c r="F61" t="str">
        <f t="shared" si="3"/>
        <v>L</v>
      </c>
      <c r="G61" t="s">
        <v>179</v>
      </c>
      <c r="H61">
        <v>1</v>
      </c>
      <c r="I61">
        <v>0.06</v>
      </c>
      <c r="J61" t="str">
        <f t="shared" si="4"/>
        <v>BEL000OTHLR0BELFER</v>
      </c>
      <c r="K61">
        <f>_xlfn.IFNA(IF(F61="H",VLOOKUP(E61,Fertiliser_data!$E$7:$L$267,8,FALSE),VLOOKUP(E61,Fertiliser_data!$E$7:$L$267,8,FALSE)*0.65),IF(F61="H",0.038,(0.038*0.65)))</f>
        <v>2.47E-2</v>
      </c>
      <c r="L61">
        <f>IF($C61="IE",$K61*CF_231025!$E$16,$K61/VLOOKUP($C61,CF_231025!$A$2:$E$28,5,FALSE))</f>
        <v>8.8538175863851591E-3</v>
      </c>
    </row>
    <row r="62" spans="1:12" x14ac:dyDescent="0.25">
      <c r="A62" t="s">
        <v>136</v>
      </c>
      <c r="B62" t="s">
        <v>199</v>
      </c>
      <c r="C62" t="str">
        <f t="shared" si="1"/>
        <v>BE</v>
      </c>
      <c r="D62" t="str">
        <f t="shared" si="2"/>
        <v>LET</v>
      </c>
      <c r="E62" t="str">
        <f t="shared" si="0"/>
        <v>BELET</v>
      </c>
      <c r="F62" t="str">
        <f t="shared" si="3"/>
        <v>H</v>
      </c>
      <c r="G62" t="s">
        <v>179</v>
      </c>
      <c r="H62">
        <v>1</v>
      </c>
      <c r="I62">
        <v>0.17</v>
      </c>
      <c r="J62" t="str">
        <f t="shared" si="4"/>
        <v>BEL000LETHI0BELFER</v>
      </c>
      <c r="K62">
        <f>_xlfn.IFNA(IF(F62="H",VLOOKUP(E62,Fertiliser_data!$E$7:$L$267,8,FALSE),VLOOKUP(E62,Fertiliser_data!$E$7:$L$267,8,FALSE)*0.65),IF(F62="H",0.038,(0.038*0.65)))</f>
        <v>6.0702985074626861E-2</v>
      </c>
      <c r="L62">
        <f>IF($C62="IE",$K62*CF_231025!$E$16,$K62/VLOOKUP($C62,CF_231025!$A$2:$E$28,5,FALSE))</f>
        <v>2.1759237117401097E-2</v>
      </c>
    </row>
    <row r="63" spans="1:12" x14ac:dyDescent="0.25">
      <c r="A63" t="s">
        <v>136</v>
      </c>
      <c r="B63" t="s">
        <v>200</v>
      </c>
      <c r="C63" t="str">
        <f t="shared" si="1"/>
        <v>BE</v>
      </c>
      <c r="D63" t="str">
        <f t="shared" si="2"/>
        <v>LET</v>
      </c>
      <c r="E63" t="str">
        <f t="shared" si="0"/>
        <v>BELET</v>
      </c>
      <c r="F63" t="str">
        <f t="shared" si="3"/>
        <v>H</v>
      </c>
      <c r="G63" t="s">
        <v>179</v>
      </c>
      <c r="H63">
        <v>1</v>
      </c>
      <c r="I63">
        <v>0.17</v>
      </c>
      <c r="J63" t="str">
        <f t="shared" si="4"/>
        <v>BEL000LETHR0BELFER</v>
      </c>
      <c r="K63">
        <f>_xlfn.IFNA(IF(F63="H",VLOOKUP(E63,Fertiliser_data!$E$7:$L$267,8,FALSE),VLOOKUP(E63,Fertiliser_data!$E$7:$L$267,8,FALSE)*0.65),IF(F63="H",0.038,(0.038*0.65)))</f>
        <v>6.0702985074626861E-2</v>
      </c>
      <c r="L63">
        <f>IF($C63="IE",$K63*CF_231025!$E$16,$K63/VLOOKUP($C63,CF_231025!$A$2:$E$28,5,FALSE))</f>
        <v>2.1759237117401097E-2</v>
      </c>
    </row>
    <row r="64" spans="1:12" x14ac:dyDescent="0.25">
      <c r="A64" t="s">
        <v>136</v>
      </c>
      <c r="B64" t="s">
        <v>201</v>
      </c>
      <c r="C64" t="str">
        <f t="shared" si="1"/>
        <v>BE</v>
      </c>
      <c r="D64" t="str">
        <f t="shared" si="2"/>
        <v>LET</v>
      </c>
      <c r="E64" t="str">
        <f t="shared" si="0"/>
        <v>BELET</v>
      </c>
      <c r="F64" t="str">
        <f t="shared" si="3"/>
        <v>L</v>
      </c>
      <c r="G64" t="s">
        <v>179</v>
      </c>
      <c r="H64">
        <v>1</v>
      </c>
      <c r="I64">
        <v>0.06</v>
      </c>
      <c r="J64" t="str">
        <f t="shared" si="4"/>
        <v>BEL000LETLI0BELFER</v>
      </c>
      <c r="K64">
        <f>_xlfn.IFNA(IF(F64="H",VLOOKUP(E64,Fertiliser_data!$E$7:$L$267,8,FALSE),VLOOKUP(E64,Fertiliser_data!$E$7:$L$267,8,FALSE)*0.65),IF(F64="H",0.038,(0.038*0.65)))</f>
        <v>3.9456940298507458E-2</v>
      </c>
      <c r="L64">
        <f>IF($C64="IE",$K64*CF_231025!$E$16,$K64/VLOOKUP($C64,CF_231025!$A$2:$E$28,5,FALSE))</f>
        <v>1.4143504126310713E-2</v>
      </c>
    </row>
    <row r="65" spans="1:12" x14ac:dyDescent="0.25">
      <c r="A65" t="s">
        <v>136</v>
      </c>
      <c r="B65" t="s">
        <v>202</v>
      </c>
      <c r="C65" t="str">
        <f t="shared" si="1"/>
        <v>BE</v>
      </c>
      <c r="D65" t="str">
        <f t="shared" si="2"/>
        <v>LET</v>
      </c>
      <c r="E65" t="str">
        <f t="shared" si="0"/>
        <v>BELET</v>
      </c>
      <c r="F65" t="str">
        <f t="shared" si="3"/>
        <v>L</v>
      </c>
      <c r="G65" t="s">
        <v>179</v>
      </c>
      <c r="H65">
        <v>1</v>
      </c>
      <c r="I65">
        <v>0.06</v>
      </c>
      <c r="J65" t="str">
        <f t="shared" si="4"/>
        <v>BEL000LETLR0BELFER</v>
      </c>
      <c r="K65">
        <f>_xlfn.IFNA(IF(F65="H",VLOOKUP(E65,Fertiliser_data!$E$7:$L$267,8,FALSE),VLOOKUP(E65,Fertiliser_data!$E$7:$L$267,8,FALSE)*0.65),IF(F65="H",0.038,(0.038*0.65)))</f>
        <v>3.9456940298507458E-2</v>
      </c>
      <c r="L65">
        <f>IF($C65="IE",$K65*CF_231025!$E$16,$K65/VLOOKUP($C65,CF_231025!$A$2:$E$28,5,FALSE))</f>
        <v>1.4143504126310713E-2</v>
      </c>
    </row>
    <row r="66" spans="1:12" x14ac:dyDescent="0.25">
      <c r="A66" t="s">
        <v>136</v>
      </c>
      <c r="B66" t="s">
        <v>203</v>
      </c>
      <c r="C66" t="str">
        <f t="shared" si="1"/>
        <v>BE</v>
      </c>
      <c r="D66" t="str">
        <f t="shared" si="2"/>
        <v>SUG</v>
      </c>
      <c r="E66" t="str">
        <f t="shared" ref="E66:E129" si="5">C66&amp;D66</f>
        <v>BESUG</v>
      </c>
      <c r="F66" t="str">
        <f t="shared" si="3"/>
        <v>H</v>
      </c>
      <c r="G66" t="s">
        <v>179</v>
      </c>
      <c r="H66">
        <v>1</v>
      </c>
      <c r="I66">
        <v>0.17</v>
      </c>
      <c r="J66" t="str">
        <f t="shared" si="4"/>
        <v>BEL000SUGHI0BELFER</v>
      </c>
      <c r="K66">
        <f>_xlfn.IFNA(IF(F66="H",VLOOKUP(E66,Fertiliser_data!$E$7:$L$267,8,FALSE),VLOOKUP(E66,Fertiliser_data!$E$7:$L$267,8,FALSE)*0.65),IF(F66="H",0.038,(0.038*0.65)))</f>
        <v>6.4014925373134329E-2</v>
      </c>
      <c r="L66">
        <f>IF($C66="IE",$K66*CF_231025!$E$16,$K66/VLOOKUP($C66,CF_231025!$A$2:$E$28,5,FALSE))</f>
        <v>2.2946415872866003E-2</v>
      </c>
    </row>
    <row r="67" spans="1:12" x14ac:dyDescent="0.25">
      <c r="A67" t="s">
        <v>136</v>
      </c>
      <c r="B67" t="s">
        <v>204</v>
      </c>
      <c r="C67" t="str">
        <f t="shared" ref="C67:C130" si="6">LEFT(B67,2)</f>
        <v>BE</v>
      </c>
      <c r="D67" t="str">
        <f t="shared" ref="D67:D130" si="7">MID(B67,7,3)</f>
        <v>SUG</v>
      </c>
      <c r="E67" t="str">
        <f t="shared" si="5"/>
        <v>BESUG</v>
      </c>
      <c r="F67" t="str">
        <f t="shared" ref="F67:F130" si="8">MID(B67,10,1)</f>
        <v>H</v>
      </c>
      <c r="G67" t="s">
        <v>179</v>
      </c>
      <c r="H67">
        <v>1</v>
      </c>
      <c r="I67">
        <v>0.17</v>
      </c>
      <c r="J67" t="str">
        <f t="shared" ref="J67:J130" si="9">B67&amp;G67</f>
        <v>BEL000SUGHR0BELFER</v>
      </c>
      <c r="K67">
        <f>_xlfn.IFNA(IF(F67="H",VLOOKUP(E67,Fertiliser_data!$E$7:$L$267,8,FALSE),VLOOKUP(E67,Fertiliser_data!$E$7:$L$267,8,FALSE)*0.65),IF(F67="H",0.038,(0.038*0.65)))</f>
        <v>6.4014925373134329E-2</v>
      </c>
      <c r="L67">
        <f>IF($C67="IE",$K67*CF_231025!$E$16,$K67/VLOOKUP($C67,CF_231025!$A$2:$E$28,5,FALSE))</f>
        <v>2.2946415872866003E-2</v>
      </c>
    </row>
    <row r="68" spans="1:12" x14ac:dyDescent="0.25">
      <c r="A68" t="s">
        <v>136</v>
      </c>
      <c r="B68" t="s">
        <v>205</v>
      </c>
      <c r="C68" t="str">
        <f t="shared" si="6"/>
        <v>BE</v>
      </c>
      <c r="D68" t="str">
        <f t="shared" si="7"/>
        <v>SUG</v>
      </c>
      <c r="E68" t="str">
        <f t="shared" si="5"/>
        <v>BESUG</v>
      </c>
      <c r="F68" t="str">
        <f t="shared" si="8"/>
        <v>L</v>
      </c>
      <c r="G68" t="s">
        <v>179</v>
      </c>
      <c r="H68">
        <v>1</v>
      </c>
      <c r="I68">
        <v>0.06</v>
      </c>
      <c r="J68" t="str">
        <f t="shared" si="9"/>
        <v>BEL000SUGLI0BELFER</v>
      </c>
      <c r="K68">
        <f>_xlfn.IFNA(IF(F68="H",VLOOKUP(E68,Fertiliser_data!$E$7:$L$267,8,FALSE),VLOOKUP(E68,Fertiliser_data!$E$7:$L$267,8,FALSE)*0.65),IF(F68="H",0.038,(0.038*0.65)))</f>
        <v>4.1609701492537315E-2</v>
      </c>
      <c r="L68">
        <f>IF($C68="IE",$K68*CF_231025!$E$16,$K68/VLOOKUP($C68,CF_231025!$A$2:$E$28,5,FALSE))</f>
        <v>1.4915170317362902E-2</v>
      </c>
    </row>
    <row r="69" spans="1:12" x14ac:dyDescent="0.25">
      <c r="A69" t="s">
        <v>136</v>
      </c>
      <c r="B69" t="s">
        <v>206</v>
      </c>
      <c r="C69" t="str">
        <f t="shared" si="6"/>
        <v>BE</v>
      </c>
      <c r="D69" t="str">
        <f t="shared" si="7"/>
        <v>SUG</v>
      </c>
      <c r="E69" t="str">
        <f t="shared" si="5"/>
        <v>BESUG</v>
      </c>
      <c r="F69" t="str">
        <f t="shared" si="8"/>
        <v>L</v>
      </c>
      <c r="G69" t="s">
        <v>179</v>
      </c>
      <c r="H69">
        <v>1</v>
      </c>
      <c r="I69">
        <v>0.06</v>
      </c>
      <c r="J69" t="str">
        <f t="shared" si="9"/>
        <v>BEL000SUGLR0BELFER</v>
      </c>
      <c r="K69">
        <f>_xlfn.IFNA(IF(F69="H",VLOOKUP(E69,Fertiliser_data!$E$7:$L$267,8,FALSE),VLOOKUP(E69,Fertiliser_data!$E$7:$L$267,8,FALSE)*0.65),IF(F69="H",0.038,(0.038*0.65)))</f>
        <v>4.1609701492537315E-2</v>
      </c>
      <c r="L69">
        <f>IF($C69="IE",$K69*CF_231025!$E$16,$K69/VLOOKUP($C69,CF_231025!$A$2:$E$28,5,FALSE))</f>
        <v>1.4915170317362902E-2</v>
      </c>
    </row>
    <row r="70" spans="1:12" x14ac:dyDescent="0.25">
      <c r="A70" t="s">
        <v>136</v>
      </c>
      <c r="B70" t="s">
        <v>207</v>
      </c>
      <c r="C70" t="str">
        <f t="shared" si="6"/>
        <v>BE</v>
      </c>
      <c r="D70" t="str">
        <f t="shared" si="7"/>
        <v>MAI</v>
      </c>
      <c r="E70" t="str">
        <f t="shared" si="5"/>
        <v>BEMAI</v>
      </c>
      <c r="F70" t="str">
        <f t="shared" si="8"/>
        <v>H</v>
      </c>
      <c r="G70" t="s">
        <v>179</v>
      </c>
      <c r="H70">
        <v>1</v>
      </c>
      <c r="I70">
        <v>0.16</v>
      </c>
      <c r="J70" t="str">
        <f t="shared" si="9"/>
        <v>BEL000MAIHI0BELFER</v>
      </c>
      <c r="K70">
        <f>_xlfn.IFNA(IF(F70="H",VLOOKUP(E70,Fertiliser_data!$E$7:$L$267,8,FALSE),VLOOKUP(E70,Fertiliser_data!$E$7:$L$267,8,FALSE)*0.65),IF(F70="H",0.038,(0.038*0.65)))</f>
        <v>2.3120895522388059E-2</v>
      </c>
      <c r="L70">
        <f>IF($C70="IE",$K70*CF_231025!$E$16,$K70/VLOOKUP($C70,CF_231025!$A$2:$E$28,5,FALSE))</f>
        <v>8.2877810278985126E-3</v>
      </c>
    </row>
    <row r="71" spans="1:12" x14ac:dyDescent="0.25">
      <c r="A71" t="s">
        <v>136</v>
      </c>
      <c r="B71" t="s">
        <v>208</v>
      </c>
      <c r="C71" t="str">
        <f t="shared" si="6"/>
        <v>BE</v>
      </c>
      <c r="D71" t="str">
        <f t="shared" si="7"/>
        <v>MAI</v>
      </c>
      <c r="E71" t="str">
        <f t="shared" si="5"/>
        <v>BEMAI</v>
      </c>
      <c r="F71" t="str">
        <f t="shared" si="8"/>
        <v>H</v>
      </c>
      <c r="G71" t="s">
        <v>179</v>
      </c>
      <c r="H71">
        <v>1</v>
      </c>
      <c r="I71">
        <v>0.16</v>
      </c>
      <c r="J71" t="str">
        <f t="shared" si="9"/>
        <v>BEL000MAIHR0BELFER</v>
      </c>
      <c r="K71">
        <f>_xlfn.IFNA(IF(F71="H",VLOOKUP(E71,Fertiliser_data!$E$7:$L$267,8,FALSE),VLOOKUP(E71,Fertiliser_data!$E$7:$L$267,8,FALSE)*0.65),IF(F71="H",0.038,(0.038*0.65)))</f>
        <v>2.3120895522388059E-2</v>
      </c>
      <c r="L71">
        <f>IF($C71="IE",$K71*CF_231025!$E$16,$K71/VLOOKUP($C71,CF_231025!$A$2:$E$28,5,FALSE))</f>
        <v>8.2877810278985126E-3</v>
      </c>
    </row>
    <row r="72" spans="1:12" x14ac:dyDescent="0.25">
      <c r="A72" t="s">
        <v>136</v>
      </c>
      <c r="B72" t="s">
        <v>209</v>
      </c>
      <c r="C72" t="str">
        <f t="shared" si="6"/>
        <v>BE</v>
      </c>
      <c r="D72" t="str">
        <f t="shared" si="7"/>
        <v>MAI</v>
      </c>
      <c r="E72" t="str">
        <f t="shared" si="5"/>
        <v>BEMAI</v>
      </c>
      <c r="F72" t="str">
        <f t="shared" si="8"/>
        <v>L</v>
      </c>
      <c r="G72" t="s">
        <v>179</v>
      </c>
      <c r="H72">
        <v>1</v>
      </c>
      <c r="I72">
        <v>0.06</v>
      </c>
      <c r="J72" t="str">
        <f t="shared" si="9"/>
        <v>BEL000MAILI0BELFER</v>
      </c>
      <c r="K72">
        <f>_xlfn.IFNA(IF(F72="H",VLOOKUP(E72,Fertiliser_data!$E$7:$L$267,8,FALSE),VLOOKUP(E72,Fertiliser_data!$E$7:$L$267,8,FALSE)*0.65),IF(F72="H",0.038,(0.038*0.65)))</f>
        <v>1.5028582089552239E-2</v>
      </c>
      <c r="L72">
        <f>IF($C72="IE",$K72*CF_231025!$E$16,$K72/VLOOKUP($C72,CF_231025!$A$2:$E$28,5,FALSE))</f>
        <v>5.387057668134034E-3</v>
      </c>
    </row>
    <row r="73" spans="1:12" x14ac:dyDescent="0.25">
      <c r="A73" t="s">
        <v>136</v>
      </c>
      <c r="B73" t="s">
        <v>210</v>
      </c>
      <c r="C73" t="str">
        <f t="shared" si="6"/>
        <v>BE</v>
      </c>
      <c r="D73" t="str">
        <f t="shared" si="7"/>
        <v>MAI</v>
      </c>
      <c r="E73" t="str">
        <f t="shared" si="5"/>
        <v>BEMAI</v>
      </c>
      <c r="F73" t="str">
        <f t="shared" si="8"/>
        <v>L</v>
      </c>
      <c r="G73" t="s">
        <v>179</v>
      </c>
      <c r="H73">
        <v>1</v>
      </c>
      <c r="I73">
        <v>0.06</v>
      </c>
      <c r="J73" t="str">
        <f t="shared" si="9"/>
        <v>BEL000MAILR0BELFER</v>
      </c>
      <c r="K73">
        <f>_xlfn.IFNA(IF(F73="H",VLOOKUP(E73,Fertiliser_data!$E$7:$L$267,8,FALSE),VLOOKUP(E73,Fertiliser_data!$E$7:$L$267,8,FALSE)*0.65),IF(F73="H",0.038,(0.038*0.65)))</f>
        <v>1.5028582089552239E-2</v>
      </c>
      <c r="L73">
        <f>IF($C73="IE",$K73*CF_231025!$E$16,$K73/VLOOKUP($C73,CF_231025!$A$2:$E$28,5,FALSE))</f>
        <v>5.387057668134034E-3</v>
      </c>
    </row>
    <row r="74" spans="1:12" x14ac:dyDescent="0.25">
      <c r="A74" t="s">
        <v>136</v>
      </c>
      <c r="B74" t="s">
        <v>211</v>
      </c>
      <c r="C74" t="str">
        <f t="shared" si="6"/>
        <v>BE</v>
      </c>
      <c r="D74" t="str">
        <f t="shared" si="7"/>
        <v>FLX</v>
      </c>
      <c r="E74" t="str">
        <f t="shared" si="5"/>
        <v>BEFLX</v>
      </c>
      <c r="F74" t="str">
        <f t="shared" si="8"/>
        <v>H</v>
      </c>
      <c r="G74" t="s">
        <v>179</v>
      </c>
      <c r="H74">
        <v>1</v>
      </c>
      <c r="I74">
        <v>0.17</v>
      </c>
      <c r="J74" t="str">
        <f t="shared" si="9"/>
        <v>BEL000FLXHI0BELFER</v>
      </c>
      <c r="K74">
        <f>_xlfn.IFNA(IF(F74="H",VLOOKUP(E74,Fertiliser_data!$E$7:$L$267,8,FALSE),VLOOKUP(E74,Fertiliser_data!$E$7:$L$267,8,FALSE)*0.65),IF(F74="H",0.038,(0.038*0.65)))</f>
        <v>7.5729850746268659E-2</v>
      </c>
      <c r="L74">
        <f>IF($C74="IE",$K74*CF_231025!$E$16,$K74/VLOOKUP($C74,CF_231025!$A$2:$E$28,5,FALSE))</f>
        <v>2.7145679528406345E-2</v>
      </c>
    </row>
    <row r="75" spans="1:12" x14ac:dyDescent="0.25">
      <c r="A75" t="s">
        <v>136</v>
      </c>
      <c r="B75" t="s">
        <v>212</v>
      </c>
      <c r="C75" t="str">
        <f t="shared" si="6"/>
        <v>BE</v>
      </c>
      <c r="D75" t="str">
        <f t="shared" si="7"/>
        <v>FLX</v>
      </c>
      <c r="E75" t="str">
        <f t="shared" si="5"/>
        <v>BEFLX</v>
      </c>
      <c r="F75" t="str">
        <f t="shared" si="8"/>
        <v>H</v>
      </c>
      <c r="G75" t="s">
        <v>179</v>
      </c>
      <c r="H75">
        <v>1</v>
      </c>
      <c r="I75">
        <v>0.17</v>
      </c>
      <c r="J75" t="str">
        <f t="shared" si="9"/>
        <v>BEL000FLXHR0BELFER</v>
      </c>
      <c r="K75">
        <f>_xlfn.IFNA(IF(F75="H",VLOOKUP(E75,Fertiliser_data!$E$7:$L$267,8,FALSE),VLOOKUP(E75,Fertiliser_data!$E$7:$L$267,8,FALSE)*0.65),IF(F75="H",0.038,(0.038*0.65)))</f>
        <v>7.5729850746268659E-2</v>
      </c>
      <c r="L75">
        <f>IF($C75="IE",$K75*CF_231025!$E$16,$K75/VLOOKUP($C75,CF_231025!$A$2:$E$28,5,FALSE))</f>
        <v>2.7145679528406345E-2</v>
      </c>
    </row>
    <row r="76" spans="1:12" x14ac:dyDescent="0.25">
      <c r="A76" t="s">
        <v>136</v>
      </c>
      <c r="B76" t="s">
        <v>213</v>
      </c>
      <c r="C76" t="str">
        <f t="shared" si="6"/>
        <v>BE</v>
      </c>
      <c r="D76" t="str">
        <f t="shared" si="7"/>
        <v>FLX</v>
      </c>
      <c r="E76" t="str">
        <f t="shared" si="5"/>
        <v>BEFLX</v>
      </c>
      <c r="F76" t="str">
        <f t="shared" si="8"/>
        <v>L</v>
      </c>
      <c r="G76" t="s">
        <v>179</v>
      </c>
      <c r="H76">
        <v>1</v>
      </c>
      <c r="I76">
        <v>0.06</v>
      </c>
      <c r="J76" t="str">
        <f t="shared" si="9"/>
        <v>BEL000FLXLI0BELFER</v>
      </c>
      <c r="K76">
        <f>_xlfn.IFNA(IF(F76="H",VLOOKUP(E76,Fertiliser_data!$E$7:$L$267,8,FALSE),VLOOKUP(E76,Fertiliser_data!$E$7:$L$267,8,FALSE)*0.65),IF(F76="H",0.038,(0.038*0.65)))</f>
        <v>4.9224402985074633E-2</v>
      </c>
      <c r="L76">
        <f>IF($C76="IE",$K76*CF_231025!$E$16,$K76/VLOOKUP($C76,CF_231025!$A$2:$E$28,5,FALSE))</f>
        <v>1.7644691693464127E-2</v>
      </c>
    </row>
    <row r="77" spans="1:12" x14ac:dyDescent="0.25">
      <c r="A77" t="s">
        <v>136</v>
      </c>
      <c r="B77" t="s">
        <v>214</v>
      </c>
      <c r="C77" t="str">
        <f t="shared" si="6"/>
        <v>BE</v>
      </c>
      <c r="D77" t="str">
        <f t="shared" si="7"/>
        <v>FLX</v>
      </c>
      <c r="E77" t="str">
        <f t="shared" si="5"/>
        <v>BEFLX</v>
      </c>
      <c r="F77" t="str">
        <f t="shared" si="8"/>
        <v>L</v>
      </c>
      <c r="G77" t="s">
        <v>179</v>
      </c>
      <c r="H77">
        <v>1</v>
      </c>
      <c r="I77">
        <v>0.06</v>
      </c>
      <c r="J77" t="str">
        <f t="shared" si="9"/>
        <v>BEL000FLXLR0BELFER</v>
      </c>
      <c r="K77">
        <f>_xlfn.IFNA(IF(F77="H",VLOOKUP(E77,Fertiliser_data!$E$7:$L$267,8,FALSE),VLOOKUP(E77,Fertiliser_data!$E$7:$L$267,8,FALSE)*0.65),IF(F77="H",0.038,(0.038*0.65)))</f>
        <v>4.9224402985074633E-2</v>
      </c>
      <c r="L77">
        <f>IF($C77="IE",$K77*CF_231025!$E$16,$K77/VLOOKUP($C77,CF_231025!$A$2:$E$28,5,FALSE))</f>
        <v>1.7644691693464127E-2</v>
      </c>
    </row>
    <row r="78" spans="1:12" x14ac:dyDescent="0.25">
      <c r="A78" t="s">
        <v>136</v>
      </c>
      <c r="B78" t="s">
        <v>215</v>
      </c>
      <c r="C78" t="str">
        <f t="shared" si="6"/>
        <v>BE</v>
      </c>
      <c r="D78" t="str">
        <f t="shared" si="7"/>
        <v>WHE</v>
      </c>
      <c r="E78" t="str">
        <f t="shared" si="5"/>
        <v>BEWHE</v>
      </c>
      <c r="F78" t="str">
        <f t="shared" si="8"/>
        <v>H</v>
      </c>
      <c r="G78" t="s">
        <v>179</v>
      </c>
      <c r="H78">
        <v>1</v>
      </c>
      <c r="I78">
        <v>0.2</v>
      </c>
      <c r="J78" t="str">
        <f t="shared" si="9"/>
        <v>BEL000WHEHI0BELFER</v>
      </c>
      <c r="K78">
        <f>_xlfn.IFNA(IF(F78="H",VLOOKUP(E78,Fertiliser_data!$E$7:$L$267,8,FALSE),VLOOKUP(E78,Fertiliser_data!$E$7:$L$267,8,FALSE)*0.65),IF(F78="H",0.038,(0.038*0.65)))</f>
        <v>5.9628358208955221E-2</v>
      </c>
      <c r="L78">
        <f>IF($C78="IE",$K78*CF_231025!$E$16,$K78/VLOOKUP($C78,CF_231025!$A$2:$E$28,5,FALSE))</f>
        <v>2.137403265415877E-2</v>
      </c>
    </row>
    <row r="79" spans="1:12" x14ac:dyDescent="0.25">
      <c r="A79" t="s">
        <v>136</v>
      </c>
      <c r="B79" t="s">
        <v>216</v>
      </c>
      <c r="C79" t="str">
        <f t="shared" si="6"/>
        <v>BE</v>
      </c>
      <c r="D79" t="str">
        <f t="shared" si="7"/>
        <v>WHE</v>
      </c>
      <c r="E79" t="str">
        <f t="shared" si="5"/>
        <v>BEWHE</v>
      </c>
      <c r="F79" t="str">
        <f t="shared" si="8"/>
        <v>H</v>
      </c>
      <c r="G79" t="s">
        <v>179</v>
      </c>
      <c r="H79">
        <v>1</v>
      </c>
      <c r="I79">
        <v>0.2</v>
      </c>
      <c r="J79" t="str">
        <f t="shared" si="9"/>
        <v>BEL000WHEHR0BELFER</v>
      </c>
      <c r="K79">
        <f>_xlfn.IFNA(IF(F79="H",VLOOKUP(E79,Fertiliser_data!$E$7:$L$267,8,FALSE),VLOOKUP(E79,Fertiliser_data!$E$7:$L$267,8,FALSE)*0.65),IF(F79="H",0.038,(0.038*0.65)))</f>
        <v>5.9628358208955221E-2</v>
      </c>
      <c r="L79">
        <f>IF($C79="IE",$K79*CF_231025!$E$16,$K79/VLOOKUP($C79,CF_231025!$A$2:$E$28,5,FALSE))</f>
        <v>2.137403265415877E-2</v>
      </c>
    </row>
    <row r="80" spans="1:12" x14ac:dyDescent="0.25">
      <c r="A80" t="s">
        <v>136</v>
      </c>
      <c r="B80" t="s">
        <v>217</v>
      </c>
      <c r="C80" t="str">
        <f t="shared" si="6"/>
        <v>BE</v>
      </c>
      <c r="D80" t="str">
        <f t="shared" si="7"/>
        <v>WHE</v>
      </c>
      <c r="E80" t="str">
        <f t="shared" si="5"/>
        <v>BEWHE</v>
      </c>
      <c r="F80" t="str">
        <f t="shared" si="8"/>
        <v>L</v>
      </c>
      <c r="G80" t="s">
        <v>179</v>
      </c>
      <c r="H80">
        <v>1</v>
      </c>
      <c r="I80">
        <v>7.0000000000000007E-2</v>
      </c>
      <c r="J80" t="str">
        <f t="shared" si="9"/>
        <v>BEL000WHELI0BELFER</v>
      </c>
      <c r="K80">
        <f>_xlfn.IFNA(IF(F80="H",VLOOKUP(E80,Fertiliser_data!$E$7:$L$267,8,FALSE),VLOOKUP(E80,Fertiliser_data!$E$7:$L$267,8,FALSE)*0.65),IF(F80="H",0.038,(0.038*0.65)))</f>
        <v>3.8758432835820894E-2</v>
      </c>
      <c r="L80">
        <f>IF($C80="IE",$K80*CF_231025!$E$16,$K80/VLOOKUP($C80,CF_231025!$A$2:$E$28,5,FALSE))</f>
        <v>1.3893121225203199E-2</v>
      </c>
    </row>
    <row r="81" spans="1:12" x14ac:dyDescent="0.25">
      <c r="A81" t="s">
        <v>136</v>
      </c>
      <c r="B81" t="s">
        <v>218</v>
      </c>
      <c r="C81" t="str">
        <f t="shared" si="6"/>
        <v>BE</v>
      </c>
      <c r="D81" t="str">
        <f t="shared" si="7"/>
        <v>WHE</v>
      </c>
      <c r="E81" t="str">
        <f t="shared" si="5"/>
        <v>BEWHE</v>
      </c>
      <c r="F81" t="str">
        <f t="shared" si="8"/>
        <v>L</v>
      </c>
      <c r="G81" t="s">
        <v>179</v>
      </c>
      <c r="H81">
        <v>1</v>
      </c>
      <c r="I81">
        <v>7.0000000000000007E-2</v>
      </c>
      <c r="J81" t="str">
        <f t="shared" si="9"/>
        <v>BEL000WHELR0BELFER</v>
      </c>
      <c r="K81">
        <f>_xlfn.IFNA(IF(F81="H",VLOOKUP(E81,Fertiliser_data!$E$7:$L$267,8,FALSE),VLOOKUP(E81,Fertiliser_data!$E$7:$L$267,8,FALSE)*0.65),IF(F81="H",0.038,(0.038*0.65)))</f>
        <v>3.8758432835820894E-2</v>
      </c>
      <c r="L81">
        <f>IF($C81="IE",$K81*CF_231025!$E$16,$K81/VLOOKUP($C81,CF_231025!$A$2:$E$28,5,FALSE))</f>
        <v>1.3893121225203199E-2</v>
      </c>
    </row>
    <row r="82" spans="1:12" x14ac:dyDescent="0.25">
      <c r="A82" t="s">
        <v>136</v>
      </c>
      <c r="B82" t="s">
        <v>219</v>
      </c>
      <c r="C82" t="str">
        <f t="shared" si="6"/>
        <v>BG</v>
      </c>
      <c r="D82" t="str">
        <f t="shared" si="7"/>
        <v>SUN</v>
      </c>
      <c r="E82" t="str">
        <f t="shared" si="5"/>
        <v>BGSUN</v>
      </c>
      <c r="F82" t="str">
        <f t="shared" si="8"/>
        <v>H</v>
      </c>
      <c r="G82" t="s">
        <v>220</v>
      </c>
      <c r="H82">
        <v>1</v>
      </c>
      <c r="I82">
        <v>0.19</v>
      </c>
      <c r="J82" t="str">
        <f t="shared" si="9"/>
        <v>BGL000SUNHI0BGLFER</v>
      </c>
      <c r="K82">
        <f>_xlfn.IFNA(IF(F82="H",VLOOKUP(E82,Fertiliser_data!$E$7:$L$267,8,FALSE),VLOOKUP(E82,Fertiliser_data!$E$7:$L$267,8,FALSE)*0.65),IF(F82="H",0.038,(0.038*0.65)))</f>
        <v>8.6701492537313435E-3</v>
      </c>
      <c r="L82">
        <f>IF($C82="IE",$K82*CF_231025!$E$16,$K82/VLOOKUP($C82,CF_231025!$A$2:$E$28,5,FALSE))</f>
        <v>3.3787185380854752E-3</v>
      </c>
    </row>
    <row r="83" spans="1:12" x14ac:dyDescent="0.25">
      <c r="A83" t="s">
        <v>136</v>
      </c>
      <c r="B83" t="s">
        <v>221</v>
      </c>
      <c r="C83" t="str">
        <f t="shared" si="6"/>
        <v>BG</v>
      </c>
      <c r="D83" t="str">
        <f t="shared" si="7"/>
        <v>SUN</v>
      </c>
      <c r="E83" t="str">
        <f t="shared" si="5"/>
        <v>BGSUN</v>
      </c>
      <c r="F83" t="str">
        <f t="shared" si="8"/>
        <v>H</v>
      </c>
      <c r="G83" t="s">
        <v>220</v>
      </c>
      <c r="H83">
        <v>1</v>
      </c>
      <c r="I83">
        <v>0.19</v>
      </c>
      <c r="J83" t="str">
        <f t="shared" si="9"/>
        <v>BGL000SUNHR0BGLFER</v>
      </c>
      <c r="K83">
        <f>_xlfn.IFNA(IF(F83="H",VLOOKUP(E83,Fertiliser_data!$E$7:$L$267,8,FALSE),VLOOKUP(E83,Fertiliser_data!$E$7:$L$267,8,FALSE)*0.65),IF(F83="H",0.038,(0.038*0.65)))</f>
        <v>8.6701492537313435E-3</v>
      </c>
      <c r="L83">
        <f>IF($C83="IE",$K83*CF_231025!$E$16,$K83/VLOOKUP($C83,CF_231025!$A$2:$E$28,5,FALSE))</f>
        <v>3.3787185380854752E-3</v>
      </c>
    </row>
    <row r="84" spans="1:12" x14ac:dyDescent="0.25">
      <c r="A84" t="s">
        <v>136</v>
      </c>
      <c r="B84" t="s">
        <v>222</v>
      </c>
      <c r="C84" t="str">
        <f t="shared" si="6"/>
        <v>BG</v>
      </c>
      <c r="D84" t="str">
        <f t="shared" si="7"/>
        <v>SUN</v>
      </c>
      <c r="E84" t="str">
        <f t="shared" si="5"/>
        <v>BGSUN</v>
      </c>
      <c r="F84" t="str">
        <f t="shared" si="8"/>
        <v>L</v>
      </c>
      <c r="G84" t="s">
        <v>220</v>
      </c>
      <c r="H84">
        <v>1</v>
      </c>
      <c r="I84">
        <v>7.0000000000000007E-2</v>
      </c>
      <c r="J84" t="str">
        <f t="shared" si="9"/>
        <v>BGL000SUNLI0BGLFER</v>
      </c>
      <c r="K84">
        <f>_xlfn.IFNA(IF(F84="H",VLOOKUP(E84,Fertiliser_data!$E$7:$L$267,8,FALSE),VLOOKUP(E84,Fertiliser_data!$E$7:$L$267,8,FALSE)*0.65),IF(F84="H",0.038,(0.038*0.65)))</f>
        <v>5.6355970149253734E-3</v>
      </c>
      <c r="L84">
        <f>IF($C84="IE",$K84*CF_231025!$E$16,$K84/VLOOKUP($C84,CF_231025!$A$2:$E$28,5,FALSE))</f>
        <v>2.1961670497555588E-3</v>
      </c>
    </row>
    <row r="85" spans="1:12" x14ac:dyDescent="0.25">
      <c r="A85" t="s">
        <v>136</v>
      </c>
      <c r="B85" t="s">
        <v>223</v>
      </c>
      <c r="C85" t="str">
        <f t="shared" si="6"/>
        <v>BG</v>
      </c>
      <c r="D85" t="str">
        <f t="shared" si="7"/>
        <v>SUN</v>
      </c>
      <c r="E85" t="str">
        <f t="shared" si="5"/>
        <v>BGSUN</v>
      </c>
      <c r="F85" t="str">
        <f t="shared" si="8"/>
        <v>L</v>
      </c>
      <c r="G85" t="s">
        <v>220</v>
      </c>
      <c r="H85">
        <v>1</v>
      </c>
      <c r="I85">
        <v>7.0000000000000007E-2</v>
      </c>
      <c r="J85" t="str">
        <f t="shared" si="9"/>
        <v>BGL000SUNLR0BGLFER</v>
      </c>
      <c r="K85">
        <f>_xlfn.IFNA(IF(F85="H",VLOOKUP(E85,Fertiliser_data!$E$7:$L$267,8,FALSE),VLOOKUP(E85,Fertiliser_data!$E$7:$L$267,8,FALSE)*0.65),IF(F85="H",0.038,(0.038*0.65)))</f>
        <v>5.6355970149253734E-3</v>
      </c>
      <c r="L85">
        <f>IF($C85="IE",$K85*CF_231025!$E$16,$K85/VLOOKUP($C85,CF_231025!$A$2:$E$28,5,FALSE))</f>
        <v>2.1961670497555588E-3</v>
      </c>
    </row>
    <row r="86" spans="1:12" x14ac:dyDescent="0.25">
      <c r="A86" t="s">
        <v>136</v>
      </c>
      <c r="B86" t="s">
        <v>224</v>
      </c>
      <c r="C86" t="str">
        <f t="shared" si="6"/>
        <v>BG</v>
      </c>
      <c r="D86" t="str">
        <f t="shared" si="7"/>
        <v>PEA</v>
      </c>
      <c r="E86" t="str">
        <f t="shared" si="5"/>
        <v>BGPEA</v>
      </c>
      <c r="F86" t="str">
        <f t="shared" si="8"/>
        <v>H</v>
      </c>
      <c r="G86" t="s">
        <v>220</v>
      </c>
      <c r="H86">
        <v>1</v>
      </c>
      <c r="I86">
        <v>0.17</v>
      </c>
      <c r="J86" t="str">
        <f t="shared" si="9"/>
        <v>BGL000PEAHI0BGLFER</v>
      </c>
      <c r="K86">
        <f>_xlfn.IFNA(IF(F86="H",VLOOKUP(E86,Fertiliser_data!$E$7:$L$267,8,FALSE),VLOOKUP(E86,Fertiliser_data!$E$7:$L$267,8,FALSE)*0.65),IF(F86="H",0.038,(0.038*0.65)))</f>
        <v>5.9850746268656713E-3</v>
      </c>
      <c r="L86">
        <f>IF($C86="IE",$K86*CF_231025!$E$16,$K86/VLOOKUP($C86,CF_231025!$A$2:$E$28,5,FALSE))</f>
        <v>2.3323569181826053E-3</v>
      </c>
    </row>
    <row r="87" spans="1:12" x14ac:dyDescent="0.25">
      <c r="A87" t="s">
        <v>136</v>
      </c>
      <c r="B87" t="s">
        <v>225</v>
      </c>
      <c r="C87" t="str">
        <f t="shared" si="6"/>
        <v>BG</v>
      </c>
      <c r="D87" t="str">
        <f t="shared" si="7"/>
        <v>PEA</v>
      </c>
      <c r="E87" t="str">
        <f t="shared" si="5"/>
        <v>BGPEA</v>
      </c>
      <c r="F87" t="str">
        <f t="shared" si="8"/>
        <v>H</v>
      </c>
      <c r="G87" t="s">
        <v>220</v>
      </c>
      <c r="H87">
        <v>1</v>
      </c>
      <c r="I87">
        <v>0.17</v>
      </c>
      <c r="J87" t="str">
        <f t="shared" si="9"/>
        <v>BGL000PEAHR0BGLFER</v>
      </c>
      <c r="K87">
        <f>_xlfn.IFNA(IF(F87="H",VLOOKUP(E87,Fertiliser_data!$E$7:$L$267,8,FALSE),VLOOKUP(E87,Fertiliser_data!$E$7:$L$267,8,FALSE)*0.65),IF(F87="H",0.038,(0.038*0.65)))</f>
        <v>5.9850746268656713E-3</v>
      </c>
      <c r="L87">
        <f>IF($C87="IE",$K87*CF_231025!$E$16,$K87/VLOOKUP($C87,CF_231025!$A$2:$E$28,5,FALSE))</f>
        <v>2.3323569181826053E-3</v>
      </c>
    </row>
    <row r="88" spans="1:12" x14ac:dyDescent="0.25">
      <c r="A88" t="s">
        <v>136</v>
      </c>
      <c r="B88" t="s">
        <v>226</v>
      </c>
      <c r="C88" t="str">
        <f t="shared" si="6"/>
        <v>BG</v>
      </c>
      <c r="D88" t="str">
        <f t="shared" si="7"/>
        <v>PEA</v>
      </c>
      <c r="E88" t="str">
        <f t="shared" si="5"/>
        <v>BGPEA</v>
      </c>
      <c r="F88" t="str">
        <f t="shared" si="8"/>
        <v>L</v>
      </c>
      <c r="G88" t="s">
        <v>220</v>
      </c>
      <c r="H88">
        <v>1</v>
      </c>
      <c r="I88">
        <v>0.06</v>
      </c>
      <c r="J88" t="str">
        <f t="shared" si="9"/>
        <v>BGL000PEALI0BGLFER</v>
      </c>
      <c r="K88">
        <f>_xlfn.IFNA(IF(F88="H",VLOOKUP(E88,Fertiliser_data!$E$7:$L$267,8,FALSE),VLOOKUP(E88,Fertiliser_data!$E$7:$L$267,8,FALSE)*0.65),IF(F88="H",0.038,(0.038*0.65)))</f>
        <v>3.8902985074626864E-3</v>
      </c>
      <c r="L88">
        <f>IF($C88="IE",$K88*CF_231025!$E$16,$K88/VLOOKUP($C88,CF_231025!$A$2:$E$28,5,FALSE))</f>
        <v>1.5160319968186935E-3</v>
      </c>
    </row>
    <row r="89" spans="1:12" x14ac:dyDescent="0.25">
      <c r="A89" t="s">
        <v>136</v>
      </c>
      <c r="B89" t="s">
        <v>227</v>
      </c>
      <c r="C89" t="str">
        <f t="shared" si="6"/>
        <v>BG</v>
      </c>
      <c r="D89" t="str">
        <f t="shared" si="7"/>
        <v>PEA</v>
      </c>
      <c r="E89" t="str">
        <f t="shared" si="5"/>
        <v>BGPEA</v>
      </c>
      <c r="F89" t="str">
        <f t="shared" si="8"/>
        <v>L</v>
      </c>
      <c r="G89" t="s">
        <v>220</v>
      </c>
      <c r="H89">
        <v>1</v>
      </c>
      <c r="I89">
        <v>0.06</v>
      </c>
      <c r="J89" t="str">
        <f t="shared" si="9"/>
        <v>BGL000PEALR0BGLFER</v>
      </c>
      <c r="K89">
        <f>_xlfn.IFNA(IF(F89="H",VLOOKUP(E89,Fertiliser_data!$E$7:$L$267,8,FALSE),VLOOKUP(E89,Fertiliser_data!$E$7:$L$267,8,FALSE)*0.65),IF(F89="H",0.038,(0.038*0.65)))</f>
        <v>3.8902985074626864E-3</v>
      </c>
      <c r="L89">
        <f>IF($C89="IE",$K89*CF_231025!$E$16,$K89/VLOOKUP($C89,CF_231025!$A$2:$E$28,5,FALSE))</f>
        <v>1.5160319968186935E-3</v>
      </c>
    </row>
    <row r="90" spans="1:12" x14ac:dyDescent="0.25">
      <c r="A90" t="s">
        <v>136</v>
      </c>
      <c r="B90" t="s">
        <v>228</v>
      </c>
      <c r="C90" t="str">
        <f t="shared" si="6"/>
        <v>BG</v>
      </c>
      <c r="D90" t="str">
        <f t="shared" si="7"/>
        <v>BRL</v>
      </c>
      <c r="E90" t="str">
        <f t="shared" si="5"/>
        <v>BGBRL</v>
      </c>
      <c r="F90" t="str">
        <f t="shared" si="8"/>
        <v>H</v>
      </c>
      <c r="G90" t="s">
        <v>220</v>
      </c>
      <c r="H90">
        <v>1</v>
      </c>
      <c r="I90">
        <v>0.15</v>
      </c>
      <c r="J90" t="str">
        <f t="shared" si="9"/>
        <v>BGL000BRLHI0BGLFER</v>
      </c>
      <c r="K90">
        <f>_xlfn.IFNA(IF(F90="H",VLOOKUP(E90,Fertiliser_data!$E$7:$L$267,8,FALSE),VLOOKUP(E90,Fertiliser_data!$E$7:$L$267,8,FALSE)*0.65),IF(F90="H",0.038,(0.038*0.65)))</f>
        <v>7.1776119402985079E-3</v>
      </c>
      <c r="L90">
        <f>IF($C90="IE",$K90*CF_231025!$E$16,$K90/VLOOKUP($C90,CF_231025!$A$2:$E$28,5,FALSE))</f>
        <v>2.7970833963940523E-3</v>
      </c>
    </row>
    <row r="91" spans="1:12" x14ac:dyDescent="0.25">
      <c r="A91" t="s">
        <v>136</v>
      </c>
      <c r="B91" t="s">
        <v>229</v>
      </c>
      <c r="C91" t="str">
        <f t="shared" si="6"/>
        <v>BG</v>
      </c>
      <c r="D91" t="str">
        <f t="shared" si="7"/>
        <v>BRL</v>
      </c>
      <c r="E91" t="str">
        <f t="shared" si="5"/>
        <v>BGBRL</v>
      </c>
      <c r="F91" t="str">
        <f t="shared" si="8"/>
        <v>H</v>
      </c>
      <c r="G91" t="s">
        <v>220</v>
      </c>
      <c r="H91">
        <v>1</v>
      </c>
      <c r="I91">
        <v>0.15</v>
      </c>
      <c r="J91" t="str">
        <f t="shared" si="9"/>
        <v>BGL000BRLHR0BGLFER</v>
      </c>
      <c r="K91">
        <f>_xlfn.IFNA(IF(F91="H",VLOOKUP(E91,Fertiliser_data!$E$7:$L$267,8,FALSE),VLOOKUP(E91,Fertiliser_data!$E$7:$L$267,8,FALSE)*0.65),IF(F91="H",0.038,(0.038*0.65)))</f>
        <v>7.1776119402985079E-3</v>
      </c>
      <c r="L91">
        <f>IF($C91="IE",$K91*CF_231025!$E$16,$K91/VLOOKUP($C91,CF_231025!$A$2:$E$28,5,FALSE))</f>
        <v>2.7970833963940523E-3</v>
      </c>
    </row>
    <row r="92" spans="1:12" x14ac:dyDescent="0.25">
      <c r="A92" t="s">
        <v>136</v>
      </c>
      <c r="B92" t="s">
        <v>230</v>
      </c>
      <c r="C92" t="str">
        <f t="shared" si="6"/>
        <v>BG</v>
      </c>
      <c r="D92" t="str">
        <f t="shared" si="7"/>
        <v>BRL</v>
      </c>
      <c r="E92" t="str">
        <f t="shared" si="5"/>
        <v>BGBRL</v>
      </c>
      <c r="F92" t="str">
        <f t="shared" si="8"/>
        <v>L</v>
      </c>
      <c r="G92" t="s">
        <v>220</v>
      </c>
      <c r="H92">
        <v>1</v>
      </c>
      <c r="I92">
        <v>0.06</v>
      </c>
      <c r="J92" t="str">
        <f t="shared" si="9"/>
        <v>BGL000BRLLI0BGLFER</v>
      </c>
      <c r="K92">
        <f>_xlfn.IFNA(IF(F92="H",VLOOKUP(E92,Fertiliser_data!$E$7:$L$267,8,FALSE),VLOOKUP(E92,Fertiliser_data!$E$7:$L$267,8,FALSE)*0.65),IF(F92="H",0.038,(0.038*0.65)))</f>
        <v>4.6654477611940302E-3</v>
      </c>
      <c r="L92">
        <f>IF($C92="IE",$K92*CF_231025!$E$16,$K92/VLOOKUP($C92,CF_231025!$A$2:$E$28,5,FALSE))</f>
        <v>1.8181042076561341E-3</v>
      </c>
    </row>
    <row r="93" spans="1:12" x14ac:dyDescent="0.25">
      <c r="A93" t="s">
        <v>136</v>
      </c>
      <c r="B93" t="s">
        <v>231</v>
      </c>
      <c r="C93" t="str">
        <f t="shared" si="6"/>
        <v>BG</v>
      </c>
      <c r="D93" t="str">
        <f t="shared" si="7"/>
        <v>BRL</v>
      </c>
      <c r="E93" t="str">
        <f t="shared" si="5"/>
        <v>BGBRL</v>
      </c>
      <c r="F93" t="str">
        <f t="shared" si="8"/>
        <v>L</v>
      </c>
      <c r="G93" t="s">
        <v>220</v>
      </c>
      <c r="H93">
        <v>1</v>
      </c>
      <c r="I93">
        <v>0.06</v>
      </c>
      <c r="J93" t="str">
        <f t="shared" si="9"/>
        <v>BGL000BRLLR0BGLFER</v>
      </c>
      <c r="K93">
        <f>_xlfn.IFNA(IF(F93="H",VLOOKUP(E93,Fertiliser_data!$E$7:$L$267,8,FALSE),VLOOKUP(E93,Fertiliser_data!$E$7:$L$267,8,FALSE)*0.65),IF(F93="H",0.038,(0.038*0.65)))</f>
        <v>4.6654477611940302E-3</v>
      </c>
      <c r="L93">
        <f>IF($C93="IE",$K93*CF_231025!$E$16,$K93/VLOOKUP($C93,CF_231025!$A$2:$E$28,5,FALSE))</f>
        <v>1.8181042076561341E-3</v>
      </c>
    </row>
    <row r="94" spans="1:12" x14ac:dyDescent="0.25">
      <c r="A94" t="s">
        <v>136</v>
      </c>
      <c r="B94" t="s">
        <v>232</v>
      </c>
      <c r="C94" t="str">
        <f t="shared" si="6"/>
        <v>BG</v>
      </c>
      <c r="D94" t="str">
        <f t="shared" si="7"/>
        <v>OTP</v>
      </c>
      <c r="E94" t="str">
        <f t="shared" si="5"/>
        <v>BGOTP</v>
      </c>
      <c r="F94" t="str">
        <f t="shared" si="8"/>
        <v>H</v>
      </c>
      <c r="G94" t="s">
        <v>220</v>
      </c>
      <c r="H94">
        <v>1</v>
      </c>
      <c r="I94">
        <v>0.17</v>
      </c>
      <c r="J94" t="str">
        <f t="shared" si="9"/>
        <v>BGL000OTPHI0BGLFER</v>
      </c>
      <c r="K94">
        <f>_xlfn.IFNA(IF(F94="H",VLOOKUP(E94,Fertiliser_data!$E$7:$L$267,8,FALSE),VLOOKUP(E94,Fertiliser_data!$E$7:$L$267,8,FALSE)*0.65),IF(F94="H",0.038,(0.038*0.65)))</f>
        <v>2.5940298507462689E-3</v>
      </c>
      <c r="L94">
        <f>IF($C94="IE",$K94*CF_231025!$E$16,$K94/VLOOKUP($C94,CF_231025!$A$2:$E$28,5,FALSE))</f>
        <v>1.010881876259693E-3</v>
      </c>
    </row>
    <row r="95" spans="1:12" x14ac:dyDescent="0.25">
      <c r="A95" t="s">
        <v>136</v>
      </c>
      <c r="B95" t="s">
        <v>233</v>
      </c>
      <c r="C95" t="str">
        <f t="shared" si="6"/>
        <v>BG</v>
      </c>
      <c r="D95" t="str">
        <f t="shared" si="7"/>
        <v>OTP</v>
      </c>
      <c r="E95" t="str">
        <f t="shared" si="5"/>
        <v>BGOTP</v>
      </c>
      <c r="F95" t="str">
        <f t="shared" si="8"/>
        <v>H</v>
      </c>
      <c r="G95" t="s">
        <v>220</v>
      </c>
      <c r="H95">
        <v>1</v>
      </c>
      <c r="I95">
        <v>0.17</v>
      </c>
      <c r="J95" t="str">
        <f t="shared" si="9"/>
        <v>BGL000OTPHR0BGLFER</v>
      </c>
      <c r="K95">
        <f>_xlfn.IFNA(IF(F95="H",VLOOKUP(E95,Fertiliser_data!$E$7:$L$267,8,FALSE),VLOOKUP(E95,Fertiliser_data!$E$7:$L$267,8,FALSE)*0.65),IF(F95="H",0.038,(0.038*0.65)))</f>
        <v>2.5940298507462689E-3</v>
      </c>
      <c r="L95">
        <f>IF($C95="IE",$K95*CF_231025!$E$16,$K95/VLOOKUP($C95,CF_231025!$A$2:$E$28,5,FALSE))</f>
        <v>1.010881876259693E-3</v>
      </c>
    </row>
    <row r="96" spans="1:12" x14ac:dyDescent="0.25">
      <c r="A96" t="s">
        <v>136</v>
      </c>
      <c r="B96" t="s">
        <v>234</v>
      </c>
      <c r="C96" t="str">
        <f t="shared" si="6"/>
        <v>BG</v>
      </c>
      <c r="D96" t="str">
        <f t="shared" si="7"/>
        <v>OTP</v>
      </c>
      <c r="E96" t="str">
        <f t="shared" si="5"/>
        <v>BGOTP</v>
      </c>
      <c r="F96" t="str">
        <f t="shared" si="8"/>
        <v>L</v>
      </c>
      <c r="G96" t="s">
        <v>220</v>
      </c>
      <c r="H96">
        <v>1</v>
      </c>
      <c r="I96">
        <v>0.06</v>
      </c>
      <c r="J96" t="str">
        <f t="shared" si="9"/>
        <v>BGL000OTPLI0BGLFER</v>
      </c>
      <c r="K96">
        <f>_xlfn.IFNA(IF(F96="H",VLOOKUP(E96,Fertiliser_data!$E$7:$L$267,8,FALSE),VLOOKUP(E96,Fertiliser_data!$E$7:$L$267,8,FALSE)*0.65),IF(F96="H",0.038,(0.038*0.65)))</f>
        <v>1.6861194029850748E-3</v>
      </c>
      <c r="L96">
        <f>IF($C96="IE",$K96*CF_231025!$E$16,$K96/VLOOKUP($C96,CF_231025!$A$2:$E$28,5,FALSE))</f>
        <v>6.5707321956880041E-4</v>
      </c>
    </row>
    <row r="97" spans="1:12" x14ac:dyDescent="0.25">
      <c r="A97" t="s">
        <v>136</v>
      </c>
      <c r="B97" t="s">
        <v>235</v>
      </c>
      <c r="C97" t="str">
        <f t="shared" si="6"/>
        <v>BG</v>
      </c>
      <c r="D97" t="str">
        <f t="shared" si="7"/>
        <v>OTP</v>
      </c>
      <c r="E97" t="str">
        <f t="shared" si="5"/>
        <v>BGOTP</v>
      </c>
      <c r="F97" t="str">
        <f t="shared" si="8"/>
        <v>L</v>
      </c>
      <c r="G97" t="s">
        <v>220</v>
      </c>
      <c r="H97">
        <v>1</v>
      </c>
      <c r="I97">
        <v>0.06</v>
      </c>
      <c r="J97" t="str">
        <f t="shared" si="9"/>
        <v>BGL000OTPLR0BGLFER</v>
      </c>
      <c r="K97">
        <f>_xlfn.IFNA(IF(F97="H",VLOOKUP(E97,Fertiliser_data!$E$7:$L$267,8,FALSE),VLOOKUP(E97,Fertiliser_data!$E$7:$L$267,8,FALSE)*0.65),IF(F97="H",0.038,(0.038*0.65)))</f>
        <v>1.6861194029850748E-3</v>
      </c>
      <c r="L97">
        <f>IF($C97="IE",$K97*CF_231025!$E$16,$K97/VLOOKUP($C97,CF_231025!$A$2:$E$28,5,FALSE))</f>
        <v>6.5707321956880041E-4</v>
      </c>
    </row>
    <row r="98" spans="1:12" x14ac:dyDescent="0.25">
      <c r="A98" t="s">
        <v>136</v>
      </c>
      <c r="B98" t="s">
        <v>236</v>
      </c>
      <c r="C98" t="str">
        <f t="shared" si="6"/>
        <v>BG</v>
      </c>
      <c r="D98" t="str">
        <f t="shared" si="7"/>
        <v>OTH</v>
      </c>
      <c r="E98" t="str">
        <f t="shared" si="5"/>
        <v>BGOTH</v>
      </c>
      <c r="F98" t="str">
        <f t="shared" si="8"/>
        <v>H</v>
      </c>
      <c r="G98" t="s">
        <v>220</v>
      </c>
      <c r="H98">
        <v>1</v>
      </c>
      <c r="I98">
        <v>0.17</v>
      </c>
      <c r="J98" t="str">
        <f t="shared" si="9"/>
        <v>BGL000OTHHI0BGLFER</v>
      </c>
      <c r="K98">
        <f>_xlfn.IFNA(IF(F98="H",VLOOKUP(E98,Fertiliser_data!$E$7:$L$267,8,FALSE),VLOOKUP(E98,Fertiliser_data!$E$7:$L$267,8,FALSE)*0.65),IF(F98="H",0.038,(0.038*0.65)))</f>
        <v>3.7999999999999999E-2</v>
      </c>
      <c r="L98">
        <f>IF($C98="IE",$K98*CF_231025!$E$16,$K98/VLOOKUP($C98,CF_231025!$A$2:$E$28,5,FALSE))</f>
        <v>1.4808430707463623E-2</v>
      </c>
    </row>
    <row r="99" spans="1:12" x14ac:dyDescent="0.25">
      <c r="A99" t="s">
        <v>136</v>
      </c>
      <c r="B99" t="s">
        <v>237</v>
      </c>
      <c r="C99" t="str">
        <f t="shared" si="6"/>
        <v>BG</v>
      </c>
      <c r="D99" t="str">
        <f t="shared" si="7"/>
        <v>OTH</v>
      </c>
      <c r="E99" t="str">
        <f t="shared" si="5"/>
        <v>BGOTH</v>
      </c>
      <c r="F99" t="str">
        <f t="shared" si="8"/>
        <v>H</v>
      </c>
      <c r="G99" t="s">
        <v>220</v>
      </c>
      <c r="H99">
        <v>1</v>
      </c>
      <c r="I99">
        <v>0.17</v>
      </c>
      <c r="J99" t="str">
        <f t="shared" si="9"/>
        <v>BGL000OTHHR0BGLFER</v>
      </c>
      <c r="K99">
        <f>_xlfn.IFNA(IF(F99="H",VLOOKUP(E99,Fertiliser_data!$E$7:$L$267,8,FALSE),VLOOKUP(E99,Fertiliser_data!$E$7:$L$267,8,FALSE)*0.65),IF(F99="H",0.038,(0.038*0.65)))</f>
        <v>3.7999999999999999E-2</v>
      </c>
      <c r="L99">
        <f>IF($C99="IE",$K99*CF_231025!$E$16,$K99/VLOOKUP($C99,CF_231025!$A$2:$E$28,5,FALSE))</f>
        <v>1.4808430707463623E-2</v>
      </c>
    </row>
    <row r="100" spans="1:12" x14ac:dyDescent="0.25">
      <c r="A100" t="s">
        <v>136</v>
      </c>
      <c r="B100" t="s">
        <v>238</v>
      </c>
      <c r="C100" t="str">
        <f t="shared" si="6"/>
        <v>BG</v>
      </c>
      <c r="D100" t="str">
        <f t="shared" si="7"/>
        <v>OTH</v>
      </c>
      <c r="E100" t="str">
        <f t="shared" si="5"/>
        <v>BGOTH</v>
      </c>
      <c r="F100" t="str">
        <f t="shared" si="8"/>
        <v>L</v>
      </c>
      <c r="G100" t="s">
        <v>220</v>
      </c>
      <c r="H100">
        <v>1</v>
      </c>
      <c r="I100">
        <v>0.06</v>
      </c>
      <c r="J100" t="str">
        <f t="shared" si="9"/>
        <v>BGL000OTHLI0BGLFER</v>
      </c>
      <c r="K100">
        <f>_xlfn.IFNA(IF(F100="H",VLOOKUP(E100,Fertiliser_data!$E$7:$L$267,8,FALSE),VLOOKUP(E100,Fertiliser_data!$E$7:$L$267,8,FALSE)*0.65),IF(F100="H",0.038,(0.038*0.65)))</f>
        <v>2.47E-2</v>
      </c>
      <c r="L100">
        <f>IF($C100="IE",$K100*CF_231025!$E$16,$K100/VLOOKUP($C100,CF_231025!$A$2:$E$28,5,FALSE))</f>
        <v>9.6254799598513557E-3</v>
      </c>
    </row>
    <row r="101" spans="1:12" x14ac:dyDescent="0.25">
      <c r="A101" t="s">
        <v>136</v>
      </c>
      <c r="B101" t="s">
        <v>239</v>
      </c>
      <c r="C101" t="str">
        <f t="shared" si="6"/>
        <v>BG</v>
      </c>
      <c r="D101" t="str">
        <f t="shared" si="7"/>
        <v>OTH</v>
      </c>
      <c r="E101" t="str">
        <f t="shared" si="5"/>
        <v>BGOTH</v>
      </c>
      <c r="F101" t="str">
        <f t="shared" si="8"/>
        <v>L</v>
      </c>
      <c r="G101" t="s">
        <v>220</v>
      </c>
      <c r="H101">
        <v>1</v>
      </c>
      <c r="I101">
        <v>0.06</v>
      </c>
      <c r="J101" t="str">
        <f t="shared" si="9"/>
        <v>BGL000OTHLR0BGLFER</v>
      </c>
      <c r="K101">
        <f>_xlfn.IFNA(IF(F101="H",VLOOKUP(E101,Fertiliser_data!$E$7:$L$267,8,FALSE),VLOOKUP(E101,Fertiliser_data!$E$7:$L$267,8,FALSE)*0.65),IF(F101="H",0.038,(0.038*0.65)))</f>
        <v>2.47E-2</v>
      </c>
      <c r="L101">
        <f>IF($C101="IE",$K101*CF_231025!$E$16,$K101/VLOOKUP($C101,CF_231025!$A$2:$E$28,5,FALSE))</f>
        <v>9.6254799598513557E-3</v>
      </c>
    </row>
    <row r="102" spans="1:12" x14ac:dyDescent="0.25">
      <c r="A102" t="s">
        <v>136</v>
      </c>
      <c r="B102" t="s">
        <v>240</v>
      </c>
      <c r="C102" t="str">
        <f t="shared" si="6"/>
        <v>BG</v>
      </c>
      <c r="D102" t="str">
        <f t="shared" si="7"/>
        <v>RYE</v>
      </c>
      <c r="E102" t="str">
        <f t="shared" si="5"/>
        <v>BGRYE</v>
      </c>
      <c r="F102" t="str">
        <f t="shared" si="8"/>
        <v>H</v>
      </c>
      <c r="G102" t="s">
        <v>220</v>
      </c>
      <c r="H102">
        <v>1</v>
      </c>
      <c r="I102">
        <v>0.11</v>
      </c>
      <c r="J102" t="str">
        <f t="shared" si="9"/>
        <v>BGL000RYEHI0BGLFER</v>
      </c>
      <c r="K102">
        <f>_xlfn.IFNA(IF(F102="H",VLOOKUP(E102,Fertiliser_data!$E$7:$L$267,8,FALSE),VLOOKUP(E102,Fertiliser_data!$E$7:$L$267,8,FALSE)*0.65),IF(F102="H",0.038,(0.038*0.65)))</f>
        <v>3.7999999999999999E-2</v>
      </c>
      <c r="L102">
        <f>IF($C102="IE",$K102*CF_231025!$E$16,$K102/VLOOKUP($C102,CF_231025!$A$2:$E$28,5,FALSE))</f>
        <v>1.4808430707463623E-2</v>
      </c>
    </row>
    <row r="103" spans="1:12" x14ac:dyDescent="0.25">
      <c r="A103" t="s">
        <v>136</v>
      </c>
      <c r="B103" t="s">
        <v>241</v>
      </c>
      <c r="C103" t="str">
        <f t="shared" si="6"/>
        <v>BG</v>
      </c>
      <c r="D103" t="str">
        <f t="shared" si="7"/>
        <v>RYE</v>
      </c>
      <c r="E103" t="str">
        <f t="shared" si="5"/>
        <v>BGRYE</v>
      </c>
      <c r="F103" t="str">
        <f t="shared" si="8"/>
        <v>H</v>
      </c>
      <c r="G103" t="s">
        <v>220</v>
      </c>
      <c r="H103">
        <v>1</v>
      </c>
      <c r="I103">
        <v>0.11</v>
      </c>
      <c r="J103" t="str">
        <f t="shared" si="9"/>
        <v>BGL000RYEHR0BGLFER</v>
      </c>
      <c r="K103">
        <f>_xlfn.IFNA(IF(F103="H",VLOOKUP(E103,Fertiliser_data!$E$7:$L$267,8,FALSE),VLOOKUP(E103,Fertiliser_data!$E$7:$L$267,8,FALSE)*0.65),IF(F103="H",0.038,(0.038*0.65)))</f>
        <v>3.7999999999999999E-2</v>
      </c>
      <c r="L103">
        <f>IF($C103="IE",$K103*CF_231025!$E$16,$K103/VLOOKUP($C103,CF_231025!$A$2:$E$28,5,FALSE))</f>
        <v>1.4808430707463623E-2</v>
      </c>
    </row>
    <row r="104" spans="1:12" x14ac:dyDescent="0.25">
      <c r="A104" t="s">
        <v>136</v>
      </c>
      <c r="B104" t="s">
        <v>242</v>
      </c>
      <c r="C104" t="str">
        <f t="shared" si="6"/>
        <v>BG</v>
      </c>
      <c r="D104" t="str">
        <f t="shared" si="7"/>
        <v>RYE</v>
      </c>
      <c r="E104" t="str">
        <f t="shared" si="5"/>
        <v>BGRYE</v>
      </c>
      <c r="F104" t="str">
        <f t="shared" si="8"/>
        <v>L</v>
      </c>
      <c r="G104" t="s">
        <v>220</v>
      </c>
      <c r="H104">
        <v>1</v>
      </c>
      <c r="I104">
        <v>0.04</v>
      </c>
      <c r="J104" t="str">
        <f t="shared" si="9"/>
        <v>BGL000RYELI0BGLFER</v>
      </c>
      <c r="K104">
        <f>_xlfn.IFNA(IF(F104="H",VLOOKUP(E104,Fertiliser_data!$E$7:$L$267,8,FALSE),VLOOKUP(E104,Fertiliser_data!$E$7:$L$267,8,FALSE)*0.65),IF(F104="H",0.038,(0.038*0.65)))</f>
        <v>2.47E-2</v>
      </c>
      <c r="L104">
        <f>IF($C104="IE",$K104*CF_231025!$E$16,$K104/VLOOKUP($C104,CF_231025!$A$2:$E$28,5,FALSE))</f>
        <v>9.6254799598513557E-3</v>
      </c>
    </row>
    <row r="105" spans="1:12" x14ac:dyDescent="0.25">
      <c r="A105" t="s">
        <v>136</v>
      </c>
      <c r="B105" t="s">
        <v>243</v>
      </c>
      <c r="C105" t="str">
        <f t="shared" si="6"/>
        <v>BG</v>
      </c>
      <c r="D105" t="str">
        <f t="shared" si="7"/>
        <v>RYE</v>
      </c>
      <c r="E105" t="str">
        <f t="shared" si="5"/>
        <v>BGRYE</v>
      </c>
      <c r="F105" t="str">
        <f t="shared" si="8"/>
        <v>L</v>
      </c>
      <c r="G105" t="s">
        <v>220</v>
      </c>
      <c r="H105">
        <v>1</v>
      </c>
      <c r="I105">
        <v>0.04</v>
      </c>
      <c r="J105" t="str">
        <f t="shared" si="9"/>
        <v>BGL000RYELR0BGLFER</v>
      </c>
      <c r="K105">
        <f>_xlfn.IFNA(IF(F105="H",VLOOKUP(E105,Fertiliser_data!$E$7:$L$267,8,FALSE),VLOOKUP(E105,Fertiliser_data!$E$7:$L$267,8,FALSE)*0.65),IF(F105="H",0.038,(0.038*0.65)))</f>
        <v>2.47E-2</v>
      </c>
      <c r="L105">
        <f>IF($C105="IE",$K105*CF_231025!$E$16,$K105/VLOOKUP($C105,CF_231025!$A$2:$E$28,5,FALSE))</f>
        <v>9.6254799598513557E-3</v>
      </c>
    </row>
    <row r="106" spans="1:12" x14ac:dyDescent="0.25">
      <c r="A106" t="s">
        <v>136</v>
      </c>
      <c r="B106" t="s">
        <v>244</v>
      </c>
      <c r="C106" t="str">
        <f t="shared" si="6"/>
        <v>BG</v>
      </c>
      <c r="D106" t="str">
        <f t="shared" si="7"/>
        <v>MAI</v>
      </c>
      <c r="E106" t="str">
        <f t="shared" si="5"/>
        <v>BGMAI</v>
      </c>
      <c r="F106" t="str">
        <f t="shared" si="8"/>
        <v>H</v>
      </c>
      <c r="G106" t="s">
        <v>220</v>
      </c>
      <c r="H106">
        <v>1</v>
      </c>
      <c r="I106">
        <v>0.16</v>
      </c>
      <c r="J106" t="str">
        <f t="shared" si="9"/>
        <v>BGL000MAIHI0BGLFER</v>
      </c>
      <c r="K106">
        <f>_xlfn.IFNA(IF(F106="H",VLOOKUP(E106,Fertiliser_data!$E$7:$L$267,8,FALSE),VLOOKUP(E106,Fertiliser_data!$E$7:$L$267,8,FALSE)*0.65),IF(F106="H",0.038,(0.038*0.65)))</f>
        <v>4.3213432835820902E-2</v>
      </c>
      <c r="L106">
        <f>IF($C106="IE",$K106*CF_231025!$E$16,$K106/VLOOKUP($C106,CF_231025!$A$2:$E$28,5,FALSE))</f>
        <v>1.6840082257391767E-2</v>
      </c>
    </row>
    <row r="107" spans="1:12" x14ac:dyDescent="0.25">
      <c r="A107" t="s">
        <v>136</v>
      </c>
      <c r="B107" t="s">
        <v>245</v>
      </c>
      <c r="C107" t="str">
        <f t="shared" si="6"/>
        <v>BG</v>
      </c>
      <c r="D107" t="str">
        <f t="shared" si="7"/>
        <v>MAI</v>
      </c>
      <c r="E107" t="str">
        <f t="shared" si="5"/>
        <v>BGMAI</v>
      </c>
      <c r="F107" t="str">
        <f t="shared" si="8"/>
        <v>H</v>
      </c>
      <c r="G107" t="s">
        <v>220</v>
      </c>
      <c r="H107">
        <v>1</v>
      </c>
      <c r="I107">
        <v>0.16</v>
      </c>
      <c r="J107" t="str">
        <f t="shared" si="9"/>
        <v>BGL000MAIHR0BGLFER</v>
      </c>
      <c r="K107">
        <f>_xlfn.IFNA(IF(F107="H",VLOOKUP(E107,Fertiliser_data!$E$7:$L$267,8,FALSE),VLOOKUP(E107,Fertiliser_data!$E$7:$L$267,8,FALSE)*0.65),IF(F107="H",0.038,(0.038*0.65)))</f>
        <v>4.3213432835820902E-2</v>
      </c>
      <c r="L107">
        <f>IF($C107="IE",$K107*CF_231025!$E$16,$K107/VLOOKUP($C107,CF_231025!$A$2:$E$28,5,FALSE))</f>
        <v>1.6840082257391767E-2</v>
      </c>
    </row>
    <row r="108" spans="1:12" x14ac:dyDescent="0.25">
      <c r="A108" t="s">
        <v>136</v>
      </c>
      <c r="B108" t="s">
        <v>246</v>
      </c>
      <c r="C108" t="str">
        <f t="shared" si="6"/>
        <v>BG</v>
      </c>
      <c r="D108" t="str">
        <f t="shared" si="7"/>
        <v>MAI</v>
      </c>
      <c r="E108" t="str">
        <f t="shared" si="5"/>
        <v>BGMAI</v>
      </c>
      <c r="F108" t="str">
        <f t="shared" si="8"/>
        <v>L</v>
      </c>
      <c r="G108" t="s">
        <v>220</v>
      </c>
      <c r="H108">
        <v>1</v>
      </c>
      <c r="I108">
        <v>0.06</v>
      </c>
      <c r="J108" t="str">
        <f t="shared" si="9"/>
        <v>BGL000MAILI0BGLFER</v>
      </c>
      <c r="K108">
        <f>_xlfn.IFNA(IF(F108="H",VLOOKUP(E108,Fertiliser_data!$E$7:$L$267,8,FALSE),VLOOKUP(E108,Fertiliser_data!$E$7:$L$267,8,FALSE)*0.65),IF(F108="H",0.038,(0.038*0.65)))</f>
        <v>2.8088731343283588E-2</v>
      </c>
      <c r="L108">
        <f>IF($C108="IE",$K108*CF_231025!$E$16,$K108/VLOOKUP($C108,CF_231025!$A$2:$E$28,5,FALSE))</f>
        <v>1.0946053467304649E-2</v>
      </c>
    </row>
    <row r="109" spans="1:12" x14ac:dyDescent="0.25">
      <c r="A109" t="s">
        <v>136</v>
      </c>
      <c r="B109" t="s">
        <v>247</v>
      </c>
      <c r="C109" t="str">
        <f t="shared" si="6"/>
        <v>BG</v>
      </c>
      <c r="D109" t="str">
        <f t="shared" si="7"/>
        <v>MAI</v>
      </c>
      <c r="E109" t="str">
        <f t="shared" si="5"/>
        <v>BGMAI</v>
      </c>
      <c r="F109" t="str">
        <f t="shared" si="8"/>
        <v>L</v>
      </c>
      <c r="G109" t="s">
        <v>220</v>
      </c>
      <c r="H109">
        <v>1</v>
      </c>
      <c r="I109">
        <v>0.06</v>
      </c>
      <c r="J109" t="str">
        <f t="shared" si="9"/>
        <v>BGL000MAILR0BGLFER</v>
      </c>
      <c r="K109">
        <f>_xlfn.IFNA(IF(F109="H",VLOOKUP(E109,Fertiliser_data!$E$7:$L$267,8,FALSE),VLOOKUP(E109,Fertiliser_data!$E$7:$L$267,8,FALSE)*0.65),IF(F109="H",0.038,(0.038*0.65)))</f>
        <v>2.8088731343283588E-2</v>
      </c>
      <c r="L109">
        <f>IF($C109="IE",$K109*CF_231025!$E$16,$K109/VLOOKUP($C109,CF_231025!$A$2:$E$28,5,FALSE))</f>
        <v>1.0946053467304649E-2</v>
      </c>
    </row>
    <row r="110" spans="1:12" x14ac:dyDescent="0.25">
      <c r="A110" t="s">
        <v>136</v>
      </c>
      <c r="B110" t="s">
        <v>248</v>
      </c>
      <c r="C110" t="str">
        <f t="shared" si="6"/>
        <v>BG</v>
      </c>
      <c r="D110" t="str">
        <f t="shared" si="7"/>
        <v>RAP</v>
      </c>
      <c r="E110" t="str">
        <f t="shared" si="5"/>
        <v>BGRAP</v>
      </c>
      <c r="F110" t="str">
        <f t="shared" si="8"/>
        <v>H</v>
      </c>
      <c r="G110" t="s">
        <v>220</v>
      </c>
      <c r="H110">
        <v>1</v>
      </c>
      <c r="I110">
        <v>0.26</v>
      </c>
      <c r="J110" t="str">
        <f t="shared" si="9"/>
        <v>BGL000RAPHI0BGLFER</v>
      </c>
      <c r="K110">
        <f>_xlfn.IFNA(IF(F110="H",VLOOKUP(E110,Fertiliser_data!$E$7:$L$267,8,FALSE),VLOOKUP(E110,Fertiliser_data!$E$7:$L$267,8,FALSE)*0.65),IF(F110="H",0.038,(0.038*0.65)))</f>
        <v>4.1135820895522389E-2</v>
      </c>
      <c r="L110">
        <f>IF($C110="IE",$K110*CF_231025!$E$16,$K110/VLOOKUP($C110,CF_231025!$A$2:$E$28,5,FALSE))</f>
        <v>1.6030446140157303E-2</v>
      </c>
    </row>
    <row r="111" spans="1:12" x14ac:dyDescent="0.25">
      <c r="A111" t="s">
        <v>136</v>
      </c>
      <c r="B111" t="s">
        <v>249</v>
      </c>
      <c r="C111" t="str">
        <f t="shared" si="6"/>
        <v>BG</v>
      </c>
      <c r="D111" t="str">
        <f t="shared" si="7"/>
        <v>RAP</v>
      </c>
      <c r="E111" t="str">
        <f t="shared" si="5"/>
        <v>BGRAP</v>
      </c>
      <c r="F111" t="str">
        <f t="shared" si="8"/>
        <v>H</v>
      </c>
      <c r="G111" t="s">
        <v>220</v>
      </c>
      <c r="H111">
        <v>1</v>
      </c>
      <c r="I111">
        <v>0.26</v>
      </c>
      <c r="J111" t="str">
        <f t="shared" si="9"/>
        <v>BGL000RAPHR0BGLFER</v>
      </c>
      <c r="K111">
        <f>_xlfn.IFNA(IF(F111="H",VLOOKUP(E111,Fertiliser_data!$E$7:$L$267,8,FALSE),VLOOKUP(E111,Fertiliser_data!$E$7:$L$267,8,FALSE)*0.65),IF(F111="H",0.038,(0.038*0.65)))</f>
        <v>4.1135820895522389E-2</v>
      </c>
      <c r="L111">
        <f>IF($C111="IE",$K111*CF_231025!$E$16,$K111/VLOOKUP($C111,CF_231025!$A$2:$E$28,5,FALSE))</f>
        <v>1.6030446140157303E-2</v>
      </c>
    </row>
    <row r="112" spans="1:12" x14ac:dyDescent="0.25">
      <c r="A112" t="s">
        <v>136</v>
      </c>
      <c r="B112" t="s">
        <v>250</v>
      </c>
      <c r="C112" t="str">
        <f t="shared" si="6"/>
        <v>BG</v>
      </c>
      <c r="D112" t="str">
        <f t="shared" si="7"/>
        <v>RAP</v>
      </c>
      <c r="E112" t="str">
        <f t="shared" si="5"/>
        <v>BGRAP</v>
      </c>
      <c r="F112" t="str">
        <f t="shared" si="8"/>
        <v>L</v>
      </c>
      <c r="G112" t="s">
        <v>220</v>
      </c>
      <c r="H112">
        <v>1</v>
      </c>
      <c r="I112">
        <v>0.1</v>
      </c>
      <c r="J112" t="str">
        <f t="shared" si="9"/>
        <v>BGL000RAPLI0BGLFER</v>
      </c>
      <c r="K112">
        <f>_xlfn.IFNA(IF(F112="H",VLOOKUP(E112,Fertiliser_data!$E$7:$L$267,8,FALSE),VLOOKUP(E112,Fertiliser_data!$E$7:$L$267,8,FALSE)*0.65),IF(F112="H",0.038,(0.038*0.65)))</f>
        <v>2.6738283582089555E-2</v>
      </c>
      <c r="L112">
        <f>IF($C112="IE",$K112*CF_231025!$E$16,$K112/VLOOKUP($C112,CF_231025!$A$2:$E$28,5,FALSE))</f>
        <v>1.0419789991102249E-2</v>
      </c>
    </row>
    <row r="113" spans="1:12" x14ac:dyDescent="0.25">
      <c r="A113" t="s">
        <v>136</v>
      </c>
      <c r="B113" t="s">
        <v>251</v>
      </c>
      <c r="C113" t="str">
        <f t="shared" si="6"/>
        <v>BG</v>
      </c>
      <c r="D113" t="str">
        <f t="shared" si="7"/>
        <v>RAP</v>
      </c>
      <c r="E113" t="str">
        <f t="shared" si="5"/>
        <v>BGRAP</v>
      </c>
      <c r="F113" t="str">
        <f t="shared" si="8"/>
        <v>L</v>
      </c>
      <c r="G113" t="s">
        <v>220</v>
      </c>
      <c r="H113">
        <v>1</v>
      </c>
      <c r="I113">
        <v>0.1</v>
      </c>
      <c r="J113" t="str">
        <f t="shared" si="9"/>
        <v>BGL000RAPLR0BGLFER</v>
      </c>
      <c r="K113">
        <f>_xlfn.IFNA(IF(F113="H",VLOOKUP(E113,Fertiliser_data!$E$7:$L$267,8,FALSE),VLOOKUP(E113,Fertiliser_data!$E$7:$L$267,8,FALSE)*0.65),IF(F113="H",0.038,(0.038*0.65)))</f>
        <v>2.6738283582089555E-2</v>
      </c>
      <c r="L113">
        <f>IF($C113="IE",$K113*CF_231025!$E$16,$K113/VLOOKUP($C113,CF_231025!$A$2:$E$28,5,FALSE))</f>
        <v>1.0419789991102249E-2</v>
      </c>
    </row>
    <row r="114" spans="1:12" x14ac:dyDescent="0.25">
      <c r="A114" t="s">
        <v>136</v>
      </c>
      <c r="B114" t="s">
        <v>252</v>
      </c>
      <c r="C114" t="str">
        <f t="shared" si="6"/>
        <v>BG</v>
      </c>
      <c r="D114" t="str">
        <f t="shared" si="7"/>
        <v>GRP</v>
      </c>
      <c r="E114" t="str">
        <f t="shared" si="5"/>
        <v>BGGRP</v>
      </c>
      <c r="F114" t="str">
        <f t="shared" si="8"/>
        <v>H</v>
      </c>
      <c r="G114" t="s">
        <v>220</v>
      </c>
      <c r="H114">
        <v>1</v>
      </c>
      <c r="I114">
        <v>0.17</v>
      </c>
      <c r="J114" t="str">
        <f t="shared" si="9"/>
        <v>BGL000GRPHI0BGLFER</v>
      </c>
      <c r="K114">
        <f>_xlfn.IFNA(IF(F114="H",VLOOKUP(E114,Fertiliser_data!$E$7:$L$267,8,FALSE),VLOOKUP(E114,Fertiliser_data!$E$7:$L$267,8,FALSE)*0.65),IF(F114="H",0.038,(0.038*0.65)))</f>
        <v>7.1776119402985079E-3</v>
      </c>
      <c r="L114">
        <f>IF($C114="IE",$K114*CF_231025!$E$16,$K114/VLOOKUP($C114,CF_231025!$A$2:$E$28,5,FALSE))</f>
        <v>2.7970833963940523E-3</v>
      </c>
    </row>
    <row r="115" spans="1:12" x14ac:dyDescent="0.25">
      <c r="A115" t="s">
        <v>136</v>
      </c>
      <c r="B115" t="s">
        <v>253</v>
      </c>
      <c r="C115" t="str">
        <f t="shared" si="6"/>
        <v>BG</v>
      </c>
      <c r="D115" t="str">
        <f t="shared" si="7"/>
        <v>GRP</v>
      </c>
      <c r="E115" t="str">
        <f t="shared" si="5"/>
        <v>BGGRP</v>
      </c>
      <c r="F115" t="str">
        <f t="shared" si="8"/>
        <v>H</v>
      </c>
      <c r="G115" t="s">
        <v>220</v>
      </c>
      <c r="H115">
        <v>1</v>
      </c>
      <c r="I115">
        <v>0.17</v>
      </c>
      <c r="J115" t="str">
        <f t="shared" si="9"/>
        <v>BGL000GRPHR0BGLFER</v>
      </c>
      <c r="K115">
        <f>_xlfn.IFNA(IF(F115="H",VLOOKUP(E115,Fertiliser_data!$E$7:$L$267,8,FALSE),VLOOKUP(E115,Fertiliser_data!$E$7:$L$267,8,FALSE)*0.65),IF(F115="H",0.038,(0.038*0.65)))</f>
        <v>7.1776119402985079E-3</v>
      </c>
      <c r="L115">
        <f>IF($C115="IE",$K115*CF_231025!$E$16,$K115/VLOOKUP($C115,CF_231025!$A$2:$E$28,5,FALSE))</f>
        <v>2.7970833963940523E-3</v>
      </c>
    </row>
    <row r="116" spans="1:12" x14ac:dyDescent="0.25">
      <c r="A116" t="s">
        <v>136</v>
      </c>
      <c r="B116" t="s">
        <v>254</v>
      </c>
      <c r="C116" t="str">
        <f t="shared" si="6"/>
        <v>BG</v>
      </c>
      <c r="D116" t="str">
        <f t="shared" si="7"/>
        <v>GRP</v>
      </c>
      <c r="E116" t="str">
        <f t="shared" si="5"/>
        <v>BGGRP</v>
      </c>
      <c r="F116" t="str">
        <f t="shared" si="8"/>
        <v>L</v>
      </c>
      <c r="G116" t="s">
        <v>220</v>
      </c>
      <c r="H116">
        <v>1</v>
      </c>
      <c r="I116">
        <v>0.06</v>
      </c>
      <c r="J116" t="str">
        <f t="shared" si="9"/>
        <v>BGL000GRPLI0BGLFER</v>
      </c>
      <c r="K116">
        <f>_xlfn.IFNA(IF(F116="H",VLOOKUP(E116,Fertiliser_data!$E$7:$L$267,8,FALSE),VLOOKUP(E116,Fertiliser_data!$E$7:$L$267,8,FALSE)*0.65),IF(F116="H",0.038,(0.038*0.65)))</f>
        <v>4.6654477611940302E-3</v>
      </c>
      <c r="L116">
        <f>IF($C116="IE",$K116*CF_231025!$E$16,$K116/VLOOKUP($C116,CF_231025!$A$2:$E$28,5,FALSE))</f>
        <v>1.8181042076561341E-3</v>
      </c>
    </row>
    <row r="117" spans="1:12" x14ac:dyDescent="0.25">
      <c r="A117" t="s">
        <v>136</v>
      </c>
      <c r="B117" t="s">
        <v>255</v>
      </c>
      <c r="C117" t="str">
        <f t="shared" si="6"/>
        <v>BG</v>
      </c>
      <c r="D117" t="str">
        <f t="shared" si="7"/>
        <v>GRP</v>
      </c>
      <c r="E117" t="str">
        <f t="shared" si="5"/>
        <v>BGGRP</v>
      </c>
      <c r="F117" t="str">
        <f t="shared" si="8"/>
        <v>L</v>
      </c>
      <c r="G117" t="s">
        <v>220</v>
      </c>
      <c r="H117">
        <v>1</v>
      </c>
      <c r="I117">
        <v>0.06</v>
      </c>
      <c r="J117" t="str">
        <f t="shared" si="9"/>
        <v>BGL000GRPLR0BGLFER</v>
      </c>
      <c r="K117">
        <f>_xlfn.IFNA(IF(F117="H",VLOOKUP(E117,Fertiliser_data!$E$7:$L$267,8,FALSE),VLOOKUP(E117,Fertiliser_data!$E$7:$L$267,8,FALSE)*0.65),IF(F117="H",0.038,(0.038*0.65)))</f>
        <v>4.6654477611940302E-3</v>
      </c>
      <c r="L117">
        <f>IF($C117="IE",$K117*CF_231025!$E$16,$K117/VLOOKUP($C117,CF_231025!$A$2:$E$28,5,FALSE))</f>
        <v>1.8181042076561341E-3</v>
      </c>
    </row>
    <row r="118" spans="1:12" x14ac:dyDescent="0.25">
      <c r="A118" t="s">
        <v>136</v>
      </c>
      <c r="B118" t="s">
        <v>256</v>
      </c>
      <c r="C118" t="str">
        <f t="shared" si="6"/>
        <v>BG</v>
      </c>
      <c r="D118" t="str">
        <f t="shared" si="7"/>
        <v>WHE</v>
      </c>
      <c r="E118" t="str">
        <f t="shared" si="5"/>
        <v>BGWHE</v>
      </c>
      <c r="F118" t="str">
        <f t="shared" si="8"/>
        <v>H</v>
      </c>
      <c r="G118" t="s">
        <v>220</v>
      </c>
      <c r="H118">
        <v>1</v>
      </c>
      <c r="I118">
        <v>0.2</v>
      </c>
      <c r="J118" t="str">
        <f t="shared" si="9"/>
        <v>BGL000WHEHI0BGLFER</v>
      </c>
      <c r="K118">
        <f>_xlfn.IFNA(IF(F118="H",VLOOKUP(E118,Fertiliser_data!$E$7:$L$267,8,FALSE),VLOOKUP(E118,Fertiliser_data!$E$7:$L$267,8,FALSE)*0.65),IF(F118="H",0.038,(0.038*0.65)))</f>
        <v>4.1922388059701492E-2</v>
      </c>
      <c r="L118">
        <f>IF($C118="IE",$K118*CF_231025!$E$16,$K118/VLOOKUP($C118,CF_231025!$A$2:$E$28,5,FALSE))</f>
        <v>1.6336967859828685E-2</v>
      </c>
    </row>
    <row r="119" spans="1:12" x14ac:dyDescent="0.25">
      <c r="A119" t="s">
        <v>136</v>
      </c>
      <c r="B119" t="s">
        <v>257</v>
      </c>
      <c r="C119" t="str">
        <f t="shared" si="6"/>
        <v>BG</v>
      </c>
      <c r="D119" t="str">
        <f t="shared" si="7"/>
        <v>WHE</v>
      </c>
      <c r="E119" t="str">
        <f t="shared" si="5"/>
        <v>BGWHE</v>
      </c>
      <c r="F119" t="str">
        <f t="shared" si="8"/>
        <v>H</v>
      </c>
      <c r="G119" t="s">
        <v>220</v>
      </c>
      <c r="H119">
        <v>1</v>
      </c>
      <c r="I119">
        <v>0.2</v>
      </c>
      <c r="J119" t="str">
        <f t="shared" si="9"/>
        <v>BGL000WHEHR0BGLFER</v>
      </c>
      <c r="K119">
        <f>_xlfn.IFNA(IF(F119="H",VLOOKUP(E119,Fertiliser_data!$E$7:$L$267,8,FALSE),VLOOKUP(E119,Fertiliser_data!$E$7:$L$267,8,FALSE)*0.65),IF(F119="H",0.038,(0.038*0.65)))</f>
        <v>4.1922388059701492E-2</v>
      </c>
      <c r="L119">
        <f>IF($C119="IE",$K119*CF_231025!$E$16,$K119/VLOOKUP($C119,CF_231025!$A$2:$E$28,5,FALSE))</f>
        <v>1.6336967859828685E-2</v>
      </c>
    </row>
    <row r="120" spans="1:12" x14ac:dyDescent="0.25">
      <c r="A120" t="s">
        <v>136</v>
      </c>
      <c r="B120" t="s">
        <v>258</v>
      </c>
      <c r="C120" t="str">
        <f t="shared" si="6"/>
        <v>BG</v>
      </c>
      <c r="D120" t="str">
        <f t="shared" si="7"/>
        <v>WHE</v>
      </c>
      <c r="E120" t="str">
        <f t="shared" si="5"/>
        <v>BGWHE</v>
      </c>
      <c r="F120" t="str">
        <f t="shared" si="8"/>
        <v>L</v>
      </c>
      <c r="G120" t="s">
        <v>220</v>
      </c>
      <c r="H120">
        <v>1</v>
      </c>
      <c r="I120">
        <v>7.0000000000000007E-2</v>
      </c>
      <c r="J120" t="str">
        <f t="shared" si="9"/>
        <v>BGL000WHELI0BGLFER</v>
      </c>
      <c r="K120">
        <f>_xlfn.IFNA(IF(F120="H",VLOOKUP(E120,Fertiliser_data!$E$7:$L$267,8,FALSE),VLOOKUP(E120,Fertiliser_data!$E$7:$L$267,8,FALSE)*0.65),IF(F120="H",0.038,(0.038*0.65)))</f>
        <v>2.7249552238805971E-2</v>
      </c>
      <c r="L120">
        <f>IF($C120="IE",$K120*CF_231025!$E$16,$K120/VLOOKUP($C120,CF_231025!$A$2:$E$28,5,FALSE))</f>
        <v>1.0619029108888645E-2</v>
      </c>
    </row>
    <row r="121" spans="1:12" x14ac:dyDescent="0.25">
      <c r="A121" t="s">
        <v>136</v>
      </c>
      <c r="B121" t="s">
        <v>259</v>
      </c>
      <c r="C121" t="str">
        <f t="shared" si="6"/>
        <v>BG</v>
      </c>
      <c r="D121" t="str">
        <f t="shared" si="7"/>
        <v>WHE</v>
      </c>
      <c r="E121" t="str">
        <f t="shared" si="5"/>
        <v>BGWHE</v>
      </c>
      <c r="F121" t="str">
        <f t="shared" si="8"/>
        <v>L</v>
      </c>
      <c r="G121" t="s">
        <v>220</v>
      </c>
      <c r="H121">
        <v>1</v>
      </c>
      <c r="I121">
        <v>7.0000000000000007E-2</v>
      </c>
      <c r="J121" t="str">
        <f t="shared" si="9"/>
        <v>BGL000WHELR0BGLFER</v>
      </c>
      <c r="K121">
        <f>_xlfn.IFNA(IF(F121="H",VLOOKUP(E121,Fertiliser_data!$E$7:$L$267,8,FALSE),VLOOKUP(E121,Fertiliser_data!$E$7:$L$267,8,FALSE)*0.65),IF(F121="H",0.038,(0.038*0.65)))</f>
        <v>2.7249552238805971E-2</v>
      </c>
      <c r="L121">
        <f>IF($C121="IE",$K121*CF_231025!$E$16,$K121/VLOOKUP($C121,CF_231025!$A$2:$E$28,5,FALSE))</f>
        <v>1.0619029108888645E-2</v>
      </c>
    </row>
    <row r="122" spans="1:12" x14ac:dyDescent="0.25">
      <c r="A122" t="s">
        <v>136</v>
      </c>
      <c r="B122" t="s">
        <v>260</v>
      </c>
      <c r="C122" t="str">
        <f t="shared" si="6"/>
        <v>CY</v>
      </c>
      <c r="D122" t="str">
        <f t="shared" si="7"/>
        <v>BRL</v>
      </c>
      <c r="E122" t="str">
        <f t="shared" si="5"/>
        <v>CYBRL</v>
      </c>
      <c r="F122" t="str">
        <f t="shared" si="8"/>
        <v>H</v>
      </c>
      <c r="G122" t="s">
        <v>261</v>
      </c>
      <c r="H122">
        <v>1</v>
      </c>
      <c r="I122">
        <v>0.15</v>
      </c>
      <c r="J122" t="str">
        <f t="shared" si="9"/>
        <v>CYL000BRLHI0CYLFER</v>
      </c>
      <c r="K122">
        <f>_xlfn.IFNA(IF(F122="H",VLOOKUP(E122,Fertiliser_data!$E$7:$L$267,8,FALSE),VLOOKUP(E122,Fertiliser_data!$E$7:$L$267,8,FALSE)*0.65),IF(F122="H",0.038,(0.038*0.65)))</f>
        <v>2.3125373134328359E-2</v>
      </c>
      <c r="L122">
        <f>IF($C122="IE",$K122*CF_231025!$E$16,$K122/VLOOKUP($C122,CF_231025!$A$2:$E$28,5,FALSE))</f>
        <v>2.4215310421590755E-3</v>
      </c>
    </row>
    <row r="123" spans="1:12" x14ac:dyDescent="0.25">
      <c r="A123" t="s">
        <v>136</v>
      </c>
      <c r="B123" t="s">
        <v>262</v>
      </c>
      <c r="C123" t="str">
        <f t="shared" si="6"/>
        <v>CY</v>
      </c>
      <c r="D123" t="str">
        <f t="shared" si="7"/>
        <v>BRL</v>
      </c>
      <c r="E123" t="str">
        <f t="shared" si="5"/>
        <v>CYBRL</v>
      </c>
      <c r="F123" t="str">
        <f t="shared" si="8"/>
        <v>H</v>
      </c>
      <c r="G123" t="s">
        <v>261</v>
      </c>
      <c r="H123">
        <v>1</v>
      </c>
      <c r="I123">
        <v>0.15</v>
      </c>
      <c r="J123" t="str">
        <f t="shared" si="9"/>
        <v>CYL000BRLHR0CYLFER</v>
      </c>
      <c r="K123">
        <f>_xlfn.IFNA(IF(F123="H",VLOOKUP(E123,Fertiliser_data!$E$7:$L$267,8,FALSE),VLOOKUP(E123,Fertiliser_data!$E$7:$L$267,8,FALSE)*0.65),IF(F123="H",0.038,(0.038*0.65)))</f>
        <v>2.3125373134328359E-2</v>
      </c>
      <c r="L123">
        <f>IF($C123="IE",$K123*CF_231025!$E$16,$K123/VLOOKUP($C123,CF_231025!$A$2:$E$28,5,FALSE))</f>
        <v>2.4215310421590755E-3</v>
      </c>
    </row>
    <row r="124" spans="1:12" x14ac:dyDescent="0.25">
      <c r="A124" t="s">
        <v>136</v>
      </c>
      <c r="B124" t="s">
        <v>263</v>
      </c>
      <c r="C124" t="str">
        <f t="shared" si="6"/>
        <v>CY</v>
      </c>
      <c r="D124" t="str">
        <f t="shared" si="7"/>
        <v>BRL</v>
      </c>
      <c r="E124" t="str">
        <f t="shared" si="5"/>
        <v>CYBRL</v>
      </c>
      <c r="F124" t="str">
        <f t="shared" si="8"/>
        <v>L</v>
      </c>
      <c r="G124" t="s">
        <v>261</v>
      </c>
      <c r="H124">
        <v>1</v>
      </c>
      <c r="I124">
        <v>0.06</v>
      </c>
      <c r="J124" t="str">
        <f t="shared" si="9"/>
        <v>CYL000BRLLI0CYLFER</v>
      </c>
      <c r="K124">
        <f>_xlfn.IFNA(IF(F124="H",VLOOKUP(E124,Fertiliser_data!$E$7:$L$267,8,FALSE),VLOOKUP(E124,Fertiliser_data!$E$7:$L$267,8,FALSE)*0.65),IF(F124="H",0.038,(0.038*0.65)))</f>
        <v>1.5031492537313434E-2</v>
      </c>
      <c r="L124">
        <f>IF($C124="IE",$K124*CF_231025!$E$16,$K124/VLOOKUP($C124,CF_231025!$A$2:$E$28,5,FALSE))</f>
        <v>1.5739951774033992E-3</v>
      </c>
    </row>
    <row r="125" spans="1:12" x14ac:dyDescent="0.25">
      <c r="A125" t="s">
        <v>136</v>
      </c>
      <c r="B125" t="s">
        <v>264</v>
      </c>
      <c r="C125" t="str">
        <f t="shared" si="6"/>
        <v>CY</v>
      </c>
      <c r="D125" t="str">
        <f t="shared" si="7"/>
        <v>BRL</v>
      </c>
      <c r="E125" t="str">
        <f t="shared" si="5"/>
        <v>CYBRL</v>
      </c>
      <c r="F125" t="str">
        <f t="shared" si="8"/>
        <v>L</v>
      </c>
      <c r="G125" t="s">
        <v>261</v>
      </c>
      <c r="H125">
        <v>1</v>
      </c>
      <c r="I125">
        <v>0.06</v>
      </c>
      <c r="J125" t="str">
        <f t="shared" si="9"/>
        <v>CYL000BRLLR0CYLFER</v>
      </c>
      <c r="K125">
        <f>_xlfn.IFNA(IF(F125="H",VLOOKUP(E125,Fertiliser_data!$E$7:$L$267,8,FALSE),VLOOKUP(E125,Fertiliser_data!$E$7:$L$267,8,FALSE)*0.65),IF(F125="H",0.038,(0.038*0.65)))</f>
        <v>1.5031492537313434E-2</v>
      </c>
      <c r="L125">
        <f>IF($C125="IE",$K125*CF_231025!$E$16,$K125/VLOOKUP($C125,CF_231025!$A$2:$E$28,5,FALSE))</f>
        <v>1.5739951774033992E-3</v>
      </c>
    </row>
    <row r="126" spans="1:12" x14ac:dyDescent="0.25">
      <c r="A126" t="s">
        <v>136</v>
      </c>
      <c r="B126" t="s">
        <v>265</v>
      </c>
      <c r="C126" t="str">
        <f t="shared" si="6"/>
        <v>CY</v>
      </c>
      <c r="D126" t="str">
        <f t="shared" si="7"/>
        <v>RYE</v>
      </c>
      <c r="E126" t="str">
        <f t="shared" si="5"/>
        <v>CYRYE</v>
      </c>
      <c r="F126" t="str">
        <f t="shared" si="8"/>
        <v>H</v>
      </c>
      <c r="G126" t="s">
        <v>261</v>
      </c>
      <c r="H126">
        <v>1</v>
      </c>
      <c r="I126">
        <v>0.11</v>
      </c>
      <c r="J126" t="str">
        <f t="shared" si="9"/>
        <v>CYL000RYEHI0CYLFER</v>
      </c>
      <c r="K126">
        <f>_xlfn.IFNA(IF(F126="H",VLOOKUP(E126,Fertiliser_data!$E$7:$L$267,8,FALSE),VLOOKUP(E126,Fertiliser_data!$E$7:$L$267,8,FALSE)*0.65),IF(F126="H",0.038,(0.038*0.65)))</f>
        <v>3.7999999999999999E-2</v>
      </c>
      <c r="L126">
        <f>IF($C126="IE",$K126*CF_231025!$E$16,$K126/VLOOKUP($C126,CF_231025!$A$2:$E$28,5,FALSE))</f>
        <v>3.979100318405193E-3</v>
      </c>
    </row>
    <row r="127" spans="1:12" x14ac:dyDescent="0.25">
      <c r="A127" t="s">
        <v>136</v>
      </c>
      <c r="B127" t="s">
        <v>266</v>
      </c>
      <c r="C127" t="str">
        <f t="shared" si="6"/>
        <v>CY</v>
      </c>
      <c r="D127" t="str">
        <f t="shared" si="7"/>
        <v>RYE</v>
      </c>
      <c r="E127" t="str">
        <f t="shared" si="5"/>
        <v>CYRYE</v>
      </c>
      <c r="F127" t="str">
        <f t="shared" si="8"/>
        <v>H</v>
      </c>
      <c r="G127" t="s">
        <v>261</v>
      </c>
      <c r="H127">
        <v>1</v>
      </c>
      <c r="I127">
        <v>0.11</v>
      </c>
      <c r="J127" t="str">
        <f t="shared" si="9"/>
        <v>CYL000RYEHR0CYLFER</v>
      </c>
      <c r="K127">
        <f>_xlfn.IFNA(IF(F127="H",VLOOKUP(E127,Fertiliser_data!$E$7:$L$267,8,FALSE),VLOOKUP(E127,Fertiliser_data!$E$7:$L$267,8,FALSE)*0.65),IF(F127="H",0.038,(0.038*0.65)))</f>
        <v>3.7999999999999999E-2</v>
      </c>
      <c r="L127">
        <f>IF($C127="IE",$K127*CF_231025!$E$16,$K127/VLOOKUP($C127,CF_231025!$A$2:$E$28,5,FALSE))</f>
        <v>3.979100318405193E-3</v>
      </c>
    </row>
    <row r="128" spans="1:12" x14ac:dyDescent="0.25">
      <c r="A128" t="s">
        <v>136</v>
      </c>
      <c r="B128" t="s">
        <v>267</v>
      </c>
      <c r="C128" t="str">
        <f t="shared" si="6"/>
        <v>CY</v>
      </c>
      <c r="D128" t="str">
        <f t="shared" si="7"/>
        <v>RYE</v>
      </c>
      <c r="E128" t="str">
        <f t="shared" si="5"/>
        <v>CYRYE</v>
      </c>
      <c r="F128" t="str">
        <f t="shared" si="8"/>
        <v>L</v>
      </c>
      <c r="G128" t="s">
        <v>261</v>
      </c>
      <c r="H128">
        <v>1</v>
      </c>
      <c r="I128">
        <v>0.04</v>
      </c>
      <c r="J128" t="str">
        <f t="shared" si="9"/>
        <v>CYL000RYELI0CYLFER</v>
      </c>
      <c r="K128">
        <f>_xlfn.IFNA(IF(F128="H",VLOOKUP(E128,Fertiliser_data!$E$7:$L$267,8,FALSE),VLOOKUP(E128,Fertiliser_data!$E$7:$L$267,8,FALSE)*0.65),IF(F128="H",0.038,(0.038*0.65)))</f>
        <v>2.47E-2</v>
      </c>
      <c r="L128">
        <f>IF($C128="IE",$K128*CF_231025!$E$16,$K128/VLOOKUP($C128,CF_231025!$A$2:$E$28,5,FALSE))</f>
        <v>2.5864152069633756E-3</v>
      </c>
    </row>
    <row r="129" spans="1:12" x14ac:dyDescent="0.25">
      <c r="A129" t="s">
        <v>136</v>
      </c>
      <c r="B129" t="s">
        <v>268</v>
      </c>
      <c r="C129" t="str">
        <f t="shared" si="6"/>
        <v>CY</v>
      </c>
      <c r="D129" t="str">
        <f t="shared" si="7"/>
        <v>RYE</v>
      </c>
      <c r="E129" t="str">
        <f t="shared" si="5"/>
        <v>CYRYE</v>
      </c>
      <c r="F129" t="str">
        <f t="shared" si="8"/>
        <v>L</v>
      </c>
      <c r="G129" t="s">
        <v>261</v>
      </c>
      <c r="H129">
        <v>1</v>
      </c>
      <c r="I129">
        <v>0.04</v>
      </c>
      <c r="J129" t="str">
        <f t="shared" si="9"/>
        <v>CYL000RYELR0CYLFER</v>
      </c>
      <c r="K129">
        <f>_xlfn.IFNA(IF(F129="H",VLOOKUP(E129,Fertiliser_data!$E$7:$L$267,8,FALSE),VLOOKUP(E129,Fertiliser_data!$E$7:$L$267,8,FALSE)*0.65),IF(F129="H",0.038,(0.038*0.65)))</f>
        <v>2.47E-2</v>
      </c>
      <c r="L129">
        <f>IF($C129="IE",$K129*CF_231025!$E$16,$K129/VLOOKUP($C129,CF_231025!$A$2:$E$28,5,FALSE))</f>
        <v>2.5864152069633756E-3</v>
      </c>
    </row>
    <row r="130" spans="1:12" x14ac:dyDescent="0.25">
      <c r="A130" t="s">
        <v>136</v>
      </c>
      <c r="B130" t="s">
        <v>269</v>
      </c>
      <c r="C130" t="str">
        <f t="shared" si="6"/>
        <v>CY</v>
      </c>
      <c r="D130" t="str">
        <f t="shared" si="7"/>
        <v>POT</v>
      </c>
      <c r="E130" t="str">
        <f t="shared" ref="E130:E193" si="10">C130&amp;D130</f>
        <v>CYPOT</v>
      </c>
      <c r="F130" t="str">
        <f t="shared" si="8"/>
        <v>H</v>
      </c>
      <c r="G130" t="s">
        <v>261</v>
      </c>
      <c r="H130">
        <v>1</v>
      </c>
      <c r="I130">
        <v>0.17</v>
      </c>
      <c r="J130" t="str">
        <f t="shared" si="9"/>
        <v>CYL000POTHI0CYLFER</v>
      </c>
      <c r="K130">
        <f>_xlfn.IFNA(IF(F130="H",VLOOKUP(E130,Fertiliser_data!$E$7:$L$267,8,FALSE),VLOOKUP(E130,Fertiliser_data!$E$7:$L$267,8,FALSE)*0.65),IF(F130="H",0.038,(0.038*0.65)))</f>
        <v>0.13085671641791047</v>
      </c>
      <c r="L130">
        <f>IF($C130="IE",$K130*CF_231025!$E$16,$K130/VLOOKUP($C130,CF_231025!$A$2:$E$28,5,FALSE))</f>
        <v>1.3702421104314886E-2</v>
      </c>
    </row>
    <row r="131" spans="1:12" x14ac:dyDescent="0.25">
      <c r="A131" t="s">
        <v>136</v>
      </c>
      <c r="B131" t="s">
        <v>270</v>
      </c>
      <c r="C131" t="str">
        <f t="shared" ref="C131:C194" si="11">LEFT(B131,2)</f>
        <v>CY</v>
      </c>
      <c r="D131" t="str">
        <f t="shared" ref="D131:D194" si="12">MID(B131,7,3)</f>
        <v>POT</v>
      </c>
      <c r="E131" t="str">
        <f t="shared" si="10"/>
        <v>CYPOT</v>
      </c>
      <c r="F131" t="str">
        <f t="shared" ref="F131:F194" si="13">MID(B131,10,1)</f>
        <v>H</v>
      </c>
      <c r="G131" t="s">
        <v>261</v>
      </c>
      <c r="H131">
        <v>1</v>
      </c>
      <c r="I131">
        <v>0.17</v>
      </c>
      <c r="J131" t="str">
        <f t="shared" ref="J131:J194" si="14">B131&amp;G131</f>
        <v>CYL000POTHR0CYLFER</v>
      </c>
      <c r="K131">
        <f>_xlfn.IFNA(IF(F131="H",VLOOKUP(E131,Fertiliser_data!$E$7:$L$267,8,FALSE),VLOOKUP(E131,Fertiliser_data!$E$7:$L$267,8,FALSE)*0.65),IF(F131="H",0.038,(0.038*0.65)))</f>
        <v>0.13085671641791047</v>
      </c>
      <c r="L131">
        <f>IF($C131="IE",$K131*CF_231025!$E$16,$K131/VLOOKUP($C131,CF_231025!$A$2:$E$28,5,FALSE))</f>
        <v>1.3702421104314886E-2</v>
      </c>
    </row>
    <row r="132" spans="1:12" x14ac:dyDescent="0.25">
      <c r="A132" t="s">
        <v>136</v>
      </c>
      <c r="B132" t="s">
        <v>271</v>
      </c>
      <c r="C132" t="str">
        <f t="shared" si="11"/>
        <v>CY</v>
      </c>
      <c r="D132" t="str">
        <f t="shared" si="12"/>
        <v>POT</v>
      </c>
      <c r="E132" t="str">
        <f t="shared" si="10"/>
        <v>CYPOT</v>
      </c>
      <c r="F132" t="str">
        <f t="shared" si="13"/>
        <v>L</v>
      </c>
      <c r="G132" t="s">
        <v>261</v>
      </c>
      <c r="H132">
        <v>1</v>
      </c>
      <c r="I132">
        <v>0.06</v>
      </c>
      <c r="J132" t="str">
        <f t="shared" si="14"/>
        <v>CYL000POTLI0CYLFER</v>
      </c>
      <c r="K132">
        <f>_xlfn.IFNA(IF(F132="H",VLOOKUP(E132,Fertiliser_data!$E$7:$L$267,8,FALSE),VLOOKUP(E132,Fertiliser_data!$E$7:$L$267,8,FALSE)*0.65),IF(F132="H",0.038,(0.038*0.65)))</f>
        <v>8.5056865671641807E-2</v>
      </c>
      <c r="L132">
        <f>IF($C132="IE",$K132*CF_231025!$E$16,$K132/VLOOKUP($C132,CF_231025!$A$2:$E$28,5,FALSE))</f>
        <v>8.906573717804676E-3</v>
      </c>
    </row>
    <row r="133" spans="1:12" x14ac:dyDescent="0.25">
      <c r="A133" t="s">
        <v>136</v>
      </c>
      <c r="B133" t="s">
        <v>272</v>
      </c>
      <c r="C133" t="str">
        <f t="shared" si="11"/>
        <v>CY</v>
      </c>
      <c r="D133" t="str">
        <f t="shared" si="12"/>
        <v>POT</v>
      </c>
      <c r="E133" t="str">
        <f t="shared" si="10"/>
        <v>CYPOT</v>
      </c>
      <c r="F133" t="str">
        <f t="shared" si="13"/>
        <v>L</v>
      </c>
      <c r="G133" t="s">
        <v>261</v>
      </c>
      <c r="H133">
        <v>1</v>
      </c>
      <c r="I133">
        <v>0.06</v>
      </c>
      <c r="J133" t="str">
        <f t="shared" si="14"/>
        <v>CYL000POTLR0CYLFER</v>
      </c>
      <c r="K133">
        <f>_xlfn.IFNA(IF(F133="H",VLOOKUP(E133,Fertiliser_data!$E$7:$L$267,8,FALSE),VLOOKUP(E133,Fertiliser_data!$E$7:$L$267,8,FALSE)*0.65),IF(F133="H",0.038,(0.038*0.65)))</f>
        <v>8.5056865671641807E-2</v>
      </c>
      <c r="L133">
        <f>IF($C133="IE",$K133*CF_231025!$E$16,$K133/VLOOKUP($C133,CF_231025!$A$2:$E$28,5,FALSE))</f>
        <v>8.906573717804676E-3</v>
      </c>
    </row>
    <row r="134" spans="1:12" x14ac:dyDescent="0.25">
      <c r="A134" t="s">
        <v>136</v>
      </c>
      <c r="B134" t="s">
        <v>273</v>
      </c>
      <c r="C134" t="str">
        <f t="shared" si="11"/>
        <v>CY</v>
      </c>
      <c r="D134" t="str">
        <f t="shared" si="12"/>
        <v>TAN</v>
      </c>
      <c r="E134" t="str">
        <f t="shared" si="10"/>
        <v>CYTAN</v>
      </c>
      <c r="F134" t="str">
        <f t="shared" si="13"/>
        <v>H</v>
      </c>
      <c r="G134" t="s">
        <v>261</v>
      </c>
      <c r="H134">
        <v>1</v>
      </c>
      <c r="I134">
        <v>0.17</v>
      </c>
      <c r="J134" t="str">
        <f t="shared" si="14"/>
        <v>CYL000TANHI0CYLFER</v>
      </c>
      <c r="K134">
        <f>_xlfn.IFNA(IF(F134="H",VLOOKUP(E134,Fertiliser_data!$E$7:$L$267,8,FALSE),VLOOKUP(E134,Fertiliser_data!$E$7:$L$267,8,FALSE)*0.65),IF(F134="H",0.038,(0.038*0.65)))</f>
        <v>2.4916417910447762E-2</v>
      </c>
      <c r="L134">
        <f>IF($C134="IE",$K134*CF_231025!$E$16,$K134/VLOOKUP($C134,CF_231025!$A$2:$E$28,5,FALSE))</f>
        <v>2.609077011604725E-3</v>
      </c>
    </row>
    <row r="135" spans="1:12" x14ac:dyDescent="0.25">
      <c r="A135" t="s">
        <v>136</v>
      </c>
      <c r="B135" t="s">
        <v>274</v>
      </c>
      <c r="C135" t="str">
        <f t="shared" si="11"/>
        <v>CY</v>
      </c>
      <c r="D135" t="str">
        <f t="shared" si="12"/>
        <v>TAN</v>
      </c>
      <c r="E135" t="str">
        <f t="shared" si="10"/>
        <v>CYTAN</v>
      </c>
      <c r="F135" t="str">
        <f t="shared" si="13"/>
        <v>H</v>
      </c>
      <c r="G135" t="s">
        <v>261</v>
      </c>
      <c r="H135">
        <v>1</v>
      </c>
      <c r="I135">
        <v>0.17</v>
      </c>
      <c r="J135" t="str">
        <f t="shared" si="14"/>
        <v>CYL000TANHR0CYLFER</v>
      </c>
      <c r="K135">
        <f>_xlfn.IFNA(IF(F135="H",VLOOKUP(E135,Fertiliser_data!$E$7:$L$267,8,FALSE),VLOOKUP(E135,Fertiliser_data!$E$7:$L$267,8,FALSE)*0.65),IF(F135="H",0.038,(0.038*0.65)))</f>
        <v>2.4916417910447762E-2</v>
      </c>
      <c r="L135">
        <f>IF($C135="IE",$K135*CF_231025!$E$16,$K135/VLOOKUP($C135,CF_231025!$A$2:$E$28,5,FALSE))</f>
        <v>2.609077011604725E-3</v>
      </c>
    </row>
    <row r="136" spans="1:12" x14ac:dyDescent="0.25">
      <c r="A136" t="s">
        <v>136</v>
      </c>
      <c r="B136" t="s">
        <v>275</v>
      </c>
      <c r="C136" t="str">
        <f t="shared" si="11"/>
        <v>CY</v>
      </c>
      <c r="D136" t="str">
        <f t="shared" si="12"/>
        <v>TAN</v>
      </c>
      <c r="E136" t="str">
        <f t="shared" si="10"/>
        <v>CYTAN</v>
      </c>
      <c r="F136" t="str">
        <f t="shared" si="13"/>
        <v>L</v>
      </c>
      <c r="G136" t="s">
        <v>261</v>
      </c>
      <c r="H136">
        <v>1</v>
      </c>
      <c r="I136">
        <v>0.06</v>
      </c>
      <c r="J136" t="str">
        <f t="shared" si="14"/>
        <v>CYL000TANLI0CYLFER</v>
      </c>
      <c r="K136">
        <f>_xlfn.IFNA(IF(F136="H",VLOOKUP(E136,Fertiliser_data!$E$7:$L$267,8,FALSE),VLOOKUP(E136,Fertiliser_data!$E$7:$L$267,8,FALSE)*0.65),IF(F136="H",0.038,(0.038*0.65)))</f>
        <v>1.6195671641791046E-2</v>
      </c>
      <c r="L136">
        <f>IF($C136="IE",$K136*CF_231025!$E$16,$K136/VLOOKUP($C136,CF_231025!$A$2:$E$28,5,FALSE))</f>
        <v>1.6959000575430714E-3</v>
      </c>
    </row>
    <row r="137" spans="1:12" x14ac:dyDescent="0.25">
      <c r="A137" t="s">
        <v>136</v>
      </c>
      <c r="B137" t="s">
        <v>276</v>
      </c>
      <c r="C137" t="str">
        <f t="shared" si="11"/>
        <v>CY</v>
      </c>
      <c r="D137" t="str">
        <f t="shared" si="12"/>
        <v>TAN</v>
      </c>
      <c r="E137" t="str">
        <f t="shared" si="10"/>
        <v>CYTAN</v>
      </c>
      <c r="F137" t="str">
        <f t="shared" si="13"/>
        <v>L</v>
      </c>
      <c r="G137" t="s">
        <v>261</v>
      </c>
      <c r="H137">
        <v>1</v>
      </c>
      <c r="I137">
        <v>0.06</v>
      </c>
      <c r="J137" t="str">
        <f t="shared" si="14"/>
        <v>CYL000TANLR0CYLFER</v>
      </c>
      <c r="K137">
        <f>_xlfn.IFNA(IF(F137="H",VLOOKUP(E137,Fertiliser_data!$E$7:$L$267,8,FALSE),VLOOKUP(E137,Fertiliser_data!$E$7:$L$267,8,FALSE)*0.65),IF(F137="H",0.038,(0.038*0.65)))</f>
        <v>1.6195671641791046E-2</v>
      </c>
      <c r="L137">
        <f>IF($C137="IE",$K137*CF_231025!$E$16,$K137/VLOOKUP($C137,CF_231025!$A$2:$E$28,5,FALSE))</f>
        <v>1.6959000575430714E-3</v>
      </c>
    </row>
    <row r="138" spans="1:12" x14ac:dyDescent="0.25">
      <c r="A138" t="s">
        <v>136</v>
      </c>
      <c r="B138" t="s">
        <v>277</v>
      </c>
      <c r="C138" t="str">
        <f t="shared" si="11"/>
        <v>CY</v>
      </c>
      <c r="D138" t="str">
        <f t="shared" si="12"/>
        <v>OTH</v>
      </c>
      <c r="E138" t="str">
        <f t="shared" si="10"/>
        <v>CYOTH</v>
      </c>
      <c r="F138" t="str">
        <f t="shared" si="13"/>
        <v>H</v>
      </c>
      <c r="G138" t="s">
        <v>261</v>
      </c>
      <c r="H138">
        <v>1</v>
      </c>
      <c r="I138">
        <v>0.17</v>
      </c>
      <c r="J138" t="str">
        <f t="shared" si="14"/>
        <v>CYL000OTHHI0CYLFER</v>
      </c>
      <c r="K138">
        <f>_xlfn.IFNA(IF(F138="H",VLOOKUP(E138,Fertiliser_data!$E$7:$L$267,8,FALSE),VLOOKUP(E138,Fertiliser_data!$E$7:$L$267,8,FALSE)*0.65),IF(F138="H",0.038,(0.038*0.65)))</f>
        <v>3.7999999999999999E-2</v>
      </c>
      <c r="L138">
        <f>IF($C138="IE",$K138*CF_231025!$E$16,$K138/VLOOKUP($C138,CF_231025!$A$2:$E$28,5,FALSE))</f>
        <v>3.979100318405193E-3</v>
      </c>
    </row>
    <row r="139" spans="1:12" x14ac:dyDescent="0.25">
      <c r="A139" t="s">
        <v>136</v>
      </c>
      <c r="B139" t="s">
        <v>278</v>
      </c>
      <c r="C139" t="str">
        <f t="shared" si="11"/>
        <v>CY</v>
      </c>
      <c r="D139" t="str">
        <f t="shared" si="12"/>
        <v>OTH</v>
      </c>
      <c r="E139" t="str">
        <f t="shared" si="10"/>
        <v>CYOTH</v>
      </c>
      <c r="F139" t="str">
        <f t="shared" si="13"/>
        <v>H</v>
      </c>
      <c r="G139" t="s">
        <v>261</v>
      </c>
      <c r="H139">
        <v>1</v>
      </c>
      <c r="I139">
        <v>0.17</v>
      </c>
      <c r="J139" t="str">
        <f t="shared" si="14"/>
        <v>CYL000OTHHR0CYLFER</v>
      </c>
      <c r="K139">
        <f>_xlfn.IFNA(IF(F139="H",VLOOKUP(E139,Fertiliser_data!$E$7:$L$267,8,FALSE),VLOOKUP(E139,Fertiliser_data!$E$7:$L$267,8,FALSE)*0.65),IF(F139="H",0.038,(0.038*0.65)))</f>
        <v>3.7999999999999999E-2</v>
      </c>
      <c r="L139">
        <f>IF($C139="IE",$K139*CF_231025!$E$16,$K139/VLOOKUP($C139,CF_231025!$A$2:$E$28,5,FALSE))</f>
        <v>3.979100318405193E-3</v>
      </c>
    </row>
    <row r="140" spans="1:12" x14ac:dyDescent="0.25">
      <c r="A140" t="s">
        <v>136</v>
      </c>
      <c r="B140" t="s">
        <v>279</v>
      </c>
      <c r="C140" t="str">
        <f t="shared" si="11"/>
        <v>CY</v>
      </c>
      <c r="D140" t="str">
        <f t="shared" si="12"/>
        <v>OTH</v>
      </c>
      <c r="E140" t="str">
        <f t="shared" si="10"/>
        <v>CYOTH</v>
      </c>
      <c r="F140" t="str">
        <f t="shared" si="13"/>
        <v>L</v>
      </c>
      <c r="G140" t="s">
        <v>261</v>
      </c>
      <c r="H140">
        <v>1</v>
      </c>
      <c r="I140">
        <v>0.06</v>
      </c>
      <c r="J140" t="str">
        <f t="shared" si="14"/>
        <v>CYL000OTHLI0CYLFER</v>
      </c>
      <c r="K140">
        <f>_xlfn.IFNA(IF(F140="H",VLOOKUP(E140,Fertiliser_data!$E$7:$L$267,8,FALSE),VLOOKUP(E140,Fertiliser_data!$E$7:$L$267,8,FALSE)*0.65),IF(F140="H",0.038,(0.038*0.65)))</f>
        <v>2.47E-2</v>
      </c>
      <c r="L140">
        <f>IF($C140="IE",$K140*CF_231025!$E$16,$K140/VLOOKUP($C140,CF_231025!$A$2:$E$28,5,FALSE))</f>
        <v>2.5864152069633756E-3</v>
      </c>
    </row>
    <row r="141" spans="1:12" x14ac:dyDescent="0.25">
      <c r="A141" t="s">
        <v>136</v>
      </c>
      <c r="B141" t="s">
        <v>280</v>
      </c>
      <c r="C141" t="str">
        <f t="shared" si="11"/>
        <v>CY</v>
      </c>
      <c r="D141" t="str">
        <f t="shared" si="12"/>
        <v>OTH</v>
      </c>
      <c r="E141" t="str">
        <f t="shared" si="10"/>
        <v>CYOTH</v>
      </c>
      <c r="F141" t="str">
        <f t="shared" si="13"/>
        <v>L</v>
      </c>
      <c r="G141" t="s">
        <v>261</v>
      </c>
      <c r="H141">
        <v>1</v>
      </c>
      <c r="I141">
        <v>0.06</v>
      </c>
      <c r="J141" t="str">
        <f t="shared" si="14"/>
        <v>CYL000OTHLR0CYLFER</v>
      </c>
      <c r="K141">
        <f>_xlfn.IFNA(IF(F141="H",VLOOKUP(E141,Fertiliser_data!$E$7:$L$267,8,FALSE),VLOOKUP(E141,Fertiliser_data!$E$7:$L$267,8,FALSE)*0.65),IF(F141="H",0.038,(0.038*0.65)))</f>
        <v>2.47E-2</v>
      </c>
      <c r="L141">
        <f>IF($C141="IE",$K141*CF_231025!$E$16,$K141/VLOOKUP($C141,CF_231025!$A$2:$E$28,5,FALSE))</f>
        <v>2.5864152069633756E-3</v>
      </c>
    </row>
    <row r="142" spans="1:12" x14ac:dyDescent="0.25">
      <c r="A142" t="s">
        <v>136</v>
      </c>
      <c r="B142" t="s">
        <v>281</v>
      </c>
      <c r="C142" t="str">
        <f t="shared" si="11"/>
        <v>CY</v>
      </c>
      <c r="D142" t="str">
        <f t="shared" si="12"/>
        <v>ORA</v>
      </c>
      <c r="E142" t="str">
        <f t="shared" si="10"/>
        <v>CYORA</v>
      </c>
      <c r="F142" t="str">
        <f t="shared" si="13"/>
        <v>H</v>
      </c>
      <c r="G142" t="s">
        <v>261</v>
      </c>
      <c r="H142">
        <v>1</v>
      </c>
      <c r="I142">
        <v>0.17</v>
      </c>
      <c r="J142" t="str">
        <f t="shared" si="14"/>
        <v>CYL000ORAHI0CYLFER</v>
      </c>
      <c r="K142">
        <f>_xlfn.IFNA(IF(F142="H",VLOOKUP(E142,Fertiliser_data!$E$7:$L$267,8,FALSE),VLOOKUP(E142,Fertiliser_data!$E$7:$L$267,8,FALSE)*0.65),IF(F142="H",0.038,(0.038*0.65)))</f>
        <v>2.4617910447761192E-2</v>
      </c>
      <c r="L142">
        <f>IF($C142="IE",$K142*CF_231025!$E$16,$K142/VLOOKUP($C142,CF_231025!$A$2:$E$28,5,FALSE))</f>
        <v>2.5778193500304498E-3</v>
      </c>
    </row>
    <row r="143" spans="1:12" x14ac:dyDescent="0.25">
      <c r="A143" t="s">
        <v>136</v>
      </c>
      <c r="B143" t="s">
        <v>282</v>
      </c>
      <c r="C143" t="str">
        <f t="shared" si="11"/>
        <v>CY</v>
      </c>
      <c r="D143" t="str">
        <f t="shared" si="12"/>
        <v>ORA</v>
      </c>
      <c r="E143" t="str">
        <f t="shared" si="10"/>
        <v>CYORA</v>
      </c>
      <c r="F143" t="str">
        <f t="shared" si="13"/>
        <v>H</v>
      </c>
      <c r="G143" t="s">
        <v>261</v>
      </c>
      <c r="H143">
        <v>1</v>
      </c>
      <c r="I143">
        <v>0.17</v>
      </c>
      <c r="J143" t="str">
        <f t="shared" si="14"/>
        <v>CYL000ORAHR0CYLFER</v>
      </c>
      <c r="K143">
        <f>_xlfn.IFNA(IF(F143="H",VLOOKUP(E143,Fertiliser_data!$E$7:$L$267,8,FALSE),VLOOKUP(E143,Fertiliser_data!$E$7:$L$267,8,FALSE)*0.65),IF(F143="H",0.038,(0.038*0.65)))</f>
        <v>2.4617910447761192E-2</v>
      </c>
      <c r="L143">
        <f>IF($C143="IE",$K143*CF_231025!$E$16,$K143/VLOOKUP($C143,CF_231025!$A$2:$E$28,5,FALSE))</f>
        <v>2.5778193500304498E-3</v>
      </c>
    </row>
    <row r="144" spans="1:12" x14ac:dyDescent="0.25">
      <c r="A144" t="s">
        <v>136</v>
      </c>
      <c r="B144" t="s">
        <v>283</v>
      </c>
      <c r="C144" t="str">
        <f t="shared" si="11"/>
        <v>CY</v>
      </c>
      <c r="D144" t="str">
        <f t="shared" si="12"/>
        <v>ORA</v>
      </c>
      <c r="E144" t="str">
        <f t="shared" si="10"/>
        <v>CYORA</v>
      </c>
      <c r="F144" t="str">
        <f t="shared" si="13"/>
        <v>L</v>
      </c>
      <c r="G144" t="s">
        <v>261</v>
      </c>
      <c r="H144">
        <v>1</v>
      </c>
      <c r="I144">
        <v>0.06</v>
      </c>
      <c r="J144" t="str">
        <f t="shared" si="14"/>
        <v>CYL000ORALI0CYLFER</v>
      </c>
      <c r="K144">
        <f>_xlfn.IFNA(IF(F144="H",VLOOKUP(E144,Fertiliser_data!$E$7:$L$267,8,FALSE),VLOOKUP(E144,Fertiliser_data!$E$7:$L$267,8,FALSE)*0.65),IF(F144="H",0.038,(0.038*0.65)))</f>
        <v>1.6001641791044775E-2</v>
      </c>
      <c r="L144">
        <f>IF($C144="IE",$K144*CF_231025!$E$16,$K144/VLOOKUP($C144,CF_231025!$A$2:$E$28,5,FALSE))</f>
        <v>1.6755825775197925E-3</v>
      </c>
    </row>
    <row r="145" spans="1:12" x14ac:dyDescent="0.25">
      <c r="A145" t="s">
        <v>136</v>
      </c>
      <c r="B145" t="s">
        <v>284</v>
      </c>
      <c r="C145" t="str">
        <f t="shared" si="11"/>
        <v>CY</v>
      </c>
      <c r="D145" t="str">
        <f t="shared" si="12"/>
        <v>ORA</v>
      </c>
      <c r="E145" t="str">
        <f t="shared" si="10"/>
        <v>CYORA</v>
      </c>
      <c r="F145" t="str">
        <f t="shared" si="13"/>
        <v>L</v>
      </c>
      <c r="G145" t="s">
        <v>261</v>
      </c>
      <c r="H145">
        <v>1</v>
      </c>
      <c r="I145">
        <v>0.06</v>
      </c>
      <c r="J145" t="str">
        <f t="shared" si="14"/>
        <v>CYL000ORALR0CYLFER</v>
      </c>
      <c r="K145">
        <f>_xlfn.IFNA(IF(F145="H",VLOOKUP(E145,Fertiliser_data!$E$7:$L$267,8,FALSE),VLOOKUP(E145,Fertiliser_data!$E$7:$L$267,8,FALSE)*0.65),IF(F145="H",0.038,(0.038*0.65)))</f>
        <v>1.6001641791044775E-2</v>
      </c>
      <c r="L145">
        <f>IF($C145="IE",$K145*CF_231025!$E$16,$K145/VLOOKUP($C145,CF_231025!$A$2:$E$28,5,FALSE))</f>
        <v>1.6755825775197925E-3</v>
      </c>
    </row>
    <row r="146" spans="1:12" x14ac:dyDescent="0.25">
      <c r="A146" t="s">
        <v>136</v>
      </c>
      <c r="B146" t="s">
        <v>285</v>
      </c>
      <c r="C146" t="str">
        <f t="shared" si="11"/>
        <v>CY</v>
      </c>
      <c r="D146" t="str">
        <f t="shared" si="12"/>
        <v>OLI</v>
      </c>
      <c r="E146" t="str">
        <f t="shared" si="10"/>
        <v>CYOLI</v>
      </c>
      <c r="F146" t="str">
        <f t="shared" si="13"/>
        <v>H</v>
      </c>
      <c r="G146" t="s">
        <v>261</v>
      </c>
      <c r="H146">
        <v>1</v>
      </c>
      <c r="I146">
        <v>0.17</v>
      </c>
      <c r="J146" t="str">
        <f t="shared" si="14"/>
        <v>CYL000OLIHI0CYLFER</v>
      </c>
      <c r="K146">
        <f>_xlfn.IFNA(IF(F146="H",VLOOKUP(E146,Fertiliser_data!$E$7:$L$267,8,FALSE),VLOOKUP(E146,Fertiliser_data!$E$7:$L$267,8,FALSE)*0.65),IF(F146="H",0.038,(0.038*0.65)))</f>
        <v>0.11776865671641791</v>
      </c>
      <c r="L146">
        <f>IF($C146="IE",$K146*CF_231025!$E$16,$K146/VLOOKUP($C146,CF_231025!$A$2:$E$28,5,FALSE))</f>
        <v>1.23319289325908E-2</v>
      </c>
    </row>
    <row r="147" spans="1:12" x14ac:dyDescent="0.25">
      <c r="A147" t="s">
        <v>136</v>
      </c>
      <c r="B147" t="s">
        <v>286</v>
      </c>
      <c r="C147" t="str">
        <f t="shared" si="11"/>
        <v>CY</v>
      </c>
      <c r="D147" t="str">
        <f t="shared" si="12"/>
        <v>OLI</v>
      </c>
      <c r="E147" t="str">
        <f t="shared" si="10"/>
        <v>CYOLI</v>
      </c>
      <c r="F147" t="str">
        <f t="shared" si="13"/>
        <v>H</v>
      </c>
      <c r="G147" t="s">
        <v>261</v>
      </c>
      <c r="H147">
        <v>1</v>
      </c>
      <c r="I147">
        <v>0.17</v>
      </c>
      <c r="J147" t="str">
        <f t="shared" si="14"/>
        <v>CYL000OLIHR0CYLFER</v>
      </c>
      <c r="K147">
        <f>_xlfn.IFNA(IF(F147="H",VLOOKUP(E147,Fertiliser_data!$E$7:$L$267,8,FALSE),VLOOKUP(E147,Fertiliser_data!$E$7:$L$267,8,FALSE)*0.65),IF(F147="H",0.038,(0.038*0.65)))</f>
        <v>0.11776865671641791</v>
      </c>
      <c r="L147">
        <f>IF($C147="IE",$K147*CF_231025!$E$16,$K147/VLOOKUP($C147,CF_231025!$A$2:$E$28,5,FALSE))</f>
        <v>1.23319289325908E-2</v>
      </c>
    </row>
    <row r="148" spans="1:12" x14ac:dyDescent="0.25">
      <c r="A148" t="s">
        <v>136</v>
      </c>
      <c r="B148" t="s">
        <v>287</v>
      </c>
      <c r="C148" t="str">
        <f t="shared" si="11"/>
        <v>CY</v>
      </c>
      <c r="D148" t="str">
        <f t="shared" si="12"/>
        <v>OLI</v>
      </c>
      <c r="E148" t="str">
        <f t="shared" si="10"/>
        <v>CYOLI</v>
      </c>
      <c r="F148" t="str">
        <f t="shared" si="13"/>
        <v>L</v>
      </c>
      <c r="G148" t="s">
        <v>261</v>
      </c>
      <c r="H148">
        <v>1</v>
      </c>
      <c r="I148">
        <v>0.06</v>
      </c>
      <c r="J148" t="str">
        <f t="shared" si="14"/>
        <v>CYL000OLILI0CYLFER</v>
      </c>
      <c r="K148">
        <f>_xlfn.IFNA(IF(F148="H",VLOOKUP(E148,Fertiliser_data!$E$7:$L$267,8,FALSE),VLOOKUP(E148,Fertiliser_data!$E$7:$L$267,8,FALSE)*0.65),IF(F148="H",0.038,(0.038*0.65)))</f>
        <v>7.6549626865671641E-2</v>
      </c>
      <c r="L148">
        <f>IF($C148="IE",$K148*CF_231025!$E$16,$K148/VLOOKUP($C148,CF_231025!$A$2:$E$28,5,FALSE))</f>
        <v>8.015753806184021E-3</v>
      </c>
    </row>
    <row r="149" spans="1:12" x14ac:dyDescent="0.25">
      <c r="A149" t="s">
        <v>136</v>
      </c>
      <c r="B149" t="s">
        <v>288</v>
      </c>
      <c r="C149" t="str">
        <f t="shared" si="11"/>
        <v>CY</v>
      </c>
      <c r="D149" t="str">
        <f t="shared" si="12"/>
        <v>OLI</v>
      </c>
      <c r="E149" t="str">
        <f t="shared" si="10"/>
        <v>CYOLI</v>
      </c>
      <c r="F149" t="str">
        <f t="shared" si="13"/>
        <v>L</v>
      </c>
      <c r="G149" t="s">
        <v>261</v>
      </c>
      <c r="H149">
        <v>1</v>
      </c>
      <c r="I149">
        <v>0.06</v>
      </c>
      <c r="J149" t="str">
        <f t="shared" si="14"/>
        <v>CYL000OLILR0CYLFER</v>
      </c>
      <c r="K149">
        <f>_xlfn.IFNA(IF(F149="H",VLOOKUP(E149,Fertiliser_data!$E$7:$L$267,8,FALSE),VLOOKUP(E149,Fertiliser_data!$E$7:$L$267,8,FALSE)*0.65),IF(F149="H",0.038,(0.038*0.65)))</f>
        <v>7.6549626865671641E-2</v>
      </c>
      <c r="L149">
        <f>IF($C149="IE",$K149*CF_231025!$E$16,$K149/VLOOKUP($C149,CF_231025!$A$2:$E$28,5,FALSE))</f>
        <v>8.015753806184021E-3</v>
      </c>
    </row>
    <row r="150" spans="1:12" x14ac:dyDescent="0.25">
      <c r="A150" t="s">
        <v>136</v>
      </c>
      <c r="B150" t="s">
        <v>289</v>
      </c>
      <c r="C150" t="str">
        <f t="shared" si="11"/>
        <v>CY</v>
      </c>
      <c r="D150" t="str">
        <f t="shared" si="12"/>
        <v>GRP</v>
      </c>
      <c r="E150" t="str">
        <f t="shared" si="10"/>
        <v>CYGRP</v>
      </c>
      <c r="F150" t="str">
        <f t="shared" si="13"/>
        <v>H</v>
      </c>
      <c r="G150" t="s">
        <v>261</v>
      </c>
      <c r="H150">
        <v>1</v>
      </c>
      <c r="I150">
        <v>0.17</v>
      </c>
      <c r="J150" t="str">
        <f t="shared" si="14"/>
        <v>CYL000GRPHI0CYLFER</v>
      </c>
      <c r="K150">
        <f>_xlfn.IFNA(IF(F150="H",VLOOKUP(E150,Fertiliser_data!$E$7:$L$267,8,FALSE),VLOOKUP(E150,Fertiliser_data!$E$7:$L$267,8,FALSE)*0.65),IF(F150="H",0.038,(0.038*0.65)))</f>
        <v>2.4617910447761192E-2</v>
      </c>
      <c r="L150">
        <f>IF($C150="IE",$K150*CF_231025!$E$16,$K150/VLOOKUP($C150,CF_231025!$A$2:$E$28,5,FALSE))</f>
        <v>2.5778193500304498E-3</v>
      </c>
    </row>
    <row r="151" spans="1:12" x14ac:dyDescent="0.25">
      <c r="A151" t="s">
        <v>136</v>
      </c>
      <c r="B151" t="s">
        <v>290</v>
      </c>
      <c r="C151" t="str">
        <f t="shared" si="11"/>
        <v>CY</v>
      </c>
      <c r="D151" t="str">
        <f t="shared" si="12"/>
        <v>GRP</v>
      </c>
      <c r="E151" t="str">
        <f t="shared" si="10"/>
        <v>CYGRP</v>
      </c>
      <c r="F151" t="str">
        <f t="shared" si="13"/>
        <v>H</v>
      </c>
      <c r="G151" t="s">
        <v>261</v>
      </c>
      <c r="H151">
        <v>1</v>
      </c>
      <c r="I151">
        <v>0.17</v>
      </c>
      <c r="J151" t="str">
        <f t="shared" si="14"/>
        <v>CYL000GRPHR0CYLFER</v>
      </c>
      <c r="K151">
        <f>_xlfn.IFNA(IF(F151="H",VLOOKUP(E151,Fertiliser_data!$E$7:$L$267,8,FALSE),VLOOKUP(E151,Fertiliser_data!$E$7:$L$267,8,FALSE)*0.65),IF(F151="H",0.038,(0.038*0.65)))</f>
        <v>2.4617910447761192E-2</v>
      </c>
      <c r="L151">
        <f>IF($C151="IE",$K151*CF_231025!$E$16,$K151/VLOOKUP($C151,CF_231025!$A$2:$E$28,5,FALSE))</f>
        <v>2.5778193500304498E-3</v>
      </c>
    </row>
    <row r="152" spans="1:12" x14ac:dyDescent="0.25">
      <c r="A152" t="s">
        <v>136</v>
      </c>
      <c r="B152" t="s">
        <v>291</v>
      </c>
      <c r="C152" t="str">
        <f t="shared" si="11"/>
        <v>CY</v>
      </c>
      <c r="D152" t="str">
        <f t="shared" si="12"/>
        <v>GRP</v>
      </c>
      <c r="E152" t="str">
        <f t="shared" si="10"/>
        <v>CYGRP</v>
      </c>
      <c r="F152" t="str">
        <f t="shared" si="13"/>
        <v>L</v>
      </c>
      <c r="G152" t="s">
        <v>261</v>
      </c>
      <c r="H152">
        <v>1</v>
      </c>
      <c r="I152">
        <v>0.06</v>
      </c>
      <c r="J152" t="str">
        <f t="shared" si="14"/>
        <v>CYL000GRPLI0CYLFER</v>
      </c>
      <c r="K152">
        <f>_xlfn.IFNA(IF(F152="H",VLOOKUP(E152,Fertiliser_data!$E$7:$L$267,8,FALSE),VLOOKUP(E152,Fertiliser_data!$E$7:$L$267,8,FALSE)*0.65),IF(F152="H",0.038,(0.038*0.65)))</f>
        <v>1.6001641791044775E-2</v>
      </c>
      <c r="L152">
        <f>IF($C152="IE",$K152*CF_231025!$E$16,$K152/VLOOKUP($C152,CF_231025!$A$2:$E$28,5,FALSE))</f>
        <v>1.6755825775197925E-3</v>
      </c>
    </row>
    <row r="153" spans="1:12" x14ac:dyDescent="0.25">
      <c r="A153" t="s">
        <v>136</v>
      </c>
      <c r="B153" t="s">
        <v>292</v>
      </c>
      <c r="C153" t="str">
        <f t="shared" si="11"/>
        <v>CY</v>
      </c>
      <c r="D153" t="str">
        <f t="shared" si="12"/>
        <v>GRP</v>
      </c>
      <c r="E153" t="str">
        <f t="shared" si="10"/>
        <v>CYGRP</v>
      </c>
      <c r="F153" t="str">
        <f t="shared" si="13"/>
        <v>L</v>
      </c>
      <c r="G153" t="s">
        <v>261</v>
      </c>
      <c r="H153">
        <v>1</v>
      </c>
      <c r="I153">
        <v>0.06</v>
      </c>
      <c r="J153" t="str">
        <f t="shared" si="14"/>
        <v>CYL000GRPLR0CYLFER</v>
      </c>
      <c r="K153">
        <f>_xlfn.IFNA(IF(F153="H",VLOOKUP(E153,Fertiliser_data!$E$7:$L$267,8,FALSE),VLOOKUP(E153,Fertiliser_data!$E$7:$L$267,8,FALSE)*0.65),IF(F153="H",0.038,(0.038*0.65)))</f>
        <v>1.6001641791044775E-2</v>
      </c>
      <c r="L153">
        <f>IF($C153="IE",$K153*CF_231025!$E$16,$K153/VLOOKUP($C153,CF_231025!$A$2:$E$28,5,FALSE))</f>
        <v>1.6755825775197925E-3</v>
      </c>
    </row>
    <row r="154" spans="1:12" x14ac:dyDescent="0.25">
      <c r="A154" t="s">
        <v>136</v>
      </c>
      <c r="B154" t="s">
        <v>293</v>
      </c>
      <c r="C154" t="str">
        <f t="shared" si="11"/>
        <v>CY</v>
      </c>
      <c r="D154" t="str">
        <f t="shared" si="12"/>
        <v>ALM</v>
      </c>
      <c r="E154" t="str">
        <f t="shared" si="10"/>
        <v>CYALM</v>
      </c>
      <c r="F154" t="str">
        <f t="shared" si="13"/>
        <v>H</v>
      </c>
      <c r="G154" t="s">
        <v>261</v>
      </c>
      <c r="H154">
        <v>1</v>
      </c>
      <c r="I154">
        <v>0.17</v>
      </c>
      <c r="J154" t="str">
        <f t="shared" si="14"/>
        <v>CYL000ALMHI0CYLFER</v>
      </c>
      <c r="K154">
        <f>_xlfn.IFNA(IF(F154="H",VLOOKUP(E154,Fertiliser_data!$E$7:$L$267,8,FALSE),VLOOKUP(E154,Fertiliser_data!$E$7:$L$267,8,FALSE)*0.65),IF(F154="H",0.038,(0.038*0.65)))</f>
        <v>0</v>
      </c>
      <c r="L154">
        <f>IF($C154="IE",$K154*CF_231025!$E$16,$K154/VLOOKUP($C154,CF_231025!$A$2:$E$28,5,FALSE))</f>
        <v>0</v>
      </c>
    </row>
    <row r="155" spans="1:12" x14ac:dyDescent="0.25">
      <c r="A155" t="s">
        <v>136</v>
      </c>
      <c r="B155" t="s">
        <v>294</v>
      </c>
      <c r="C155" t="str">
        <f t="shared" si="11"/>
        <v>CY</v>
      </c>
      <c r="D155" t="str">
        <f t="shared" si="12"/>
        <v>ALM</v>
      </c>
      <c r="E155" t="str">
        <f t="shared" si="10"/>
        <v>CYALM</v>
      </c>
      <c r="F155" t="str">
        <f t="shared" si="13"/>
        <v>H</v>
      </c>
      <c r="G155" t="s">
        <v>261</v>
      </c>
      <c r="H155">
        <v>1</v>
      </c>
      <c r="I155">
        <v>0.17</v>
      </c>
      <c r="J155" t="str">
        <f t="shared" si="14"/>
        <v>CYL000ALMHR0CYLFER</v>
      </c>
      <c r="K155">
        <f>_xlfn.IFNA(IF(F155="H",VLOOKUP(E155,Fertiliser_data!$E$7:$L$267,8,FALSE),VLOOKUP(E155,Fertiliser_data!$E$7:$L$267,8,FALSE)*0.65),IF(F155="H",0.038,(0.038*0.65)))</f>
        <v>0</v>
      </c>
      <c r="L155">
        <f>IF($C155="IE",$K155*CF_231025!$E$16,$K155/VLOOKUP($C155,CF_231025!$A$2:$E$28,5,FALSE))</f>
        <v>0</v>
      </c>
    </row>
    <row r="156" spans="1:12" x14ac:dyDescent="0.25">
      <c r="A156" t="s">
        <v>136</v>
      </c>
      <c r="B156" t="s">
        <v>295</v>
      </c>
      <c r="C156" t="str">
        <f t="shared" si="11"/>
        <v>CY</v>
      </c>
      <c r="D156" t="str">
        <f t="shared" si="12"/>
        <v>ALM</v>
      </c>
      <c r="E156" t="str">
        <f t="shared" si="10"/>
        <v>CYALM</v>
      </c>
      <c r="F156" t="str">
        <f t="shared" si="13"/>
        <v>L</v>
      </c>
      <c r="G156" t="s">
        <v>261</v>
      </c>
      <c r="H156">
        <v>1</v>
      </c>
      <c r="I156">
        <v>0.06</v>
      </c>
      <c r="J156" t="str">
        <f t="shared" si="14"/>
        <v>CYL000ALMLI0CYLFER</v>
      </c>
      <c r="K156">
        <f>_xlfn.IFNA(IF(F156="H",VLOOKUP(E156,Fertiliser_data!$E$7:$L$267,8,FALSE),VLOOKUP(E156,Fertiliser_data!$E$7:$L$267,8,FALSE)*0.65),IF(F156="H",0.038,(0.038*0.65)))</f>
        <v>0</v>
      </c>
      <c r="L156">
        <f>IF($C156="IE",$K156*CF_231025!$E$16,$K156/VLOOKUP($C156,CF_231025!$A$2:$E$28,5,FALSE))</f>
        <v>0</v>
      </c>
    </row>
    <row r="157" spans="1:12" x14ac:dyDescent="0.25">
      <c r="A157" t="s">
        <v>136</v>
      </c>
      <c r="B157" t="s">
        <v>296</v>
      </c>
      <c r="C157" t="str">
        <f t="shared" si="11"/>
        <v>CY</v>
      </c>
      <c r="D157" t="str">
        <f t="shared" si="12"/>
        <v>ALM</v>
      </c>
      <c r="E157" t="str">
        <f t="shared" si="10"/>
        <v>CYALM</v>
      </c>
      <c r="F157" t="str">
        <f t="shared" si="13"/>
        <v>L</v>
      </c>
      <c r="G157" t="s">
        <v>261</v>
      </c>
      <c r="H157">
        <v>1</v>
      </c>
      <c r="I157">
        <v>0.06</v>
      </c>
      <c r="J157" t="str">
        <f t="shared" si="14"/>
        <v>CYL000ALMLR0CYLFER</v>
      </c>
      <c r="K157">
        <f>_xlfn.IFNA(IF(F157="H",VLOOKUP(E157,Fertiliser_data!$E$7:$L$267,8,FALSE),VLOOKUP(E157,Fertiliser_data!$E$7:$L$267,8,FALSE)*0.65),IF(F157="H",0.038,(0.038*0.65)))</f>
        <v>0</v>
      </c>
      <c r="L157">
        <f>IF($C157="IE",$K157*CF_231025!$E$16,$K157/VLOOKUP($C157,CF_231025!$A$2:$E$28,5,FALSE))</f>
        <v>0</v>
      </c>
    </row>
    <row r="158" spans="1:12" x14ac:dyDescent="0.25">
      <c r="A158" t="s">
        <v>136</v>
      </c>
      <c r="B158" t="s">
        <v>297</v>
      </c>
      <c r="C158" t="str">
        <f t="shared" si="11"/>
        <v>CY</v>
      </c>
      <c r="D158" t="str">
        <f t="shared" si="12"/>
        <v>WHE</v>
      </c>
      <c r="E158" t="str">
        <f t="shared" si="10"/>
        <v>CYWHE</v>
      </c>
      <c r="F158" t="str">
        <f t="shared" si="13"/>
        <v>H</v>
      </c>
      <c r="G158" t="s">
        <v>261</v>
      </c>
      <c r="H158">
        <v>1</v>
      </c>
      <c r="I158">
        <v>0.2</v>
      </c>
      <c r="J158" t="str">
        <f t="shared" si="14"/>
        <v>CYL000WHEHI0CYLFER</v>
      </c>
      <c r="K158">
        <f>_xlfn.IFNA(IF(F158="H",VLOOKUP(E158,Fertiliser_data!$E$7:$L$267,8,FALSE),VLOOKUP(E158,Fertiliser_data!$E$7:$L$267,8,FALSE)*0.65),IF(F158="H",0.038,(0.038*0.65)))</f>
        <v>2.8810447761194031E-2</v>
      </c>
      <c r="L158">
        <f>IF($C158="IE",$K158*CF_231025!$E$16,$K158/VLOOKUP($C158,CF_231025!$A$2:$E$28,5,FALSE))</f>
        <v>3.016833206841141E-3</v>
      </c>
    </row>
    <row r="159" spans="1:12" x14ac:dyDescent="0.25">
      <c r="A159" t="s">
        <v>136</v>
      </c>
      <c r="B159" t="s">
        <v>298</v>
      </c>
      <c r="C159" t="str">
        <f t="shared" si="11"/>
        <v>CY</v>
      </c>
      <c r="D159" t="str">
        <f t="shared" si="12"/>
        <v>WHE</v>
      </c>
      <c r="E159" t="str">
        <f t="shared" si="10"/>
        <v>CYWHE</v>
      </c>
      <c r="F159" t="str">
        <f t="shared" si="13"/>
        <v>H</v>
      </c>
      <c r="G159" t="s">
        <v>261</v>
      </c>
      <c r="H159">
        <v>1</v>
      </c>
      <c r="I159">
        <v>0.2</v>
      </c>
      <c r="J159" t="str">
        <f t="shared" si="14"/>
        <v>CYL000WHEHR0CYLFER</v>
      </c>
      <c r="K159">
        <f>_xlfn.IFNA(IF(F159="H",VLOOKUP(E159,Fertiliser_data!$E$7:$L$267,8,FALSE),VLOOKUP(E159,Fertiliser_data!$E$7:$L$267,8,FALSE)*0.65),IF(F159="H",0.038,(0.038*0.65)))</f>
        <v>2.8810447761194031E-2</v>
      </c>
      <c r="L159">
        <f>IF($C159="IE",$K159*CF_231025!$E$16,$K159/VLOOKUP($C159,CF_231025!$A$2:$E$28,5,FALSE))</f>
        <v>3.016833206841141E-3</v>
      </c>
    </row>
    <row r="160" spans="1:12" x14ac:dyDescent="0.25">
      <c r="A160" t="s">
        <v>136</v>
      </c>
      <c r="B160" t="s">
        <v>299</v>
      </c>
      <c r="C160" t="str">
        <f t="shared" si="11"/>
        <v>CY</v>
      </c>
      <c r="D160" t="str">
        <f t="shared" si="12"/>
        <v>WHE</v>
      </c>
      <c r="E160" t="str">
        <f t="shared" si="10"/>
        <v>CYWHE</v>
      </c>
      <c r="F160" t="str">
        <f t="shared" si="13"/>
        <v>L</v>
      </c>
      <c r="G160" t="s">
        <v>261</v>
      </c>
      <c r="H160">
        <v>1</v>
      </c>
      <c r="I160">
        <v>7.0000000000000007E-2</v>
      </c>
      <c r="J160" t="str">
        <f t="shared" si="14"/>
        <v>CYL000WHELI0CYLFER</v>
      </c>
      <c r="K160">
        <f>_xlfn.IFNA(IF(F160="H",VLOOKUP(E160,Fertiliser_data!$E$7:$L$267,8,FALSE),VLOOKUP(E160,Fertiliser_data!$E$7:$L$267,8,FALSE)*0.65),IF(F160="H",0.038,(0.038*0.65)))</f>
        <v>1.872679104477612E-2</v>
      </c>
      <c r="L160">
        <f>IF($C160="IE",$K160*CF_231025!$E$16,$K160/VLOOKUP($C160,CF_231025!$A$2:$E$28,5,FALSE))</f>
        <v>1.9609415844467418E-3</v>
      </c>
    </row>
    <row r="161" spans="1:12" x14ac:dyDescent="0.25">
      <c r="A161" t="s">
        <v>136</v>
      </c>
      <c r="B161" t="s">
        <v>300</v>
      </c>
      <c r="C161" t="str">
        <f t="shared" si="11"/>
        <v>CY</v>
      </c>
      <c r="D161" t="str">
        <f t="shared" si="12"/>
        <v>WHE</v>
      </c>
      <c r="E161" t="str">
        <f t="shared" si="10"/>
        <v>CYWHE</v>
      </c>
      <c r="F161" t="str">
        <f t="shared" si="13"/>
        <v>L</v>
      </c>
      <c r="G161" t="s">
        <v>261</v>
      </c>
      <c r="H161">
        <v>1</v>
      </c>
      <c r="I161">
        <v>7.0000000000000007E-2</v>
      </c>
      <c r="J161" t="str">
        <f t="shared" si="14"/>
        <v>CYL000WHELR0CYLFER</v>
      </c>
      <c r="K161">
        <f>_xlfn.IFNA(IF(F161="H",VLOOKUP(E161,Fertiliser_data!$E$7:$L$267,8,FALSE),VLOOKUP(E161,Fertiliser_data!$E$7:$L$267,8,FALSE)*0.65),IF(F161="H",0.038,(0.038*0.65)))</f>
        <v>1.872679104477612E-2</v>
      </c>
      <c r="L161">
        <f>IF($C161="IE",$K161*CF_231025!$E$16,$K161/VLOOKUP($C161,CF_231025!$A$2:$E$28,5,FALSE))</f>
        <v>1.9609415844467418E-3</v>
      </c>
    </row>
    <row r="162" spans="1:12" x14ac:dyDescent="0.25">
      <c r="A162" t="s">
        <v>136</v>
      </c>
      <c r="B162" t="s">
        <v>301</v>
      </c>
      <c r="C162" t="str">
        <f t="shared" si="11"/>
        <v>CZ</v>
      </c>
      <c r="D162" t="str">
        <f t="shared" si="12"/>
        <v>RAP</v>
      </c>
      <c r="E162" t="str">
        <f t="shared" si="10"/>
        <v>CZRAP</v>
      </c>
      <c r="F162" t="str">
        <f t="shared" si="13"/>
        <v>H</v>
      </c>
      <c r="G162" t="s">
        <v>302</v>
      </c>
      <c r="H162">
        <v>1</v>
      </c>
      <c r="I162">
        <v>0.26</v>
      </c>
      <c r="J162" t="str">
        <f t="shared" si="14"/>
        <v>CZL000RAPHI0CZLFER</v>
      </c>
      <c r="K162">
        <f>_xlfn.IFNA(IF(F162="H",VLOOKUP(E162,Fertiliser_data!$E$7:$L$267,8,FALSE),VLOOKUP(E162,Fertiliser_data!$E$7:$L$267,8,FALSE)*0.65),IF(F162="H",0.038,(0.038*0.65)))</f>
        <v>6.7108955223880593E-2</v>
      </c>
      <c r="L162">
        <f>IF($C162="IE",$K162*CF_231025!$E$16,$K162/VLOOKUP($C162,CF_231025!$A$2:$E$28,5,FALSE))</f>
        <v>2.0106850443132703E-2</v>
      </c>
    </row>
    <row r="163" spans="1:12" x14ac:dyDescent="0.25">
      <c r="A163" t="s">
        <v>136</v>
      </c>
      <c r="B163" t="s">
        <v>303</v>
      </c>
      <c r="C163" t="str">
        <f t="shared" si="11"/>
        <v>CZ</v>
      </c>
      <c r="D163" t="str">
        <f t="shared" si="12"/>
        <v>RAP</v>
      </c>
      <c r="E163" t="str">
        <f t="shared" si="10"/>
        <v>CZRAP</v>
      </c>
      <c r="F163" t="str">
        <f t="shared" si="13"/>
        <v>H</v>
      </c>
      <c r="G163" t="s">
        <v>302</v>
      </c>
      <c r="H163">
        <v>1</v>
      </c>
      <c r="I163">
        <v>0.26</v>
      </c>
      <c r="J163" t="str">
        <f t="shared" si="14"/>
        <v>CZL000RAPHR0CZLFER</v>
      </c>
      <c r="K163">
        <f>_xlfn.IFNA(IF(F163="H",VLOOKUP(E163,Fertiliser_data!$E$7:$L$267,8,FALSE),VLOOKUP(E163,Fertiliser_data!$E$7:$L$267,8,FALSE)*0.65),IF(F163="H",0.038,(0.038*0.65)))</f>
        <v>6.7108955223880593E-2</v>
      </c>
      <c r="L163">
        <f>IF($C163="IE",$K163*CF_231025!$E$16,$K163/VLOOKUP($C163,CF_231025!$A$2:$E$28,5,FALSE))</f>
        <v>2.0106850443132703E-2</v>
      </c>
    </row>
    <row r="164" spans="1:12" x14ac:dyDescent="0.25">
      <c r="A164" t="s">
        <v>136</v>
      </c>
      <c r="B164" t="s">
        <v>304</v>
      </c>
      <c r="C164" t="str">
        <f t="shared" si="11"/>
        <v>CZ</v>
      </c>
      <c r="D164" t="str">
        <f t="shared" si="12"/>
        <v>RAP</v>
      </c>
      <c r="E164" t="str">
        <f t="shared" si="10"/>
        <v>CZRAP</v>
      </c>
      <c r="F164" t="str">
        <f t="shared" si="13"/>
        <v>L</v>
      </c>
      <c r="G164" t="s">
        <v>302</v>
      </c>
      <c r="H164">
        <v>1</v>
      </c>
      <c r="I164">
        <v>0.1</v>
      </c>
      <c r="J164" t="str">
        <f t="shared" si="14"/>
        <v>CZL000RAPLI0CZLFER</v>
      </c>
      <c r="K164">
        <f>_xlfn.IFNA(IF(F164="H",VLOOKUP(E164,Fertiliser_data!$E$7:$L$267,8,FALSE),VLOOKUP(E164,Fertiliser_data!$E$7:$L$267,8,FALSE)*0.65),IF(F164="H",0.038,(0.038*0.65)))</f>
        <v>4.362082089552239E-2</v>
      </c>
      <c r="L164">
        <f>IF($C164="IE",$K164*CF_231025!$E$16,$K164/VLOOKUP($C164,CF_231025!$A$2:$E$28,5,FALSE))</f>
        <v>1.3069452788036258E-2</v>
      </c>
    </row>
    <row r="165" spans="1:12" x14ac:dyDescent="0.25">
      <c r="A165" t="s">
        <v>136</v>
      </c>
      <c r="B165" t="s">
        <v>305</v>
      </c>
      <c r="C165" t="str">
        <f t="shared" si="11"/>
        <v>CZ</v>
      </c>
      <c r="D165" t="str">
        <f t="shared" si="12"/>
        <v>RAP</v>
      </c>
      <c r="E165" t="str">
        <f t="shared" si="10"/>
        <v>CZRAP</v>
      </c>
      <c r="F165" t="str">
        <f t="shared" si="13"/>
        <v>L</v>
      </c>
      <c r="G165" t="s">
        <v>302</v>
      </c>
      <c r="H165">
        <v>1</v>
      </c>
      <c r="I165">
        <v>0.1</v>
      </c>
      <c r="J165" t="str">
        <f t="shared" si="14"/>
        <v>CZL000RAPLR0CZLFER</v>
      </c>
      <c r="K165">
        <f>_xlfn.IFNA(IF(F165="H",VLOOKUP(E165,Fertiliser_data!$E$7:$L$267,8,FALSE),VLOOKUP(E165,Fertiliser_data!$E$7:$L$267,8,FALSE)*0.65),IF(F165="H",0.038,(0.038*0.65)))</f>
        <v>4.362082089552239E-2</v>
      </c>
      <c r="L165">
        <f>IF($C165="IE",$K165*CF_231025!$E$16,$K165/VLOOKUP($C165,CF_231025!$A$2:$E$28,5,FALSE))</f>
        <v>1.3069452788036258E-2</v>
      </c>
    </row>
    <row r="166" spans="1:12" x14ac:dyDescent="0.25">
      <c r="A166" t="s">
        <v>136</v>
      </c>
      <c r="B166" t="s">
        <v>306</v>
      </c>
      <c r="C166" t="str">
        <f t="shared" si="11"/>
        <v>CZ</v>
      </c>
      <c r="D166" t="str">
        <f t="shared" si="12"/>
        <v>PEA</v>
      </c>
      <c r="E166" t="str">
        <f t="shared" si="10"/>
        <v>CZPEA</v>
      </c>
      <c r="F166" t="str">
        <f t="shared" si="13"/>
        <v>H</v>
      </c>
      <c r="G166" t="s">
        <v>302</v>
      </c>
      <c r="H166">
        <v>1</v>
      </c>
      <c r="I166">
        <v>0.17</v>
      </c>
      <c r="J166" t="str">
        <f t="shared" si="14"/>
        <v>CZL000PEAHI0CZLFER</v>
      </c>
      <c r="K166">
        <f>_xlfn.IFNA(IF(F166="H",VLOOKUP(E166,Fertiliser_data!$E$7:$L$267,8,FALSE),VLOOKUP(E166,Fertiliser_data!$E$7:$L$267,8,FALSE)*0.65),IF(F166="H",0.038,(0.038*0.65)))</f>
        <v>1.4837313432835822E-2</v>
      </c>
      <c r="L166">
        <f>IF($C166="IE",$K166*CF_231025!$E$16,$K166/VLOOKUP($C166,CF_231025!$A$2:$E$28,5,FALSE))</f>
        <v>4.4454818462998959E-3</v>
      </c>
    </row>
    <row r="167" spans="1:12" x14ac:dyDescent="0.25">
      <c r="A167" t="s">
        <v>136</v>
      </c>
      <c r="B167" t="s">
        <v>307</v>
      </c>
      <c r="C167" t="str">
        <f t="shared" si="11"/>
        <v>CZ</v>
      </c>
      <c r="D167" t="str">
        <f t="shared" si="12"/>
        <v>PEA</v>
      </c>
      <c r="E167" t="str">
        <f t="shared" si="10"/>
        <v>CZPEA</v>
      </c>
      <c r="F167" t="str">
        <f t="shared" si="13"/>
        <v>H</v>
      </c>
      <c r="G167" t="s">
        <v>302</v>
      </c>
      <c r="H167">
        <v>1</v>
      </c>
      <c r="I167">
        <v>0.17</v>
      </c>
      <c r="J167" t="str">
        <f t="shared" si="14"/>
        <v>CZL000PEAHR0CZLFER</v>
      </c>
      <c r="K167">
        <f>_xlfn.IFNA(IF(F167="H",VLOOKUP(E167,Fertiliser_data!$E$7:$L$267,8,FALSE),VLOOKUP(E167,Fertiliser_data!$E$7:$L$267,8,FALSE)*0.65),IF(F167="H",0.038,(0.038*0.65)))</f>
        <v>1.4837313432835822E-2</v>
      </c>
      <c r="L167">
        <f>IF($C167="IE",$K167*CF_231025!$E$16,$K167/VLOOKUP($C167,CF_231025!$A$2:$E$28,5,FALSE))</f>
        <v>4.4454818462998959E-3</v>
      </c>
    </row>
    <row r="168" spans="1:12" x14ac:dyDescent="0.25">
      <c r="A168" t="s">
        <v>136</v>
      </c>
      <c r="B168" t="s">
        <v>308</v>
      </c>
      <c r="C168" t="str">
        <f t="shared" si="11"/>
        <v>CZ</v>
      </c>
      <c r="D168" t="str">
        <f t="shared" si="12"/>
        <v>PEA</v>
      </c>
      <c r="E168" t="str">
        <f t="shared" si="10"/>
        <v>CZPEA</v>
      </c>
      <c r="F168" t="str">
        <f t="shared" si="13"/>
        <v>L</v>
      </c>
      <c r="G168" t="s">
        <v>302</v>
      </c>
      <c r="H168">
        <v>1</v>
      </c>
      <c r="I168">
        <v>0.06</v>
      </c>
      <c r="J168" t="str">
        <f t="shared" si="14"/>
        <v>CZL000PEALI0CZLFER</v>
      </c>
      <c r="K168">
        <f>_xlfn.IFNA(IF(F168="H",VLOOKUP(E168,Fertiliser_data!$E$7:$L$267,8,FALSE),VLOOKUP(E168,Fertiliser_data!$E$7:$L$267,8,FALSE)*0.65),IF(F168="H",0.038,(0.038*0.65)))</f>
        <v>9.6442537313432847E-3</v>
      </c>
      <c r="L168">
        <f>IF($C168="IE",$K168*CF_231025!$E$16,$K168/VLOOKUP($C168,CF_231025!$A$2:$E$28,5,FALSE))</f>
        <v>2.8895632000949328E-3</v>
      </c>
    </row>
    <row r="169" spans="1:12" x14ac:dyDescent="0.25">
      <c r="A169" t="s">
        <v>136</v>
      </c>
      <c r="B169" t="s">
        <v>309</v>
      </c>
      <c r="C169" t="str">
        <f t="shared" si="11"/>
        <v>CZ</v>
      </c>
      <c r="D169" t="str">
        <f t="shared" si="12"/>
        <v>PEA</v>
      </c>
      <c r="E169" t="str">
        <f t="shared" si="10"/>
        <v>CZPEA</v>
      </c>
      <c r="F169" t="str">
        <f t="shared" si="13"/>
        <v>L</v>
      </c>
      <c r="G169" t="s">
        <v>302</v>
      </c>
      <c r="H169">
        <v>1</v>
      </c>
      <c r="I169">
        <v>0.06</v>
      </c>
      <c r="J169" t="str">
        <f t="shared" si="14"/>
        <v>CZL000PEALR0CZLFER</v>
      </c>
      <c r="K169">
        <f>_xlfn.IFNA(IF(F169="H",VLOOKUP(E169,Fertiliser_data!$E$7:$L$267,8,FALSE),VLOOKUP(E169,Fertiliser_data!$E$7:$L$267,8,FALSE)*0.65),IF(F169="H",0.038,(0.038*0.65)))</f>
        <v>9.6442537313432847E-3</v>
      </c>
      <c r="L169">
        <f>IF($C169="IE",$K169*CF_231025!$E$16,$K169/VLOOKUP($C169,CF_231025!$A$2:$E$28,5,FALSE))</f>
        <v>2.8895632000949328E-3</v>
      </c>
    </row>
    <row r="170" spans="1:12" x14ac:dyDescent="0.25">
      <c r="A170" t="s">
        <v>136</v>
      </c>
      <c r="B170" t="s">
        <v>310</v>
      </c>
      <c r="C170" t="str">
        <f t="shared" si="11"/>
        <v>CZ</v>
      </c>
      <c r="D170" t="str">
        <f t="shared" si="12"/>
        <v>RYE</v>
      </c>
      <c r="E170" t="str">
        <f t="shared" si="10"/>
        <v>CZRYE</v>
      </c>
      <c r="F170" t="str">
        <f t="shared" si="13"/>
        <v>H</v>
      </c>
      <c r="G170" t="s">
        <v>302</v>
      </c>
      <c r="H170">
        <v>1</v>
      </c>
      <c r="I170">
        <v>0.11</v>
      </c>
      <c r="J170" t="str">
        <f t="shared" si="14"/>
        <v>CZL000RYEHI0CZLFER</v>
      </c>
      <c r="K170">
        <f>_xlfn.IFNA(IF(F170="H",VLOOKUP(E170,Fertiliser_data!$E$7:$L$267,8,FALSE),VLOOKUP(E170,Fertiliser_data!$E$7:$L$267,8,FALSE)*0.65),IF(F170="H",0.038,(0.038*0.65)))</f>
        <v>3.2361194029850743E-2</v>
      </c>
      <c r="L170">
        <f>IF($C170="IE",$K170*CF_231025!$E$16,$K170/VLOOKUP($C170,CF_231025!$A$2:$E$28,5,FALSE))</f>
        <v>9.6958995464716154E-3</v>
      </c>
    </row>
    <row r="171" spans="1:12" x14ac:dyDescent="0.25">
      <c r="A171" t="s">
        <v>136</v>
      </c>
      <c r="B171" t="s">
        <v>311</v>
      </c>
      <c r="C171" t="str">
        <f t="shared" si="11"/>
        <v>CZ</v>
      </c>
      <c r="D171" t="str">
        <f t="shared" si="12"/>
        <v>RYE</v>
      </c>
      <c r="E171" t="str">
        <f t="shared" si="10"/>
        <v>CZRYE</v>
      </c>
      <c r="F171" t="str">
        <f t="shared" si="13"/>
        <v>H</v>
      </c>
      <c r="G171" t="s">
        <v>302</v>
      </c>
      <c r="H171">
        <v>1</v>
      </c>
      <c r="I171">
        <v>0.11</v>
      </c>
      <c r="J171" t="str">
        <f t="shared" si="14"/>
        <v>CZL000RYEHR0CZLFER</v>
      </c>
      <c r="K171">
        <f>_xlfn.IFNA(IF(F171="H",VLOOKUP(E171,Fertiliser_data!$E$7:$L$267,8,FALSE),VLOOKUP(E171,Fertiliser_data!$E$7:$L$267,8,FALSE)*0.65),IF(F171="H",0.038,(0.038*0.65)))</f>
        <v>3.2361194029850743E-2</v>
      </c>
      <c r="L171">
        <f>IF($C171="IE",$K171*CF_231025!$E$16,$K171/VLOOKUP($C171,CF_231025!$A$2:$E$28,5,FALSE))</f>
        <v>9.6958995464716154E-3</v>
      </c>
    </row>
    <row r="172" spans="1:12" x14ac:dyDescent="0.25">
      <c r="A172" t="s">
        <v>136</v>
      </c>
      <c r="B172" t="s">
        <v>312</v>
      </c>
      <c r="C172" t="str">
        <f t="shared" si="11"/>
        <v>CZ</v>
      </c>
      <c r="D172" t="str">
        <f t="shared" si="12"/>
        <v>RYE</v>
      </c>
      <c r="E172" t="str">
        <f t="shared" si="10"/>
        <v>CZRYE</v>
      </c>
      <c r="F172" t="str">
        <f t="shared" si="13"/>
        <v>L</v>
      </c>
      <c r="G172" t="s">
        <v>302</v>
      </c>
      <c r="H172">
        <v>1</v>
      </c>
      <c r="I172">
        <v>0.04</v>
      </c>
      <c r="J172" t="str">
        <f t="shared" si="14"/>
        <v>CZL000RYELI0CZLFER</v>
      </c>
      <c r="K172">
        <f>_xlfn.IFNA(IF(F172="H",VLOOKUP(E172,Fertiliser_data!$E$7:$L$267,8,FALSE),VLOOKUP(E172,Fertiliser_data!$E$7:$L$267,8,FALSE)*0.65),IF(F172="H",0.038,(0.038*0.65)))</f>
        <v>2.1034776119402982E-2</v>
      </c>
      <c r="L172">
        <f>IF($C172="IE",$K172*CF_231025!$E$16,$K172/VLOOKUP($C172,CF_231025!$A$2:$E$28,5,FALSE))</f>
        <v>6.30233470520655E-3</v>
      </c>
    </row>
    <row r="173" spans="1:12" x14ac:dyDescent="0.25">
      <c r="A173" t="s">
        <v>136</v>
      </c>
      <c r="B173" t="s">
        <v>313</v>
      </c>
      <c r="C173" t="str">
        <f t="shared" si="11"/>
        <v>CZ</v>
      </c>
      <c r="D173" t="str">
        <f t="shared" si="12"/>
        <v>RYE</v>
      </c>
      <c r="E173" t="str">
        <f t="shared" si="10"/>
        <v>CZRYE</v>
      </c>
      <c r="F173" t="str">
        <f t="shared" si="13"/>
        <v>L</v>
      </c>
      <c r="G173" t="s">
        <v>302</v>
      </c>
      <c r="H173">
        <v>1</v>
      </c>
      <c r="I173">
        <v>0.04</v>
      </c>
      <c r="J173" t="str">
        <f t="shared" si="14"/>
        <v>CZL000RYELR0CZLFER</v>
      </c>
      <c r="K173">
        <f>_xlfn.IFNA(IF(F173="H",VLOOKUP(E173,Fertiliser_data!$E$7:$L$267,8,FALSE),VLOOKUP(E173,Fertiliser_data!$E$7:$L$267,8,FALSE)*0.65),IF(F173="H",0.038,(0.038*0.65)))</f>
        <v>2.1034776119402982E-2</v>
      </c>
      <c r="L173">
        <f>IF($C173="IE",$K173*CF_231025!$E$16,$K173/VLOOKUP($C173,CF_231025!$A$2:$E$28,5,FALSE))</f>
        <v>6.30233470520655E-3</v>
      </c>
    </row>
    <row r="174" spans="1:12" x14ac:dyDescent="0.25">
      <c r="A174" t="s">
        <v>136</v>
      </c>
      <c r="B174" t="s">
        <v>314</v>
      </c>
      <c r="C174" t="str">
        <f t="shared" si="11"/>
        <v>CZ</v>
      </c>
      <c r="D174" t="str">
        <f t="shared" si="12"/>
        <v>OAT</v>
      </c>
      <c r="E174" t="str">
        <f t="shared" si="10"/>
        <v>CZOAT</v>
      </c>
      <c r="F174" t="str">
        <f t="shared" si="13"/>
        <v>H</v>
      </c>
      <c r="G174" t="s">
        <v>302</v>
      </c>
      <c r="H174">
        <v>1</v>
      </c>
      <c r="I174">
        <v>0.11</v>
      </c>
      <c r="J174" t="str">
        <f t="shared" si="14"/>
        <v>CZL000OATHI0CZLFER</v>
      </c>
      <c r="K174">
        <f>_xlfn.IFNA(IF(F174="H",VLOOKUP(E174,Fertiliser_data!$E$7:$L$267,8,FALSE),VLOOKUP(E174,Fertiliser_data!$E$7:$L$267,8,FALSE)*0.65),IF(F174="H",0.038,(0.038*0.65)))</f>
        <v>3.2361194029850743E-2</v>
      </c>
      <c r="L174">
        <f>IF($C174="IE",$K174*CF_231025!$E$16,$K174/VLOOKUP($C174,CF_231025!$A$2:$E$28,5,FALSE))</f>
        <v>9.6958995464716154E-3</v>
      </c>
    </row>
    <row r="175" spans="1:12" x14ac:dyDescent="0.25">
      <c r="A175" t="s">
        <v>136</v>
      </c>
      <c r="B175" t="s">
        <v>315</v>
      </c>
      <c r="C175" t="str">
        <f t="shared" si="11"/>
        <v>CZ</v>
      </c>
      <c r="D175" t="str">
        <f t="shared" si="12"/>
        <v>OAT</v>
      </c>
      <c r="E175" t="str">
        <f t="shared" si="10"/>
        <v>CZOAT</v>
      </c>
      <c r="F175" t="str">
        <f t="shared" si="13"/>
        <v>H</v>
      </c>
      <c r="G175" t="s">
        <v>302</v>
      </c>
      <c r="H175">
        <v>1</v>
      </c>
      <c r="I175">
        <v>0.11</v>
      </c>
      <c r="J175" t="str">
        <f t="shared" si="14"/>
        <v>CZL000OATHR0CZLFER</v>
      </c>
      <c r="K175">
        <f>_xlfn.IFNA(IF(F175="H",VLOOKUP(E175,Fertiliser_data!$E$7:$L$267,8,FALSE),VLOOKUP(E175,Fertiliser_data!$E$7:$L$267,8,FALSE)*0.65),IF(F175="H",0.038,(0.038*0.65)))</f>
        <v>3.2361194029850743E-2</v>
      </c>
      <c r="L175">
        <f>IF($C175="IE",$K175*CF_231025!$E$16,$K175/VLOOKUP($C175,CF_231025!$A$2:$E$28,5,FALSE))</f>
        <v>9.6958995464716154E-3</v>
      </c>
    </row>
    <row r="176" spans="1:12" x14ac:dyDescent="0.25">
      <c r="A176" t="s">
        <v>136</v>
      </c>
      <c r="B176" t="s">
        <v>316</v>
      </c>
      <c r="C176" t="str">
        <f t="shared" si="11"/>
        <v>CZ</v>
      </c>
      <c r="D176" t="str">
        <f t="shared" si="12"/>
        <v>OAT</v>
      </c>
      <c r="E176" t="str">
        <f t="shared" si="10"/>
        <v>CZOAT</v>
      </c>
      <c r="F176" t="str">
        <f t="shared" si="13"/>
        <v>L</v>
      </c>
      <c r="G176" t="s">
        <v>302</v>
      </c>
      <c r="H176">
        <v>1</v>
      </c>
      <c r="I176">
        <v>0.04</v>
      </c>
      <c r="J176" t="str">
        <f t="shared" si="14"/>
        <v>CZL000OATLI0CZLFER</v>
      </c>
      <c r="K176">
        <f>_xlfn.IFNA(IF(F176="H",VLOOKUP(E176,Fertiliser_data!$E$7:$L$267,8,FALSE),VLOOKUP(E176,Fertiliser_data!$E$7:$L$267,8,FALSE)*0.65),IF(F176="H",0.038,(0.038*0.65)))</f>
        <v>2.1034776119402982E-2</v>
      </c>
      <c r="L176">
        <f>IF($C176="IE",$K176*CF_231025!$E$16,$K176/VLOOKUP($C176,CF_231025!$A$2:$E$28,5,FALSE))</f>
        <v>6.30233470520655E-3</v>
      </c>
    </row>
    <row r="177" spans="1:12" x14ac:dyDescent="0.25">
      <c r="A177" t="s">
        <v>136</v>
      </c>
      <c r="B177" t="s">
        <v>317</v>
      </c>
      <c r="C177" t="str">
        <f t="shared" si="11"/>
        <v>CZ</v>
      </c>
      <c r="D177" t="str">
        <f t="shared" si="12"/>
        <v>OAT</v>
      </c>
      <c r="E177" t="str">
        <f t="shared" si="10"/>
        <v>CZOAT</v>
      </c>
      <c r="F177" t="str">
        <f t="shared" si="13"/>
        <v>L</v>
      </c>
      <c r="G177" t="s">
        <v>302</v>
      </c>
      <c r="H177">
        <v>1</v>
      </c>
      <c r="I177">
        <v>0.04</v>
      </c>
      <c r="J177" t="str">
        <f t="shared" si="14"/>
        <v>CZL000OATLR0CZLFER</v>
      </c>
      <c r="K177">
        <f>_xlfn.IFNA(IF(F177="H",VLOOKUP(E177,Fertiliser_data!$E$7:$L$267,8,FALSE),VLOOKUP(E177,Fertiliser_data!$E$7:$L$267,8,FALSE)*0.65),IF(F177="H",0.038,(0.038*0.65)))</f>
        <v>2.1034776119402982E-2</v>
      </c>
      <c r="L177">
        <f>IF($C177="IE",$K177*CF_231025!$E$16,$K177/VLOOKUP($C177,CF_231025!$A$2:$E$28,5,FALSE))</f>
        <v>6.30233470520655E-3</v>
      </c>
    </row>
    <row r="178" spans="1:12" x14ac:dyDescent="0.25">
      <c r="A178" t="s">
        <v>136</v>
      </c>
      <c r="B178" t="s">
        <v>318</v>
      </c>
      <c r="C178" t="str">
        <f t="shared" si="11"/>
        <v>CZ</v>
      </c>
      <c r="D178" t="str">
        <f t="shared" si="12"/>
        <v>OTH</v>
      </c>
      <c r="E178" t="str">
        <f t="shared" si="10"/>
        <v>CZOTH</v>
      </c>
      <c r="F178" t="str">
        <f t="shared" si="13"/>
        <v>H</v>
      </c>
      <c r="G178" t="s">
        <v>302</v>
      </c>
      <c r="H178">
        <v>1</v>
      </c>
      <c r="I178">
        <v>0.17</v>
      </c>
      <c r="J178" t="str">
        <f t="shared" si="14"/>
        <v>CZL000OTHHI0CZLFER</v>
      </c>
      <c r="K178">
        <f>_xlfn.IFNA(IF(F178="H",VLOOKUP(E178,Fertiliser_data!$E$7:$L$267,8,FALSE),VLOOKUP(E178,Fertiliser_data!$E$7:$L$267,8,FALSE)*0.65),IF(F178="H",0.038,(0.038*0.65)))</f>
        <v>3.7999999999999999E-2</v>
      </c>
      <c r="L178">
        <f>IF($C178="IE",$K178*CF_231025!$E$16,$K178/VLOOKUP($C178,CF_231025!$A$2:$E$28,5,FALSE))</f>
        <v>1.1385370466431481E-2</v>
      </c>
    </row>
    <row r="179" spans="1:12" x14ac:dyDescent="0.25">
      <c r="A179" t="s">
        <v>136</v>
      </c>
      <c r="B179" t="s">
        <v>319</v>
      </c>
      <c r="C179" t="str">
        <f t="shared" si="11"/>
        <v>CZ</v>
      </c>
      <c r="D179" t="str">
        <f t="shared" si="12"/>
        <v>OTH</v>
      </c>
      <c r="E179" t="str">
        <f t="shared" si="10"/>
        <v>CZOTH</v>
      </c>
      <c r="F179" t="str">
        <f t="shared" si="13"/>
        <v>H</v>
      </c>
      <c r="G179" t="s">
        <v>302</v>
      </c>
      <c r="H179">
        <v>1</v>
      </c>
      <c r="I179">
        <v>0.17</v>
      </c>
      <c r="J179" t="str">
        <f t="shared" si="14"/>
        <v>CZL000OTHHR0CZLFER</v>
      </c>
      <c r="K179">
        <f>_xlfn.IFNA(IF(F179="H",VLOOKUP(E179,Fertiliser_data!$E$7:$L$267,8,FALSE),VLOOKUP(E179,Fertiliser_data!$E$7:$L$267,8,FALSE)*0.65),IF(F179="H",0.038,(0.038*0.65)))</f>
        <v>3.7999999999999999E-2</v>
      </c>
      <c r="L179">
        <f>IF($C179="IE",$K179*CF_231025!$E$16,$K179/VLOOKUP($C179,CF_231025!$A$2:$E$28,5,FALSE))</f>
        <v>1.1385370466431481E-2</v>
      </c>
    </row>
    <row r="180" spans="1:12" x14ac:dyDescent="0.25">
      <c r="A180" t="s">
        <v>136</v>
      </c>
      <c r="B180" t="s">
        <v>320</v>
      </c>
      <c r="C180" t="str">
        <f t="shared" si="11"/>
        <v>CZ</v>
      </c>
      <c r="D180" t="str">
        <f t="shared" si="12"/>
        <v>OTH</v>
      </c>
      <c r="E180" t="str">
        <f t="shared" si="10"/>
        <v>CZOTH</v>
      </c>
      <c r="F180" t="str">
        <f t="shared" si="13"/>
        <v>L</v>
      </c>
      <c r="G180" t="s">
        <v>302</v>
      </c>
      <c r="H180">
        <v>1</v>
      </c>
      <c r="I180">
        <v>0.06</v>
      </c>
      <c r="J180" t="str">
        <f t="shared" si="14"/>
        <v>CZL000OTHLI0CZLFER</v>
      </c>
      <c r="K180">
        <f>_xlfn.IFNA(IF(F180="H",VLOOKUP(E180,Fertiliser_data!$E$7:$L$267,8,FALSE),VLOOKUP(E180,Fertiliser_data!$E$7:$L$267,8,FALSE)*0.65),IF(F180="H",0.038,(0.038*0.65)))</f>
        <v>2.47E-2</v>
      </c>
      <c r="L180">
        <f>IF($C180="IE",$K180*CF_231025!$E$16,$K180/VLOOKUP($C180,CF_231025!$A$2:$E$28,5,FALSE))</f>
        <v>7.4004908031804623E-3</v>
      </c>
    </row>
    <row r="181" spans="1:12" x14ac:dyDescent="0.25">
      <c r="A181" t="s">
        <v>136</v>
      </c>
      <c r="B181" t="s">
        <v>321</v>
      </c>
      <c r="C181" t="str">
        <f t="shared" si="11"/>
        <v>CZ</v>
      </c>
      <c r="D181" t="str">
        <f t="shared" si="12"/>
        <v>OTH</v>
      </c>
      <c r="E181" t="str">
        <f t="shared" si="10"/>
        <v>CZOTH</v>
      </c>
      <c r="F181" t="str">
        <f t="shared" si="13"/>
        <v>L</v>
      </c>
      <c r="G181" t="s">
        <v>302</v>
      </c>
      <c r="H181">
        <v>1</v>
      </c>
      <c r="I181">
        <v>0.06</v>
      </c>
      <c r="J181" t="str">
        <f t="shared" si="14"/>
        <v>CZL000OTHLR0CZLFER</v>
      </c>
      <c r="K181">
        <f>_xlfn.IFNA(IF(F181="H",VLOOKUP(E181,Fertiliser_data!$E$7:$L$267,8,FALSE),VLOOKUP(E181,Fertiliser_data!$E$7:$L$267,8,FALSE)*0.65),IF(F181="H",0.038,(0.038*0.65)))</f>
        <v>2.47E-2</v>
      </c>
      <c r="L181">
        <f>IF($C181="IE",$K181*CF_231025!$E$16,$K181/VLOOKUP($C181,CF_231025!$A$2:$E$28,5,FALSE))</f>
        <v>7.4004908031804623E-3</v>
      </c>
    </row>
    <row r="182" spans="1:12" x14ac:dyDescent="0.25">
      <c r="A182" t="s">
        <v>136</v>
      </c>
      <c r="B182" t="s">
        <v>322</v>
      </c>
      <c r="C182" t="str">
        <f t="shared" si="11"/>
        <v>CZ</v>
      </c>
      <c r="D182" t="str">
        <f t="shared" si="12"/>
        <v>OTO</v>
      </c>
      <c r="E182" t="str">
        <f t="shared" si="10"/>
        <v>CZOTO</v>
      </c>
      <c r="F182" t="str">
        <f t="shared" si="13"/>
        <v>H</v>
      </c>
      <c r="G182" t="s">
        <v>302</v>
      </c>
      <c r="H182">
        <v>1</v>
      </c>
      <c r="I182">
        <v>0.17</v>
      </c>
      <c r="J182" t="str">
        <f t="shared" si="14"/>
        <v>CZL000OTOHI0CZLFER</v>
      </c>
      <c r="K182">
        <f>_xlfn.IFNA(IF(F182="H",VLOOKUP(E182,Fertiliser_data!$E$7:$L$267,8,FALSE),VLOOKUP(E182,Fertiliser_data!$E$7:$L$267,8,FALSE)*0.65),IF(F182="H",0.038,(0.038*0.65)))</f>
        <v>3.5953731343283578E-2</v>
      </c>
      <c r="L182">
        <f>IF($C182="IE",$K182*CF_231025!$E$16,$K182/VLOOKUP($C182,CF_231025!$A$2:$E$28,5,FALSE))</f>
        <v>1.0772277657732438E-2</v>
      </c>
    </row>
    <row r="183" spans="1:12" x14ac:dyDescent="0.25">
      <c r="A183" t="s">
        <v>136</v>
      </c>
      <c r="B183" t="s">
        <v>323</v>
      </c>
      <c r="C183" t="str">
        <f t="shared" si="11"/>
        <v>CZ</v>
      </c>
      <c r="D183" t="str">
        <f t="shared" si="12"/>
        <v>OTO</v>
      </c>
      <c r="E183" t="str">
        <f t="shared" si="10"/>
        <v>CZOTO</v>
      </c>
      <c r="F183" t="str">
        <f t="shared" si="13"/>
        <v>H</v>
      </c>
      <c r="G183" t="s">
        <v>302</v>
      </c>
      <c r="H183">
        <v>1</v>
      </c>
      <c r="I183">
        <v>0.17</v>
      </c>
      <c r="J183" t="str">
        <f t="shared" si="14"/>
        <v>CZL000OTOHR0CZLFER</v>
      </c>
      <c r="K183">
        <f>_xlfn.IFNA(IF(F183="H",VLOOKUP(E183,Fertiliser_data!$E$7:$L$267,8,FALSE),VLOOKUP(E183,Fertiliser_data!$E$7:$L$267,8,FALSE)*0.65),IF(F183="H",0.038,(0.038*0.65)))</f>
        <v>3.5953731343283578E-2</v>
      </c>
      <c r="L183">
        <f>IF($C183="IE",$K183*CF_231025!$E$16,$K183/VLOOKUP($C183,CF_231025!$A$2:$E$28,5,FALSE))</f>
        <v>1.0772277657732438E-2</v>
      </c>
    </row>
    <row r="184" spans="1:12" x14ac:dyDescent="0.25">
      <c r="A184" t="s">
        <v>136</v>
      </c>
      <c r="B184" t="s">
        <v>324</v>
      </c>
      <c r="C184" t="str">
        <f t="shared" si="11"/>
        <v>CZ</v>
      </c>
      <c r="D184" t="str">
        <f t="shared" si="12"/>
        <v>OTO</v>
      </c>
      <c r="E184" t="str">
        <f t="shared" si="10"/>
        <v>CZOTO</v>
      </c>
      <c r="F184" t="str">
        <f t="shared" si="13"/>
        <v>L</v>
      </c>
      <c r="G184" t="s">
        <v>302</v>
      </c>
      <c r="H184">
        <v>1</v>
      </c>
      <c r="I184">
        <v>0.06</v>
      </c>
      <c r="J184" t="str">
        <f t="shared" si="14"/>
        <v>CZL000OTOLI0CZLFER</v>
      </c>
      <c r="K184">
        <f>_xlfn.IFNA(IF(F184="H",VLOOKUP(E184,Fertiliser_data!$E$7:$L$267,8,FALSE),VLOOKUP(E184,Fertiliser_data!$E$7:$L$267,8,FALSE)*0.65),IF(F184="H",0.038,(0.038*0.65)))</f>
        <v>2.3369925373134325E-2</v>
      </c>
      <c r="L184">
        <f>IF($C184="IE",$K184*CF_231025!$E$16,$K184/VLOOKUP($C184,CF_231025!$A$2:$E$28,5,FALSE))</f>
        <v>7.0019804775260852E-3</v>
      </c>
    </row>
    <row r="185" spans="1:12" x14ac:dyDescent="0.25">
      <c r="A185" t="s">
        <v>136</v>
      </c>
      <c r="B185" t="s">
        <v>325</v>
      </c>
      <c r="C185" t="str">
        <f t="shared" si="11"/>
        <v>CZ</v>
      </c>
      <c r="D185" t="str">
        <f t="shared" si="12"/>
        <v>OTO</v>
      </c>
      <c r="E185" t="str">
        <f t="shared" si="10"/>
        <v>CZOTO</v>
      </c>
      <c r="F185" t="str">
        <f t="shared" si="13"/>
        <v>L</v>
      </c>
      <c r="G185" t="s">
        <v>302</v>
      </c>
      <c r="H185">
        <v>1</v>
      </c>
      <c r="I185">
        <v>0.06</v>
      </c>
      <c r="J185" t="str">
        <f t="shared" si="14"/>
        <v>CZL000OTOLR0CZLFER</v>
      </c>
      <c r="K185">
        <f>_xlfn.IFNA(IF(F185="H",VLOOKUP(E185,Fertiliser_data!$E$7:$L$267,8,FALSE),VLOOKUP(E185,Fertiliser_data!$E$7:$L$267,8,FALSE)*0.65),IF(F185="H",0.038,(0.038*0.65)))</f>
        <v>2.3369925373134325E-2</v>
      </c>
      <c r="L185">
        <f>IF($C185="IE",$K185*CF_231025!$E$16,$K185/VLOOKUP($C185,CF_231025!$A$2:$E$28,5,FALSE))</f>
        <v>7.0019804775260852E-3</v>
      </c>
    </row>
    <row r="186" spans="1:12" x14ac:dyDescent="0.25">
      <c r="A186" t="s">
        <v>136</v>
      </c>
      <c r="B186" t="s">
        <v>326</v>
      </c>
      <c r="C186" t="str">
        <f t="shared" si="11"/>
        <v>CZ</v>
      </c>
      <c r="D186" t="str">
        <f t="shared" si="12"/>
        <v>BRL</v>
      </c>
      <c r="E186" t="str">
        <f t="shared" si="10"/>
        <v>CZBRL</v>
      </c>
      <c r="F186" t="str">
        <f t="shared" si="13"/>
        <v>H</v>
      </c>
      <c r="G186" t="s">
        <v>302</v>
      </c>
      <c r="H186">
        <v>1</v>
      </c>
      <c r="I186">
        <v>0.15</v>
      </c>
      <c r="J186" t="str">
        <f t="shared" si="14"/>
        <v>CZL000BRLHI0CZLFER</v>
      </c>
      <c r="K186">
        <f>_xlfn.IFNA(IF(F186="H",VLOOKUP(E186,Fertiliser_data!$E$7:$L$267,8,FALSE),VLOOKUP(E186,Fertiliser_data!$E$7:$L$267,8,FALSE)*0.65),IF(F186="H",0.038,(0.038*0.65)))</f>
        <v>3.2958208955223882E-2</v>
      </c>
      <c r="L186">
        <f>IF($C186="IE",$K186*CF_231025!$E$16,$K186/VLOOKUP($C186,CF_231025!$A$2:$E$28,5,FALSE))</f>
        <v>9.8747741806653553E-3</v>
      </c>
    </row>
    <row r="187" spans="1:12" x14ac:dyDescent="0.25">
      <c r="A187" t="s">
        <v>136</v>
      </c>
      <c r="B187" t="s">
        <v>327</v>
      </c>
      <c r="C187" t="str">
        <f t="shared" si="11"/>
        <v>CZ</v>
      </c>
      <c r="D187" t="str">
        <f t="shared" si="12"/>
        <v>BRL</v>
      </c>
      <c r="E187" t="str">
        <f t="shared" si="10"/>
        <v>CZBRL</v>
      </c>
      <c r="F187" t="str">
        <f t="shared" si="13"/>
        <v>H</v>
      </c>
      <c r="G187" t="s">
        <v>302</v>
      </c>
      <c r="H187">
        <v>1</v>
      </c>
      <c r="I187">
        <v>0.15</v>
      </c>
      <c r="J187" t="str">
        <f t="shared" si="14"/>
        <v>CZL000BRLHR0CZLFER</v>
      </c>
      <c r="K187">
        <f>_xlfn.IFNA(IF(F187="H",VLOOKUP(E187,Fertiliser_data!$E$7:$L$267,8,FALSE),VLOOKUP(E187,Fertiliser_data!$E$7:$L$267,8,FALSE)*0.65),IF(F187="H",0.038,(0.038*0.65)))</f>
        <v>3.2958208955223882E-2</v>
      </c>
      <c r="L187">
        <f>IF($C187="IE",$K187*CF_231025!$E$16,$K187/VLOOKUP($C187,CF_231025!$A$2:$E$28,5,FALSE))</f>
        <v>9.8747741806653553E-3</v>
      </c>
    </row>
    <row r="188" spans="1:12" x14ac:dyDescent="0.25">
      <c r="A188" t="s">
        <v>136</v>
      </c>
      <c r="B188" t="s">
        <v>328</v>
      </c>
      <c r="C188" t="str">
        <f t="shared" si="11"/>
        <v>CZ</v>
      </c>
      <c r="D188" t="str">
        <f t="shared" si="12"/>
        <v>BRL</v>
      </c>
      <c r="E188" t="str">
        <f t="shared" si="10"/>
        <v>CZBRL</v>
      </c>
      <c r="F188" t="str">
        <f t="shared" si="13"/>
        <v>L</v>
      </c>
      <c r="G188" t="s">
        <v>302</v>
      </c>
      <c r="H188">
        <v>1</v>
      </c>
      <c r="I188">
        <v>0.06</v>
      </c>
      <c r="J188" t="str">
        <f t="shared" si="14"/>
        <v>CZL000BRLLI0CZLFER</v>
      </c>
      <c r="K188">
        <f>_xlfn.IFNA(IF(F188="H",VLOOKUP(E188,Fertiliser_data!$E$7:$L$267,8,FALSE),VLOOKUP(E188,Fertiliser_data!$E$7:$L$267,8,FALSE)*0.65),IF(F188="H",0.038,(0.038*0.65)))</f>
        <v>2.1422835820895523E-2</v>
      </c>
      <c r="L188">
        <f>IF($C188="IE",$K188*CF_231025!$E$16,$K188/VLOOKUP($C188,CF_231025!$A$2:$E$28,5,FALSE))</f>
        <v>6.418603217432481E-3</v>
      </c>
    </row>
    <row r="189" spans="1:12" x14ac:dyDescent="0.25">
      <c r="A189" t="s">
        <v>136</v>
      </c>
      <c r="B189" t="s">
        <v>329</v>
      </c>
      <c r="C189" t="str">
        <f t="shared" si="11"/>
        <v>CZ</v>
      </c>
      <c r="D189" t="str">
        <f t="shared" si="12"/>
        <v>BRL</v>
      </c>
      <c r="E189" t="str">
        <f t="shared" si="10"/>
        <v>CZBRL</v>
      </c>
      <c r="F189" t="str">
        <f t="shared" si="13"/>
        <v>L</v>
      </c>
      <c r="G189" t="s">
        <v>302</v>
      </c>
      <c r="H189">
        <v>1</v>
      </c>
      <c r="I189">
        <v>0.06</v>
      </c>
      <c r="J189" t="str">
        <f t="shared" si="14"/>
        <v>CZL000BRLLR0CZLFER</v>
      </c>
      <c r="K189">
        <f>_xlfn.IFNA(IF(F189="H",VLOOKUP(E189,Fertiliser_data!$E$7:$L$267,8,FALSE),VLOOKUP(E189,Fertiliser_data!$E$7:$L$267,8,FALSE)*0.65),IF(F189="H",0.038,(0.038*0.65)))</f>
        <v>2.1422835820895523E-2</v>
      </c>
      <c r="L189">
        <f>IF($C189="IE",$K189*CF_231025!$E$16,$K189/VLOOKUP($C189,CF_231025!$A$2:$E$28,5,FALSE))</f>
        <v>6.418603217432481E-3</v>
      </c>
    </row>
    <row r="190" spans="1:12" x14ac:dyDescent="0.25">
      <c r="A190" t="s">
        <v>136</v>
      </c>
      <c r="B190" t="s">
        <v>330</v>
      </c>
      <c r="C190" t="str">
        <f t="shared" si="11"/>
        <v>CZ</v>
      </c>
      <c r="D190" t="str">
        <f t="shared" si="12"/>
        <v>MAI</v>
      </c>
      <c r="E190" t="str">
        <f t="shared" si="10"/>
        <v>CZMAI</v>
      </c>
      <c r="F190" t="str">
        <f t="shared" si="13"/>
        <v>H</v>
      </c>
      <c r="G190" t="s">
        <v>302</v>
      </c>
      <c r="H190">
        <v>1</v>
      </c>
      <c r="I190">
        <v>0.16</v>
      </c>
      <c r="J190" t="str">
        <f t="shared" si="14"/>
        <v>CZL000MAIHI0CZLFER</v>
      </c>
      <c r="K190">
        <f>_xlfn.IFNA(IF(F190="H",VLOOKUP(E190,Fertiliser_data!$E$7:$L$267,8,FALSE),VLOOKUP(E190,Fertiliser_data!$E$7:$L$267,8,FALSE)*0.65),IF(F190="H",0.038,(0.038*0.65)))</f>
        <v>5.9138805970149248E-2</v>
      </c>
      <c r="L190">
        <f>IF($C190="IE",$K190*CF_231025!$E$16,$K190/VLOOKUP($C190,CF_231025!$A$2:$E$28,5,FALSE))</f>
        <v>1.7718874076646289E-2</v>
      </c>
    </row>
    <row r="191" spans="1:12" x14ac:dyDescent="0.25">
      <c r="A191" t="s">
        <v>136</v>
      </c>
      <c r="B191" t="s">
        <v>331</v>
      </c>
      <c r="C191" t="str">
        <f t="shared" si="11"/>
        <v>CZ</v>
      </c>
      <c r="D191" t="str">
        <f t="shared" si="12"/>
        <v>MAI</v>
      </c>
      <c r="E191" t="str">
        <f t="shared" si="10"/>
        <v>CZMAI</v>
      </c>
      <c r="F191" t="str">
        <f t="shared" si="13"/>
        <v>H</v>
      </c>
      <c r="G191" t="s">
        <v>302</v>
      </c>
      <c r="H191">
        <v>1</v>
      </c>
      <c r="I191">
        <v>0.16</v>
      </c>
      <c r="J191" t="str">
        <f t="shared" si="14"/>
        <v>CZL000MAIHR0CZLFER</v>
      </c>
      <c r="K191">
        <f>_xlfn.IFNA(IF(F191="H",VLOOKUP(E191,Fertiliser_data!$E$7:$L$267,8,FALSE),VLOOKUP(E191,Fertiliser_data!$E$7:$L$267,8,FALSE)*0.65),IF(F191="H",0.038,(0.038*0.65)))</f>
        <v>5.9138805970149248E-2</v>
      </c>
      <c r="L191">
        <f>IF($C191="IE",$K191*CF_231025!$E$16,$K191/VLOOKUP($C191,CF_231025!$A$2:$E$28,5,FALSE))</f>
        <v>1.7718874076646289E-2</v>
      </c>
    </row>
    <row r="192" spans="1:12" x14ac:dyDescent="0.25">
      <c r="A192" t="s">
        <v>136</v>
      </c>
      <c r="B192" t="s">
        <v>332</v>
      </c>
      <c r="C192" t="str">
        <f t="shared" si="11"/>
        <v>CZ</v>
      </c>
      <c r="D192" t="str">
        <f t="shared" si="12"/>
        <v>MAI</v>
      </c>
      <c r="E192" t="str">
        <f t="shared" si="10"/>
        <v>CZMAI</v>
      </c>
      <c r="F192" t="str">
        <f t="shared" si="13"/>
        <v>L</v>
      </c>
      <c r="G192" t="s">
        <v>302</v>
      </c>
      <c r="H192">
        <v>1</v>
      </c>
      <c r="I192">
        <v>0.06</v>
      </c>
      <c r="J192" t="str">
        <f t="shared" si="14"/>
        <v>CZL000MAILI0CZLFER</v>
      </c>
      <c r="K192">
        <f>_xlfn.IFNA(IF(F192="H",VLOOKUP(E192,Fertiliser_data!$E$7:$L$267,8,FALSE),VLOOKUP(E192,Fertiliser_data!$E$7:$L$267,8,FALSE)*0.65),IF(F192="H",0.038,(0.038*0.65)))</f>
        <v>3.8440223880597015E-2</v>
      </c>
      <c r="L192">
        <f>IF($C192="IE",$K192*CF_231025!$E$16,$K192/VLOOKUP($C192,CF_231025!$A$2:$E$28,5,FALSE))</f>
        <v>1.1517268149820089E-2</v>
      </c>
    </row>
    <row r="193" spans="1:12" x14ac:dyDescent="0.25">
      <c r="A193" t="s">
        <v>136</v>
      </c>
      <c r="B193" t="s">
        <v>333</v>
      </c>
      <c r="C193" t="str">
        <f t="shared" si="11"/>
        <v>CZ</v>
      </c>
      <c r="D193" t="str">
        <f t="shared" si="12"/>
        <v>MAI</v>
      </c>
      <c r="E193" t="str">
        <f t="shared" si="10"/>
        <v>CZMAI</v>
      </c>
      <c r="F193" t="str">
        <f t="shared" si="13"/>
        <v>L</v>
      </c>
      <c r="G193" t="s">
        <v>302</v>
      </c>
      <c r="H193">
        <v>1</v>
      </c>
      <c r="I193">
        <v>0.06</v>
      </c>
      <c r="J193" t="str">
        <f t="shared" si="14"/>
        <v>CZL000MAILR0CZLFER</v>
      </c>
      <c r="K193">
        <f>_xlfn.IFNA(IF(F193="H",VLOOKUP(E193,Fertiliser_data!$E$7:$L$267,8,FALSE),VLOOKUP(E193,Fertiliser_data!$E$7:$L$267,8,FALSE)*0.65),IF(F193="H",0.038,(0.038*0.65)))</f>
        <v>3.8440223880597015E-2</v>
      </c>
      <c r="L193">
        <f>IF($C193="IE",$K193*CF_231025!$E$16,$K193/VLOOKUP($C193,CF_231025!$A$2:$E$28,5,FALSE))</f>
        <v>1.1517268149820089E-2</v>
      </c>
    </row>
    <row r="194" spans="1:12" x14ac:dyDescent="0.25">
      <c r="A194" t="s">
        <v>136</v>
      </c>
      <c r="B194" t="s">
        <v>334</v>
      </c>
      <c r="C194" t="str">
        <f t="shared" si="11"/>
        <v>CZ</v>
      </c>
      <c r="D194" t="str">
        <f t="shared" si="12"/>
        <v>SUG</v>
      </c>
      <c r="E194" t="str">
        <f t="shared" ref="E194:E257" si="15">C194&amp;D194</f>
        <v>CZSUG</v>
      </c>
      <c r="F194" t="str">
        <f t="shared" si="13"/>
        <v>H</v>
      </c>
      <c r="G194" t="s">
        <v>302</v>
      </c>
      <c r="H194">
        <v>1</v>
      </c>
      <c r="I194">
        <v>0.17</v>
      </c>
      <c r="J194" t="str">
        <f t="shared" si="14"/>
        <v>CZL000SUGHI0CZLFER</v>
      </c>
      <c r="K194">
        <f>_xlfn.IFNA(IF(F194="H",VLOOKUP(E194,Fertiliser_data!$E$7:$L$267,8,FALSE),VLOOKUP(E194,Fertiliser_data!$E$7:$L$267,8,FALSE)*0.65),IF(F194="H",0.038,(0.038*0.65)))</f>
        <v>6.0756716417910452E-2</v>
      </c>
      <c r="L194">
        <f>IF($C194="IE",$K194*CF_231025!$E$16,$K194/VLOOKUP($C194,CF_231025!$A$2:$E$28,5,FALSE))</f>
        <v>1.8203624335311322E-2</v>
      </c>
    </row>
    <row r="195" spans="1:12" x14ac:dyDescent="0.25">
      <c r="A195" t="s">
        <v>136</v>
      </c>
      <c r="B195" t="s">
        <v>335</v>
      </c>
      <c r="C195" t="str">
        <f t="shared" ref="C195:C258" si="16">LEFT(B195,2)</f>
        <v>CZ</v>
      </c>
      <c r="D195" t="str">
        <f t="shared" ref="D195:D258" si="17">MID(B195,7,3)</f>
        <v>SUG</v>
      </c>
      <c r="E195" t="str">
        <f t="shared" si="15"/>
        <v>CZSUG</v>
      </c>
      <c r="F195" t="str">
        <f t="shared" ref="F195:F258" si="18">MID(B195,10,1)</f>
        <v>H</v>
      </c>
      <c r="G195" t="s">
        <v>302</v>
      </c>
      <c r="H195">
        <v>1</v>
      </c>
      <c r="I195">
        <v>0.17</v>
      </c>
      <c r="J195" t="str">
        <f t="shared" ref="J195:J258" si="19">B195&amp;G195</f>
        <v>CZL000SUGHR0CZLFER</v>
      </c>
      <c r="K195">
        <f>_xlfn.IFNA(IF(F195="H",VLOOKUP(E195,Fertiliser_data!$E$7:$L$267,8,FALSE),VLOOKUP(E195,Fertiliser_data!$E$7:$L$267,8,FALSE)*0.65),IF(F195="H",0.038,(0.038*0.65)))</f>
        <v>6.0756716417910452E-2</v>
      </c>
      <c r="L195">
        <f>IF($C195="IE",$K195*CF_231025!$E$16,$K195/VLOOKUP($C195,CF_231025!$A$2:$E$28,5,FALSE))</f>
        <v>1.8203624335311322E-2</v>
      </c>
    </row>
    <row r="196" spans="1:12" x14ac:dyDescent="0.25">
      <c r="A196" t="s">
        <v>136</v>
      </c>
      <c r="B196" t="s">
        <v>336</v>
      </c>
      <c r="C196" t="str">
        <f t="shared" si="16"/>
        <v>CZ</v>
      </c>
      <c r="D196" t="str">
        <f t="shared" si="17"/>
        <v>SUG</v>
      </c>
      <c r="E196" t="str">
        <f t="shared" si="15"/>
        <v>CZSUG</v>
      </c>
      <c r="F196" t="str">
        <f t="shared" si="18"/>
        <v>L</v>
      </c>
      <c r="G196" t="s">
        <v>302</v>
      </c>
      <c r="H196">
        <v>1</v>
      </c>
      <c r="I196">
        <v>0.06</v>
      </c>
      <c r="J196" t="str">
        <f t="shared" si="19"/>
        <v>CZL000SUGLI0CZLFER</v>
      </c>
      <c r="K196">
        <f>_xlfn.IFNA(IF(F196="H",VLOOKUP(E196,Fertiliser_data!$E$7:$L$267,8,FALSE),VLOOKUP(E196,Fertiliser_data!$E$7:$L$267,8,FALSE)*0.65),IF(F196="H",0.038,(0.038*0.65)))</f>
        <v>3.9491865671641792E-2</v>
      </c>
      <c r="L196">
        <f>IF($C196="IE",$K196*CF_231025!$E$16,$K196/VLOOKUP($C196,CF_231025!$A$2:$E$28,5,FALSE))</f>
        <v>1.183235581795236E-2</v>
      </c>
    </row>
    <row r="197" spans="1:12" x14ac:dyDescent="0.25">
      <c r="A197" t="s">
        <v>136</v>
      </c>
      <c r="B197" t="s">
        <v>337</v>
      </c>
      <c r="C197" t="str">
        <f t="shared" si="16"/>
        <v>CZ</v>
      </c>
      <c r="D197" t="str">
        <f t="shared" si="17"/>
        <v>SUG</v>
      </c>
      <c r="E197" t="str">
        <f t="shared" si="15"/>
        <v>CZSUG</v>
      </c>
      <c r="F197" t="str">
        <f t="shared" si="18"/>
        <v>L</v>
      </c>
      <c r="G197" t="s">
        <v>302</v>
      </c>
      <c r="H197">
        <v>1</v>
      </c>
      <c r="I197">
        <v>0.06</v>
      </c>
      <c r="J197" t="str">
        <f t="shared" si="19"/>
        <v>CZL000SUGLR0CZLFER</v>
      </c>
      <c r="K197">
        <f>_xlfn.IFNA(IF(F197="H",VLOOKUP(E197,Fertiliser_data!$E$7:$L$267,8,FALSE),VLOOKUP(E197,Fertiliser_data!$E$7:$L$267,8,FALSE)*0.65),IF(F197="H",0.038,(0.038*0.65)))</f>
        <v>3.9491865671641792E-2</v>
      </c>
      <c r="L197">
        <f>IF($C197="IE",$K197*CF_231025!$E$16,$K197/VLOOKUP($C197,CF_231025!$A$2:$E$28,5,FALSE))</f>
        <v>1.183235581795236E-2</v>
      </c>
    </row>
    <row r="198" spans="1:12" x14ac:dyDescent="0.25">
      <c r="A198" t="s">
        <v>136</v>
      </c>
      <c r="B198" t="s">
        <v>338</v>
      </c>
      <c r="C198" t="str">
        <f t="shared" si="16"/>
        <v>CZ</v>
      </c>
      <c r="D198" t="str">
        <f t="shared" si="17"/>
        <v>WHE</v>
      </c>
      <c r="E198" t="str">
        <f t="shared" si="15"/>
        <v>CZWHE</v>
      </c>
      <c r="F198" t="str">
        <f t="shared" si="18"/>
        <v>H</v>
      </c>
      <c r="G198" t="s">
        <v>302</v>
      </c>
      <c r="H198">
        <v>1</v>
      </c>
      <c r="I198">
        <v>0.2</v>
      </c>
      <c r="J198" t="str">
        <f t="shared" si="19"/>
        <v>CZL000WHEHI0CZLFER</v>
      </c>
      <c r="K198">
        <f>_xlfn.IFNA(IF(F198="H",VLOOKUP(E198,Fertiliser_data!$E$7:$L$267,8,FALSE),VLOOKUP(E198,Fertiliser_data!$E$7:$L$267,8,FALSE)*0.65),IF(F198="H",0.038,(0.038*0.65)))</f>
        <v>6.0331343283582091E-2</v>
      </c>
      <c r="L198">
        <f>IF($C198="IE",$K198*CF_231025!$E$16,$K198/VLOOKUP($C198,CF_231025!$A$2:$E$28,5,FALSE))</f>
        <v>1.8076176158448285E-2</v>
      </c>
    </row>
    <row r="199" spans="1:12" x14ac:dyDescent="0.25">
      <c r="A199" t="s">
        <v>136</v>
      </c>
      <c r="B199" t="s">
        <v>339</v>
      </c>
      <c r="C199" t="str">
        <f t="shared" si="16"/>
        <v>CZ</v>
      </c>
      <c r="D199" t="str">
        <f t="shared" si="17"/>
        <v>WHE</v>
      </c>
      <c r="E199" t="str">
        <f t="shared" si="15"/>
        <v>CZWHE</v>
      </c>
      <c r="F199" t="str">
        <f t="shared" si="18"/>
        <v>H</v>
      </c>
      <c r="G199" t="s">
        <v>302</v>
      </c>
      <c r="H199">
        <v>1</v>
      </c>
      <c r="I199">
        <v>0.2</v>
      </c>
      <c r="J199" t="str">
        <f t="shared" si="19"/>
        <v>CZL000WHEHR0CZLFER</v>
      </c>
      <c r="K199">
        <f>_xlfn.IFNA(IF(F199="H",VLOOKUP(E199,Fertiliser_data!$E$7:$L$267,8,FALSE),VLOOKUP(E199,Fertiliser_data!$E$7:$L$267,8,FALSE)*0.65),IF(F199="H",0.038,(0.038*0.65)))</f>
        <v>6.0331343283582091E-2</v>
      </c>
      <c r="L199">
        <f>IF($C199="IE",$K199*CF_231025!$E$16,$K199/VLOOKUP($C199,CF_231025!$A$2:$E$28,5,FALSE))</f>
        <v>1.8076176158448285E-2</v>
      </c>
    </row>
    <row r="200" spans="1:12" x14ac:dyDescent="0.25">
      <c r="A200" t="s">
        <v>136</v>
      </c>
      <c r="B200" t="s">
        <v>340</v>
      </c>
      <c r="C200" t="str">
        <f t="shared" si="16"/>
        <v>CZ</v>
      </c>
      <c r="D200" t="str">
        <f t="shared" si="17"/>
        <v>WHE</v>
      </c>
      <c r="E200" t="str">
        <f t="shared" si="15"/>
        <v>CZWHE</v>
      </c>
      <c r="F200" t="str">
        <f t="shared" si="18"/>
        <v>L</v>
      </c>
      <c r="G200" t="s">
        <v>302</v>
      </c>
      <c r="H200">
        <v>1</v>
      </c>
      <c r="I200">
        <v>7.0000000000000007E-2</v>
      </c>
      <c r="J200" t="str">
        <f t="shared" si="19"/>
        <v>CZL000WHELI0CZLFER</v>
      </c>
      <c r="K200">
        <f>_xlfn.IFNA(IF(F200="H",VLOOKUP(E200,Fertiliser_data!$E$7:$L$267,8,FALSE),VLOOKUP(E200,Fertiliser_data!$E$7:$L$267,8,FALSE)*0.65),IF(F200="H",0.038,(0.038*0.65)))</f>
        <v>3.9215373134328359E-2</v>
      </c>
      <c r="L200">
        <f>IF($C200="IE",$K200*CF_231025!$E$16,$K200/VLOOKUP($C200,CF_231025!$A$2:$E$28,5,FALSE))</f>
        <v>1.1749514502991384E-2</v>
      </c>
    </row>
    <row r="201" spans="1:12" x14ac:dyDescent="0.25">
      <c r="A201" t="s">
        <v>136</v>
      </c>
      <c r="B201" t="s">
        <v>341</v>
      </c>
      <c r="C201" t="str">
        <f t="shared" si="16"/>
        <v>CZ</v>
      </c>
      <c r="D201" t="str">
        <f t="shared" si="17"/>
        <v>WHE</v>
      </c>
      <c r="E201" t="str">
        <f t="shared" si="15"/>
        <v>CZWHE</v>
      </c>
      <c r="F201" t="str">
        <f t="shared" si="18"/>
        <v>L</v>
      </c>
      <c r="G201" t="s">
        <v>302</v>
      </c>
      <c r="H201">
        <v>1</v>
      </c>
      <c r="I201">
        <v>7.0000000000000007E-2</v>
      </c>
      <c r="J201" t="str">
        <f t="shared" si="19"/>
        <v>CZL000WHELR0CZLFER</v>
      </c>
      <c r="K201">
        <f>_xlfn.IFNA(IF(F201="H",VLOOKUP(E201,Fertiliser_data!$E$7:$L$267,8,FALSE),VLOOKUP(E201,Fertiliser_data!$E$7:$L$267,8,FALSE)*0.65),IF(F201="H",0.038,(0.038*0.65)))</f>
        <v>3.9215373134328359E-2</v>
      </c>
      <c r="L201">
        <f>IF($C201="IE",$K201*CF_231025!$E$16,$K201/VLOOKUP($C201,CF_231025!$A$2:$E$28,5,FALSE))</f>
        <v>1.1749514502991384E-2</v>
      </c>
    </row>
    <row r="202" spans="1:12" x14ac:dyDescent="0.25">
      <c r="A202" t="s">
        <v>136</v>
      </c>
      <c r="B202" t="s">
        <v>342</v>
      </c>
      <c r="C202" t="str">
        <f t="shared" si="16"/>
        <v>DE</v>
      </c>
      <c r="D202" t="str">
        <f t="shared" si="17"/>
        <v>WHE</v>
      </c>
      <c r="E202" t="str">
        <f t="shared" si="15"/>
        <v>DEWHE</v>
      </c>
      <c r="F202" t="str">
        <f t="shared" si="18"/>
        <v>H</v>
      </c>
      <c r="G202" t="s">
        <v>343</v>
      </c>
      <c r="H202">
        <v>1</v>
      </c>
      <c r="I202">
        <v>0.2</v>
      </c>
      <c r="J202" t="str">
        <f t="shared" si="19"/>
        <v>DEL000WHEHI0DELFER</v>
      </c>
      <c r="K202">
        <f>_xlfn.IFNA(IF(F202="H",VLOOKUP(E202,Fertiliser_data!$E$7:$L$267,8,FALSE),VLOOKUP(E202,Fertiliser_data!$E$7:$L$267,8,FALSE)*0.65),IF(F202="H",0.038,(0.038*0.65)))</f>
        <v>4.8482089552238802E-2</v>
      </c>
      <c r="L202">
        <f>IF($C202="IE",$K202*CF_231025!$E$16,$K202/VLOOKUP($C202,CF_231025!$A$2:$E$28,5,FALSE))</f>
        <v>1.5455382975572755E-2</v>
      </c>
    </row>
    <row r="203" spans="1:12" x14ac:dyDescent="0.25">
      <c r="A203" t="s">
        <v>136</v>
      </c>
      <c r="B203" t="s">
        <v>344</v>
      </c>
      <c r="C203" t="str">
        <f t="shared" si="16"/>
        <v>DE</v>
      </c>
      <c r="D203" t="str">
        <f t="shared" si="17"/>
        <v>WHE</v>
      </c>
      <c r="E203" t="str">
        <f t="shared" si="15"/>
        <v>DEWHE</v>
      </c>
      <c r="F203" t="str">
        <f t="shared" si="18"/>
        <v>H</v>
      </c>
      <c r="G203" t="s">
        <v>343</v>
      </c>
      <c r="H203">
        <v>1</v>
      </c>
      <c r="I203">
        <v>0.2</v>
      </c>
      <c r="J203" t="str">
        <f t="shared" si="19"/>
        <v>DEL000WHEHR0DELFER</v>
      </c>
      <c r="K203">
        <f>_xlfn.IFNA(IF(F203="H",VLOOKUP(E203,Fertiliser_data!$E$7:$L$267,8,FALSE),VLOOKUP(E203,Fertiliser_data!$E$7:$L$267,8,FALSE)*0.65),IF(F203="H",0.038,(0.038*0.65)))</f>
        <v>4.8482089552238802E-2</v>
      </c>
      <c r="L203">
        <f>IF($C203="IE",$K203*CF_231025!$E$16,$K203/VLOOKUP($C203,CF_231025!$A$2:$E$28,5,FALSE))</f>
        <v>1.5455382975572755E-2</v>
      </c>
    </row>
    <row r="204" spans="1:12" x14ac:dyDescent="0.25">
      <c r="A204" t="s">
        <v>136</v>
      </c>
      <c r="B204" t="s">
        <v>345</v>
      </c>
      <c r="C204" t="str">
        <f t="shared" si="16"/>
        <v>DE</v>
      </c>
      <c r="D204" t="str">
        <f t="shared" si="17"/>
        <v>WHE</v>
      </c>
      <c r="E204" t="str">
        <f t="shared" si="15"/>
        <v>DEWHE</v>
      </c>
      <c r="F204" t="str">
        <f t="shared" si="18"/>
        <v>L</v>
      </c>
      <c r="G204" t="s">
        <v>343</v>
      </c>
      <c r="H204">
        <v>1</v>
      </c>
      <c r="I204">
        <v>7.0000000000000007E-2</v>
      </c>
      <c r="J204" t="str">
        <f t="shared" si="19"/>
        <v>DEL000WHELI0DELFER</v>
      </c>
      <c r="K204">
        <f>_xlfn.IFNA(IF(F204="H",VLOOKUP(E204,Fertiliser_data!$E$7:$L$267,8,FALSE),VLOOKUP(E204,Fertiliser_data!$E$7:$L$267,8,FALSE)*0.65),IF(F204="H",0.038,(0.038*0.65)))</f>
        <v>3.1513358208955219E-2</v>
      </c>
      <c r="L204">
        <f>IF($C204="IE",$K204*CF_231025!$E$16,$K204/VLOOKUP($C204,CF_231025!$A$2:$E$28,5,FALSE))</f>
        <v>1.004599893412229E-2</v>
      </c>
    </row>
    <row r="205" spans="1:12" x14ac:dyDescent="0.25">
      <c r="A205" t="s">
        <v>136</v>
      </c>
      <c r="B205" t="s">
        <v>346</v>
      </c>
      <c r="C205" t="str">
        <f t="shared" si="16"/>
        <v>DE</v>
      </c>
      <c r="D205" t="str">
        <f t="shared" si="17"/>
        <v>WHE</v>
      </c>
      <c r="E205" t="str">
        <f t="shared" si="15"/>
        <v>DEWHE</v>
      </c>
      <c r="F205" t="str">
        <f t="shared" si="18"/>
        <v>L</v>
      </c>
      <c r="G205" t="s">
        <v>343</v>
      </c>
      <c r="H205">
        <v>1</v>
      </c>
      <c r="I205">
        <v>7.0000000000000007E-2</v>
      </c>
      <c r="J205" t="str">
        <f t="shared" si="19"/>
        <v>DEL000WHELR0DELFER</v>
      </c>
      <c r="K205">
        <f>_xlfn.IFNA(IF(F205="H",VLOOKUP(E205,Fertiliser_data!$E$7:$L$267,8,FALSE),VLOOKUP(E205,Fertiliser_data!$E$7:$L$267,8,FALSE)*0.65),IF(F205="H",0.038,(0.038*0.65)))</f>
        <v>3.1513358208955219E-2</v>
      </c>
      <c r="L205">
        <f>IF($C205="IE",$K205*CF_231025!$E$16,$K205/VLOOKUP($C205,CF_231025!$A$2:$E$28,5,FALSE))</f>
        <v>1.004599893412229E-2</v>
      </c>
    </row>
    <row r="206" spans="1:12" x14ac:dyDescent="0.25">
      <c r="A206" t="s">
        <v>136</v>
      </c>
      <c r="B206" t="s">
        <v>347</v>
      </c>
      <c r="C206" t="str">
        <f t="shared" si="16"/>
        <v>DE</v>
      </c>
      <c r="D206" t="str">
        <f t="shared" si="17"/>
        <v>BRL</v>
      </c>
      <c r="E206" t="str">
        <f t="shared" si="15"/>
        <v>DEBRL</v>
      </c>
      <c r="F206" t="str">
        <f t="shared" si="18"/>
        <v>H</v>
      </c>
      <c r="G206" t="s">
        <v>343</v>
      </c>
      <c r="H206">
        <v>1</v>
      </c>
      <c r="I206">
        <v>0.15</v>
      </c>
      <c r="J206" t="str">
        <f t="shared" si="19"/>
        <v>DEL000BRLHI0DELFER</v>
      </c>
      <c r="K206">
        <f>_xlfn.IFNA(IF(F206="H",VLOOKUP(E206,Fertiliser_data!$E$7:$L$267,8,FALSE),VLOOKUP(E206,Fertiliser_data!$E$7:$L$267,8,FALSE)*0.65),IF(F206="H",0.038,(0.038*0.65)))</f>
        <v>3.2762686567164183E-2</v>
      </c>
      <c r="L206">
        <f>IF($C206="IE",$K206*CF_231025!$E$16,$K206/VLOOKUP($C206,CF_231025!$A$2:$E$28,5,FALSE))</f>
        <v>1.0444266591657101E-2</v>
      </c>
    </row>
    <row r="207" spans="1:12" x14ac:dyDescent="0.25">
      <c r="A207" t="s">
        <v>136</v>
      </c>
      <c r="B207" t="s">
        <v>348</v>
      </c>
      <c r="C207" t="str">
        <f t="shared" si="16"/>
        <v>DE</v>
      </c>
      <c r="D207" t="str">
        <f t="shared" si="17"/>
        <v>BRL</v>
      </c>
      <c r="E207" t="str">
        <f t="shared" si="15"/>
        <v>DEBRL</v>
      </c>
      <c r="F207" t="str">
        <f t="shared" si="18"/>
        <v>H</v>
      </c>
      <c r="G207" t="s">
        <v>343</v>
      </c>
      <c r="H207">
        <v>1</v>
      </c>
      <c r="I207">
        <v>0.15</v>
      </c>
      <c r="J207" t="str">
        <f t="shared" si="19"/>
        <v>DEL000BRLHR0DELFER</v>
      </c>
      <c r="K207">
        <f>_xlfn.IFNA(IF(F207="H",VLOOKUP(E207,Fertiliser_data!$E$7:$L$267,8,FALSE),VLOOKUP(E207,Fertiliser_data!$E$7:$L$267,8,FALSE)*0.65),IF(F207="H",0.038,(0.038*0.65)))</f>
        <v>3.2762686567164183E-2</v>
      </c>
      <c r="L207">
        <f>IF($C207="IE",$K207*CF_231025!$E$16,$K207/VLOOKUP($C207,CF_231025!$A$2:$E$28,5,FALSE))</f>
        <v>1.0444266591657101E-2</v>
      </c>
    </row>
    <row r="208" spans="1:12" x14ac:dyDescent="0.25">
      <c r="A208" t="s">
        <v>136</v>
      </c>
      <c r="B208" t="s">
        <v>349</v>
      </c>
      <c r="C208" t="str">
        <f t="shared" si="16"/>
        <v>DE</v>
      </c>
      <c r="D208" t="str">
        <f t="shared" si="17"/>
        <v>BRL</v>
      </c>
      <c r="E208" t="str">
        <f t="shared" si="15"/>
        <v>DEBRL</v>
      </c>
      <c r="F208" t="str">
        <f t="shared" si="18"/>
        <v>L</v>
      </c>
      <c r="G208" t="s">
        <v>343</v>
      </c>
      <c r="H208">
        <v>1</v>
      </c>
      <c r="I208">
        <v>0.06</v>
      </c>
      <c r="J208" t="str">
        <f t="shared" si="19"/>
        <v>DEL000BRLLI0DELFER</v>
      </c>
      <c r="K208">
        <f>_xlfn.IFNA(IF(F208="H",VLOOKUP(E208,Fertiliser_data!$E$7:$L$267,8,FALSE),VLOOKUP(E208,Fertiliser_data!$E$7:$L$267,8,FALSE)*0.65),IF(F208="H",0.038,(0.038*0.65)))</f>
        <v>2.1295746268656719E-2</v>
      </c>
      <c r="L208">
        <f>IF($C208="IE",$K208*CF_231025!$E$16,$K208/VLOOKUP($C208,CF_231025!$A$2:$E$28,5,FALSE))</f>
        <v>6.7887732845771159E-3</v>
      </c>
    </row>
    <row r="209" spans="1:12" x14ac:dyDescent="0.25">
      <c r="A209" t="s">
        <v>136</v>
      </c>
      <c r="B209" t="s">
        <v>350</v>
      </c>
      <c r="C209" t="str">
        <f t="shared" si="16"/>
        <v>DE</v>
      </c>
      <c r="D209" t="str">
        <f t="shared" si="17"/>
        <v>BRL</v>
      </c>
      <c r="E209" t="str">
        <f t="shared" si="15"/>
        <v>DEBRL</v>
      </c>
      <c r="F209" t="str">
        <f t="shared" si="18"/>
        <v>L</v>
      </c>
      <c r="G209" t="s">
        <v>343</v>
      </c>
      <c r="H209">
        <v>1</v>
      </c>
      <c r="I209">
        <v>0.06</v>
      </c>
      <c r="J209" t="str">
        <f t="shared" si="19"/>
        <v>DEL000BRLLR0DELFER</v>
      </c>
      <c r="K209">
        <f>_xlfn.IFNA(IF(F209="H",VLOOKUP(E209,Fertiliser_data!$E$7:$L$267,8,FALSE),VLOOKUP(E209,Fertiliser_data!$E$7:$L$267,8,FALSE)*0.65),IF(F209="H",0.038,(0.038*0.65)))</f>
        <v>2.1295746268656719E-2</v>
      </c>
      <c r="L209">
        <f>IF($C209="IE",$K209*CF_231025!$E$16,$K209/VLOOKUP($C209,CF_231025!$A$2:$E$28,5,FALSE))</f>
        <v>6.7887732845771159E-3</v>
      </c>
    </row>
    <row r="210" spans="1:12" x14ac:dyDescent="0.25">
      <c r="A210" t="s">
        <v>136</v>
      </c>
      <c r="B210" t="s">
        <v>351</v>
      </c>
      <c r="C210" t="str">
        <f t="shared" si="16"/>
        <v>DE</v>
      </c>
      <c r="D210" t="str">
        <f t="shared" si="17"/>
        <v>RAP</v>
      </c>
      <c r="E210" t="str">
        <f t="shared" si="15"/>
        <v>DERAP</v>
      </c>
      <c r="F210" t="str">
        <f t="shared" si="18"/>
        <v>H</v>
      </c>
      <c r="G210" t="s">
        <v>343</v>
      </c>
      <c r="H210">
        <v>1</v>
      </c>
      <c r="I210">
        <v>0.26</v>
      </c>
      <c r="J210" t="str">
        <f t="shared" si="19"/>
        <v>DEL000RAPHI0DELFER</v>
      </c>
      <c r="K210">
        <f>_xlfn.IFNA(IF(F210="H",VLOOKUP(E210,Fertiliser_data!$E$7:$L$267,8,FALSE),VLOOKUP(E210,Fertiliser_data!$E$7:$L$267,8,FALSE)*0.65),IF(F210="H",0.038,(0.038*0.65)))</f>
        <v>5.7098507462686569E-2</v>
      </c>
      <c r="L210">
        <f>IF($C210="IE",$K210*CF_231025!$E$16,$K210/VLOOKUP($C210,CF_231025!$A$2:$E$28,5,FALSE))</f>
        <v>1.8202171323877456E-2</v>
      </c>
    </row>
    <row r="211" spans="1:12" x14ac:dyDescent="0.25">
      <c r="A211" t="s">
        <v>136</v>
      </c>
      <c r="B211" t="s">
        <v>352</v>
      </c>
      <c r="C211" t="str">
        <f t="shared" si="16"/>
        <v>DE</v>
      </c>
      <c r="D211" t="str">
        <f t="shared" si="17"/>
        <v>RAP</v>
      </c>
      <c r="E211" t="str">
        <f t="shared" si="15"/>
        <v>DERAP</v>
      </c>
      <c r="F211" t="str">
        <f t="shared" si="18"/>
        <v>H</v>
      </c>
      <c r="G211" t="s">
        <v>343</v>
      </c>
      <c r="H211">
        <v>1</v>
      </c>
      <c r="I211">
        <v>0.26</v>
      </c>
      <c r="J211" t="str">
        <f t="shared" si="19"/>
        <v>DEL000RAPHR0DELFER</v>
      </c>
      <c r="K211">
        <f>_xlfn.IFNA(IF(F211="H",VLOOKUP(E211,Fertiliser_data!$E$7:$L$267,8,FALSE),VLOOKUP(E211,Fertiliser_data!$E$7:$L$267,8,FALSE)*0.65),IF(F211="H",0.038,(0.038*0.65)))</f>
        <v>5.7098507462686569E-2</v>
      </c>
      <c r="L211">
        <f>IF($C211="IE",$K211*CF_231025!$E$16,$K211/VLOOKUP($C211,CF_231025!$A$2:$E$28,5,FALSE))</f>
        <v>1.8202171323877456E-2</v>
      </c>
    </row>
    <row r="212" spans="1:12" x14ac:dyDescent="0.25">
      <c r="A212" t="s">
        <v>136</v>
      </c>
      <c r="B212" t="s">
        <v>353</v>
      </c>
      <c r="C212" t="str">
        <f t="shared" si="16"/>
        <v>DE</v>
      </c>
      <c r="D212" t="str">
        <f t="shared" si="17"/>
        <v>RAP</v>
      </c>
      <c r="E212" t="str">
        <f t="shared" si="15"/>
        <v>DERAP</v>
      </c>
      <c r="F212" t="str">
        <f t="shared" si="18"/>
        <v>L</v>
      </c>
      <c r="G212" t="s">
        <v>343</v>
      </c>
      <c r="H212">
        <v>1</v>
      </c>
      <c r="I212">
        <v>0.1</v>
      </c>
      <c r="J212" t="str">
        <f t="shared" si="19"/>
        <v>DEL000RAPLI0DELFER</v>
      </c>
      <c r="K212">
        <f>_xlfn.IFNA(IF(F212="H",VLOOKUP(E212,Fertiliser_data!$E$7:$L$267,8,FALSE),VLOOKUP(E212,Fertiliser_data!$E$7:$L$267,8,FALSE)*0.65),IF(F212="H",0.038,(0.038*0.65)))</f>
        <v>3.7114029850746272E-2</v>
      </c>
      <c r="L212">
        <f>IF($C212="IE",$K212*CF_231025!$E$16,$K212/VLOOKUP($C212,CF_231025!$A$2:$E$28,5,FALSE))</f>
        <v>1.1831411360520346E-2</v>
      </c>
    </row>
    <row r="213" spans="1:12" x14ac:dyDescent="0.25">
      <c r="A213" t="s">
        <v>136</v>
      </c>
      <c r="B213" t="s">
        <v>354</v>
      </c>
      <c r="C213" t="str">
        <f t="shared" si="16"/>
        <v>DE</v>
      </c>
      <c r="D213" t="str">
        <f t="shared" si="17"/>
        <v>RAP</v>
      </c>
      <c r="E213" t="str">
        <f t="shared" si="15"/>
        <v>DERAP</v>
      </c>
      <c r="F213" t="str">
        <f t="shared" si="18"/>
        <v>L</v>
      </c>
      <c r="G213" t="s">
        <v>343</v>
      </c>
      <c r="H213">
        <v>1</v>
      </c>
      <c r="I213">
        <v>0.1</v>
      </c>
      <c r="J213" t="str">
        <f t="shared" si="19"/>
        <v>DEL000RAPLR0DELFER</v>
      </c>
      <c r="K213">
        <f>_xlfn.IFNA(IF(F213="H",VLOOKUP(E213,Fertiliser_data!$E$7:$L$267,8,FALSE),VLOOKUP(E213,Fertiliser_data!$E$7:$L$267,8,FALSE)*0.65),IF(F213="H",0.038,(0.038*0.65)))</f>
        <v>3.7114029850746272E-2</v>
      </c>
      <c r="L213">
        <f>IF($C213="IE",$K213*CF_231025!$E$16,$K213/VLOOKUP($C213,CF_231025!$A$2:$E$28,5,FALSE))</f>
        <v>1.1831411360520346E-2</v>
      </c>
    </row>
    <row r="214" spans="1:12" x14ac:dyDescent="0.25">
      <c r="A214" t="s">
        <v>136</v>
      </c>
      <c r="B214" t="s">
        <v>355</v>
      </c>
      <c r="C214" t="str">
        <f t="shared" si="16"/>
        <v>DE</v>
      </c>
      <c r="D214" t="str">
        <f t="shared" si="17"/>
        <v>RYE</v>
      </c>
      <c r="E214" t="str">
        <f t="shared" si="15"/>
        <v>DERYE</v>
      </c>
      <c r="F214" t="str">
        <f t="shared" si="18"/>
        <v>H</v>
      </c>
      <c r="G214" t="s">
        <v>343</v>
      </c>
      <c r="H214">
        <v>1</v>
      </c>
      <c r="I214">
        <v>0.11</v>
      </c>
      <c r="J214" t="str">
        <f t="shared" si="19"/>
        <v>DEL000RYEHI0DELFER</v>
      </c>
      <c r="K214">
        <f>_xlfn.IFNA(IF(F214="H",VLOOKUP(E214,Fertiliser_data!$E$7:$L$267,8,FALSE),VLOOKUP(E214,Fertiliser_data!$E$7:$L$267,8,FALSE)*0.65),IF(F214="H",0.038,(0.038*0.65)))</f>
        <v>3.246417910447761E-2</v>
      </c>
      <c r="L214">
        <f>IF($C214="IE",$K214*CF_231025!$E$16,$K214/VLOOKUP($C214,CF_231025!$A$2:$E$28,5,FALSE))</f>
        <v>1.0349106766668196E-2</v>
      </c>
    </row>
    <row r="215" spans="1:12" x14ac:dyDescent="0.25">
      <c r="A215" t="s">
        <v>136</v>
      </c>
      <c r="B215" t="s">
        <v>356</v>
      </c>
      <c r="C215" t="str">
        <f t="shared" si="16"/>
        <v>DE</v>
      </c>
      <c r="D215" t="str">
        <f t="shared" si="17"/>
        <v>RYE</v>
      </c>
      <c r="E215" t="str">
        <f t="shared" si="15"/>
        <v>DERYE</v>
      </c>
      <c r="F215" t="str">
        <f t="shared" si="18"/>
        <v>H</v>
      </c>
      <c r="G215" t="s">
        <v>343</v>
      </c>
      <c r="H215">
        <v>1</v>
      </c>
      <c r="I215">
        <v>0.11</v>
      </c>
      <c r="J215" t="str">
        <f t="shared" si="19"/>
        <v>DEL000RYEHR0DELFER</v>
      </c>
      <c r="K215">
        <f>_xlfn.IFNA(IF(F215="H",VLOOKUP(E215,Fertiliser_data!$E$7:$L$267,8,FALSE),VLOOKUP(E215,Fertiliser_data!$E$7:$L$267,8,FALSE)*0.65),IF(F215="H",0.038,(0.038*0.65)))</f>
        <v>3.246417910447761E-2</v>
      </c>
      <c r="L215">
        <f>IF($C215="IE",$K215*CF_231025!$E$16,$K215/VLOOKUP($C215,CF_231025!$A$2:$E$28,5,FALSE))</f>
        <v>1.0349106766668196E-2</v>
      </c>
    </row>
    <row r="216" spans="1:12" x14ac:dyDescent="0.25">
      <c r="A216" t="s">
        <v>136</v>
      </c>
      <c r="B216" t="s">
        <v>357</v>
      </c>
      <c r="C216" t="str">
        <f t="shared" si="16"/>
        <v>DE</v>
      </c>
      <c r="D216" t="str">
        <f t="shared" si="17"/>
        <v>RYE</v>
      </c>
      <c r="E216" t="str">
        <f t="shared" si="15"/>
        <v>DERYE</v>
      </c>
      <c r="F216" t="str">
        <f t="shared" si="18"/>
        <v>L</v>
      </c>
      <c r="G216" t="s">
        <v>343</v>
      </c>
      <c r="H216">
        <v>1</v>
      </c>
      <c r="I216">
        <v>0.04</v>
      </c>
      <c r="J216" t="str">
        <f t="shared" si="19"/>
        <v>DEL000RYELI0DELFER</v>
      </c>
      <c r="K216">
        <f>_xlfn.IFNA(IF(F216="H",VLOOKUP(E216,Fertiliser_data!$E$7:$L$267,8,FALSE),VLOOKUP(E216,Fertiliser_data!$E$7:$L$267,8,FALSE)*0.65),IF(F216="H",0.038,(0.038*0.65)))</f>
        <v>2.1101716417910449E-2</v>
      </c>
      <c r="L216">
        <f>IF($C216="IE",$K216*CF_231025!$E$16,$K216/VLOOKUP($C216,CF_231025!$A$2:$E$28,5,FALSE))</f>
        <v>6.7269193983343278E-3</v>
      </c>
    </row>
    <row r="217" spans="1:12" x14ac:dyDescent="0.25">
      <c r="A217" t="s">
        <v>136</v>
      </c>
      <c r="B217" t="s">
        <v>358</v>
      </c>
      <c r="C217" t="str">
        <f t="shared" si="16"/>
        <v>DE</v>
      </c>
      <c r="D217" t="str">
        <f t="shared" si="17"/>
        <v>RYE</v>
      </c>
      <c r="E217" t="str">
        <f t="shared" si="15"/>
        <v>DERYE</v>
      </c>
      <c r="F217" t="str">
        <f t="shared" si="18"/>
        <v>L</v>
      </c>
      <c r="G217" t="s">
        <v>343</v>
      </c>
      <c r="H217">
        <v>1</v>
      </c>
      <c r="I217">
        <v>0.04</v>
      </c>
      <c r="J217" t="str">
        <f t="shared" si="19"/>
        <v>DEL000RYELR0DELFER</v>
      </c>
      <c r="K217">
        <f>_xlfn.IFNA(IF(F217="H",VLOOKUP(E217,Fertiliser_data!$E$7:$L$267,8,FALSE),VLOOKUP(E217,Fertiliser_data!$E$7:$L$267,8,FALSE)*0.65),IF(F217="H",0.038,(0.038*0.65)))</f>
        <v>2.1101716417910449E-2</v>
      </c>
      <c r="L217">
        <f>IF($C217="IE",$K217*CF_231025!$E$16,$K217/VLOOKUP($C217,CF_231025!$A$2:$E$28,5,FALSE))</f>
        <v>6.7269193983343278E-3</v>
      </c>
    </row>
    <row r="218" spans="1:12" x14ac:dyDescent="0.25">
      <c r="A218" t="s">
        <v>136</v>
      </c>
      <c r="B218" t="s">
        <v>359</v>
      </c>
      <c r="C218" t="str">
        <f t="shared" si="16"/>
        <v>DE</v>
      </c>
      <c r="D218" t="str">
        <f t="shared" si="17"/>
        <v>MAI</v>
      </c>
      <c r="E218" t="str">
        <f t="shared" si="15"/>
        <v>DEMAI</v>
      </c>
      <c r="F218" t="str">
        <f t="shared" si="18"/>
        <v>H</v>
      </c>
      <c r="G218" t="s">
        <v>343</v>
      </c>
      <c r="H218">
        <v>1</v>
      </c>
      <c r="I218">
        <v>0.16</v>
      </c>
      <c r="J218" t="str">
        <f t="shared" si="19"/>
        <v>DEL000MAIHI0DELFER</v>
      </c>
      <c r="K218">
        <f>_xlfn.IFNA(IF(F218="H",VLOOKUP(E218,Fertiliser_data!$E$7:$L$267,8,FALSE),VLOOKUP(E218,Fertiliser_data!$E$7:$L$267,8,FALSE)*0.65),IF(F218="H",0.038,(0.038*0.65)))</f>
        <v>5.1726865671641781E-2</v>
      </c>
      <c r="L218">
        <f>IF($C218="IE",$K218*CF_231025!$E$16,$K218/VLOOKUP($C218,CF_231025!$A$2:$E$28,5,FALSE))</f>
        <v>1.6489770273202135E-2</v>
      </c>
    </row>
    <row r="219" spans="1:12" x14ac:dyDescent="0.25">
      <c r="A219" t="s">
        <v>136</v>
      </c>
      <c r="B219" t="s">
        <v>360</v>
      </c>
      <c r="C219" t="str">
        <f t="shared" si="16"/>
        <v>DE</v>
      </c>
      <c r="D219" t="str">
        <f t="shared" si="17"/>
        <v>MAI</v>
      </c>
      <c r="E219" t="str">
        <f t="shared" si="15"/>
        <v>DEMAI</v>
      </c>
      <c r="F219" t="str">
        <f t="shared" si="18"/>
        <v>H</v>
      </c>
      <c r="G219" t="s">
        <v>343</v>
      </c>
      <c r="H219">
        <v>1</v>
      </c>
      <c r="I219">
        <v>0.16</v>
      </c>
      <c r="J219" t="str">
        <f t="shared" si="19"/>
        <v>DEL000MAIHR0DELFER</v>
      </c>
      <c r="K219">
        <f>_xlfn.IFNA(IF(F219="H",VLOOKUP(E219,Fertiliser_data!$E$7:$L$267,8,FALSE),VLOOKUP(E219,Fertiliser_data!$E$7:$L$267,8,FALSE)*0.65),IF(F219="H",0.038,(0.038*0.65)))</f>
        <v>5.1726865671641781E-2</v>
      </c>
      <c r="L219">
        <f>IF($C219="IE",$K219*CF_231025!$E$16,$K219/VLOOKUP($C219,CF_231025!$A$2:$E$28,5,FALSE))</f>
        <v>1.6489770273202135E-2</v>
      </c>
    </row>
    <row r="220" spans="1:12" x14ac:dyDescent="0.25">
      <c r="A220" t="s">
        <v>136</v>
      </c>
      <c r="B220" t="s">
        <v>361</v>
      </c>
      <c r="C220" t="str">
        <f t="shared" si="16"/>
        <v>DE</v>
      </c>
      <c r="D220" t="str">
        <f t="shared" si="17"/>
        <v>MAI</v>
      </c>
      <c r="E220" t="str">
        <f t="shared" si="15"/>
        <v>DEMAI</v>
      </c>
      <c r="F220" t="str">
        <f t="shared" si="18"/>
        <v>L</v>
      </c>
      <c r="G220" t="s">
        <v>343</v>
      </c>
      <c r="H220">
        <v>1</v>
      </c>
      <c r="I220">
        <v>0.06</v>
      </c>
      <c r="J220" t="str">
        <f t="shared" si="19"/>
        <v>DEL000MAILI0DELFER</v>
      </c>
      <c r="K220">
        <f>_xlfn.IFNA(IF(F220="H",VLOOKUP(E220,Fertiliser_data!$E$7:$L$267,8,FALSE),VLOOKUP(E220,Fertiliser_data!$E$7:$L$267,8,FALSE)*0.65),IF(F220="H",0.038,(0.038*0.65)))</f>
        <v>3.3622462686567156E-2</v>
      </c>
      <c r="L220">
        <f>IF($C220="IE",$K220*CF_231025!$E$16,$K220/VLOOKUP($C220,CF_231025!$A$2:$E$28,5,FALSE))</f>
        <v>1.0718350677581387E-2</v>
      </c>
    </row>
    <row r="221" spans="1:12" x14ac:dyDescent="0.25">
      <c r="A221" t="s">
        <v>136</v>
      </c>
      <c r="B221" t="s">
        <v>362</v>
      </c>
      <c r="C221" t="str">
        <f t="shared" si="16"/>
        <v>DE</v>
      </c>
      <c r="D221" t="str">
        <f t="shared" si="17"/>
        <v>MAI</v>
      </c>
      <c r="E221" t="str">
        <f t="shared" si="15"/>
        <v>DEMAI</v>
      </c>
      <c r="F221" t="str">
        <f t="shared" si="18"/>
        <v>L</v>
      </c>
      <c r="G221" t="s">
        <v>343</v>
      </c>
      <c r="H221">
        <v>1</v>
      </c>
      <c r="I221">
        <v>0.06</v>
      </c>
      <c r="J221" t="str">
        <f t="shared" si="19"/>
        <v>DEL000MAILR0DELFER</v>
      </c>
      <c r="K221">
        <f>_xlfn.IFNA(IF(F221="H",VLOOKUP(E221,Fertiliser_data!$E$7:$L$267,8,FALSE),VLOOKUP(E221,Fertiliser_data!$E$7:$L$267,8,FALSE)*0.65),IF(F221="H",0.038,(0.038*0.65)))</f>
        <v>3.3622462686567156E-2</v>
      </c>
      <c r="L221">
        <f>IF($C221="IE",$K221*CF_231025!$E$16,$K221/VLOOKUP($C221,CF_231025!$A$2:$E$28,5,FALSE))</f>
        <v>1.0718350677581387E-2</v>
      </c>
    </row>
    <row r="222" spans="1:12" x14ac:dyDescent="0.25">
      <c r="A222" t="s">
        <v>136</v>
      </c>
      <c r="B222" t="s">
        <v>363</v>
      </c>
      <c r="C222" t="str">
        <f t="shared" si="16"/>
        <v>DE</v>
      </c>
      <c r="D222" t="str">
        <f t="shared" si="17"/>
        <v>SUG</v>
      </c>
      <c r="E222" t="str">
        <f t="shared" si="15"/>
        <v>DESUG</v>
      </c>
      <c r="F222" t="str">
        <f t="shared" si="18"/>
        <v>H</v>
      </c>
      <c r="G222" t="s">
        <v>343</v>
      </c>
      <c r="H222">
        <v>1</v>
      </c>
      <c r="I222">
        <v>0.17</v>
      </c>
      <c r="J222" t="str">
        <f t="shared" si="19"/>
        <v>DEL000SUGHI0DELFER</v>
      </c>
      <c r="K222">
        <f>_xlfn.IFNA(IF(F222="H",VLOOKUP(E222,Fertiliser_data!$E$7:$L$267,8,FALSE),VLOOKUP(E222,Fertiliser_data!$E$7:$L$267,8,FALSE)*0.65),IF(F222="H",0.038,(0.038*0.65)))</f>
        <v>7.141791044776119E-2</v>
      </c>
      <c r="L222">
        <f>IF($C222="IE",$K222*CF_231025!$E$16,$K222/VLOOKUP($C222,CF_231025!$A$2:$E$28,5,FALSE))</f>
        <v>2.2766988128595154E-2</v>
      </c>
    </row>
    <row r="223" spans="1:12" x14ac:dyDescent="0.25">
      <c r="A223" t="s">
        <v>136</v>
      </c>
      <c r="B223" t="s">
        <v>364</v>
      </c>
      <c r="C223" t="str">
        <f t="shared" si="16"/>
        <v>DE</v>
      </c>
      <c r="D223" t="str">
        <f t="shared" si="17"/>
        <v>SUG</v>
      </c>
      <c r="E223" t="str">
        <f t="shared" si="15"/>
        <v>DESUG</v>
      </c>
      <c r="F223" t="str">
        <f t="shared" si="18"/>
        <v>H</v>
      </c>
      <c r="G223" t="s">
        <v>343</v>
      </c>
      <c r="H223">
        <v>1</v>
      </c>
      <c r="I223">
        <v>0.17</v>
      </c>
      <c r="J223" t="str">
        <f t="shared" si="19"/>
        <v>DEL000SUGHR0DELFER</v>
      </c>
      <c r="K223">
        <f>_xlfn.IFNA(IF(F223="H",VLOOKUP(E223,Fertiliser_data!$E$7:$L$267,8,FALSE),VLOOKUP(E223,Fertiliser_data!$E$7:$L$267,8,FALSE)*0.65),IF(F223="H",0.038,(0.038*0.65)))</f>
        <v>7.141791044776119E-2</v>
      </c>
      <c r="L223">
        <f>IF($C223="IE",$K223*CF_231025!$E$16,$K223/VLOOKUP($C223,CF_231025!$A$2:$E$28,5,FALSE))</f>
        <v>2.2766988128595154E-2</v>
      </c>
    </row>
    <row r="224" spans="1:12" x14ac:dyDescent="0.25">
      <c r="A224" t="s">
        <v>136</v>
      </c>
      <c r="B224" t="s">
        <v>365</v>
      </c>
      <c r="C224" t="str">
        <f t="shared" si="16"/>
        <v>DE</v>
      </c>
      <c r="D224" t="str">
        <f t="shared" si="17"/>
        <v>SUG</v>
      </c>
      <c r="E224" t="str">
        <f t="shared" si="15"/>
        <v>DESUG</v>
      </c>
      <c r="F224" t="str">
        <f t="shared" si="18"/>
        <v>L</v>
      </c>
      <c r="G224" t="s">
        <v>343</v>
      </c>
      <c r="H224">
        <v>1</v>
      </c>
      <c r="I224">
        <v>0.06</v>
      </c>
      <c r="J224" t="str">
        <f t="shared" si="19"/>
        <v>DEL000SUGLI0DELFER</v>
      </c>
      <c r="K224">
        <f>_xlfn.IFNA(IF(F224="H",VLOOKUP(E224,Fertiliser_data!$E$7:$L$267,8,FALSE),VLOOKUP(E224,Fertiliser_data!$E$7:$L$267,8,FALSE)*0.65),IF(F224="H",0.038,(0.038*0.65)))</f>
        <v>4.6421641791044778E-2</v>
      </c>
      <c r="L224">
        <f>IF($C224="IE",$K224*CF_231025!$E$16,$K224/VLOOKUP($C224,CF_231025!$A$2:$E$28,5,FALSE))</f>
        <v>1.4798542283586852E-2</v>
      </c>
    </row>
    <row r="225" spans="1:12" x14ac:dyDescent="0.25">
      <c r="A225" t="s">
        <v>136</v>
      </c>
      <c r="B225" t="s">
        <v>366</v>
      </c>
      <c r="C225" t="str">
        <f t="shared" si="16"/>
        <v>DE</v>
      </c>
      <c r="D225" t="str">
        <f t="shared" si="17"/>
        <v>SUG</v>
      </c>
      <c r="E225" t="str">
        <f t="shared" si="15"/>
        <v>DESUG</v>
      </c>
      <c r="F225" t="str">
        <f t="shared" si="18"/>
        <v>L</v>
      </c>
      <c r="G225" t="s">
        <v>343</v>
      </c>
      <c r="H225">
        <v>1</v>
      </c>
      <c r="I225">
        <v>0.06</v>
      </c>
      <c r="J225" t="str">
        <f t="shared" si="19"/>
        <v>DEL000SUGLR0DELFER</v>
      </c>
      <c r="K225">
        <f>_xlfn.IFNA(IF(F225="H",VLOOKUP(E225,Fertiliser_data!$E$7:$L$267,8,FALSE),VLOOKUP(E225,Fertiliser_data!$E$7:$L$267,8,FALSE)*0.65),IF(F225="H",0.038,(0.038*0.65)))</f>
        <v>4.6421641791044778E-2</v>
      </c>
      <c r="L225">
        <f>IF($C225="IE",$K225*CF_231025!$E$16,$K225/VLOOKUP($C225,CF_231025!$A$2:$E$28,5,FALSE))</f>
        <v>1.4798542283586852E-2</v>
      </c>
    </row>
    <row r="226" spans="1:12" x14ac:dyDescent="0.25">
      <c r="A226" t="s">
        <v>136</v>
      </c>
      <c r="B226" t="s">
        <v>367</v>
      </c>
      <c r="C226" t="str">
        <f t="shared" si="16"/>
        <v>DE</v>
      </c>
      <c r="D226" t="str">
        <f t="shared" si="17"/>
        <v>POT</v>
      </c>
      <c r="E226" t="str">
        <f t="shared" si="15"/>
        <v>DEPOT</v>
      </c>
      <c r="F226" t="str">
        <f t="shared" si="18"/>
        <v>H</v>
      </c>
      <c r="G226" t="s">
        <v>343</v>
      </c>
      <c r="H226">
        <v>1</v>
      </c>
      <c r="I226">
        <v>0.17</v>
      </c>
      <c r="J226" t="str">
        <f t="shared" si="19"/>
        <v>DEL000POTHI0DELFER</v>
      </c>
      <c r="K226">
        <f>_xlfn.IFNA(IF(F226="H",VLOOKUP(E226,Fertiliser_data!$E$7:$L$267,8,FALSE),VLOOKUP(E226,Fertiliser_data!$E$7:$L$267,8,FALSE)*0.65),IF(F226="H",0.038,(0.038*0.65)))</f>
        <v>7.5828358208955227E-2</v>
      </c>
      <c r="L226">
        <f>IF($C226="IE",$K226*CF_231025!$E$16,$K226/VLOOKUP($C226,CF_231025!$A$2:$E$28,5,FALSE))</f>
        <v>2.4172974542806203E-2</v>
      </c>
    </row>
    <row r="227" spans="1:12" x14ac:dyDescent="0.25">
      <c r="A227" t="s">
        <v>136</v>
      </c>
      <c r="B227" t="s">
        <v>368</v>
      </c>
      <c r="C227" t="str">
        <f t="shared" si="16"/>
        <v>DE</v>
      </c>
      <c r="D227" t="str">
        <f t="shared" si="17"/>
        <v>POT</v>
      </c>
      <c r="E227" t="str">
        <f t="shared" si="15"/>
        <v>DEPOT</v>
      </c>
      <c r="F227" t="str">
        <f t="shared" si="18"/>
        <v>H</v>
      </c>
      <c r="G227" t="s">
        <v>343</v>
      </c>
      <c r="H227">
        <v>1</v>
      </c>
      <c r="I227">
        <v>0.17</v>
      </c>
      <c r="J227" t="str">
        <f t="shared" si="19"/>
        <v>DEL000POTHR0DELFER</v>
      </c>
      <c r="K227">
        <f>_xlfn.IFNA(IF(F227="H",VLOOKUP(E227,Fertiliser_data!$E$7:$L$267,8,FALSE),VLOOKUP(E227,Fertiliser_data!$E$7:$L$267,8,FALSE)*0.65),IF(F227="H",0.038,(0.038*0.65)))</f>
        <v>7.5828358208955227E-2</v>
      </c>
      <c r="L227">
        <f>IF($C227="IE",$K227*CF_231025!$E$16,$K227/VLOOKUP($C227,CF_231025!$A$2:$E$28,5,FALSE))</f>
        <v>2.4172974542806203E-2</v>
      </c>
    </row>
    <row r="228" spans="1:12" x14ac:dyDescent="0.25">
      <c r="A228" t="s">
        <v>136</v>
      </c>
      <c r="B228" t="s">
        <v>369</v>
      </c>
      <c r="C228" t="str">
        <f t="shared" si="16"/>
        <v>DE</v>
      </c>
      <c r="D228" t="str">
        <f t="shared" si="17"/>
        <v>POT</v>
      </c>
      <c r="E228" t="str">
        <f t="shared" si="15"/>
        <v>DEPOT</v>
      </c>
      <c r="F228" t="str">
        <f t="shared" si="18"/>
        <v>L</v>
      </c>
      <c r="G228" t="s">
        <v>343</v>
      </c>
      <c r="H228">
        <v>1</v>
      </c>
      <c r="I228">
        <v>0.06</v>
      </c>
      <c r="J228" t="str">
        <f t="shared" si="19"/>
        <v>DEL000POTLI0DELFER</v>
      </c>
      <c r="K228">
        <f>_xlfn.IFNA(IF(F228="H",VLOOKUP(E228,Fertiliser_data!$E$7:$L$267,8,FALSE),VLOOKUP(E228,Fertiliser_data!$E$7:$L$267,8,FALSE)*0.65),IF(F228="H",0.038,(0.038*0.65)))</f>
        <v>4.9288432835820899E-2</v>
      </c>
      <c r="L228">
        <f>IF($C228="IE",$K228*CF_231025!$E$16,$K228/VLOOKUP($C228,CF_231025!$A$2:$E$28,5,FALSE))</f>
        <v>1.5712433452824033E-2</v>
      </c>
    </row>
    <row r="229" spans="1:12" x14ac:dyDescent="0.25">
      <c r="A229" t="s">
        <v>136</v>
      </c>
      <c r="B229" t="s">
        <v>370</v>
      </c>
      <c r="C229" t="str">
        <f t="shared" si="16"/>
        <v>DE</v>
      </c>
      <c r="D229" t="str">
        <f t="shared" si="17"/>
        <v>POT</v>
      </c>
      <c r="E229" t="str">
        <f t="shared" si="15"/>
        <v>DEPOT</v>
      </c>
      <c r="F229" t="str">
        <f t="shared" si="18"/>
        <v>L</v>
      </c>
      <c r="G229" t="s">
        <v>343</v>
      </c>
      <c r="H229">
        <v>1</v>
      </c>
      <c r="I229">
        <v>0.06</v>
      </c>
      <c r="J229" t="str">
        <f t="shared" si="19"/>
        <v>DEL000POTLR0DELFER</v>
      </c>
      <c r="K229">
        <f>_xlfn.IFNA(IF(F229="H",VLOOKUP(E229,Fertiliser_data!$E$7:$L$267,8,FALSE),VLOOKUP(E229,Fertiliser_data!$E$7:$L$267,8,FALSE)*0.65),IF(F229="H",0.038,(0.038*0.65)))</f>
        <v>4.9288432835820899E-2</v>
      </c>
      <c r="L229">
        <f>IF($C229="IE",$K229*CF_231025!$E$16,$K229/VLOOKUP($C229,CF_231025!$A$2:$E$28,5,FALSE))</f>
        <v>1.5712433452824033E-2</v>
      </c>
    </row>
    <row r="230" spans="1:12" x14ac:dyDescent="0.25">
      <c r="A230" t="s">
        <v>136</v>
      </c>
      <c r="B230" t="s">
        <v>371</v>
      </c>
      <c r="C230" t="str">
        <f t="shared" si="16"/>
        <v>DE</v>
      </c>
      <c r="D230" t="str">
        <f t="shared" si="17"/>
        <v>OAT</v>
      </c>
      <c r="E230" t="str">
        <f t="shared" si="15"/>
        <v>DEOAT</v>
      </c>
      <c r="F230" t="str">
        <f t="shared" si="18"/>
        <v>H</v>
      </c>
      <c r="G230" t="s">
        <v>343</v>
      </c>
      <c r="H230">
        <v>1</v>
      </c>
      <c r="I230">
        <v>0.11</v>
      </c>
      <c r="J230" t="str">
        <f t="shared" si="19"/>
        <v>DEL000OATHI0DELFER</v>
      </c>
      <c r="K230">
        <f>_xlfn.IFNA(IF(F230="H",VLOOKUP(E230,Fertiliser_data!$E$7:$L$267,8,FALSE),VLOOKUP(E230,Fertiliser_data!$E$7:$L$267,8,FALSE)*0.65),IF(F230="H",0.038,(0.038*0.65)))</f>
        <v>3.2165671641791044E-2</v>
      </c>
      <c r="L230">
        <f>IF($C230="IE",$K230*CF_231025!$E$16,$K230/VLOOKUP($C230,CF_231025!$A$2:$E$28,5,FALSE))</f>
        <v>1.0253946941679292E-2</v>
      </c>
    </row>
    <row r="231" spans="1:12" x14ac:dyDescent="0.25">
      <c r="A231" t="s">
        <v>136</v>
      </c>
      <c r="B231" t="s">
        <v>372</v>
      </c>
      <c r="C231" t="str">
        <f t="shared" si="16"/>
        <v>DE</v>
      </c>
      <c r="D231" t="str">
        <f t="shared" si="17"/>
        <v>OAT</v>
      </c>
      <c r="E231" t="str">
        <f t="shared" si="15"/>
        <v>DEOAT</v>
      </c>
      <c r="F231" t="str">
        <f t="shared" si="18"/>
        <v>H</v>
      </c>
      <c r="G231" t="s">
        <v>343</v>
      </c>
      <c r="H231">
        <v>1</v>
      </c>
      <c r="I231">
        <v>0.11</v>
      </c>
      <c r="J231" t="str">
        <f t="shared" si="19"/>
        <v>DEL000OATHR0DELFER</v>
      </c>
      <c r="K231">
        <f>_xlfn.IFNA(IF(F231="H",VLOOKUP(E231,Fertiliser_data!$E$7:$L$267,8,FALSE),VLOOKUP(E231,Fertiliser_data!$E$7:$L$267,8,FALSE)*0.65),IF(F231="H",0.038,(0.038*0.65)))</f>
        <v>3.2165671641791044E-2</v>
      </c>
      <c r="L231">
        <f>IF($C231="IE",$K231*CF_231025!$E$16,$K231/VLOOKUP($C231,CF_231025!$A$2:$E$28,5,FALSE))</f>
        <v>1.0253946941679292E-2</v>
      </c>
    </row>
    <row r="232" spans="1:12" x14ac:dyDescent="0.25">
      <c r="A232" t="s">
        <v>136</v>
      </c>
      <c r="B232" t="s">
        <v>373</v>
      </c>
      <c r="C232" t="str">
        <f t="shared" si="16"/>
        <v>DE</v>
      </c>
      <c r="D232" t="str">
        <f t="shared" si="17"/>
        <v>OAT</v>
      </c>
      <c r="E232" t="str">
        <f t="shared" si="15"/>
        <v>DEOAT</v>
      </c>
      <c r="F232" t="str">
        <f t="shared" si="18"/>
        <v>L</v>
      </c>
      <c r="G232" t="s">
        <v>343</v>
      </c>
      <c r="H232">
        <v>1</v>
      </c>
      <c r="I232">
        <v>0.04</v>
      </c>
      <c r="J232" t="str">
        <f t="shared" si="19"/>
        <v>DEL000OATLI0DELFER</v>
      </c>
      <c r="K232">
        <f>_xlfn.IFNA(IF(F232="H",VLOOKUP(E232,Fertiliser_data!$E$7:$L$267,8,FALSE),VLOOKUP(E232,Fertiliser_data!$E$7:$L$267,8,FALSE)*0.65),IF(F232="H",0.038,(0.038*0.65)))</f>
        <v>2.0907686567164178E-2</v>
      </c>
      <c r="L232">
        <f>IF($C232="IE",$K232*CF_231025!$E$16,$K232/VLOOKUP($C232,CF_231025!$A$2:$E$28,5,FALSE))</f>
        <v>6.6650655120915406E-3</v>
      </c>
    </row>
    <row r="233" spans="1:12" x14ac:dyDescent="0.25">
      <c r="A233" t="s">
        <v>136</v>
      </c>
      <c r="B233" t="s">
        <v>374</v>
      </c>
      <c r="C233" t="str">
        <f t="shared" si="16"/>
        <v>DE</v>
      </c>
      <c r="D233" t="str">
        <f t="shared" si="17"/>
        <v>OAT</v>
      </c>
      <c r="E233" t="str">
        <f t="shared" si="15"/>
        <v>DEOAT</v>
      </c>
      <c r="F233" t="str">
        <f t="shared" si="18"/>
        <v>L</v>
      </c>
      <c r="G233" t="s">
        <v>343</v>
      </c>
      <c r="H233">
        <v>1</v>
      </c>
      <c r="I233">
        <v>0.04</v>
      </c>
      <c r="J233" t="str">
        <f t="shared" si="19"/>
        <v>DEL000OATLR0DELFER</v>
      </c>
      <c r="K233">
        <f>_xlfn.IFNA(IF(F233="H",VLOOKUP(E233,Fertiliser_data!$E$7:$L$267,8,FALSE),VLOOKUP(E233,Fertiliser_data!$E$7:$L$267,8,FALSE)*0.65),IF(F233="H",0.038,(0.038*0.65)))</f>
        <v>2.0907686567164178E-2</v>
      </c>
      <c r="L233">
        <f>IF($C233="IE",$K233*CF_231025!$E$16,$K233/VLOOKUP($C233,CF_231025!$A$2:$E$28,5,FALSE))</f>
        <v>6.6650655120915406E-3</v>
      </c>
    </row>
    <row r="234" spans="1:12" x14ac:dyDescent="0.25">
      <c r="A234" t="s">
        <v>136</v>
      </c>
      <c r="B234" t="s">
        <v>375</v>
      </c>
      <c r="C234" t="str">
        <f t="shared" si="16"/>
        <v>DE</v>
      </c>
      <c r="D234" t="str">
        <f t="shared" si="17"/>
        <v>GRP</v>
      </c>
      <c r="E234" t="str">
        <f t="shared" si="15"/>
        <v>DEGRP</v>
      </c>
      <c r="F234" t="str">
        <f t="shared" si="18"/>
        <v>H</v>
      </c>
      <c r="G234" t="s">
        <v>343</v>
      </c>
      <c r="H234">
        <v>1</v>
      </c>
      <c r="I234">
        <v>0.17</v>
      </c>
      <c r="J234" t="str">
        <f t="shared" si="19"/>
        <v>DEL000GRPHI0DELFER</v>
      </c>
      <c r="K234">
        <f>_xlfn.IFNA(IF(F234="H",VLOOKUP(E234,Fertiliser_data!$E$7:$L$267,8,FALSE),VLOOKUP(E234,Fertiliser_data!$E$7:$L$267,8,FALSE)*0.65),IF(F234="H",0.038,(0.038*0.65)))</f>
        <v>2.3338805970149253E-2</v>
      </c>
      <c r="L234">
        <f>IF($C234="IE",$K234*CF_231025!$E$16,$K234/VLOOKUP($C234,CF_231025!$A$2:$E$28,5,FALSE))</f>
        <v>7.4400709167574174E-3</v>
      </c>
    </row>
    <row r="235" spans="1:12" x14ac:dyDescent="0.25">
      <c r="A235" t="s">
        <v>136</v>
      </c>
      <c r="B235" t="s">
        <v>376</v>
      </c>
      <c r="C235" t="str">
        <f t="shared" si="16"/>
        <v>DE</v>
      </c>
      <c r="D235" t="str">
        <f t="shared" si="17"/>
        <v>GRP</v>
      </c>
      <c r="E235" t="str">
        <f t="shared" si="15"/>
        <v>DEGRP</v>
      </c>
      <c r="F235" t="str">
        <f t="shared" si="18"/>
        <v>H</v>
      </c>
      <c r="G235" t="s">
        <v>343</v>
      </c>
      <c r="H235">
        <v>1</v>
      </c>
      <c r="I235">
        <v>0.17</v>
      </c>
      <c r="J235" t="str">
        <f t="shared" si="19"/>
        <v>DEL000GRPHR0DELFER</v>
      </c>
      <c r="K235">
        <f>_xlfn.IFNA(IF(F235="H",VLOOKUP(E235,Fertiliser_data!$E$7:$L$267,8,FALSE),VLOOKUP(E235,Fertiliser_data!$E$7:$L$267,8,FALSE)*0.65),IF(F235="H",0.038,(0.038*0.65)))</f>
        <v>2.3338805970149253E-2</v>
      </c>
      <c r="L235">
        <f>IF($C235="IE",$K235*CF_231025!$E$16,$K235/VLOOKUP($C235,CF_231025!$A$2:$E$28,5,FALSE))</f>
        <v>7.4400709167574174E-3</v>
      </c>
    </row>
    <row r="236" spans="1:12" x14ac:dyDescent="0.25">
      <c r="A236" t="s">
        <v>136</v>
      </c>
      <c r="B236" t="s">
        <v>377</v>
      </c>
      <c r="C236" t="str">
        <f t="shared" si="16"/>
        <v>DE</v>
      </c>
      <c r="D236" t="str">
        <f t="shared" si="17"/>
        <v>GRP</v>
      </c>
      <c r="E236" t="str">
        <f t="shared" si="15"/>
        <v>DEGRP</v>
      </c>
      <c r="F236" t="str">
        <f t="shared" si="18"/>
        <v>L</v>
      </c>
      <c r="G236" t="s">
        <v>343</v>
      </c>
      <c r="H236">
        <v>1</v>
      </c>
      <c r="I236">
        <v>0.06</v>
      </c>
      <c r="J236" t="str">
        <f t="shared" si="19"/>
        <v>DEL000GRPLI0DELFER</v>
      </c>
      <c r="K236">
        <f>_xlfn.IFNA(IF(F236="H",VLOOKUP(E236,Fertiliser_data!$E$7:$L$267,8,FALSE),VLOOKUP(E236,Fertiliser_data!$E$7:$L$267,8,FALSE)*0.65),IF(F236="H",0.038,(0.038*0.65)))</f>
        <v>1.5170223880597015E-2</v>
      </c>
      <c r="L236">
        <f>IF($C236="IE",$K236*CF_231025!$E$16,$K236/VLOOKUP($C236,CF_231025!$A$2:$E$28,5,FALSE))</f>
        <v>4.8360460958923211E-3</v>
      </c>
    </row>
    <row r="237" spans="1:12" x14ac:dyDescent="0.25">
      <c r="A237" t="s">
        <v>136</v>
      </c>
      <c r="B237" t="s">
        <v>378</v>
      </c>
      <c r="C237" t="str">
        <f t="shared" si="16"/>
        <v>DE</v>
      </c>
      <c r="D237" t="str">
        <f t="shared" si="17"/>
        <v>GRP</v>
      </c>
      <c r="E237" t="str">
        <f t="shared" si="15"/>
        <v>DEGRP</v>
      </c>
      <c r="F237" t="str">
        <f t="shared" si="18"/>
        <v>L</v>
      </c>
      <c r="G237" t="s">
        <v>343</v>
      </c>
      <c r="H237">
        <v>1</v>
      </c>
      <c r="I237">
        <v>0.06</v>
      </c>
      <c r="J237" t="str">
        <f t="shared" si="19"/>
        <v>DEL000GRPLR0DELFER</v>
      </c>
      <c r="K237">
        <f>_xlfn.IFNA(IF(F237="H",VLOOKUP(E237,Fertiliser_data!$E$7:$L$267,8,FALSE),VLOOKUP(E237,Fertiliser_data!$E$7:$L$267,8,FALSE)*0.65),IF(F237="H",0.038,(0.038*0.65)))</f>
        <v>1.5170223880597015E-2</v>
      </c>
      <c r="L237">
        <f>IF($C237="IE",$K237*CF_231025!$E$16,$K237/VLOOKUP($C237,CF_231025!$A$2:$E$28,5,FALSE))</f>
        <v>4.8360460958923211E-3</v>
      </c>
    </row>
    <row r="238" spans="1:12" x14ac:dyDescent="0.25">
      <c r="A238" t="s">
        <v>136</v>
      </c>
      <c r="B238" t="s">
        <v>379</v>
      </c>
      <c r="C238" t="str">
        <f t="shared" si="16"/>
        <v>DE</v>
      </c>
      <c r="D238" t="str">
        <f t="shared" si="17"/>
        <v>OTH</v>
      </c>
      <c r="E238" t="str">
        <f t="shared" si="15"/>
        <v>DEOTH</v>
      </c>
      <c r="F238" t="str">
        <f t="shared" si="18"/>
        <v>H</v>
      </c>
      <c r="G238" t="s">
        <v>343</v>
      </c>
      <c r="H238">
        <v>1</v>
      </c>
      <c r="I238">
        <v>0.17</v>
      </c>
      <c r="J238" t="str">
        <f t="shared" si="19"/>
        <v>DEL000OTHHI0DELFER</v>
      </c>
      <c r="K238">
        <f>_xlfn.IFNA(IF(F238="H",VLOOKUP(E238,Fertiliser_data!$E$7:$L$267,8,FALSE),VLOOKUP(E238,Fertiliser_data!$E$7:$L$267,8,FALSE)*0.65),IF(F238="H",0.038,(0.038*0.65)))</f>
        <v>3.7999999999999999E-2</v>
      </c>
      <c r="L238">
        <f>IF($C238="IE",$K238*CF_231025!$E$16,$K238/VLOOKUP($C238,CF_231025!$A$2:$E$28,5,FALSE))</f>
        <v>1.211384572108741E-2</v>
      </c>
    </row>
    <row r="239" spans="1:12" x14ac:dyDescent="0.25">
      <c r="A239" t="s">
        <v>136</v>
      </c>
      <c r="B239" t="s">
        <v>380</v>
      </c>
      <c r="C239" t="str">
        <f t="shared" si="16"/>
        <v>DE</v>
      </c>
      <c r="D239" t="str">
        <f t="shared" si="17"/>
        <v>OTH</v>
      </c>
      <c r="E239" t="str">
        <f t="shared" si="15"/>
        <v>DEOTH</v>
      </c>
      <c r="F239" t="str">
        <f t="shared" si="18"/>
        <v>H</v>
      </c>
      <c r="G239" t="s">
        <v>343</v>
      </c>
      <c r="H239">
        <v>1</v>
      </c>
      <c r="I239">
        <v>0.17</v>
      </c>
      <c r="J239" t="str">
        <f t="shared" si="19"/>
        <v>DEL000OTHHR0DELFER</v>
      </c>
      <c r="K239">
        <f>_xlfn.IFNA(IF(F239="H",VLOOKUP(E239,Fertiliser_data!$E$7:$L$267,8,FALSE),VLOOKUP(E239,Fertiliser_data!$E$7:$L$267,8,FALSE)*0.65),IF(F239="H",0.038,(0.038*0.65)))</f>
        <v>3.7999999999999999E-2</v>
      </c>
      <c r="L239">
        <f>IF($C239="IE",$K239*CF_231025!$E$16,$K239/VLOOKUP($C239,CF_231025!$A$2:$E$28,5,FALSE))</f>
        <v>1.211384572108741E-2</v>
      </c>
    </row>
    <row r="240" spans="1:12" x14ac:dyDescent="0.25">
      <c r="A240" t="s">
        <v>136</v>
      </c>
      <c r="B240" t="s">
        <v>381</v>
      </c>
      <c r="C240" t="str">
        <f t="shared" si="16"/>
        <v>DE</v>
      </c>
      <c r="D240" t="str">
        <f t="shared" si="17"/>
        <v>OTH</v>
      </c>
      <c r="E240" t="str">
        <f t="shared" si="15"/>
        <v>DEOTH</v>
      </c>
      <c r="F240" t="str">
        <f t="shared" si="18"/>
        <v>L</v>
      </c>
      <c r="G240" t="s">
        <v>343</v>
      </c>
      <c r="H240">
        <v>1</v>
      </c>
      <c r="I240">
        <v>0.06</v>
      </c>
      <c r="J240" t="str">
        <f t="shared" si="19"/>
        <v>DEL000OTHLI0DELFER</v>
      </c>
      <c r="K240">
        <f>_xlfn.IFNA(IF(F240="H",VLOOKUP(E240,Fertiliser_data!$E$7:$L$267,8,FALSE),VLOOKUP(E240,Fertiliser_data!$E$7:$L$267,8,FALSE)*0.65),IF(F240="H",0.038,(0.038*0.65)))</f>
        <v>2.47E-2</v>
      </c>
      <c r="L240">
        <f>IF($C240="IE",$K240*CF_231025!$E$16,$K240/VLOOKUP($C240,CF_231025!$A$2:$E$28,5,FALSE))</f>
        <v>7.8739997187068176E-3</v>
      </c>
    </row>
    <row r="241" spans="1:12" x14ac:dyDescent="0.25">
      <c r="A241" t="s">
        <v>136</v>
      </c>
      <c r="B241" t="s">
        <v>382</v>
      </c>
      <c r="C241" t="str">
        <f t="shared" si="16"/>
        <v>DE</v>
      </c>
      <c r="D241" t="str">
        <f t="shared" si="17"/>
        <v>OTH</v>
      </c>
      <c r="E241" t="str">
        <f t="shared" si="15"/>
        <v>DEOTH</v>
      </c>
      <c r="F241" t="str">
        <f t="shared" si="18"/>
        <v>L</v>
      </c>
      <c r="G241" t="s">
        <v>343</v>
      </c>
      <c r="H241">
        <v>1</v>
      </c>
      <c r="I241">
        <v>0.06</v>
      </c>
      <c r="J241" t="str">
        <f t="shared" si="19"/>
        <v>DEL000OTHLR0DELFER</v>
      </c>
      <c r="K241">
        <f>_xlfn.IFNA(IF(F241="H",VLOOKUP(E241,Fertiliser_data!$E$7:$L$267,8,FALSE),VLOOKUP(E241,Fertiliser_data!$E$7:$L$267,8,FALSE)*0.65),IF(F241="H",0.038,(0.038*0.65)))</f>
        <v>2.47E-2</v>
      </c>
      <c r="L241">
        <f>IF($C241="IE",$K241*CF_231025!$E$16,$K241/VLOOKUP($C241,CF_231025!$A$2:$E$28,5,FALSE))</f>
        <v>7.8739997187068176E-3</v>
      </c>
    </row>
    <row r="242" spans="1:12" x14ac:dyDescent="0.25">
      <c r="A242" t="s">
        <v>136</v>
      </c>
      <c r="B242" t="s">
        <v>383</v>
      </c>
      <c r="C242" t="str">
        <f t="shared" si="16"/>
        <v>DK</v>
      </c>
      <c r="D242" t="str">
        <f t="shared" si="17"/>
        <v>WHE</v>
      </c>
      <c r="E242" t="str">
        <f t="shared" si="15"/>
        <v>DKWHE</v>
      </c>
      <c r="F242" t="str">
        <f t="shared" si="18"/>
        <v>H</v>
      </c>
      <c r="G242" t="s">
        <v>384</v>
      </c>
      <c r="H242">
        <v>1</v>
      </c>
      <c r="I242">
        <v>0.2</v>
      </c>
      <c r="J242" t="str">
        <f t="shared" si="19"/>
        <v>DKL000WHEHI0DKLFER</v>
      </c>
      <c r="K242">
        <f>_xlfn.IFNA(IF(F242="H",VLOOKUP(E242,Fertiliser_data!$E$7:$L$267,8,FALSE),VLOOKUP(E242,Fertiliser_data!$E$7:$L$267,8,FALSE)*0.65),IF(F242="H",0.038,(0.038*0.65)))</f>
        <v>5.2089552238805972E-2</v>
      </c>
      <c r="L242">
        <f>IF($C242="IE",$K242*CF_231025!$E$16,$K242/VLOOKUP($C242,CF_231025!$A$2:$E$28,5,FALSE))</f>
        <v>1.5279814950293595E-2</v>
      </c>
    </row>
    <row r="243" spans="1:12" x14ac:dyDescent="0.25">
      <c r="A243" t="s">
        <v>136</v>
      </c>
      <c r="B243" t="s">
        <v>385</v>
      </c>
      <c r="C243" t="str">
        <f t="shared" si="16"/>
        <v>DK</v>
      </c>
      <c r="D243" t="str">
        <f t="shared" si="17"/>
        <v>WHE</v>
      </c>
      <c r="E243" t="str">
        <f t="shared" si="15"/>
        <v>DKWHE</v>
      </c>
      <c r="F243" t="str">
        <f t="shared" si="18"/>
        <v>H</v>
      </c>
      <c r="G243" t="s">
        <v>384</v>
      </c>
      <c r="H243">
        <v>1</v>
      </c>
      <c r="I243">
        <v>0.2</v>
      </c>
      <c r="J243" t="str">
        <f t="shared" si="19"/>
        <v>DKL000WHEHR0DKLFER</v>
      </c>
      <c r="K243">
        <f>_xlfn.IFNA(IF(F243="H",VLOOKUP(E243,Fertiliser_data!$E$7:$L$267,8,FALSE),VLOOKUP(E243,Fertiliser_data!$E$7:$L$267,8,FALSE)*0.65),IF(F243="H",0.038,(0.038*0.65)))</f>
        <v>5.2089552238805972E-2</v>
      </c>
      <c r="L243">
        <f>IF($C243="IE",$K243*CF_231025!$E$16,$K243/VLOOKUP($C243,CF_231025!$A$2:$E$28,5,FALSE))</f>
        <v>1.5279814950293595E-2</v>
      </c>
    </row>
    <row r="244" spans="1:12" x14ac:dyDescent="0.25">
      <c r="A244" t="s">
        <v>136</v>
      </c>
      <c r="B244" t="s">
        <v>386</v>
      </c>
      <c r="C244" t="str">
        <f t="shared" si="16"/>
        <v>DK</v>
      </c>
      <c r="D244" t="str">
        <f t="shared" si="17"/>
        <v>WHE</v>
      </c>
      <c r="E244" t="str">
        <f t="shared" si="15"/>
        <v>DKWHE</v>
      </c>
      <c r="F244" t="str">
        <f t="shared" si="18"/>
        <v>L</v>
      </c>
      <c r="G244" t="s">
        <v>384</v>
      </c>
      <c r="H244">
        <v>1</v>
      </c>
      <c r="I244">
        <v>7.0000000000000007E-2</v>
      </c>
      <c r="J244" t="str">
        <f t="shared" si="19"/>
        <v>DKL000WHELI0DKLFER</v>
      </c>
      <c r="K244">
        <f>_xlfn.IFNA(IF(F244="H",VLOOKUP(E244,Fertiliser_data!$E$7:$L$267,8,FALSE),VLOOKUP(E244,Fertiliser_data!$E$7:$L$267,8,FALSE)*0.65),IF(F244="H",0.038,(0.038*0.65)))</f>
        <v>3.385820895522388E-2</v>
      </c>
      <c r="L244">
        <f>IF($C244="IE",$K244*CF_231025!$E$16,$K244/VLOOKUP($C244,CF_231025!$A$2:$E$28,5,FALSE))</f>
        <v>9.9318797176908349E-3</v>
      </c>
    </row>
    <row r="245" spans="1:12" x14ac:dyDescent="0.25">
      <c r="A245" t="s">
        <v>136</v>
      </c>
      <c r="B245" t="s">
        <v>387</v>
      </c>
      <c r="C245" t="str">
        <f t="shared" si="16"/>
        <v>DK</v>
      </c>
      <c r="D245" t="str">
        <f t="shared" si="17"/>
        <v>WHE</v>
      </c>
      <c r="E245" t="str">
        <f t="shared" si="15"/>
        <v>DKWHE</v>
      </c>
      <c r="F245" t="str">
        <f t="shared" si="18"/>
        <v>L</v>
      </c>
      <c r="G245" t="s">
        <v>384</v>
      </c>
      <c r="H245">
        <v>1</v>
      </c>
      <c r="I245">
        <v>7.0000000000000007E-2</v>
      </c>
      <c r="J245" t="str">
        <f t="shared" si="19"/>
        <v>DKL000WHELR0DKLFER</v>
      </c>
      <c r="K245">
        <f>_xlfn.IFNA(IF(F245="H",VLOOKUP(E245,Fertiliser_data!$E$7:$L$267,8,FALSE),VLOOKUP(E245,Fertiliser_data!$E$7:$L$267,8,FALSE)*0.65),IF(F245="H",0.038,(0.038*0.65)))</f>
        <v>3.385820895522388E-2</v>
      </c>
      <c r="L245">
        <f>IF($C245="IE",$K245*CF_231025!$E$16,$K245/VLOOKUP($C245,CF_231025!$A$2:$E$28,5,FALSE))</f>
        <v>9.9318797176908349E-3</v>
      </c>
    </row>
    <row r="246" spans="1:12" x14ac:dyDescent="0.25">
      <c r="A246" t="s">
        <v>136</v>
      </c>
      <c r="B246" t="s">
        <v>388</v>
      </c>
      <c r="C246" t="str">
        <f t="shared" si="16"/>
        <v>DK</v>
      </c>
      <c r="D246" t="str">
        <f t="shared" si="17"/>
        <v>PEA</v>
      </c>
      <c r="E246" t="str">
        <f t="shared" si="15"/>
        <v>DKPEA</v>
      </c>
      <c r="F246" t="str">
        <f t="shared" si="18"/>
        <v>H</v>
      </c>
      <c r="G246" t="s">
        <v>384</v>
      </c>
      <c r="H246">
        <v>1</v>
      </c>
      <c r="I246">
        <v>0.17</v>
      </c>
      <c r="J246" t="str">
        <f t="shared" si="19"/>
        <v>DKL000PEAHI0DKLFER</v>
      </c>
      <c r="K246">
        <f>_xlfn.IFNA(IF(F246="H",VLOOKUP(E246,Fertiliser_data!$E$7:$L$267,8,FALSE),VLOOKUP(E246,Fertiliser_data!$E$7:$L$267,8,FALSE)*0.65),IF(F246="H",0.038,(0.038*0.65)))</f>
        <v>3.7999999999999999E-2</v>
      </c>
      <c r="L246">
        <f>IF($C246="IE",$K246*CF_231025!$E$16,$K246/VLOOKUP($C246,CF_231025!$A$2:$E$28,5,FALSE))</f>
        <v>1.1146822023910456E-2</v>
      </c>
    </row>
    <row r="247" spans="1:12" x14ac:dyDescent="0.25">
      <c r="A247" t="s">
        <v>136</v>
      </c>
      <c r="B247" t="s">
        <v>389</v>
      </c>
      <c r="C247" t="str">
        <f t="shared" si="16"/>
        <v>DK</v>
      </c>
      <c r="D247" t="str">
        <f t="shared" si="17"/>
        <v>PEA</v>
      </c>
      <c r="E247" t="str">
        <f t="shared" si="15"/>
        <v>DKPEA</v>
      </c>
      <c r="F247" t="str">
        <f t="shared" si="18"/>
        <v>H</v>
      </c>
      <c r="G247" t="s">
        <v>384</v>
      </c>
      <c r="H247">
        <v>1</v>
      </c>
      <c r="I247">
        <v>0.17</v>
      </c>
      <c r="J247" t="str">
        <f t="shared" si="19"/>
        <v>DKL000PEAHR0DKLFER</v>
      </c>
      <c r="K247">
        <f>_xlfn.IFNA(IF(F247="H",VLOOKUP(E247,Fertiliser_data!$E$7:$L$267,8,FALSE),VLOOKUP(E247,Fertiliser_data!$E$7:$L$267,8,FALSE)*0.65),IF(F247="H",0.038,(0.038*0.65)))</f>
        <v>3.7999999999999999E-2</v>
      </c>
      <c r="L247">
        <f>IF($C247="IE",$K247*CF_231025!$E$16,$K247/VLOOKUP($C247,CF_231025!$A$2:$E$28,5,FALSE))</f>
        <v>1.1146822023910456E-2</v>
      </c>
    </row>
    <row r="248" spans="1:12" x14ac:dyDescent="0.25">
      <c r="A248" t="s">
        <v>136</v>
      </c>
      <c r="B248" t="s">
        <v>390</v>
      </c>
      <c r="C248" t="str">
        <f t="shared" si="16"/>
        <v>DK</v>
      </c>
      <c r="D248" t="str">
        <f t="shared" si="17"/>
        <v>PEA</v>
      </c>
      <c r="E248" t="str">
        <f t="shared" si="15"/>
        <v>DKPEA</v>
      </c>
      <c r="F248" t="str">
        <f t="shared" si="18"/>
        <v>L</v>
      </c>
      <c r="G248" t="s">
        <v>384</v>
      </c>
      <c r="H248">
        <v>1</v>
      </c>
      <c r="I248">
        <v>0.06</v>
      </c>
      <c r="J248" t="str">
        <f t="shared" si="19"/>
        <v>DKL000PEALI0DKLFER</v>
      </c>
      <c r="K248">
        <f>_xlfn.IFNA(IF(F248="H",VLOOKUP(E248,Fertiliser_data!$E$7:$L$267,8,FALSE),VLOOKUP(E248,Fertiliser_data!$E$7:$L$267,8,FALSE)*0.65),IF(F248="H",0.038,(0.038*0.65)))</f>
        <v>2.47E-2</v>
      </c>
      <c r="L248">
        <f>IF($C248="IE",$K248*CF_231025!$E$16,$K248/VLOOKUP($C248,CF_231025!$A$2:$E$28,5,FALSE))</f>
        <v>7.2454343155417961E-3</v>
      </c>
    </row>
    <row r="249" spans="1:12" x14ac:dyDescent="0.25">
      <c r="A249" t="s">
        <v>136</v>
      </c>
      <c r="B249" t="s">
        <v>391</v>
      </c>
      <c r="C249" t="str">
        <f t="shared" si="16"/>
        <v>DK</v>
      </c>
      <c r="D249" t="str">
        <f t="shared" si="17"/>
        <v>PEA</v>
      </c>
      <c r="E249" t="str">
        <f t="shared" si="15"/>
        <v>DKPEA</v>
      </c>
      <c r="F249" t="str">
        <f t="shared" si="18"/>
        <v>L</v>
      </c>
      <c r="G249" t="s">
        <v>384</v>
      </c>
      <c r="H249">
        <v>1</v>
      </c>
      <c r="I249">
        <v>0.06</v>
      </c>
      <c r="J249" t="str">
        <f t="shared" si="19"/>
        <v>DKL000PEALR0DKLFER</v>
      </c>
      <c r="K249">
        <f>_xlfn.IFNA(IF(F249="H",VLOOKUP(E249,Fertiliser_data!$E$7:$L$267,8,FALSE),VLOOKUP(E249,Fertiliser_data!$E$7:$L$267,8,FALSE)*0.65),IF(F249="H",0.038,(0.038*0.65)))</f>
        <v>2.47E-2</v>
      </c>
      <c r="L249">
        <f>IF($C249="IE",$K249*CF_231025!$E$16,$K249/VLOOKUP($C249,CF_231025!$A$2:$E$28,5,FALSE))</f>
        <v>7.2454343155417961E-3</v>
      </c>
    </row>
    <row r="250" spans="1:12" x14ac:dyDescent="0.25">
      <c r="A250" t="s">
        <v>136</v>
      </c>
      <c r="B250" t="s">
        <v>392</v>
      </c>
      <c r="C250" t="str">
        <f t="shared" si="16"/>
        <v>DK</v>
      </c>
      <c r="D250" t="str">
        <f t="shared" si="17"/>
        <v>OAT</v>
      </c>
      <c r="E250" t="str">
        <f t="shared" si="15"/>
        <v>DKOAT</v>
      </c>
      <c r="F250" t="str">
        <f t="shared" si="18"/>
        <v>H</v>
      </c>
      <c r="G250" t="s">
        <v>384</v>
      </c>
      <c r="H250">
        <v>1</v>
      </c>
      <c r="I250">
        <v>0.11</v>
      </c>
      <c r="J250" t="str">
        <f t="shared" si="19"/>
        <v>DKL000OATHI0DKLFER</v>
      </c>
      <c r="K250">
        <f>_xlfn.IFNA(IF(F250="H",VLOOKUP(E250,Fertiliser_data!$E$7:$L$267,8,FALSE),VLOOKUP(E250,Fertiliser_data!$E$7:$L$267,8,FALSE)*0.65),IF(F250="H",0.038,(0.038*0.65)))</f>
        <v>3.7658208955223885E-2</v>
      </c>
      <c r="L250">
        <f>IF($C250="IE",$K250*CF_231025!$E$16,$K250/VLOOKUP($C250,CF_231025!$A$2:$E$28,5,FALSE))</f>
        <v>1.1046561920081882E-2</v>
      </c>
    </row>
    <row r="251" spans="1:12" x14ac:dyDescent="0.25">
      <c r="A251" t="s">
        <v>136</v>
      </c>
      <c r="B251" t="s">
        <v>393</v>
      </c>
      <c r="C251" t="str">
        <f t="shared" si="16"/>
        <v>DK</v>
      </c>
      <c r="D251" t="str">
        <f t="shared" si="17"/>
        <v>OAT</v>
      </c>
      <c r="E251" t="str">
        <f t="shared" si="15"/>
        <v>DKOAT</v>
      </c>
      <c r="F251" t="str">
        <f t="shared" si="18"/>
        <v>H</v>
      </c>
      <c r="G251" t="s">
        <v>384</v>
      </c>
      <c r="H251">
        <v>1</v>
      </c>
      <c r="I251">
        <v>0.11</v>
      </c>
      <c r="J251" t="str">
        <f t="shared" si="19"/>
        <v>DKL000OATHR0DKLFER</v>
      </c>
      <c r="K251">
        <f>_xlfn.IFNA(IF(F251="H",VLOOKUP(E251,Fertiliser_data!$E$7:$L$267,8,FALSE),VLOOKUP(E251,Fertiliser_data!$E$7:$L$267,8,FALSE)*0.65),IF(F251="H",0.038,(0.038*0.65)))</f>
        <v>3.7658208955223885E-2</v>
      </c>
      <c r="L251">
        <f>IF($C251="IE",$K251*CF_231025!$E$16,$K251/VLOOKUP($C251,CF_231025!$A$2:$E$28,5,FALSE))</f>
        <v>1.1046561920081882E-2</v>
      </c>
    </row>
    <row r="252" spans="1:12" x14ac:dyDescent="0.25">
      <c r="A252" t="s">
        <v>136</v>
      </c>
      <c r="B252" t="s">
        <v>394</v>
      </c>
      <c r="C252" t="str">
        <f t="shared" si="16"/>
        <v>DK</v>
      </c>
      <c r="D252" t="str">
        <f t="shared" si="17"/>
        <v>OAT</v>
      </c>
      <c r="E252" t="str">
        <f t="shared" si="15"/>
        <v>DKOAT</v>
      </c>
      <c r="F252" t="str">
        <f t="shared" si="18"/>
        <v>L</v>
      </c>
      <c r="G252" t="s">
        <v>384</v>
      </c>
      <c r="H252">
        <v>1</v>
      </c>
      <c r="I252">
        <v>0.04</v>
      </c>
      <c r="J252" t="str">
        <f t="shared" si="19"/>
        <v>DKL000OATLI0DKLFER</v>
      </c>
      <c r="K252">
        <f>_xlfn.IFNA(IF(F252="H",VLOOKUP(E252,Fertiliser_data!$E$7:$L$267,8,FALSE),VLOOKUP(E252,Fertiliser_data!$E$7:$L$267,8,FALSE)*0.65),IF(F252="H",0.038,(0.038*0.65)))</f>
        <v>2.4477835820895525E-2</v>
      </c>
      <c r="L252">
        <f>IF($C252="IE",$K252*CF_231025!$E$16,$K252/VLOOKUP($C252,CF_231025!$A$2:$E$28,5,FALSE))</f>
        <v>7.1802652480532237E-3</v>
      </c>
    </row>
    <row r="253" spans="1:12" x14ac:dyDescent="0.25">
      <c r="A253" t="s">
        <v>136</v>
      </c>
      <c r="B253" t="s">
        <v>395</v>
      </c>
      <c r="C253" t="str">
        <f t="shared" si="16"/>
        <v>DK</v>
      </c>
      <c r="D253" t="str">
        <f t="shared" si="17"/>
        <v>OAT</v>
      </c>
      <c r="E253" t="str">
        <f t="shared" si="15"/>
        <v>DKOAT</v>
      </c>
      <c r="F253" t="str">
        <f t="shared" si="18"/>
        <v>L</v>
      </c>
      <c r="G253" t="s">
        <v>384</v>
      </c>
      <c r="H253">
        <v>1</v>
      </c>
      <c r="I253">
        <v>0.04</v>
      </c>
      <c r="J253" t="str">
        <f t="shared" si="19"/>
        <v>DKL000OATLR0DKLFER</v>
      </c>
      <c r="K253">
        <f>_xlfn.IFNA(IF(F253="H",VLOOKUP(E253,Fertiliser_data!$E$7:$L$267,8,FALSE),VLOOKUP(E253,Fertiliser_data!$E$7:$L$267,8,FALSE)*0.65),IF(F253="H",0.038,(0.038*0.65)))</f>
        <v>2.4477835820895525E-2</v>
      </c>
      <c r="L253">
        <f>IF($C253="IE",$K253*CF_231025!$E$16,$K253/VLOOKUP($C253,CF_231025!$A$2:$E$28,5,FALSE))</f>
        <v>7.1802652480532237E-3</v>
      </c>
    </row>
    <row r="254" spans="1:12" x14ac:dyDescent="0.25">
      <c r="A254" t="s">
        <v>136</v>
      </c>
      <c r="B254" t="s">
        <v>396</v>
      </c>
      <c r="C254" t="str">
        <f t="shared" si="16"/>
        <v>DK</v>
      </c>
      <c r="D254" t="str">
        <f t="shared" si="17"/>
        <v>BRO</v>
      </c>
      <c r="E254" t="str">
        <f t="shared" si="15"/>
        <v>DKBRO</v>
      </c>
      <c r="F254" t="str">
        <f t="shared" si="18"/>
        <v>H</v>
      </c>
      <c r="G254" t="s">
        <v>384</v>
      </c>
      <c r="H254">
        <v>1</v>
      </c>
      <c r="I254">
        <v>0.17</v>
      </c>
      <c r="J254" t="str">
        <f t="shared" si="19"/>
        <v>DKL000BROHI0DKLFER</v>
      </c>
      <c r="K254">
        <f>_xlfn.IFNA(IF(F254="H",VLOOKUP(E254,Fertiliser_data!$E$7:$L$267,8,FALSE),VLOOKUP(E254,Fertiliser_data!$E$7:$L$267,8,FALSE)*0.65),IF(F254="H",0.038,(0.038*0.65)))</f>
        <v>8.6E-3</v>
      </c>
      <c r="L254">
        <f>IF($C254="IE",$K254*CF_231025!$E$16,$K254/VLOOKUP($C254,CF_231025!$A$2:$E$28,5,FALSE))</f>
        <v>2.522701826463945E-3</v>
      </c>
    </row>
    <row r="255" spans="1:12" x14ac:dyDescent="0.25">
      <c r="A255" t="s">
        <v>136</v>
      </c>
      <c r="B255" t="s">
        <v>397</v>
      </c>
      <c r="C255" t="str">
        <f t="shared" si="16"/>
        <v>DK</v>
      </c>
      <c r="D255" t="str">
        <f t="shared" si="17"/>
        <v>BRO</v>
      </c>
      <c r="E255" t="str">
        <f t="shared" si="15"/>
        <v>DKBRO</v>
      </c>
      <c r="F255" t="str">
        <f t="shared" si="18"/>
        <v>H</v>
      </c>
      <c r="G255" t="s">
        <v>384</v>
      </c>
      <c r="H255">
        <v>1</v>
      </c>
      <c r="I255">
        <v>0.17</v>
      </c>
      <c r="J255" t="str">
        <f t="shared" si="19"/>
        <v>DKL000BROHR0DKLFER</v>
      </c>
      <c r="K255">
        <f>_xlfn.IFNA(IF(F255="H",VLOOKUP(E255,Fertiliser_data!$E$7:$L$267,8,FALSE),VLOOKUP(E255,Fertiliser_data!$E$7:$L$267,8,FALSE)*0.65),IF(F255="H",0.038,(0.038*0.65)))</f>
        <v>8.6E-3</v>
      </c>
      <c r="L255">
        <f>IF($C255="IE",$K255*CF_231025!$E$16,$K255/VLOOKUP($C255,CF_231025!$A$2:$E$28,5,FALSE))</f>
        <v>2.522701826463945E-3</v>
      </c>
    </row>
    <row r="256" spans="1:12" x14ac:dyDescent="0.25">
      <c r="A256" t="s">
        <v>136</v>
      </c>
      <c r="B256" t="s">
        <v>398</v>
      </c>
      <c r="C256" t="str">
        <f t="shared" si="16"/>
        <v>DK</v>
      </c>
      <c r="D256" t="str">
        <f t="shared" si="17"/>
        <v>BRO</v>
      </c>
      <c r="E256" t="str">
        <f t="shared" si="15"/>
        <v>DKBRO</v>
      </c>
      <c r="F256" t="str">
        <f t="shared" si="18"/>
        <v>L</v>
      </c>
      <c r="G256" t="s">
        <v>384</v>
      </c>
      <c r="H256">
        <v>1</v>
      </c>
      <c r="I256">
        <v>0.06</v>
      </c>
      <c r="J256" t="str">
        <f t="shared" si="19"/>
        <v>DKL000BROLI0DKLFER</v>
      </c>
      <c r="K256">
        <f>_xlfn.IFNA(IF(F256="H",VLOOKUP(E256,Fertiliser_data!$E$7:$L$267,8,FALSE),VLOOKUP(E256,Fertiliser_data!$E$7:$L$267,8,FALSE)*0.65),IF(F256="H",0.038,(0.038*0.65)))</f>
        <v>5.5900000000000004E-3</v>
      </c>
      <c r="L256">
        <f>IF($C256="IE",$K256*CF_231025!$E$16,$K256/VLOOKUP($C256,CF_231025!$A$2:$E$28,5,FALSE))</f>
        <v>1.6397561872015644E-3</v>
      </c>
    </row>
    <row r="257" spans="1:12" x14ac:dyDescent="0.25">
      <c r="A257" t="s">
        <v>136</v>
      </c>
      <c r="B257" t="s">
        <v>399</v>
      </c>
      <c r="C257" t="str">
        <f t="shared" si="16"/>
        <v>DK</v>
      </c>
      <c r="D257" t="str">
        <f t="shared" si="17"/>
        <v>BRO</v>
      </c>
      <c r="E257" t="str">
        <f t="shared" si="15"/>
        <v>DKBRO</v>
      </c>
      <c r="F257" t="str">
        <f t="shared" si="18"/>
        <v>L</v>
      </c>
      <c r="G257" t="s">
        <v>384</v>
      </c>
      <c r="H257">
        <v>1</v>
      </c>
      <c r="I257">
        <v>0.06</v>
      </c>
      <c r="J257" t="str">
        <f t="shared" si="19"/>
        <v>DKL000BROLR0DKLFER</v>
      </c>
      <c r="K257">
        <f>_xlfn.IFNA(IF(F257="H",VLOOKUP(E257,Fertiliser_data!$E$7:$L$267,8,FALSE),VLOOKUP(E257,Fertiliser_data!$E$7:$L$267,8,FALSE)*0.65),IF(F257="H",0.038,(0.038*0.65)))</f>
        <v>5.5900000000000004E-3</v>
      </c>
      <c r="L257">
        <f>IF($C257="IE",$K257*CF_231025!$E$16,$K257/VLOOKUP($C257,CF_231025!$A$2:$E$28,5,FALSE))</f>
        <v>1.6397561872015644E-3</v>
      </c>
    </row>
    <row r="258" spans="1:12" x14ac:dyDescent="0.25">
      <c r="A258" t="s">
        <v>136</v>
      </c>
      <c r="B258" t="s">
        <v>400</v>
      </c>
      <c r="C258" t="str">
        <f t="shared" si="16"/>
        <v>DK</v>
      </c>
      <c r="D258" t="str">
        <f t="shared" si="17"/>
        <v>OTH</v>
      </c>
      <c r="E258" t="str">
        <f t="shared" ref="E258:E321" si="20">C258&amp;D258</f>
        <v>DKOTH</v>
      </c>
      <c r="F258" t="str">
        <f t="shared" si="18"/>
        <v>H</v>
      </c>
      <c r="G258" t="s">
        <v>384</v>
      </c>
      <c r="H258">
        <v>1</v>
      </c>
      <c r="I258">
        <v>0.17</v>
      </c>
      <c r="J258" t="str">
        <f t="shared" si="19"/>
        <v>DKL000OTHHI0DKLFER</v>
      </c>
      <c r="K258">
        <f>_xlfn.IFNA(IF(F258="H",VLOOKUP(E258,Fertiliser_data!$E$7:$L$267,8,FALSE),VLOOKUP(E258,Fertiliser_data!$E$7:$L$267,8,FALSE)*0.65),IF(F258="H",0.038,(0.038*0.65)))</f>
        <v>3.7999999999999999E-2</v>
      </c>
      <c r="L258">
        <f>IF($C258="IE",$K258*CF_231025!$E$16,$K258/VLOOKUP($C258,CF_231025!$A$2:$E$28,5,FALSE))</f>
        <v>1.1146822023910456E-2</v>
      </c>
    </row>
    <row r="259" spans="1:12" x14ac:dyDescent="0.25">
      <c r="A259" t="s">
        <v>136</v>
      </c>
      <c r="B259" t="s">
        <v>401</v>
      </c>
      <c r="C259" t="str">
        <f t="shared" ref="C259:C322" si="21">LEFT(B259,2)</f>
        <v>DK</v>
      </c>
      <c r="D259" t="str">
        <f t="shared" ref="D259:D322" si="22">MID(B259,7,3)</f>
        <v>OTH</v>
      </c>
      <c r="E259" t="str">
        <f t="shared" si="20"/>
        <v>DKOTH</v>
      </c>
      <c r="F259" t="str">
        <f t="shared" ref="F259:F322" si="23">MID(B259,10,1)</f>
        <v>H</v>
      </c>
      <c r="G259" t="s">
        <v>384</v>
      </c>
      <c r="H259">
        <v>1</v>
      </c>
      <c r="I259">
        <v>0.17</v>
      </c>
      <c r="J259" t="str">
        <f t="shared" ref="J259:J322" si="24">B259&amp;G259</f>
        <v>DKL000OTHHR0DKLFER</v>
      </c>
      <c r="K259">
        <f>_xlfn.IFNA(IF(F259="H",VLOOKUP(E259,Fertiliser_data!$E$7:$L$267,8,FALSE),VLOOKUP(E259,Fertiliser_data!$E$7:$L$267,8,FALSE)*0.65),IF(F259="H",0.038,(0.038*0.65)))</f>
        <v>3.7999999999999999E-2</v>
      </c>
      <c r="L259">
        <f>IF($C259="IE",$K259*CF_231025!$E$16,$K259/VLOOKUP($C259,CF_231025!$A$2:$E$28,5,FALSE))</f>
        <v>1.1146822023910456E-2</v>
      </c>
    </row>
    <row r="260" spans="1:12" x14ac:dyDescent="0.25">
      <c r="A260" t="s">
        <v>136</v>
      </c>
      <c r="B260" t="s">
        <v>402</v>
      </c>
      <c r="C260" t="str">
        <f t="shared" si="21"/>
        <v>DK</v>
      </c>
      <c r="D260" t="str">
        <f t="shared" si="22"/>
        <v>OTH</v>
      </c>
      <c r="E260" t="str">
        <f t="shared" si="20"/>
        <v>DKOTH</v>
      </c>
      <c r="F260" t="str">
        <f t="shared" si="23"/>
        <v>L</v>
      </c>
      <c r="G260" t="s">
        <v>384</v>
      </c>
      <c r="H260">
        <v>1</v>
      </c>
      <c r="I260">
        <v>0.06</v>
      </c>
      <c r="J260" t="str">
        <f t="shared" si="24"/>
        <v>DKL000OTHLI0DKLFER</v>
      </c>
      <c r="K260">
        <f>_xlfn.IFNA(IF(F260="H",VLOOKUP(E260,Fertiliser_data!$E$7:$L$267,8,FALSE),VLOOKUP(E260,Fertiliser_data!$E$7:$L$267,8,FALSE)*0.65),IF(F260="H",0.038,(0.038*0.65)))</f>
        <v>2.47E-2</v>
      </c>
      <c r="L260">
        <f>IF($C260="IE",$K260*CF_231025!$E$16,$K260/VLOOKUP($C260,CF_231025!$A$2:$E$28,5,FALSE))</f>
        <v>7.2454343155417961E-3</v>
      </c>
    </row>
    <row r="261" spans="1:12" x14ac:dyDescent="0.25">
      <c r="A261" t="s">
        <v>136</v>
      </c>
      <c r="B261" t="s">
        <v>403</v>
      </c>
      <c r="C261" t="str">
        <f t="shared" si="21"/>
        <v>DK</v>
      </c>
      <c r="D261" t="str">
        <f t="shared" si="22"/>
        <v>OTH</v>
      </c>
      <c r="E261" t="str">
        <f t="shared" si="20"/>
        <v>DKOTH</v>
      </c>
      <c r="F261" t="str">
        <f t="shared" si="23"/>
        <v>L</v>
      </c>
      <c r="G261" t="s">
        <v>384</v>
      </c>
      <c r="H261">
        <v>1</v>
      </c>
      <c r="I261">
        <v>0.06</v>
      </c>
      <c r="J261" t="str">
        <f t="shared" si="24"/>
        <v>DKL000OTHLR0DKLFER</v>
      </c>
      <c r="K261">
        <f>_xlfn.IFNA(IF(F261="H",VLOOKUP(E261,Fertiliser_data!$E$7:$L$267,8,FALSE),VLOOKUP(E261,Fertiliser_data!$E$7:$L$267,8,FALSE)*0.65),IF(F261="H",0.038,(0.038*0.65)))</f>
        <v>2.47E-2</v>
      </c>
      <c r="L261">
        <f>IF($C261="IE",$K261*CF_231025!$E$16,$K261/VLOOKUP($C261,CF_231025!$A$2:$E$28,5,FALSE))</f>
        <v>7.2454343155417961E-3</v>
      </c>
    </row>
    <row r="262" spans="1:12" x14ac:dyDescent="0.25">
      <c r="A262" t="s">
        <v>136</v>
      </c>
      <c r="B262" t="s">
        <v>404</v>
      </c>
      <c r="C262" t="str">
        <f t="shared" si="21"/>
        <v>DK</v>
      </c>
      <c r="D262" t="str">
        <f t="shared" si="22"/>
        <v>SUG</v>
      </c>
      <c r="E262" t="str">
        <f t="shared" si="20"/>
        <v>DKSUG</v>
      </c>
      <c r="F262" t="str">
        <f t="shared" si="23"/>
        <v>H</v>
      </c>
      <c r="G262" t="s">
        <v>384</v>
      </c>
      <c r="H262">
        <v>1</v>
      </c>
      <c r="I262">
        <v>0.17</v>
      </c>
      <c r="J262" t="str">
        <f t="shared" si="24"/>
        <v>DKL000SUGHI0DKLFER</v>
      </c>
      <c r="K262">
        <f>_xlfn.IFNA(IF(F262="H",VLOOKUP(E262,Fertiliser_data!$E$7:$L$267,8,FALSE),VLOOKUP(E262,Fertiliser_data!$E$7:$L$267,8,FALSE)*0.65),IF(F262="H",0.038,(0.038*0.65)))</f>
        <v>4.7932835820895518E-2</v>
      </c>
      <c r="L262">
        <f>IF($C262="IE",$K262*CF_231025!$E$16,$K262/VLOOKUP($C262,CF_231025!$A$2:$E$28,5,FALSE))</f>
        <v>1.4060494473601109E-2</v>
      </c>
    </row>
    <row r="263" spans="1:12" x14ac:dyDescent="0.25">
      <c r="A263" t="s">
        <v>136</v>
      </c>
      <c r="B263" t="s">
        <v>405</v>
      </c>
      <c r="C263" t="str">
        <f t="shared" si="21"/>
        <v>DK</v>
      </c>
      <c r="D263" t="str">
        <f t="shared" si="22"/>
        <v>SUG</v>
      </c>
      <c r="E263" t="str">
        <f t="shared" si="20"/>
        <v>DKSUG</v>
      </c>
      <c r="F263" t="str">
        <f t="shared" si="23"/>
        <v>H</v>
      </c>
      <c r="G263" t="s">
        <v>384</v>
      </c>
      <c r="H263">
        <v>1</v>
      </c>
      <c r="I263">
        <v>0.17</v>
      </c>
      <c r="J263" t="str">
        <f t="shared" si="24"/>
        <v>DKL000SUGHR0DKLFER</v>
      </c>
      <c r="K263">
        <f>_xlfn.IFNA(IF(F263="H",VLOOKUP(E263,Fertiliser_data!$E$7:$L$267,8,FALSE),VLOOKUP(E263,Fertiliser_data!$E$7:$L$267,8,FALSE)*0.65),IF(F263="H",0.038,(0.038*0.65)))</f>
        <v>4.7932835820895518E-2</v>
      </c>
      <c r="L263">
        <f>IF($C263="IE",$K263*CF_231025!$E$16,$K263/VLOOKUP($C263,CF_231025!$A$2:$E$28,5,FALSE))</f>
        <v>1.4060494473601109E-2</v>
      </c>
    </row>
    <row r="264" spans="1:12" x14ac:dyDescent="0.25">
      <c r="A264" t="s">
        <v>136</v>
      </c>
      <c r="B264" t="s">
        <v>406</v>
      </c>
      <c r="C264" t="str">
        <f t="shared" si="21"/>
        <v>DK</v>
      </c>
      <c r="D264" t="str">
        <f t="shared" si="22"/>
        <v>SUG</v>
      </c>
      <c r="E264" t="str">
        <f t="shared" si="20"/>
        <v>DKSUG</v>
      </c>
      <c r="F264" t="str">
        <f t="shared" si="23"/>
        <v>L</v>
      </c>
      <c r="G264" t="s">
        <v>384</v>
      </c>
      <c r="H264">
        <v>1</v>
      </c>
      <c r="I264">
        <v>0.06</v>
      </c>
      <c r="J264" t="str">
        <f t="shared" si="24"/>
        <v>DKL000SUGLI0DKLFER</v>
      </c>
      <c r="K264">
        <f>_xlfn.IFNA(IF(F264="H",VLOOKUP(E264,Fertiliser_data!$E$7:$L$267,8,FALSE),VLOOKUP(E264,Fertiliser_data!$E$7:$L$267,8,FALSE)*0.65),IF(F264="H",0.038,(0.038*0.65)))</f>
        <v>3.1156343283582088E-2</v>
      </c>
      <c r="L264">
        <f>IF($C264="IE",$K264*CF_231025!$E$16,$K264/VLOOKUP($C264,CF_231025!$A$2:$E$28,5,FALSE))</f>
        <v>9.1393214078407219E-3</v>
      </c>
    </row>
    <row r="265" spans="1:12" x14ac:dyDescent="0.25">
      <c r="A265" t="s">
        <v>136</v>
      </c>
      <c r="B265" t="s">
        <v>407</v>
      </c>
      <c r="C265" t="str">
        <f t="shared" si="21"/>
        <v>DK</v>
      </c>
      <c r="D265" t="str">
        <f t="shared" si="22"/>
        <v>SUG</v>
      </c>
      <c r="E265" t="str">
        <f t="shared" si="20"/>
        <v>DKSUG</v>
      </c>
      <c r="F265" t="str">
        <f t="shared" si="23"/>
        <v>L</v>
      </c>
      <c r="G265" t="s">
        <v>384</v>
      </c>
      <c r="H265">
        <v>1</v>
      </c>
      <c r="I265">
        <v>0.06</v>
      </c>
      <c r="J265" t="str">
        <f t="shared" si="24"/>
        <v>DKL000SUGLR0DKLFER</v>
      </c>
      <c r="K265">
        <f>_xlfn.IFNA(IF(F265="H",VLOOKUP(E265,Fertiliser_data!$E$7:$L$267,8,FALSE),VLOOKUP(E265,Fertiliser_data!$E$7:$L$267,8,FALSE)*0.65),IF(F265="H",0.038,(0.038*0.65)))</f>
        <v>3.1156343283582088E-2</v>
      </c>
      <c r="L265">
        <f>IF($C265="IE",$K265*CF_231025!$E$16,$K265/VLOOKUP($C265,CF_231025!$A$2:$E$28,5,FALSE))</f>
        <v>9.1393214078407219E-3</v>
      </c>
    </row>
    <row r="266" spans="1:12" x14ac:dyDescent="0.25">
      <c r="A266" t="s">
        <v>136</v>
      </c>
      <c r="B266" t="s">
        <v>408</v>
      </c>
      <c r="C266" t="str">
        <f t="shared" si="21"/>
        <v>DK</v>
      </c>
      <c r="D266" t="str">
        <f t="shared" si="22"/>
        <v>RAP</v>
      </c>
      <c r="E266" t="str">
        <f t="shared" si="20"/>
        <v>DKRAP</v>
      </c>
      <c r="F266" t="str">
        <f t="shared" si="23"/>
        <v>H</v>
      </c>
      <c r="G266" t="s">
        <v>384</v>
      </c>
      <c r="H266">
        <v>1</v>
      </c>
      <c r="I266">
        <v>0.26</v>
      </c>
      <c r="J266" t="str">
        <f t="shared" si="24"/>
        <v>DKL000RAPHI0DKLFER</v>
      </c>
      <c r="K266">
        <f>_xlfn.IFNA(IF(F266="H",VLOOKUP(E266,Fertiliser_data!$E$7:$L$267,8,FALSE),VLOOKUP(E266,Fertiliser_data!$E$7:$L$267,8,FALSE)*0.65),IF(F266="H",0.038,(0.038*0.65)))</f>
        <v>4.7101492537313432E-2</v>
      </c>
      <c r="L266">
        <f>IF($C266="IE",$K266*CF_231025!$E$16,$K266/VLOOKUP($C266,CF_231025!$A$2:$E$28,5,FALSE))</f>
        <v>1.3816630378262614E-2</v>
      </c>
    </row>
    <row r="267" spans="1:12" x14ac:dyDescent="0.25">
      <c r="A267" t="s">
        <v>136</v>
      </c>
      <c r="B267" t="s">
        <v>409</v>
      </c>
      <c r="C267" t="str">
        <f t="shared" si="21"/>
        <v>DK</v>
      </c>
      <c r="D267" t="str">
        <f t="shared" si="22"/>
        <v>RAP</v>
      </c>
      <c r="E267" t="str">
        <f t="shared" si="20"/>
        <v>DKRAP</v>
      </c>
      <c r="F267" t="str">
        <f t="shared" si="23"/>
        <v>H</v>
      </c>
      <c r="G267" t="s">
        <v>384</v>
      </c>
      <c r="H267">
        <v>1</v>
      </c>
      <c r="I267">
        <v>0.26</v>
      </c>
      <c r="J267" t="str">
        <f t="shared" si="24"/>
        <v>DKL000RAPHR0DKLFER</v>
      </c>
      <c r="K267">
        <f>_xlfn.IFNA(IF(F267="H",VLOOKUP(E267,Fertiliser_data!$E$7:$L$267,8,FALSE),VLOOKUP(E267,Fertiliser_data!$E$7:$L$267,8,FALSE)*0.65),IF(F267="H",0.038,(0.038*0.65)))</f>
        <v>4.7101492537313432E-2</v>
      </c>
      <c r="L267">
        <f>IF($C267="IE",$K267*CF_231025!$E$16,$K267/VLOOKUP($C267,CF_231025!$A$2:$E$28,5,FALSE))</f>
        <v>1.3816630378262614E-2</v>
      </c>
    </row>
    <row r="268" spans="1:12" x14ac:dyDescent="0.25">
      <c r="A268" t="s">
        <v>136</v>
      </c>
      <c r="B268" t="s">
        <v>410</v>
      </c>
      <c r="C268" t="str">
        <f t="shared" si="21"/>
        <v>DK</v>
      </c>
      <c r="D268" t="str">
        <f t="shared" si="22"/>
        <v>RAP</v>
      </c>
      <c r="E268" t="str">
        <f t="shared" si="20"/>
        <v>DKRAP</v>
      </c>
      <c r="F268" t="str">
        <f t="shared" si="23"/>
        <v>L</v>
      </c>
      <c r="G268" t="s">
        <v>384</v>
      </c>
      <c r="H268">
        <v>1</v>
      </c>
      <c r="I268">
        <v>0.1</v>
      </c>
      <c r="J268" t="str">
        <f t="shared" si="24"/>
        <v>DKL000RAPLI0DKLFER</v>
      </c>
      <c r="K268">
        <f>_xlfn.IFNA(IF(F268="H",VLOOKUP(E268,Fertiliser_data!$E$7:$L$267,8,FALSE),VLOOKUP(E268,Fertiliser_data!$E$7:$L$267,8,FALSE)*0.65),IF(F268="H",0.038,(0.038*0.65)))</f>
        <v>3.061597014925373E-2</v>
      </c>
      <c r="L268">
        <f>IF($C268="IE",$K268*CF_231025!$E$16,$K268/VLOOKUP($C268,CF_231025!$A$2:$E$28,5,FALSE))</f>
        <v>8.9808097458706996E-3</v>
      </c>
    </row>
    <row r="269" spans="1:12" x14ac:dyDescent="0.25">
      <c r="A269" t="s">
        <v>136</v>
      </c>
      <c r="B269" t="s">
        <v>411</v>
      </c>
      <c r="C269" t="str">
        <f t="shared" si="21"/>
        <v>DK</v>
      </c>
      <c r="D269" t="str">
        <f t="shared" si="22"/>
        <v>RAP</v>
      </c>
      <c r="E269" t="str">
        <f t="shared" si="20"/>
        <v>DKRAP</v>
      </c>
      <c r="F269" t="str">
        <f t="shared" si="23"/>
        <v>L</v>
      </c>
      <c r="G269" t="s">
        <v>384</v>
      </c>
      <c r="H269">
        <v>1</v>
      </c>
      <c r="I269">
        <v>0.1</v>
      </c>
      <c r="J269" t="str">
        <f t="shared" si="24"/>
        <v>DKL000RAPLR0DKLFER</v>
      </c>
      <c r="K269">
        <f>_xlfn.IFNA(IF(F269="H",VLOOKUP(E269,Fertiliser_data!$E$7:$L$267,8,FALSE),VLOOKUP(E269,Fertiliser_data!$E$7:$L$267,8,FALSE)*0.65),IF(F269="H",0.038,(0.038*0.65)))</f>
        <v>3.061597014925373E-2</v>
      </c>
      <c r="L269">
        <f>IF($C269="IE",$K269*CF_231025!$E$16,$K269/VLOOKUP($C269,CF_231025!$A$2:$E$28,5,FALSE))</f>
        <v>8.9808097458706996E-3</v>
      </c>
    </row>
    <row r="270" spans="1:12" x14ac:dyDescent="0.25">
      <c r="A270" t="s">
        <v>136</v>
      </c>
      <c r="B270" t="s">
        <v>412</v>
      </c>
      <c r="C270" t="str">
        <f t="shared" si="21"/>
        <v>DK</v>
      </c>
      <c r="D270" t="str">
        <f t="shared" si="22"/>
        <v>RYE</v>
      </c>
      <c r="E270" t="str">
        <f t="shared" si="20"/>
        <v>DKRYE</v>
      </c>
      <c r="F270" t="str">
        <f t="shared" si="23"/>
        <v>H</v>
      </c>
      <c r="G270" t="s">
        <v>384</v>
      </c>
      <c r="H270">
        <v>1</v>
      </c>
      <c r="I270">
        <v>0.11</v>
      </c>
      <c r="J270" t="str">
        <f t="shared" si="24"/>
        <v>DKL000RYEHI0DKLFER</v>
      </c>
      <c r="K270">
        <f>_xlfn.IFNA(IF(F270="H",VLOOKUP(E270,Fertiliser_data!$E$7:$L$267,8,FALSE),VLOOKUP(E270,Fertiliser_data!$E$7:$L$267,8,FALSE)*0.65),IF(F270="H",0.038,(0.038*0.65)))</f>
        <v>3.6861194029850747E-2</v>
      </c>
      <c r="L270">
        <f>IF($C270="IE",$K270*CF_231025!$E$16,$K270/VLOOKUP($C270,CF_231025!$A$2:$E$28,5,FALSE))</f>
        <v>1.0812767616830971E-2</v>
      </c>
    </row>
    <row r="271" spans="1:12" x14ac:dyDescent="0.25">
      <c r="A271" t="s">
        <v>136</v>
      </c>
      <c r="B271" t="s">
        <v>413</v>
      </c>
      <c r="C271" t="str">
        <f t="shared" si="21"/>
        <v>DK</v>
      </c>
      <c r="D271" t="str">
        <f t="shared" si="22"/>
        <v>RYE</v>
      </c>
      <c r="E271" t="str">
        <f t="shared" si="20"/>
        <v>DKRYE</v>
      </c>
      <c r="F271" t="str">
        <f t="shared" si="23"/>
        <v>H</v>
      </c>
      <c r="G271" t="s">
        <v>384</v>
      </c>
      <c r="H271">
        <v>1</v>
      </c>
      <c r="I271">
        <v>0.11</v>
      </c>
      <c r="J271" t="str">
        <f t="shared" si="24"/>
        <v>DKL000RYEHR0DKLFER</v>
      </c>
      <c r="K271">
        <f>_xlfn.IFNA(IF(F271="H",VLOOKUP(E271,Fertiliser_data!$E$7:$L$267,8,FALSE),VLOOKUP(E271,Fertiliser_data!$E$7:$L$267,8,FALSE)*0.65),IF(F271="H",0.038,(0.038*0.65)))</f>
        <v>3.6861194029850747E-2</v>
      </c>
      <c r="L271">
        <f>IF($C271="IE",$K271*CF_231025!$E$16,$K271/VLOOKUP($C271,CF_231025!$A$2:$E$28,5,FALSE))</f>
        <v>1.0812767616830971E-2</v>
      </c>
    </row>
    <row r="272" spans="1:12" x14ac:dyDescent="0.25">
      <c r="A272" t="s">
        <v>136</v>
      </c>
      <c r="B272" t="s">
        <v>414</v>
      </c>
      <c r="C272" t="str">
        <f t="shared" si="21"/>
        <v>DK</v>
      </c>
      <c r="D272" t="str">
        <f t="shared" si="22"/>
        <v>RYE</v>
      </c>
      <c r="E272" t="str">
        <f t="shared" si="20"/>
        <v>DKRYE</v>
      </c>
      <c r="F272" t="str">
        <f t="shared" si="23"/>
        <v>L</v>
      </c>
      <c r="G272" t="s">
        <v>384</v>
      </c>
      <c r="H272">
        <v>1</v>
      </c>
      <c r="I272">
        <v>0.04</v>
      </c>
      <c r="J272" t="str">
        <f t="shared" si="24"/>
        <v>DKL000RYELI0DKLFER</v>
      </c>
      <c r="K272">
        <f>_xlfn.IFNA(IF(F272="H",VLOOKUP(E272,Fertiliser_data!$E$7:$L$267,8,FALSE),VLOOKUP(E272,Fertiliser_data!$E$7:$L$267,8,FALSE)*0.65),IF(F272="H",0.038,(0.038*0.65)))</f>
        <v>2.3959776119402986E-2</v>
      </c>
      <c r="L272">
        <f>IF($C272="IE",$K272*CF_231025!$E$16,$K272/VLOOKUP($C272,CF_231025!$A$2:$E$28,5,FALSE))</f>
        <v>7.0282989509401319E-3</v>
      </c>
    </row>
    <row r="273" spans="1:12" x14ac:dyDescent="0.25">
      <c r="A273" t="s">
        <v>136</v>
      </c>
      <c r="B273" t="s">
        <v>415</v>
      </c>
      <c r="C273" t="str">
        <f t="shared" si="21"/>
        <v>DK</v>
      </c>
      <c r="D273" t="str">
        <f t="shared" si="22"/>
        <v>RYE</v>
      </c>
      <c r="E273" t="str">
        <f t="shared" si="20"/>
        <v>DKRYE</v>
      </c>
      <c r="F273" t="str">
        <f t="shared" si="23"/>
        <v>L</v>
      </c>
      <c r="G273" t="s">
        <v>384</v>
      </c>
      <c r="H273">
        <v>1</v>
      </c>
      <c r="I273">
        <v>0.04</v>
      </c>
      <c r="J273" t="str">
        <f t="shared" si="24"/>
        <v>DKL000RYELR0DKLFER</v>
      </c>
      <c r="K273">
        <f>_xlfn.IFNA(IF(F273="H",VLOOKUP(E273,Fertiliser_data!$E$7:$L$267,8,FALSE),VLOOKUP(E273,Fertiliser_data!$E$7:$L$267,8,FALSE)*0.65),IF(F273="H",0.038,(0.038*0.65)))</f>
        <v>2.3959776119402986E-2</v>
      </c>
      <c r="L273">
        <f>IF($C273="IE",$K273*CF_231025!$E$16,$K273/VLOOKUP($C273,CF_231025!$A$2:$E$28,5,FALSE))</f>
        <v>7.0282989509401319E-3</v>
      </c>
    </row>
    <row r="274" spans="1:12" x14ac:dyDescent="0.25">
      <c r="A274" t="s">
        <v>136</v>
      </c>
      <c r="B274" t="s">
        <v>416</v>
      </c>
      <c r="C274" t="str">
        <f t="shared" si="21"/>
        <v>DK</v>
      </c>
      <c r="D274" t="str">
        <f t="shared" si="22"/>
        <v>POT</v>
      </c>
      <c r="E274" t="str">
        <f t="shared" si="20"/>
        <v>DKPOT</v>
      </c>
      <c r="F274" t="str">
        <f t="shared" si="23"/>
        <v>H</v>
      </c>
      <c r="G274" t="s">
        <v>384</v>
      </c>
      <c r="H274">
        <v>1</v>
      </c>
      <c r="I274">
        <v>0.17</v>
      </c>
      <c r="J274" t="str">
        <f t="shared" si="24"/>
        <v>DKL000POTHI0DKLFER</v>
      </c>
      <c r="K274">
        <f>_xlfn.IFNA(IF(F274="H",VLOOKUP(E274,Fertiliser_data!$E$7:$L$267,8,FALSE),VLOOKUP(E274,Fertiliser_data!$E$7:$L$267,8,FALSE)*0.65),IF(F274="H",0.038,(0.038*0.65)))</f>
        <v>6.1513432835820891E-2</v>
      </c>
      <c r="L274">
        <f>IF($C274="IE",$K274*CF_231025!$E$16,$K274/VLOOKUP($C274,CF_231025!$A$2:$E$28,5,FALSE))</f>
        <v>1.8044191786859603E-2</v>
      </c>
    </row>
    <row r="275" spans="1:12" x14ac:dyDescent="0.25">
      <c r="A275" t="s">
        <v>136</v>
      </c>
      <c r="B275" t="s">
        <v>417</v>
      </c>
      <c r="C275" t="str">
        <f t="shared" si="21"/>
        <v>DK</v>
      </c>
      <c r="D275" t="str">
        <f t="shared" si="22"/>
        <v>POT</v>
      </c>
      <c r="E275" t="str">
        <f t="shared" si="20"/>
        <v>DKPOT</v>
      </c>
      <c r="F275" t="str">
        <f t="shared" si="23"/>
        <v>H</v>
      </c>
      <c r="G275" t="s">
        <v>384</v>
      </c>
      <c r="H275">
        <v>1</v>
      </c>
      <c r="I275">
        <v>0.17</v>
      </c>
      <c r="J275" t="str">
        <f t="shared" si="24"/>
        <v>DKL000POTHR0DKLFER</v>
      </c>
      <c r="K275">
        <f>_xlfn.IFNA(IF(F275="H",VLOOKUP(E275,Fertiliser_data!$E$7:$L$267,8,FALSE),VLOOKUP(E275,Fertiliser_data!$E$7:$L$267,8,FALSE)*0.65),IF(F275="H",0.038,(0.038*0.65)))</f>
        <v>6.1513432835820891E-2</v>
      </c>
      <c r="L275">
        <f>IF($C275="IE",$K275*CF_231025!$E$16,$K275/VLOOKUP($C275,CF_231025!$A$2:$E$28,5,FALSE))</f>
        <v>1.8044191786859603E-2</v>
      </c>
    </row>
    <row r="276" spans="1:12" x14ac:dyDescent="0.25">
      <c r="A276" t="s">
        <v>136</v>
      </c>
      <c r="B276" t="s">
        <v>418</v>
      </c>
      <c r="C276" t="str">
        <f t="shared" si="21"/>
        <v>DK</v>
      </c>
      <c r="D276" t="str">
        <f t="shared" si="22"/>
        <v>POT</v>
      </c>
      <c r="E276" t="str">
        <f t="shared" si="20"/>
        <v>DKPOT</v>
      </c>
      <c r="F276" t="str">
        <f t="shared" si="23"/>
        <v>L</v>
      </c>
      <c r="G276" t="s">
        <v>384</v>
      </c>
      <c r="H276">
        <v>1</v>
      </c>
      <c r="I276">
        <v>0.06</v>
      </c>
      <c r="J276" t="str">
        <f t="shared" si="24"/>
        <v>DKL000POTLI0DKLFER</v>
      </c>
      <c r="K276">
        <f>_xlfn.IFNA(IF(F276="H",VLOOKUP(E276,Fertiliser_data!$E$7:$L$267,8,FALSE),VLOOKUP(E276,Fertiliser_data!$E$7:$L$267,8,FALSE)*0.65),IF(F276="H",0.038,(0.038*0.65)))</f>
        <v>3.9983731343283584E-2</v>
      </c>
      <c r="L276">
        <f>IF($C276="IE",$K276*CF_231025!$E$16,$K276/VLOOKUP($C276,CF_231025!$A$2:$E$28,5,FALSE))</f>
        <v>1.1728724661458743E-2</v>
      </c>
    </row>
    <row r="277" spans="1:12" x14ac:dyDescent="0.25">
      <c r="A277" t="s">
        <v>136</v>
      </c>
      <c r="B277" t="s">
        <v>419</v>
      </c>
      <c r="C277" t="str">
        <f t="shared" si="21"/>
        <v>DK</v>
      </c>
      <c r="D277" t="str">
        <f t="shared" si="22"/>
        <v>POT</v>
      </c>
      <c r="E277" t="str">
        <f t="shared" si="20"/>
        <v>DKPOT</v>
      </c>
      <c r="F277" t="str">
        <f t="shared" si="23"/>
        <v>L</v>
      </c>
      <c r="G277" t="s">
        <v>384</v>
      </c>
      <c r="H277">
        <v>1</v>
      </c>
      <c r="I277">
        <v>0.06</v>
      </c>
      <c r="J277" t="str">
        <f t="shared" si="24"/>
        <v>DKL000POTLR0DKLFER</v>
      </c>
      <c r="K277">
        <f>_xlfn.IFNA(IF(F277="H",VLOOKUP(E277,Fertiliser_data!$E$7:$L$267,8,FALSE),VLOOKUP(E277,Fertiliser_data!$E$7:$L$267,8,FALSE)*0.65),IF(F277="H",0.038,(0.038*0.65)))</f>
        <v>3.9983731343283584E-2</v>
      </c>
      <c r="L277">
        <f>IF($C277="IE",$K277*CF_231025!$E$16,$K277/VLOOKUP($C277,CF_231025!$A$2:$E$28,5,FALSE))</f>
        <v>1.1728724661458743E-2</v>
      </c>
    </row>
    <row r="278" spans="1:12" x14ac:dyDescent="0.25">
      <c r="A278" t="s">
        <v>136</v>
      </c>
      <c r="B278" t="s">
        <v>420</v>
      </c>
      <c r="C278" t="str">
        <f t="shared" si="21"/>
        <v>DK</v>
      </c>
      <c r="D278" t="str">
        <f t="shared" si="22"/>
        <v>BRL</v>
      </c>
      <c r="E278" t="str">
        <f t="shared" si="20"/>
        <v>DKBRL</v>
      </c>
      <c r="F278" t="str">
        <f t="shared" si="23"/>
        <v>H</v>
      </c>
      <c r="G278" t="s">
        <v>384</v>
      </c>
      <c r="H278">
        <v>1</v>
      </c>
      <c r="I278">
        <v>0.15</v>
      </c>
      <c r="J278" t="str">
        <f t="shared" si="24"/>
        <v>DKL000BRLHI0DKLFER</v>
      </c>
      <c r="K278">
        <f>_xlfn.IFNA(IF(F278="H",VLOOKUP(E278,Fertiliser_data!$E$7:$L$267,8,FALSE),VLOOKUP(E278,Fertiliser_data!$E$7:$L$267,8,FALSE)*0.65),IF(F278="H",0.038,(0.038*0.65)))</f>
        <v>3.7458208955223886E-2</v>
      </c>
      <c r="L278">
        <f>IF($C278="IE",$K278*CF_231025!$E$16,$K278/VLOOKUP($C278,CF_231025!$A$2:$E$28,5,FALSE))</f>
        <v>1.0987894435745512E-2</v>
      </c>
    </row>
    <row r="279" spans="1:12" x14ac:dyDescent="0.25">
      <c r="A279" t="s">
        <v>136</v>
      </c>
      <c r="B279" t="s">
        <v>421</v>
      </c>
      <c r="C279" t="str">
        <f t="shared" si="21"/>
        <v>DK</v>
      </c>
      <c r="D279" t="str">
        <f t="shared" si="22"/>
        <v>BRL</v>
      </c>
      <c r="E279" t="str">
        <f t="shared" si="20"/>
        <v>DKBRL</v>
      </c>
      <c r="F279" t="str">
        <f t="shared" si="23"/>
        <v>H</v>
      </c>
      <c r="G279" t="s">
        <v>384</v>
      </c>
      <c r="H279">
        <v>1</v>
      </c>
      <c r="I279">
        <v>0.15</v>
      </c>
      <c r="J279" t="str">
        <f t="shared" si="24"/>
        <v>DKL000BRLHR0DKLFER</v>
      </c>
      <c r="K279">
        <f>_xlfn.IFNA(IF(F279="H",VLOOKUP(E279,Fertiliser_data!$E$7:$L$267,8,FALSE),VLOOKUP(E279,Fertiliser_data!$E$7:$L$267,8,FALSE)*0.65),IF(F279="H",0.038,(0.038*0.65)))</f>
        <v>3.7458208955223886E-2</v>
      </c>
      <c r="L279">
        <f>IF($C279="IE",$K279*CF_231025!$E$16,$K279/VLOOKUP($C279,CF_231025!$A$2:$E$28,5,FALSE))</f>
        <v>1.0987894435745512E-2</v>
      </c>
    </row>
    <row r="280" spans="1:12" x14ac:dyDescent="0.25">
      <c r="A280" t="s">
        <v>136</v>
      </c>
      <c r="B280" t="s">
        <v>422</v>
      </c>
      <c r="C280" t="str">
        <f t="shared" si="21"/>
        <v>DK</v>
      </c>
      <c r="D280" t="str">
        <f t="shared" si="22"/>
        <v>BRL</v>
      </c>
      <c r="E280" t="str">
        <f t="shared" si="20"/>
        <v>DKBRL</v>
      </c>
      <c r="F280" t="str">
        <f t="shared" si="23"/>
        <v>L</v>
      </c>
      <c r="G280" t="s">
        <v>384</v>
      </c>
      <c r="H280">
        <v>1</v>
      </c>
      <c r="I280">
        <v>0.06</v>
      </c>
      <c r="J280" t="str">
        <f t="shared" si="24"/>
        <v>DKL000BRLLI0DKLFER</v>
      </c>
      <c r="K280">
        <f>_xlfn.IFNA(IF(F280="H",VLOOKUP(E280,Fertiliser_data!$E$7:$L$267,8,FALSE),VLOOKUP(E280,Fertiliser_data!$E$7:$L$267,8,FALSE)*0.65),IF(F280="H",0.038,(0.038*0.65)))</f>
        <v>2.4347835820895527E-2</v>
      </c>
      <c r="L280">
        <f>IF($C280="IE",$K280*CF_231025!$E$16,$K280/VLOOKUP($C280,CF_231025!$A$2:$E$28,5,FALSE))</f>
        <v>7.1421313832345833E-3</v>
      </c>
    </row>
    <row r="281" spans="1:12" x14ac:dyDescent="0.25">
      <c r="A281" t="s">
        <v>136</v>
      </c>
      <c r="B281" t="s">
        <v>423</v>
      </c>
      <c r="C281" t="str">
        <f t="shared" si="21"/>
        <v>DK</v>
      </c>
      <c r="D281" t="str">
        <f t="shared" si="22"/>
        <v>BRL</v>
      </c>
      <c r="E281" t="str">
        <f t="shared" si="20"/>
        <v>DKBRL</v>
      </c>
      <c r="F281" t="str">
        <f t="shared" si="23"/>
        <v>L</v>
      </c>
      <c r="G281" t="s">
        <v>384</v>
      </c>
      <c r="H281">
        <v>1</v>
      </c>
      <c r="I281">
        <v>0.06</v>
      </c>
      <c r="J281" t="str">
        <f t="shared" si="24"/>
        <v>DKL000BRLLR0DKLFER</v>
      </c>
      <c r="K281">
        <f>_xlfn.IFNA(IF(F281="H",VLOOKUP(E281,Fertiliser_data!$E$7:$L$267,8,FALSE),VLOOKUP(E281,Fertiliser_data!$E$7:$L$267,8,FALSE)*0.65),IF(F281="H",0.038,(0.038*0.65)))</f>
        <v>2.4347835820895527E-2</v>
      </c>
      <c r="L281">
        <f>IF($C281="IE",$K281*CF_231025!$E$16,$K281/VLOOKUP($C281,CF_231025!$A$2:$E$28,5,FALSE))</f>
        <v>7.1421313832345833E-3</v>
      </c>
    </row>
    <row r="282" spans="1:12" x14ac:dyDescent="0.25">
      <c r="A282" t="s">
        <v>136</v>
      </c>
      <c r="B282" t="s">
        <v>424</v>
      </c>
      <c r="C282" t="str">
        <f t="shared" si="21"/>
        <v>EE</v>
      </c>
      <c r="D282" t="str">
        <f t="shared" si="22"/>
        <v>BRL</v>
      </c>
      <c r="E282" t="str">
        <f t="shared" si="20"/>
        <v>EEBRL</v>
      </c>
      <c r="F282" t="str">
        <f t="shared" si="23"/>
        <v>H</v>
      </c>
      <c r="G282" t="s">
        <v>425</v>
      </c>
      <c r="H282">
        <v>1</v>
      </c>
      <c r="I282">
        <v>0.15</v>
      </c>
      <c r="J282" t="str">
        <f t="shared" si="24"/>
        <v>EEL000BRLHI0EELFER</v>
      </c>
      <c r="K282">
        <f>_xlfn.IFNA(IF(F282="H",VLOOKUP(E282,Fertiliser_data!$E$7:$L$267,8,FALSE),VLOOKUP(E282,Fertiliser_data!$E$7:$L$267,8,FALSE)*0.65),IF(F282="H",0.038,(0.038*0.65)))</f>
        <v>8.9597014925373135E-3</v>
      </c>
      <c r="L282">
        <f>IF($C282="IE",$K282*CF_231025!$E$16,$K282/VLOOKUP($C282,CF_231025!$A$2:$E$28,5,FALSE))</f>
        <v>2.7717580251863647E-3</v>
      </c>
    </row>
    <row r="283" spans="1:12" x14ac:dyDescent="0.25">
      <c r="A283" t="s">
        <v>136</v>
      </c>
      <c r="B283" t="s">
        <v>426</v>
      </c>
      <c r="C283" t="str">
        <f t="shared" si="21"/>
        <v>EE</v>
      </c>
      <c r="D283" t="str">
        <f t="shared" si="22"/>
        <v>BRL</v>
      </c>
      <c r="E283" t="str">
        <f t="shared" si="20"/>
        <v>EEBRL</v>
      </c>
      <c r="F283" t="str">
        <f t="shared" si="23"/>
        <v>H</v>
      </c>
      <c r="G283" t="s">
        <v>425</v>
      </c>
      <c r="H283">
        <v>1</v>
      </c>
      <c r="I283">
        <v>0.15</v>
      </c>
      <c r="J283" t="str">
        <f t="shared" si="24"/>
        <v>EEL000BRLHR0EELFER</v>
      </c>
      <c r="K283">
        <f>_xlfn.IFNA(IF(F283="H",VLOOKUP(E283,Fertiliser_data!$E$7:$L$267,8,FALSE),VLOOKUP(E283,Fertiliser_data!$E$7:$L$267,8,FALSE)*0.65),IF(F283="H",0.038,(0.038*0.65)))</f>
        <v>8.9597014925373135E-3</v>
      </c>
      <c r="L283">
        <f>IF($C283="IE",$K283*CF_231025!$E$16,$K283/VLOOKUP($C283,CF_231025!$A$2:$E$28,5,FALSE))</f>
        <v>2.7717580251863647E-3</v>
      </c>
    </row>
    <row r="284" spans="1:12" x14ac:dyDescent="0.25">
      <c r="A284" t="s">
        <v>136</v>
      </c>
      <c r="B284" t="s">
        <v>427</v>
      </c>
      <c r="C284" t="str">
        <f t="shared" si="21"/>
        <v>EE</v>
      </c>
      <c r="D284" t="str">
        <f t="shared" si="22"/>
        <v>BRL</v>
      </c>
      <c r="E284" t="str">
        <f t="shared" si="20"/>
        <v>EEBRL</v>
      </c>
      <c r="F284" t="str">
        <f t="shared" si="23"/>
        <v>L</v>
      </c>
      <c r="G284" t="s">
        <v>425</v>
      </c>
      <c r="H284">
        <v>1</v>
      </c>
      <c r="I284">
        <v>0.06</v>
      </c>
      <c r="J284" t="str">
        <f t="shared" si="24"/>
        <v>EEL000BRLLI0EELFER</v>
      </c>
      <c r="K284">
        <f>_xlfn.IFNA(IF(F284="H",VLOOKUP(E284,Fertiliser_data!$E$7:$L$267,8,FALSE),VLOOKUP(E284,Fertiliser_data!$E$7:$L$267,8,FALSE)*0.65),IF(F284="H",0.038,(0.038*0.65)))</f>
        <v>5.8238059701492539E-3</v>
      </c>
      <c r="L284">
        <f>IF($C284="IE",$K284*CF_231025!$E$16,$K284/VLOOKUP($C284,CF_231025!$A$2:$E$28,5,FALSE))</f>
        <v>1.8016427163711371E-3</v>
      </c>
    </row>
    <row r="285" spans="1:12" x14ac:dyDescent="0.25">
      <c r="A285" t="s">
        <v>136</v>
      </c>
      <c r="B285" t="s">
        <v>428</v>
      </c>
      <c r="C285" t="str">
        <f t="shared" si="21"/>
        <v>EE</v>
      </c>
      <c r="D285" t="str">
        <f t="shared" si="22"/>
        <v>BRL</v>
      </c>
      <c r="E285" t="str">
        <f t="shared" si="20"/>
        <v>EEBRL</v>
      </c>
      <c r="F285" t="str">
        <f t="shared" si="23"/>
        <v>L</v>
      </c>
      <c r="G285" t="s">
        <v>425</v>
      </c>
      <c r="H285">
        <v>1</v>
      </c>
      <c r="I285">
        <v>0.06</v>
      </c>
      <c r="J285" t="str">
        <f t="shared" si="24"/>
        <v>EEL000BRLLR0EELFER</v>
      </c>
      <c r="K285">
        <f>_xlfn.IFNA(IF(F285="H",VLOOKUP(E285,Fertiliser_data!$E$7:$L$267,8,FALSE),VLOOKUP(E285,Fertiliser_data!$E$7:$L$267,8,FALSE)*0.65),IF(F285="H",0.038,(0.038*0.65)))</f>
        <v>5.8238059701492539E-3</v>
      </c>
      <c r="L285">
        <f>IF($C285="IE",$K285*CF_231025!$E$16,$K285/VLOOKUP($C285,CF_231025!$A$2:$E$28,5,FALSE))</f>
        <v>1.8016427163711371E-3</v>
      </c>
    </row>
    <row r="286" spans="1:12" x14ac:dyDescent="0.25">
      <c r="A286" t="s">
        <v>136</v>
      </c>
      <c r="B286" t="s">
        <v>429</v>
      </c>
      <c r="C286" t="str">
        <f t="shared" si="21"/>
        <v>EE</v>
      </c>
      <c r="D286" t="str">
        <f t="shared" si="22"/>
        <v>CER</v>
      </c>
      <c r="E286" t="str">
        <f t="shared" si="20"/>
        <v>EECER</v>
      </c>
      <c r="F286" t="str">
        <f t="shared" si="23"/>
        <v>H</v>
      </c>
      <c r="G286" t="s">
        <v>425</v>
      </c>
      <c r="H286">
        <v>1</v>
      </c>
      <c r="I286">
        <v>0.17</v>
      </c>
      <c r="J286" t="str">
        <f t="shared" si="24"/>
        <v>EEL000CERHI0EELFER</v>
      </c>
      <c r="K286">
        <f>_xlfn.IFNA(IF(F286="H",VLOOKUP(E286,Fertiliser_data!$E$7:$L$267,8,FALSE),VLOOKUP(E286,Fertiliser_data!$E$7:$L$267,8,FALSE)*0.65),IF(F286="H",0.038,(0.038*0.65)))</f>
        <v>3.7999999999999999E-2</v>
      </c>
      <c r="L286">
        <f>IF($C286="IE",$K286*CF_231025!$E$16,$K286/VLOOKUP($C286,CF_231025!$A$2:$E$28,5,FALSE))</f>
        <v>1.1755615412501223E-2</v>
      </c>
    </row>
    <row r="287" spans="1:12" x14ac:dyDescent="0.25">
      <c r="A287" t="s">
        <v>136</v>
      </c>
      <c r="B287" t="s">
        <v>430</v>
      </c>
      <c r="C287" t="str">
        <f t="shared" si="21"/>
        <v>EE</v>
      </c>
      <c r="D287" t="str">
        <f t="shared" si="22"/>
        <v>CER</v>
      </c>
      <c r="E287" t="str">
        <f t="shared" si="20"/>
        <v>EECER</v>
      </c>
      <c r="F287" t="str">
        <f t="shared" si="23"/>
        <v>H</v>
      </c>
      <c r="G287" t="s">
        <v>425</v>
      </c>
      <c r="H287">
        <v>1</v>
      </c>
      <c r="I287">
        <v>0.17</v>
      </c>
      <c r="J287" t="str">
        <f t="shared" si="24"/>
        <v>EEL000CERHR0EELFER</v>
      </c>
      <c r="K287">
        <f>_xlfn.IFNA(IF(F287="H",VLOOKUP(E287,Fertiliser_data!$E$7:$L$267,8,FALSE),VLOOKUP(E287,Fertiliser_data!$E$7:$L$267,8,FALSE)*0.65),IF(F287="H",0.038,(0.038*0.65)))</f>
        <v>3.7999999999999999E-2</v>
      </c>
      <c r="L287">
        <f>IF($C287="IE",$K287*CF_231025!$E$16,$K287/VLOOKUP($C287,CF_231025!$A$2:$E$28,5,FALSE))</f>
        <v>1.1755615412501223E-2</v>
      </c>
    </row>
    <row r="288" spans="1:12" x14ac:dyDescent="0.25">
      <c r="A288" t="s">
        <v>136</v>
      </c>
      <c r="B288" t="s">
        <v>431</v>
      </c>
      <c r="C288" t="str">
        <f t="shared" si="21"/>
        <v>EE</v>
      </c>
      <c r="D288" t="str">
        <f t="shared" si="22"/>
        <v>CER</v>
      </c>
      <c r="E288" t="str">
        <f t="shared" si="20"/>
        <v>EECER</v>
      </c>
      <c r="F288" t="str">
        <f t="shared" si="23"/>
        <v>L</v>
      </c>
      <c r="G288" t="s">
        <v>425</v>
      </c>
      <c r="H288">
        <v>1</v>
      </c>
      <c r="I288">
        <v>0.06</v>
      </c>
      <c r="J288" t="str">
        <f t="shared" si="24"/>
        <v>EEL000CERLI0EELFER</v>
      </c>
      <c r="K288">
        <f>_xlfn.IFNA(IF(F288="H",VLOOKUP(E288,Fertiliser_data!$E$7:$L$267,8,FALSE),VLOOKUP(E288,Fertiliser_data!$E$7:$L$267,8,FALSE)*0.65),IF(F288="H",0.038,(0.038*0.65)))</f>
        <v>2.47E-2</v>
      </c>
      <c r="L288">
        <f>IF($C288="IE",$K288*CF_231025!$E$16,$K288/VLOOKUP($C288,CF_231025!$A$2:$E$28,5,FALSE))</f>
        <v>7.6411500181257953E-3</v>
      </c>
    </row>
    <row r="289" spans="1:12" x14ac:dyDescent="0.25">
      <c r="A289" t="s">
        <v>136</v>
      </c>
      <c r="B289" t="s">
        <v>432</v>
      </c>
      <c r="C289" t="str">
        <f t="shared" si="21"/>
        <v>EE</v>
      </c>
      <c r="D289" t="str">
        <f t="shared" si="22"/>
        <v>CER</v>
      </c>
      <c r="E289" t="str">
        <f t="shared" si="20"/>
        <v>EECER</v>
      </c>
      <c r="F289" t="str">
        <f t="shared" si="23"/>
        <v>L</v>
      </c>
      <c r="G289" t="s">
        <v>425</v>
      </c>
      <c r="H289">
        <v>1</v>
      </c>
      <c r="I289">
        <v>0.06</v>
      </c>
      <c r="J289" t="str">
        <f t="shared" si="24"/>
        <v>EEL000CERLR0EELFER</v>
      </c>
      <c r="K289">
        <f>_xlfn.IFNA(IF(F289="H",VLOOKUP(E289,Fertiliser_data!$E$7:$L$267,8,FALSE),VLOOKUP(E289,Fertiliser_data!$E$7:$L$267,8,FALSE)*0.65),IF(F289="H",0.038,(0.038*0.65)))</f>
        <v>2.47E-2</v>
      </c>
      <c r="L289">
        <f>IF($C289="IE",$K289*CF_231025!$E$16,$K289/VLOOKUP($C289,CF_231025!$A$2:$E$28,5,FALSE))</f>
        <v>7.6411500181257953E-3</v>
      </c>
    </row>
    <row r="290" spans="1:12" x14ac:dyDescent="0.25">
      <c r="A290" t="s">
        <v>136</v>
      </c>
      <c r="B290" t="s">
        <v>433</v>
      </c>
      <c r="C290" t="str">
        <f t="shared" si="21"/>
        <v>EE</v>
      </c>
      <c r="D290" t="str">
        <f t="shared" si="22"/>
        <v>PEA</v>
      </c>
      <c r="E290" t="str">
        <f t="shared" si="20"/>
        <v>EEPEA</v>
      </c>
      <c r="F290" t="str">
        <f t="shared" si="23"/>
        <v>H</v>
      </c>
      <c r="G290" t="s">
        <v>425</v>
      </c>
      <c r="H290">
        <v>1</v>
      </c>
      <c r="I290">
        <v>0.17</v>
      </c>
      <c r="J290" t="str">
        <f t="shared" si="24"/>
        <v>EEL000PEAHI0EELFER</v>
      </c>
      <c r="K290">
        <f>_xlfn.IFNA(IF(F290="H",VLOOKUP(E290,Fertiliser_data!$E$7:$L$267,8,FALSE),VLOOKUP(E290,Fertiliser_data!$E$7:$L$267,8,FALSE)*0.65),IF(F290="H",0.038,(0.038*0.65)))</f>
        <v>1.9446268656716417E-2</v>
      </c>
      <c r="L290">
        <f>IF($C290="IE",$K290*CF_231025!$E$16,$K290/VLOOKUP($C290,CF_231025!$A$2:$E$28,5,FALSE))</f>
        <v>6.0158646193824994E-3</v>
      </c>
    </row>
    <row r="291" spans="1:12" x14ac:dyDescent="0.25">
      <c r="A291" t="s">
        <v>136</v>
      </c>
      <c r="B291" t="s">
        <v>434</v>
      </c>
      <c r="C291" t="str">
        <f t="shared" si="21"/>
        <v>EE</v>
      </c>
      <c r="D291" t="str">
        <f t="shared" si="22"/>
        <v>PEA</v>
      </c>
      <c r="E291" t="str">
        <f t="shared" si="20"/>
        <v>EEPEA</v>
      </c>
      <c r="F291" t="str">
        <f t="shared" si="23"/>
        <v>H</v>
      </c>
      <c r="G291" t="s">
        <v>425</v>
      </c>
      <c r="H291">
        <v>1</v>
      </c>
      <c r="I291">
        <v>0.17</v>
      </c>
      <c r="J291" t="str">
        <f t="shared" si="24"/>
        <v>EEL000PEAHR0EELFER</v>
      </c>
      <c r="K291">
        <f>_xlfn.IFNA(IF(F291="H",VLOOKUP(E291,Fertiliser_data!$E$7:$L$267,8,FALSE),VLOOKUP(E291,Fertiliser_data!$E$7:$L$267,8,FALSE)*0.65),IF(F291="H",0.038,(0.038*0.65)))</f>
        <v>1.9446268656716417E-2</v>
      </c>
      <c r="L291">
        <f>IF($C291="IE",$K291*CF_231025!$E$16,$K291/VLOOKUP($C291,CF_231025!$A$2:$E$28,5,FALSE))</f>
        <v>6.0158646193824994E-3</v>
      </c>
    </row>
    <row r="292" spans="1:12" x14ac:dyDescent="0.25">
      <c r="A292" t="s">
        <v>136</v>
      </c>
      <c r="B292" t="s">
        <v>435</v>
      </c>
      <c r="C292" t="str">
        <f t="shared" si="21"/>
        <v>EE</v>
      </c>
      <c r="D292" t="str">
        <f t="shared" si="22"/>
        <v>PEA</v>
      </c>
      <c r="E292" t="str">
        <f t="shared" si="20"/>
        <v>EEPEA</v>
      </c>
      <c r="F292" t="str">
        <f t="shared" si="23"/>
        <v>L</v>
      </c>
      <c r="G292" t="s">
        <v>425</v>
      </c>
      <c r="H292">
        <v>1</v>
      </c>
      <c r="I292">
        <v>0.06</v>
      </c>
      <c r="J292" t="str">
        <f t="shared" si="24"/>
        <v>EEL000PEALI0EELFER</v>
      </c>
      <c r="K292">
        <f>_xlfn.IFNA(IF(F292="H",VLOOKUP(E292,Fertiliser_data!$E$7:$L$267,8,FALSE),VLOOKUP(E292,Fertiliser_data!$E$7:$L$267,8,FALSE)*0.65),IF(F292="H",0.038,(0.038*0.65)))</f>
        <v>1.2640074626865672E-2</v>
      </c>
      <c r="L292">
        <f>IF($C292="IE",$K292*CF_231025!$E$16,$K292/VLOOKUP($C292,CF_231025!$A$2:$E$28,5,FALSE))</f>
        <v>3.9103120025986244E-3</v>
      </c>
    </row>
    <row r="293" spans="1:12" x14ac:dyDescent="0.25">
      <c r="A293" t="s">
        <v>136</v>
      </c>
      <c r="B293" t="s">
        <v>436</v>
      </c>
      <c r="C293" t="str">
        <f t="shared" si="21"/>
        <v>EE</v>
      </c>
      <c r="D293" t="str">
        <f t="shared" si="22"/>
        <v>PEA</v>
      </c>
      <c r="E293" t="str">
        <f t="shared" si="20"/>
        <v>EEPEA</v>
      </c>
      <c r="F293" t="str">
        <f t="shared" si="23"/>
        <v>L</v>
      </c>
      <c r="G293" t="s">
        <v>425</v>
      </c>
      <c r="H293">
        <v>1</v>
      </c>
      <c r="I293">
        <v>0.06</v>
      </c>
      <c r="J293" t="str">
        <f t="shared" si="24"/>
        <v>EEL000PEALR0EELFER</v>
      </c>
      <c r="K293">
        <f>_xlfn.IFNA(IF(F293="H",VLOOKUP(E293,Fertiliser_data!$E$7:$L$267,8,FALSE),VLOOKUP(E293,Fertiliser_data!$E$7:$L$267,8,FALSE)*0.65),IF(F293="H",0.038,(0.038*0.65)))</f>
        <v>1.2640074626865672E-2</v>
      </c>
      <c r="L293">
        <f>IF($C293="IE",$K293*CF_231025!$E$16,$K293/VLOOKUP($C293,CF_231025!$A$2:$E$28,5,FALSE))</f>
        <v>3.9103120025986244E-3</v>
      </c>
    </row>
    <row r="294" spans="1:12" x14ac:dyDescent="0.25">
      <c r="A294" t="s">
        <v>136</v>
      </c>
      <c r="B294" t="s">
        <v>437</v>
      </c>
      <c r="C294" t="str">
        <f t="shared" si="21"/>
        <v>EE</v>
      </c>
      <c r="D294" t="str">
        <f t="shared" si="22"/>
        <v>OTO</v>
      </c>
      <c r="E294" t="str">
        <f t="shared" si="20"/>
        <v>EEOTO</v>
      </c>
      <c r="F294" t="str">
        <f t="shared" si="23"/>
        <v>H</v>
      </c>
      <c r="G294" t="s">
        <v>425</v>
      </c>
      <c r="H294">
        <v>1</v>
      </c>
      <c r="I294">
        <v>0.17</v>
      </c>
      <c r="J294" t="str">
        <f t="shared" si="24"/>
        <v>EEL000OTOHI0EELFER</v>
      </c>
      <c r="K294">
        <f>_xlfn.IFNA(IF(F294="H",VLOOKUP(E294,Fertiliser_data!$E$7:$L$267,8,FALSE),VLOOKUP(E294,Fertiliser_data!$E$7:$L$267,8,FALSE)*0.65),IF(F294="H",0.038,(0.038*0.65)))</f>
        <v>2.5211940298507464E-2</v>
      </c>
      <c r="L294">
        <f>IF($C294="IE",$K294*CF_231025!$E$16,$K294/VLOOKUP($C294,CF_231025!$A$2:$E$28,5,FALSE))</f>
        <v>7.7995229987419742E-3</v>
      </c>
    </row>
    <row r="295" spans="1:12" x14ac:dyDescent="0.25">
      <c r="A295" t="s">
        <v>136</v>
      </c>
      <c r="B295" t="s">
        <v>438</v>
      </c>
      <c r="C295" t="str">
        <f t="shared" si="21"/>
        <v>EE</v>
      </c>
      <c r="D295" t="str">
        <f t="shared" si="22"/>
        <v>OTO</v>
      </c>
      <c r="E295" t="str">
        <f t="shared" si="20"/>
        <v>EEOTO</v>
      </c>
      <c r="F295" t="str">
        <f t="shared" si="23"/>
        <v>H</v>
      </c>
      <c r="G295" t="s">
        <v>425</v>
      </c>
      <c r="H295">
        <v>1</v>
      </c>
      <c r="I295">
        <v>0.17</v>
      </c>
      <c r="J295" t="str">
        <f t="shared" si="24"/>
        <v>EEL000OTOHR0EELFER</v>
      </c>
      <c r="K295">
        <f>_xlfn.IFNA(IF(F295="H",VLOOKUP(E295,Fertiliser_data!$E$7:$L$267,8,FALSE),VLOOKUP(E295,Fertiliser_data!$E$7:$L$267,8,FALSE)*0.65),IF(F295="H",0.038,(0.038*0.65)))</f>
        <v>2.5211940298507464E-2</v>
      </c>
      <c r="L295">
        <f>IF($C295="IE",$K295*CF_231025!$E$16,$K295/VLOOKUP($C295,CF_231025!$A$2:$E$28,5,FALSE))</f>
        <v>7.7995229987419742E-3</v>
      </c>
    </row>
    <row r="296" spans="1:12" x14ac:dyDescent="0.25">
      <c r="A296" t="s">
        <v>136</v>
      </c>
      <c r="B296" t="s">
        <v>439</v>
      </c>
      <c r="C296" t="str">
        <f t="shared" si="21"/>
        <v>EE</v>
      </c>
      <c r="D296" t="str">
        <f t="shared" si="22"/>
        <v>OTO</v>
      </c>
      <c r="E296" t="str">
        <f t="shared" si="20"/>
        <v>EEOTO</v>
      </c>
      <c r="F296" t="str">
        <f t="shared" si="23"/>
        <v>L</v>
      </c>
      <c r="G296" t="s">
        <v>425</v>
      </c>
      <c r="H296">
        <v>1</v>
      </c>
      <c r="I296">
        <v>0.06</v>
      </c>
      <c r="J296" t="str">
        <f t="shared" si="24"/>
        <v>EEL000OTOLI0EELFER</v>
      </c>
      <c r="K296">
        <f>_xlfn.IFNA(IF(F296="H",VLOOKUP(E296,Fertiliser_data!$E$7:$L$267,8,FALSE),VLOOKUP(E296,Fertiliser_data!$E$7:$L$267,8,FALSE)*0.65),IF(F296="H",0.038,(0.038*0.65)))</f>
        <v>1.6387761194029852E-2</v>
      </c>
      <c r="L296">
        <f>IF($C296="IE",$K296*CF_231025!$E$16,$K296/VLOOKUP($C296,CF_231025!$A$2:$E$28,5,FALSE))</f>
        <v>5.0696899491822836E-3</v>
      </c>
    </row>
    <row r="297" spans="1:12" x14ac:dyDescent="0.25">
      <c r="A297" t="s">
        <v>136</v>
      </c>
      <c r="B297" t="s">
        <v>440</v>
      </c>
      <c r="C297" t="str">
        <f t="shared" si="21"/>
        <v>EE</v>
      </c>
      <c r="D297" t="str">
        <f t="shared" si="22"/>
        <v>OTO</v>
      </c>
      <c r="E297" t="str">
        <f t="shared" si="20"/>
        <v>EEOTO</v>
      </c>
      <c r="F297" t="str">
        <f t="shared" si="23"/>
        <v>L</v>
      </c>
      <c r="G297" t="s">
        <v>425</v>
      </c>
      <c r="H297">
        <v>1</v>
      </c>
      <c r="I297">
        <v>0.06</v>
      </c>
      <c r="J297" t="str">
        <f t="shared" si="24"/>
        <v>EEL000OTOLR0EELFER</v>
      </c>
      <c r="K297">
        <f>_xlfn.IFNA(IF(F297="H",VLOOKUP(E297,Fertiliser_data!$E$7:$L$267,8,FALSE),VLOOKUP(E297,Fertiliser_data!$E$7:$L$267,8,FALSE)*0.65),IF(F297="H",0.038,(0.038*0.65)))</f>
        <v>1.6387761194029852E-2</v>
      </c>
      <c r="L297">
        <f>IF($C297="IE",$K297*CF_231025!$E$16,$K297/VLOOKUP($C297,CF_231025!$A$2:$E$28,5,FALSE))</f>
        <v>5.0696899491822836E-3</v>
      </c>
    </row>
    <row r="298" spans="1:12" x14ac:dyDescent="0.25">
      <c r="A298" t="s">
        <v>136</v>
      </c>
      <c r="B298" t="s">
        <v>441</v>
      </c>
      <c r="C298" t="str">
        <f t="shared" si="21"/>
        <v>EE</v>
      </c>
      <c r="D298" t="str">
        <f t="shared" si="22"/>
        <v>OTH</v>
      </c>
      <c r="E298" t="str">
        <f t="shared" si="20"/>
        <v>EEOTH</v>
      </c>
      <c r="F298" t="str">
        <f t="shared" si="23"/>
        <v>H</v>
      </c>
      <c r="G298" t="s">
        <v>425</v>
      </c>
      <c r="H298">
        <v>1</v>
      </c>
      <c r="I298">
        <v>0.17</v>
      </c>
      <c r="J298" t="str">
        <f t="shared" si="24"/>
        <v>EEL000OTHHI0EELFER</v>
      </c>
      <c r="K298">
        <f>_xlfn.IFNA(IF(F298="H",VLOOKUP(E298,Fertiliser_data!$E$7:$L$267,8,FALSE),VLOOKUP(E298,Fertiliser_data!$E$7:$L$267,8,FALSE)*0.65),IF(F298="H",0.038,(0.038*0.65)))</f>
        <v>3.7999999999999999E-2</v>
      </c>
      <c r="L298">
        <f>IF($C298="IE",$K298*CF_231025!$E$16,$K298/VLOOKUP($C298,CF_231025!$A$2:$E$28,5,FALSE))</f>
        <v>1.1755615412501223E-2</v>
      </c>
    </row>
    <row r="299" spans="1:12" x14ac:dyDescent="0.25">
      <c r="A299" t="s">
        <v>136</v>
      </c>
      <c r="B299" t="s">
        <v>442</v>
      </c>
      <c r="C299" t="str">
        <f t="shared" si="21"/>
        <v>EE</v>
      </c>
      <c r="D299" t="str">
        <f t="shared" si="22"/>
        <v>OTH</v>
      </c>
      <c r="E299" t="str">
        <f t="shared" si="20"/>
        <v>EEOTH</v>
      </c>
      <c r="F299" t="str">
        <f t="shared" si="23"/>
        <v>H</v>
      </c>
      <c r="G299" t="s">
        <v>425</v>
      </c>
      <c r="H299">
        <v>1</v>
      </c>
      <c r="I299">
        <v>0.17</v>
      </c>
      <c r="J299" t="str">
        <f t="shared" si="24"/>
        <v>EEL000OTHHR0EELFER</v>
      </c>
      <c r="K299">
        <f>_xlfn.IFNA(IF(F299="H",VLOOKUP(E299,Fertiliser_data!$E$7:$L$267,8,FALSE),VLOOKUP(E299,Fertiliser_data!$E$7:$L$267,8,FALSE)*0.65),IF(F299="H",0.038,(0.038*0.65)))</f>
        <v>3.7999999999999999E-2</v>
      </c>
      <c r="L299">
        <f>IF($C299="IE",$K299*CF_231025!$E$16,$K299/VLOOKUP($C299,CF_231025!$A$2:$E$28,5,FALSE))</f>
        <v>1.1755615412501223E-2</v>
      </c>
    </row>
    <row r="300" spans="1:12" x14ac:dyDescent="0.25">
      <c r="A300" t="s">
        <v>136</v>
      </c>
      <c r="B300" t="s">
        <v>443</v>
      </c>
      <c r="C300" t="str">
        <f t="shared" si="21"/>
        <v>EE</v>
      </c>
      <c r="D300" t="str">
        <f t="shared" si="22"/>
        <v>OTH</v>
      </c>
      <c r="E300" t="str">
        <f t="shared" si="20"/>
        <v>EEOTH</v>
      </c>
      <c r="F300" t="str">
        <f t="shared" si="23"/>
        <v>L</v>
      </c>
      <c r="G300" t="s">
        <v>425</v>
      </c>
      <c r="H300">
        <v>1</v>
      </c>
      <c r="I300">
        <v>0.06</v>
      </c>
      <c r="J300" t="str">
        <f t="shared" si="24"/>
        <v>EEL000OTHLI0EELFER</v>
      </c>
      <c r="K300">
        <f>_xlfn.IFNA(IF(F300="H",VLOOKUP(E300,Fertiliser_data!$E$7:$L$267,8,FALSE),VLOOKUP(E300,Fertiliser_data!$E$7:$L$267,8,FALSE)*0.65),IF(F300="H",0.038,(0.038*0.65)))</f>
        <v>2.47E-2</v>
      </c>
      <c r="L300">
        <f>IF($C300="IE",$K300*CF_231025!$E$16,$K300/VLOOKUP($C300,CF_231025!$A$2:$E$28,5,FALSE))</f>
        <v>7.6411500181257953E-3</v>
      </c>
    </row>
    <row r="301" spans="1:12" x14ac:dyDescent="0.25">
      <c r="A301" t="s">
        <v>136</v>
      </c>
      <c r="B301" t="s">
        <v>444</v>
      </c>
      <c r="C301" t="str">
        <f t="shared" si="21"/>
        <v>EE</v>
      </c>
      <c r="D301" t="str">
        <f t="shared" si="22"/>
        <v>OTH</v>
      </c>
      <c r="E301" t="str">
        <f t="shared" si="20"/>
        <v>EEOTH</v>
      </c>
      <c r="F301" t="str">
        <f t="shared" si="23"/>
        <v>L</v>
      </c>
      <c r="G301" t="s">
        <v>425</v>
      </c>
      <c r="H301">
        <v>1</v>
      </c>
      <c r="I301">
        <v>0.06</v>
      </c>
      <c r="J301" t="str">
        <f t="shared" si="24"/>
        <v>EEL000OTHLR0EELFER</v>
      </c>
      <c r="K301">
        <f>_xlfn.IFNA(IF(F301="H",VLOOKUP(E301,Fertiliser_data!$E$7:$L$267,8,FALSE),VLOOKUP(E301,Fertiliser_data!$E$7:$L$267,8,FALSE)*0.65),IF(F301="H",0.038,(0.038*0.65)))</f>
        <v>2.47E-2</v>
      </c>
      <c r="L301">
        <f>IF($C301="IE",$K301*CF_231025!$E$16,$K301/VLOOKUP($C301,CF_231025!$A$2:$E$28,5,FALSE))</f>
        <v>7.6411500181257953E-3</v>
      </c>
    </row>
    <row r="302" spans="1:12" x14ac:dyDescent="0.25">
      <c r="A302" t="s">
        <v>136</v>
      </c>
      <c r="B302" t="s">
        <v>445</v>
      </c>
      <c r="C302" t="str">
        <f t="shared" si="21"/>
        <v>EE</v>
      </c>
      <c r="D302" t="str">
        <f t="shared" si="22"/>
        <v>BRO</v>
      </c>
      <c r="E302" t="str">
        <f t="shared" si="20"/>
        <v>EEBRO</v>
      </c>
      <c r="F302" t="str">
        <f t="shared" si="23"/>
        <v>H</v>
      </c>
      <c r="G302" t="s">
        <v>425</v>
      </c>
      <c r="H302">
        <v>1</v>
      </c>
      <c r="I302">
        <v>0.17</v>
      </c>
      <c r="J302" t="str">
        <f t="shared" si="24"/>
        <v>EEL000BROHI0EELFER</v>
      </c>
      <c r="K302">
        <f>_xlfn.IFNA(IF(F302="H",VLOOKUP(E302,Fertiliser_data!$E$7:$L$267,8,FALSE),VLOOKUP(E302,Fertiliser_data!$E$7:$L$267,8,FALSE)*0.65),IF(F302="H",0.038,(0.038*0.65)))</f>
        <v>2.0244776119402987E-2</v>
      </c>
      <c r="L302">
        <f>IF($C302="IE",$K302*CF_231025!$E$16,$K302/VLOOKUP($C302,CF_231025!$A$2:$E$28,5,FALSE))</f>
        <v>6.2628895308392222E-3</v>
      </c>
    </row>
    <row r="303" spans="1:12" x14ac:dyDescent="0.25">
      <c r="A303" t="s">
        <v>136</v>
      </c>
      <c r="B303" t="s">
        <v>446</v>
      </c>
      <c r="C303" t="str">
        <f t="shared" si="21"/>
        <v>EE</v>
      </c>
      <c r="D303" t="str">
        <f t="shared" si="22"/>
        <v>BRO</v>
      </c>
      <c r="E303" t="str">
        <f t="shared" si="20"/>
        <v>EEBRO</v>
      </c>
      <c r="F303" t="str">
        <f t="shared" si="23"/>
        <v>H</v>
      </c>
      <c r="G303" t="s">
        <v>425</v>
      </c>
      <c r="H303">
        <v>1</v>
      </c>
      <c r="I303">
        <v>0.17</v>
      </c>
      <c r="J303" t="str">
        <f t="shared" si="24"/>
        <v>EEL000BROHR0EELFER</v>
      </c>
      <c r="K303">
        <f>_xlfn.IFNA(IF(F303="H",VLOOKUP(E303,Fertiliser_data!$E$7:$L$267,8,FALSE),VLOOKUP(E303,Fertiliser_data!$E$7:$L$267,8,FALSE)*0.65),IF(F303="H",0.038,(0.038*0.65)))</f>
        <v>2.0244776119402987E-2</v>
      </c>
      <c r="L303">
        <f>IF($C303="IE",$K303*CF_231025!$E$16,$K303/VLOOKUP($C303,CF_231025!$A$2:$E$28,5,FALSE))</f>
        <v>6.2628895308392222E-3</v>
      </c>
    </row>
    <row r="304" spans="1:12" x14ac:dyDescent="0.25">
      <c r="A304" t="s">
        <v>136</v>
      </c>
      <c r="B304" t="s">
        <v>447</v>
      </c>
      <c r="C304" t="str">
        <f t="shared" si="21"/>
        <v>EE</v>
      </c>
      <c r="D304" t="str">
        <f t="shared" si="22"/>
        <v>BRO</v>
      </c>
      <c r="E304" t="str">
        <f t="shared" si="20"/>
        <v>EEBRO</v>
      </c>
      <c r="F304" t="str">
        <f t="shared" si="23"/>
        <v>L</v>
      </c>
      <c r="G304" t="s">
        <v>425</v>
      </c>
      <c r="H304">
        <v>1</v>
      </c>
      <c r="I304">
        <v>0.06</v>
      </c>
      <c r="J304" t="str">
        <f t="shared" si="24"/>
        <v>EEL000BROLI0EELFER</v>
      </c>
      <c r="K304">
        <f>_xlfn.IFNA(IF(F304="H",VLOOKUP(E304,Fertiliser_data!$E$7:$L$267,8,FALSE),VLOOKUP(E304,Fertiliser_data!$E$7:$L$267,8,FALSE)*0.65),IF(F304="H",0.038,(0.038*0.65)))</f>
        <v>1.3159104477611941E-2</v>
      </c>
      <c r="L304">
        <f>IF($C304="IE",$K304*CF_231025!$E$16,$K304/VLOOKUP($C304,CF_231025!$A$2:$E$28,5,FALSE))</f>
        <v>4.0708781950454945E-3</v>
      </c>
    </row>
    <row r="305" spans="1:12" x14ac:dyDescent="0.25">
      <c r="A305" t="s">
        <v>136</v>
      </c>
      <c r="B305" t="s">
        <v>448</v>
      </c>
      <c r="C305" t="str">
        <f t="shared" si="21"/>
        <v>EE</v>
      </c>
      <c r="D305" t="str">
        <f t="shared" si="22"/>
        <v>BRO</v>
      </c>
      <c r="E305" t="str">
        <f t="shared" si="20"/>
        <v>EEBRO</v>
      </c>
      <c r="F305" t="str">
        <f t="shared" si="23"/>
        <v>L</v>
      </c>
      <c r="G305" t="s">
        <v>425</v>
      </c>
      <c r="H305">
        <v>1</v>
      </c>
      <c r="I305">
        <v>0.06</v>
      </c>
      <c r="J305" t="str">
        <f t="shared" si="24"/>
        <v>EEL000BROLR0EELFER</v>
      </c>
      <c r="K305">
        <f>_xlfn.IFNA(IF(F305="H",VLOOKUP(E305,Fertiliser_data!$E$7:$L$267,8,FALSE),VLOOKUP(E305,Fertiliser_data!$E$7:$L$267,8,FALSE)*0.65),IF(F305="H",0.038,(0.038*0.65)))</f>
        <v>1.3159104477611941E-2</v>
      </c>
      <c r="L305">
        <f>IF($C305="IE",$K305*CF_231025!$E$16,$K305/VLOOKUP($C305,CF_231025!$A$2:$E$28,5,FALSE))</f>
        <v>4.0708781950454945E-3</v>
      </c>
    </row>
    <row r="306" spans="1:12" x14ac:dyDescent="0.25">
      <c r="A306" t="s">
        <v>136</v>
      </c>
      <c r="B306" t="s">
        <v>449</v>
      </c>
      <c r="C306" t="str">
        <f t="shared" si="21"/>
        <v>EE</v>
      </c>
      <c r="D306" t="str">
        <f t="shared" si="22"/>
        <v>RAP</v>
      </c>
      <c r="E306" t="str">
        <f t="shared" si="20"/>
        <v>EERAP</v>
      </c>
      <c r="F306" t="str">
        <f t="shared" si="23"/>
        <v>H</v>
      </c>
      <c r="G306" t="s">
        <v>425</v>
      </c>
      <c r="H306">
        <v>1</v>
      </c>
      <c r="I306">
        <v>0.26</v>
      </c>
      <c r="J306" t="str">
        <f t="shared" si="24"/>
        <v>EEL000RAPHI0EELFER</v>
      </c>
      <c r="K306">
        <f>_xlfn.IFNA(IF(F306="H",VLOOKUP(E306,Fertiliser_data!$E$7:$L$267,8,FALSE),VLOOKUP(E306,Fertiliser_data!$E$7:$L$267,8,FALSE)*0.65),IF(F306="H",0.038,(0.038*0.65)))</f>
        <v>5.3622388059701487E-2</v>
      </c>
      <c r="L306">
        <f>IF($C306="IE",$K306*CF_231025!$E$16,$K306/VLOOKUP($C306,CF_231025!$A$2:$E$28,5,FALSE))</f>
        <v>1.6588530829730219E-2</v>
      </c>
    </row>
    <row r="307" spans="1:12" x14ac:dyDescent="0.25">
      <c r="A307" t="s">
        <v>136</v>
      </c>
      <c r="B307" t="s">
        <v>450</v>
      </c>
      <c r="C307" t="str">
        <f t="shared" si="21"/>
        <v>EE</v>
      </c>
      <c r="D307" t="str">
        <f t="shared" si="22"/>
        <v>RAP</v>
      </c>
      <c r="E307" t="str">
        <f t="shared" si="20"/>
        <v>EERAP</v>
      </c>
      <c r="F307" t="str">
        <f t="shared" si="23"/>
        <v>H</v>
      </c>
      <c r="G307" t="s">
        <v>425</v>
      </c>
      <c r="H307">
        <v>1</v>
      </c>
      <c r="I307">
        <v>0.26</v>
      </c>
      <c r="J307" t="str">
        <f t="shared" si="24"/>
        <v>EEL000RAPHR0EELFER</v>
      </c>
      <c r="K307">
        <f>_xlfn.IFNA(IF(F307="H",VLOOKUP(E307,Fertiliser_data!$E$7:$L$267,8,FALSE),VLOOKUP(E307,Fertiliser_data!$E$7:$L$267,8,FALSE)*0.65),IF(F307="H",0.038,(0.038*0.65)))</f>
        <v>5.3622388059701487E-2</v>
      </c>
      <c r="L307">
        <f>IF($C307="IE",$K307*CF_231025!$E$16,$K307/VLOOKUP($C307,CF_231025!$A$2:$E$28,5,FALSE))</f>
        <v>1.6588530829730219E-2</v>
      </c>
    </row>
    <row r="308" spans="1:12" x14ac:dyDescent="0.25">
      <c r="A308" t="s">
        <v>136</v>
      </c>
      <c r="B308" t="s">
        <v>451</v>
      </c>
      <c r="C308" t="str">
        <f t="shared" si="21"/>
        <v>EE</v>
      </c>
      <c r="D308" t="str">
        <f t="shared" si="22"/>
        <v>RAP</v>
      </c>
      <c r="E308" t="str">
        <f t="shared" si="20"/>
        <v>EERAP</v>
      </c>
      <c r="F308" t="str">
        <f t="shared" si="23"/>
        <v>L</v>
      </c>
      <c r="G308" t="s">
        <v>425</v>
      </c>
      <c r="H308">
        <v>1</v>
      </c>
      <c r="I308">
        <v>0.1</v>
      </c>
      <c r="J308" t="str">
        <f t="shared" si="24"/>
        <v>EEL000RAPLI0EELFER</v>
      </c>
      <c r="K308">
        <f>_xlfn.IFNA(IF(F308="H",VLOOKUP(E308,Fertiliser_data!$E$7:$L$267,8,FALSE),VLOOKUP(E308,Fertiliser_data!$E$7:$L$267,8,FALSE)*0.65),IF(F308="H",0.038,(0.038*0.65)))</f>
        <v>3.4854552238805965E-2</v>
      </c>
      <c r="L308">
        <f>IF($C308="IE",$K308*CF_231025!$E$16,$K308/VLOOKUP($C308,CF_231025!$A$2:$E$28,5,FALSE))</f>
        <v>1.0782545039324642E-2</v>
      </c>
    </row>
    <row r="309" spans="1:12" x14ac:dyDescent="0.25">
      <c r="A309" t="s">
        <v>136</v>
      </c>
      <c r="B309" t="s">
        <v>452</v>
      </c>
      <c r="C309" t="str">
        <f t="shared" si="21"/>
        <v>EE</v>
      </c>
      <c r="D309" t="str">
        <f t="shared" si="22"/>
        <v>RAP</v>
      </c>
      <c r="E309" t="str">
        <f t="shared" si="20"/>
        <v>EERAP</v>
      </c>
      <c r="F309" t="str">
        <f t="shared" si="23"/>
        <v>L</v>
      </c>
      <c r="G309" t="s">
        <v>425</v>
      </c>
      <c r="H309">
        <v>1</v>
      </c>
      <c r="I309">
        <v>0.1</v>
      </c>
      <c r="J309" t="str">
        <f t="shared" si="24"/>
        <v>EEL000RAPLR0EELFER</v>
      </c>
      <c r="K309">
        <f>_xlfn.IFNA(IF(F309="H",VLOOKUP(E309,Fertiliser_data!$E$7:$L$267,8,FALSE),VLOOKUP(E309,Fertiliser_data!$E$7:$L$267,8,FALSE)*0.65),IF(F309="H",0.038,(0.038*0.65)))</f>
        <v>3.4854552238805965E-2</v>
      </c>
      <c r="L309">
        <f>IF($C309="IE",$K309*CF_231025!$E$16,$K309/VLOOKUP($C309,CF_231025!$A$2:$E$28,5,FALSE))</f>
        <v>1.0782545039324642E-2</v>
      </c>
    </row>
    <row r="310" spans="1:12" x14ac:dyDescent="0.25">
      <c r="A310" t="s">
        <v>136</v>
      </c>
      <c r="B310" t="s">
        <v>453</v>
      </c>
      <c r="C310" t="str">
        <f t="shared" si="21"/>
        <v>EE</v>
      </c>
      <c r="D310" t="str">
        <f t="shared" si="22"/>
        <v>OAT</v>
      </c>
      <c r="E310" t="str">
        <f t="shared" si="20"/>
        <v>EEOAT</v>
      </c>
      <c r="F310" t="str">
        <f t="shared" si="23"/>
        <v>H</v>
      </c>
      <c r="G310" t="s">
        <v>425</v>
      </c>
      <c r="H310">
        <v>1</v>
      </c>
      <c r="I310">
        <v>0.11</v>
      </c>
      <c r="J310" t="str">
        <f t="shared" si="24"/>
        <v>EEL000OATHI0EELFER</v>
      </c>
      <c r="K310">
        <f>_xlfn.IFNA(IF(F310="H",VLOOKUP(E310,Fertiliser_data!$E$7:$L$267,8,FALSE),VLOOKUP(E310,Fertiliser_data!$E$7:$L$267,8,FALSE)*0.65),IF(F310="H",0.038,(0.038*0.65)))</f>
        <v>8.9597014925373135E-3</v>
      </c>
      <c r="L310">
        <f>IF($C310="IE",$K310*CF_231025!$E$16,$K310/VLOOKUP($C310,CF_231025!$A$2:$E$28,5,FALSE))</f>
        <v>2.7717580251863647E-3</v>
      </c>
    </row>
    <row r="311" spans="1:12" x14ac:dyDescent="0.25">
      <c r="A311" t="s">
        <v>136</v>
      </c>
      <c r="B311" t="s">
        <v>454</v>
      </c>
      <c r="C311" t="str">
        <f t="shared" si="21"/>
        <v>EE</v>
      </c>
      <c r="D311" t="str">
        <f t="shared" si="22"/>
        <v>OAT</v>
      </c>
      <c r="E311" t="str">
        <f t="shared" si="20"/>
        <v>EEOAT</v>
      </c>
      <c r="F311" t="str">
        <f t="shared" si="23"/>
        <v>H</v>
      </c>
      <c r="G311" t="s">
        <v>425</v>
      </c>
      <c r="H311">
        <v>1</v>
      </c>
      <c r="I311">
        <v>0.11</v>
      </c>
      <c r="J311" t="str">
        <f t="shared" si="24"/>
        <v>EEL000OATHR0EELFER</v>
      </c>
      <c r="K311">
        <f>_xlfn.IFNA(IF(F311="H",VLOOKUP(E311,Fertiliser_data!$E$7:$L$267,8,FALSE),VLOOKUP(E311,Fertiliser_data!$E$7:$L$267,8,FALSE)*0.65),IF(F311="H",0.038,(0.038*0.65)))</f>
        <v>8.9597014925373135E-3</v>
      </c>
      <c r="L311">
        <f>IF($C311="IE",$K311*CF_231025!$E$16,$K311/VLOOKUP($C311,CF_231025!$A$2:$E$28,5,FALSE))</f>
        <v>2.7717580251863647E-3</v>
      </c>
    </row>
    <row r="312" spans="1:12" x14ac:dyDescent="0.25">
      <c r="A312" t="s">
        <v>136</v>
      </c>
      <c r="B312" t="s">
        <v>455</v>
      </c>
      <c r="C312" t="str">
        <f t="shared" si="21"/>
        <v>EE</v>
      </c>
      <c r="D312" t="str">
        <f t="shared" si="22"/>
        <v>OAT</v>
      </c>
      <c r="E312" t="str">
        <f t="shared" si="20"/>
        <v>EEOAT</v>
      </c>
      <c r="F312" t="str">
        <f t="shared" si="23"/>
        <v>L</v>
      </c>
      <c r="G312" t="s">
        <v>425</v>
      </c>
      <c r="H312">
        <v>1</v>
      </c>
      <c r="I312">
        <v>0.04</v>
      </c>
      <c r="J312" t="str">
        <f t="shared" si="24"/>
        <v>EEL000OATLI0EELFER</v>
      </c>
      <c r="K312">
        <f>_xlfn.IFNA(IF(F312="H",VLOOKUP(E312,Fertiliser_data!$E$7:$L$267,8,FALSE),VLOOKUP(E312,Fertiliser_data!$E$7:$L$267,8,FALSE)*0.65),IF(F312="H",0.038,(0.038*0.65)))</f>
        <v>5.8238059701492539E-3</v>
      </c>
      <c r="L312">
        <f>IF($C312="IE",$K312*CF_231025!$E$16,$K312/VLOOKUP($C312,CF_231025!$A$2:$E$28,5,FALSE))</f>
        <v>1.8016427163711371E-3</v>
      </c>
    </row>
    <row r="313" spans="1:12" x14ac:dyDescent="0.25">
      <c r="A313" t="s">
        <v>136</v>
      </c>
      <c r="B313" t="s">
        <v>456</v>
      </c>
      <c r="C313" t="str">
        <f t="shared" si="21"/>
        <v>EE</v>
      </c>
      <c r="D313" t="str">
        <f t="shared" si="22"/>
        <v>OAT</v>
      </c>
      <c r="E313" t="str">
        <f t="shared" si="20"/>
        <v>EEOAT</v>
      </c>
      <c r="F313" t="str">
        <f t="shared" si="23"/>
        <v>L</v>
      </c>
      <c r="G313" t="s">
        <v>425</v>
      </c>
      <c r="H313">
        <v>1</v>
      </c>
      <c r="I313">
        <v>0.04</v>
      </c>
      <c r="J313" t="str">
        <f t="shared" si="24"/>
        <v>EEL000OATLR0EELFER</v>
      </c>
      <c r="K313">
        <f>_xlfn.IFNA(IF(F313="H",VLOOKUP(E313,Fertiliser_data!$E$7:$L$267,8,FALSE),VLOOKUP(E313,Fertiliser_data!$E$7:$L$267,8,FALSE)*0.65),IF(F313="H",0.038,(0.038*0.65)))</f>
        <v>5.8238059701492539E-3</v>
      </c>
      <c r="L313">
        <f>IF($C313="IE",$K313*CF_231025!$E$16,$K313/VLOOKUP($C313,CF_231025!$A$2:$E$28,5,FALSE))</f>
        <v>1.8016427163711371E-3</v>
      </c>
    </row>
    <row r="314" spans="1:12" x14ac:dyDescent="0.25">
      <c r="A314" t="s">
        <v>136</v>
      </c>
      <c r="B314" t="s">
        <v>457</v>
      </c>
      <c r="C314" t="str">
        <f t="shared" si="21"/>
        <v>EE</v>
      </c>
      <c r="D314" t="str">
        <f t="shared" si="22"/>
        <v>RYE</v>
      </c>
      <c r="E314" t="str">
        <f t="shared" si="20"/>
        <v>EERYE</v>
      </c>
      <c r="F314" t="str">
        <f t="shared" si="23"/>
        <v>H</v>
      </c>
      <c r="G314" t="s">
        <v>425</v>
      </c>
      <c r="H314">
        <v>1</v>
      </c>
      <c r="I314">
        <v>0.11</v>
      </c>
      <c r="J314" t="str">
        <f t="shared" si="24"/>
        <v>EEL000RYEHI0EELFER</v>
      </c>
      <c r="K314">
        <f>_xlfn.IFNA(IF(F314="H",VLOOKUP(E314,Fertiliser_data!$E$7:$L$267,8,FALSE),VLOOKUP(E314,Fertiliser_data!$E$7:$L$267,8,FALSE)*0.65),IF(F314="H",0.038,(0.038*0.65)))</f>
        <v>8.6611940298507474E-3</v>
      </c>
      <c r="L314">
        <f>IF($C314="IE",$K314*CF_231025!$E$16,$K314/VLOOKUP($C314,CF_231025!$A$2:$E$28,5,FALSE))</f>
        <v>2.6794122638941322E-3</v>
      </c>
    </row>
    <row r="315" spans="1:12" x14ac:dyDescent="0.25">
      <c r="A315" t="s">
        <v>136</v>
      </c>
      <c r="B315" t="s">
        <v>458</v>
      </c>
      <c r="C315" t="str">
        <f t="shared" si="21"/>
        <v>EE</v>
      </c>
      <c r="D315" t="str">
        <f t="shared" si="22"/>
        <v>RYE</v>
      </c>
      <c r="E315" t="str">
        <f t="shared" si="20"/>
        <v>EERYE</v>
      </c>
      <c r="F315" t="str">
        <f t="shared" si="23"/>
        <v>H</v>
      </c>
      <c r="G315" t="s">
        <v>425</v>
      </c>
      <c r="H315">
        <v>1</v>
      </c>
      <c r="I315">
        <v>0.11</v>
      </c>
      <c r="J315" t="str">
        <f t="shared" si="24"/>
        <v>EEL000RYEHR0EELFER</v>
      </c>
      <c r="K315">
        <f>_xlfn.IFNA(IF(F315="H",VLOOKUP(E315,Fertiliser_data!$E$7:$L$267,8,FALSE),VLOOKUP(E315,Fertiliser_data!$E$7:$L$267,8,FALSE)*0.65),IF(F315="H",0.038,(0.038*0.65)))</f>
        <v>8.6611940298507474E-3</v>
      </c>
      <c r="L315">
        <f>IF($C315="IE",$K315*CF_231025!$E$16,$K315/VLOOKUP($C315,CF_231025!$A$2:$E$28,5,FALSE))</f>
        <v>2.6794122638941322E-3</v>
      </c>
    </row>
    <row r="316" spans="1:12" x14ac:dyDescent="0.25">
      <c r="A316" t="s">
        <v>136</v>
      </c>
      <c r="B316" t="s">
        <v>459</v>
      </c>
      <c r="C316" t="str">
        <f t="shared" si="21"/>
        <v>EE</v>
      </c>
      <c r="D316" t="str">
        <f t="shared" si="22"/>
        <v>RYE</v>
      </c>
      <c r="E316" t="str">
        <f t="shared" si="20"/>
        <v>EERYE</v>
      </c>
      <c r="F316" t="str">
        <f t="shared" si="23"/>
        <v>L</v>
      </c>
      <c r="G316" t="s">
        <v>425</v>
      </c>
      <c r="H316">
        <v>1</v>
      </c>
      <c r="I316">
        <v>0.04</v>
      </c>
      <c r="J316" t="str">
        <f t="shared" si="24"/>
        <v>EEL000RYELI0EELFER</v>
      </c>
      <c r="K316">
        <f>_xlfn.IFNA(IF(F316="H",VLOOKUP(E316,Fertiliser_data!$E$7:$L$267,8,FALSE),VLOOKUP(E316,Fertiliser_data!$E$7:$L$267,8,FALSE)*0.65),IF(F316="H",0.038,(0.038*0.65)))</f>
        <v>5.6297761194029862E-3</v>
      </c>
      <c r="L316">
        <f>IF($C316="IE",$K316*CF_231025!$E$16,$K316/VLOOKUP($C316,CF_231025!$A$2:$E$28,5,FALSE))</f>
        <v>1.741617971531186E-3</v>
      </c>
    </row>
    <row r="317" spans="1:12" x14ac:dyDescent="0.25">
      <c r="A317" t="s">
        <v>136</v>
      </c>
      <c r="B317" t="s">
        <v>460</v>
      </c>
      <c r="C317" t="str">
        <f t="shared" si="21"/>
        <v>EE</v>
      </c>
      <c r="D317" t="str">
        <f t="shared" si="22"/>
        <v>RYE</v>
      </c>
      <c r="E317" t="str">
        <f t="shared" si="20"/>
        <v>EERYE</v>
      </c>
      <c r="F317" t="str">
        <f t="shared" si="23"/>
        <v>L</v>
      </c>
      <c r="G317" t="s">
        <v>425</v>
      </c>
      <c r="H317">
        <v>1</v>
      </c>
      <c r="I317">
        <v>0.04</v>
      </c>
      <c r="J317" t="str">
        <f t="shared" si="24"/>
        <v>EEL000RYELR0EELFER</v>
      </c>
      <c r="K317">
        <f>_xlfn.IFNA(IF(F317="H",VLOOKUP(E317,Fertiliser_data!$E$7:$L$267,8,FALSE),VLOOKUP(E317,Fertiliser_data!$E$7:$L$267,8,FALSE)*0.65),IF(F317="H",0.038,(0.038*0.65)))</f>
        <v>5.6297761194029862E-3</v>
      </c>
      <c r="L317">
        <f>IF($C317="IE",$K317*CF_231025!$E$16,$K317/VLOOKUP($C317,CF_231025!$A$2:$E$28,5,FALSE))</f>
        <v>1.741617971531186E-3</v>
      </c>
    </row>
    <row r="318" spans="1:12" x14ac:dyDescent="0.25">
      <c r="A318" t="s">
        <v>136</v>
      </c>
      <c r="B318" t="s">
        <v>461</v>
      </c>
      <c r="C318" t="str">
        <f t="shared" si="21"/>
        <v>EE</v>
      </c>
      <c r="D318" t="str">
        <f t="shared" si="22"/>
        <v>WHE</v>
      </c>
      <c r="E318" t="str">
        <f t="shared" si="20"/>
        <v>EEWHE</v>
      </c>
      <c r="F318" t="str">
        <f t="shared" si="23"/>
        <v>H</v>
      </c>
      <c r="G318" t="s">
        <v>425</v>
      </c>
      <c r="H318">
        <v>1</v>
      </c>
      <c r="I318">
        <v>0.2</v>
      </c>
      <c r="J318" t="str">
        <f t="shared" si="24"/>
        <v>EEL000WHEHI0EELFER</v>
      </c>
      <c r="K318">
        <f>_xlfn.IFNA(IF(F318="H",VLOOKUP(E318,Fertiliser_data!$E$7:$L$267,8,FALSE),VLOOKUP(E318,Fertiliser_data!$E$7:$L$267,8,FALSE)*0.65),IF(F318="H",0.038,(0.038*0.65)))</f>
        <v>5.2297014925373128E-2</v>
      </c>
      <c r="L318">
        <f>IF($C318="IE",$K318*CF_231025!$E$16,$K318/VLOOKUP($C318,CF_231025!$A$2:$E$28,5,FALSE))</f>
        <v>1.6178515649592707E-2</v>
      </c>
    </row>
    <row r="319" spans="1:12" x14ac:dyDescent="0.25">
      <c r="A319" t="s">
        <v>136</v>
      </c>
      <c r="B319" t="s">
        <v>462</v>
      </c>
      <c r="C319" t="str">
        <f t="shared" si="21"/>
        <v>EE</v>
      </c>
      <c r="D319" t="str">
        <f t="shared" si="22"/>
        <v>WHE</v>
      </c>
      <c r="E319" t="str">
        <f t="shared" si="20"/>
        <v>EEWHE</v>
      </c>
      <c r="F319" t="str">
        <f t="shared" si="23"/>
        <v>H</v>
      </c>
      <c r="G319" t="s">
        <v>425</v>
      </c>
      <c r="H319">
        <v>1</v>
      </c>
      <c r="I319">
        <v>0.2</v>
      </c>
      <c r="J319" t="str">
        <f t="shared" si="24"/>
        <v>EEL000WHEHR0EELFER</v>
      </c>
      <c r="K319">
        <f>_xlfn.IFNA(IF(F319="H",VLOOKUP(E319,Fertiliser_data!$E$7:$L$267,8,FALSE),VLOOKUP(E319,Fertiliser_data!$E$7:$L$267,8,FALSE)*0.65),IF(F319="H",0.038,(0.038*0.65)))</f>
        <v>5.2297014925373128E-2</v>
      </c>
      <c r="L319">
        <f>IF($C319="IE",$K319*CF_231025!$E$16,$K319/VLOOKUP($C319,CF_231025!$A$2:$E$28,5,FALSE))</f>
        <v>1.6178515649592707E-2</v>
      </c>
    </row>
    <row r="320" spans="1:12" x14ac:dyDescent="0.25">
      <c r="A320" t="s">
        <v>136</v>
      </c>
      <c r="B320" t="s">
        <v>463</v>
      </c>
      <c r="C320" t="str">
        <f t="shared" si="21"/>
        <v>EE</v>
      </c>
      <c r="D320" t="str">
        <f t="shared" si="22"/>
        <v>WHE</v>
      </c>
      <c r="E320" t="str">
        <f t="shared" si="20"/>
        <v>EEWHE</v>
      </c>
      <c r="F320" t="str">
        <f t="shared" si="23"/>
        <v>L</v>
      </c>
      <c r="G320" t="s">
        <v>425</v>
      </c>
      <c r="H320">
        <v>1</v>
      </c>
      <c r="I320">
        <v>7.0000000000000007E-2</v>
      </c>
      <c r="J320" t="str">
        <f t="shared" si="24"/>
        <v>EEL000WHELI0EELFER</v>
      </c>
      <c r="K320">
        <f>_xlfn.IFNA(IF(F320="H",VLOOKUP(E320,Fertiliser_data!$E$7:$L$267,8,FALSE),VLOOKUP(E320,Fertiliser_data!$E$7:$L$267,8,FALSE)*0.65),IF(F320="H",0.038,(0.038*0.65)))</f>
        <v>3.3993059701492537E-2</v>
      </c>
      <c r="L320">
        <f>IF($C320="IE",$K320*CF_231025!$E$16,$K320/VLOOKUP($C320,CF_231025!$A$2:$E$28,5,FALSE))</f>
        <v>1.0516035172235261E-2</v>
      </c>
    </row>
    <row r="321" spans="1:12" x14ac:dyDescent="0.25">
      <c r="A321" t="s">
        <v>136</v>
      </c>
      <c r="B321" t="s">
        <v>464</v>
      </c>
      <c r="C321" t="str">
        <f t="shared" si="21"/>
        <v>EE</v>
      </c>
      <c r="D321" t="str">
        <f t="shared" si="22"/>
        <v>WHE</v>
      </c>
      <c r="E321" t="str">
        <f t="shared" si="20"/>
        <v>EEWHE</v>
      </c>
      <c r="F321" t="str">
        <f t="shared" si="23"/>
        <v>L</v>
      </c>
      <c r="G321" t="s">
        <v>425</v>
      </c>
      <c r="H321">
        <v>1</v>
      </c>
      <c r="I321">
        <v>7.0000000000000007E-2</v>
      </c>
      <c r="J321" t="str">
        <f t="shared" si="24"/>
        <v>EEL000WHELR0EELFER</v>
      </c>
      <c r="K321">
        <f>_xlfn.IFNA(IF(F321="H",VLOOKUP(E321,Fertiliser_data!$E$7:$L$267,8,FALSE),VLOOKUP(E321,Fertiliser_data!$E$7:$L$267,8,FALSE)*0.65),IF(F321="H",0.038,(0.038*0.65)))</f>
        <v>3.3993059701492537E-2</v>
      </c>
      <c r="L321">
        <f>IF($C321="IE",$K321*CF_231025!$E$16,$K321/VLOOKUP($C321,CF_231025!$A$2:$E$28,5,FALSE))</f>
        <v>1.0516035172235261E-2</v>
      </c>
    </row>
    <row r="322" spans="1:12" x14ac:dyDescent="0.25">
      <c r="A322" t="s">
        <v>136</v>
      </c>
      <c r="B322" t="s">
        <v>465</v>
      </c>
      <c r="C322" t="str">
        <f t="shared" si="21"/>
        <v>GR</v>
      </c>
      <c r="D322" t="str">
        <f t="shared" si="22"/>
        <v>WHE</v>
      </c>
      <c r="E322" t="str">
        <f t="shared" ref="E322:E385" si="25">C322&amp;D322</f>
        <v>GRWHE</v>
      </c>
      <c r="F322" t="str">
        <f t="shared" si="23"/>
        <v>H</v>
      </c>
      <c r="G322" t="s">
        <v>466</v>
      </c>
      <c r="H322">
        <v>1</v>
      </c>
      <c r="I322">
        <v>0.2</v>
      </c>
      <c r="J322" t="str">
        <f t="shared" si="24"/>
        <v>GRL000WHEHI0GRLFER</v>
      </c>
      <c r="K322">
        <f>_xlfn.IFNA(IF(F322="H",VLOOKUP(E322,Fertiliser_data!$E$7:$L$267,8,FALSE),VLOOKUP(E322,Fertiliser_data!$E$7:$L$267,8,FALSE)*0.65),IF(F322="H",0.038,(0.038*0.65)))</f>
        <v>2.1110447761194032E-2</v>
      </c>
      <c r="L322">
        <f>IF($C322="IE",$K322*CF_231025!$E$16,$K322/VLOOKUP($C322,CF_231025!$A$2:$E$28,5,FALSE))</f>
        <v>7.128518263179757E-3</v>
      </c>
    </row>
    <row r="323" spans="1:12" x14ac:dyDescent="0.25">
      <c r="A323" t="s">
        <v>136</v>
      </c>
      <c r="B323" t="s">
        <v>467</v>
      </c>
      <c r="C323" t="str">
        <f t="shared" ref="C323:C386" si="26">LEFT(B323,2)</f>
        <v>GR</v>
      </c>
      <c r="D323" t="str">
        <f t="shared" ref="D323:D386" si="27">MID(B323,7,3)</f>
        <v>WHE</v>
      </c>
      <c r="E323" t="str">
        <f t="shared" si="25"/>
        <v>GRWHE</v>
      </c>
      <c r="F323" t="str">
        <f t="shared" ref="F323:F386" si="28">MID(B323,10,1)</f>
        <v>H</v>
      </c>
      <c r="G323" t="s">
        <v>466</v>
      </c>
      <c r="H323">
        <v>1</v>
      </c>
      <c r="I323">
        <v>0.2</v>
      </c>
      <c r="J323" t="str">
        <f t="shared" ref="J323:J386" si="29">B323&amp;G323</f>
        <v>GRL000WHEHR0GRLFER</v>
      </c>
      <c r="K323">
        <f>_xlfn.IFNA(IF(F323="H",VLOOKUP(E323,Fertiliser_data!$E$7:$L$267,8,FALSE),VLOOKUP(E323,Fertiliser_data!$E$7:$L$267,8,FALSE)*0.65),IF(F323="H",0.038,(0.038*0.65)))</f>
        <v>2.1110447761194032E-2</v>
      </c>
      <c r="L323">
        <f>IF($C323="IE",$K323*CF_231025!$E$16,$K323/VLOOKUP($C323,CF_231025!$A$2:$E$28,5,FALSE))</f>
        <v>7.128518263179757E-3</v>
      </c>
    </row>
    <row r="324" spans="1:12" x14ac:dyDescent="0.25">
      <c r="A324" t="s">
        <v>136</v>
      </c>
      <c r="B324" t="s">
        <v>468</v>
      </c>
      <c r="C324" t="str">
        <f t="shared" si="26"/>
        <v>GR</v>
      </c>
      <c r="D324" t="str">
        <f t="shared" si="27"/>
        <v>WHE</v>
      </c>
      <c r="E324" t="str">
        <f t="shared" si="25"/>
        <v>GRWHE</v>
      </c>
      <c r="F324" t="str">
        <f t="shared" si="28"/>
        <v>L</v>
      </c>
      <c r="G324" t="s">
        <v>466</v>
      </c>
      <c r="H324">
        <v>1</v>
      </c>
      <c r="I324">
        <v>7.0000000000000007E-2</v>
      </c>
      <c r="J324" t="str">
        <f t="shared" si="29"/>
        <v>GRL000WHELI0GRLFER</v>
      </c>
      <c r="K324">
        <f>_xlfn.IFNA(IF(F324="H",VLOOKUP(E324,Fertiliser_data!$E$7:$L$267,8,FALSE),VLOOKUP(E324,Fertiliser_data!$E$7:$L$267,8,FALSE)*0.65),IF(F324="H",0.038,(0.038*0.65)))</f>
        <v>1.3721791044776121E-2</v>
      </c>
      <c r="L324">
        <f>IF($C324="IE",$K324*CF_231025!$E$16,$K324/VLOOKUP($C324,CF_231025!$A$2:$E$28,5,FALSE))</f>
        <v>4.6335368710668417E-3</v>
      </c>
    </row>
    <row r="325" spans="1:12" x14ac:dyDescent="0.25">
      <c r="A325" t="s">
        <v>136</v>
      </c>
      <c r="B325" t="s">
        <v>469</v>
      </c>
      <c r="C325" t="str">
        <f t="shared" si="26"/>
        <v>GR</v>
      </c>
      <c r="D325" t="str">
        <f t="shared" si="27"/>
        <v>WHE</v>
      </c>
      <c r="E325" t="str">
        <f t="shared" si="25"/>
        <v>GRWHE</v>
      </c>
      <c r="F325" t="str">
        <f t="shared" si="28"/>
        <v>L</v>
      </c>
      <c r="G325" t="s">
        <v>466</v>
      </c>
      <c r="H325">
        <v>1</v>
      </c>
      <c r="I325">
        <v>7.0000000000000007E-2</v>
      </c>
      <c r="J325" t="str">
        <f t="shared" si="29"/>
        <v>GRL000WHELR0GRLFER</v>
      </c>
      <c r="K325">
        <f>_xlfn.IFNA(IF(F325="H",VLOOKUP(E325,Fertiliser_data!$E$7:$L$267,8,FALSE),VLOOKUP(E325,Fertiliser_data!$E$7:$L$267,8,FALSE)*0.65),IF(F325="H",0.038,(0.038*0.65)))</f>
        <v>1.3721791044776121E-2</v>
      </c>
      <c r="L325">
        <f>IF($C325="IE",$K325*CF_231025!$E$16,$K325/VLOOKUP($C325,CF_231025!$A$2:$E$28,5,FALSE))</f>
        <v>4.6335368710668417E-3</v>
      </c>
    </row>
    <row r="326" spans="1:12" x14ac:dyDescent="0.25">
      <c r="A326" t="s">
        <v>136</v>
      </c>
      <c r="B326" t="s">
        <v>470</v>
      </c>
      <c r="C326" t="str">
        <f t="shared" si="26"/>
        <v>GR</v>
      </c>
      <c r="D326" t="str">
        <f t="shared" si="27"/>
        <v>OAT</v>
      </c>
      <c r="E326" t="str">
        <f t="shared" si="25"/>
        <v>GROAT</v>
      </c>
      <c r="F326" t="str">
        <f t="shared" si="28"/>
        <v>H</v>
      </c>
      <c r="G326" t="s">
        <v>466</v>
      </c>
      <c r="H326">
        <v>1</v>
      </c>
      <c r="I326">
        <v>0.11</v>
      </c>
      <c r="J326" t="str">
        <f t="shared" si="29"/>
        <v>GRL000OATHI0GRLFER</v>
      </c>
      <c r="K326">
        <f>_xlfn.IFNA(IF(F326="H",VLOOKUP(E326,Fertiliser_data!$E$7:$L$267,8,FALSE),VLOOKUP(E326,Fertiliser_data!$E$7:$L$267,8,FALSE)*0.65),IF(F326="H",0.038,(0.038*0.65)))</f>
        <v>3.814328358208955E-2</v>
      </c>
      <c r="L326">
        <f>IF($C326="IE",$K326*CF_231025!$E$16,$K326/VLOOKUP($C326,CF_231025!$A$2:$E$28,5,FALSE))</f>
        <v>1.2880119678579032E-2</v>
      </c>
    </row>
    <row r="327" spans="1:12" x14ac:dyDescent="0.25">
      <c r="A327" t="s">
        <v>136</v>
      </c>
      <c r="B327" t="s">
        <v>471</v>
      </c>
      <c r="C327" t="str">
        <f t="shared" si="26"/>
        <v>GR</v>
      </c>
      <c r="D327" t="str">
        <f t="shared" si="27"/>
        <v>OAT</v>
      </c>
      <c r="E327" t="str">
        <f t="shared" si="25"/>
        <v>GROAT</v>
      </c>
      <c r="F327" t="str">
        <f t="shared" si="28"/>
        <v>H</v>
      </c>
      <c r="G327" t="s">
        <v>466</v>
      </c>
      <c r="H327">
        <v>1</v>
      </c>
      <c r="I327">
        <v>0.11</v>
      </c>
      <c r="J327" t="str">
        <f t="shared" si="29"/>
        <v>GRL000OATHR0GRLFER</v>
      </c>
      <c r="K327">
        <f>_xlfn.IFNA(IF(F327="H",VLOOKUP(E327,Fertiliser_data!$E$7:$L$267,8,FALSE),VLOOKUP(E327,Fertiliser_data!$E$7:$L$267,8,FALSE)*0.65),IF(F327="H",0.038,(0.038*0.65)))</f>
        <v>3.814328358208955E-2</v>
      </c>
      <c r="L327">
        <f>IF($C327="IE",$K327*CF_231025!$E$16,$K327/VLOOKUP($C327,CF_231025!$A$2:$E$28,5,FALSE))</f>
        <v>1.2880119678579032E-2</v>
      </c>
    </row>
    <row r="328" spans="1:12" x14ac:dyDescent="0.25">
      <c r="A328" t="s">
        <v>136</v>
      </c>
      <c r="B328" t="s">
        <v>472</v>
      </c>
      <c r="C328" t="str">
        <f t="shared" si="26"/>
        <v>GR</v>
      </c>
      <c r="D328" t="str">
        <f t="shared" si="27"/>
        <v>OAT</v>
      </c>
      <c r="E328" t="str">
        <f t="shared" si="25"/>
        <v>GROAT</v>
      </c>
      <c r="F328" t="str">
        <f t="shared" si="28"/>
        <v>L</v>
      </c>
      <c r="G328" t="s">
        <v>466</v>
      </c>
      <c r="H328">
        <v>1</v>
      </c>
      <c r="I328">
        <v>0.04</v>
      </c>
      <c r="J328" t="str">
        <f t="shared" si="29"/>
        <v>GRL000OATLI0GRLFER</v>
      </c>
      <c r="K328">
        <f>_xlfn.IFNA(IF(F328="H",VLOOKUP(E328,Fertiliser_data!$E$7:$L$267,8,FALSE),VLOOKUP(E328,Fertiliser_data!$E$7:$L$267,8,FALSE)*0.65),IF(F328="H",0.038,(0.038*0.65)))</f>
        <v>2.479313432835821E-2</v>
      </c>
      <c r="L328">
        <f>IF($C328="IE",$K328*CF_231025!$E$16,$K328/VLOOKUP($C328,CF_231025!$A$2:$E$28,5,FALSE))</f>
        <v>8.3720777910763714E-3</v>
      </c>
    </row>
    <row r="329" spans="1:12" x14ac:dyDescent="0.25">
      <c r="A329" t="s">
        <v>136</v>
      </c>
      <c r="B329" t="s">
        <v>473</v>
      </c>
      <c r="C329" t="str">
        <f t="shared" si="26"/>
        <v>GR</v>
      </c>
      <c r="D329" t="str">
        <f t="shared" si="27"/>
        <v>OAT</v>
      </c>
      <c r="E329" t="str">
        <f t="shared" si="25"/>
        <v>GROAT</v>
      </c>
      <c r="F329" t="str">
        <f t="shared" si="28"/>
        <v>L</v>
      </c>
      <c r="G329" t="s">
        <v>466</v>
      </c>
      <c r="H329">
        <v>1</v>
      </c>
      <c r="I329">
        <v>0.04</v>
      </c>
      <c r="J329" t="str">
        <f t="shared" si="29"/>
        <v>GRL000OATLR0GRLFER</v>
      </c>
      <c r="K329">
        <f>_xlfn.IFNA(IF(F329="H",VLOOKUP(E329,Fertiliser_data!$E$7:$L$267,8,FALSE),VLOOKUP(E329,Fertiliser_data!$E$7:$L$267,8,FALSE)*0.65),IF(F329="H",0.038,(0.038*0.65)))</f>
        <v>2.479313432835821E-2</v>
      </c>
      <c r="L329">
        <f>IF($C329="IE",$K329*CF_231025!$E$16,$K329/VLOOKUP($C329,CF_231025!$A$2:$E$28,5,FALSE))</f>
        <v>8.3720777910763714E-3</v>
      </c>
    </row>
    <row r="330" spans="1:12" x14ac:dyDescent="0.25">
      <c r="A330" t="s">
        <v>136</v>
      </c>
      <c r="B330" t="s">
        <v>474</v>
      </c>
      <c r="C330" t="str">
        <f t="shared" si="26"/>
        <v>GR</v>
      </c>
      <c r="D330" t="str">
        <f t="shared" si="27"/>
        <v>MAI</v>
      </c>
      <c r="E330" t="str">
        <f t="shared" si="25"/>
        <v>GRMAI</v>
      </c>
      <c r="F330" t="str">
        <f t="shared" si="28"/>
        <v>H</v>
      </c>
      <c r="G330" t="s">
        <v>466</v>
      </c>
      <c r="H330">
        <v>1</v>
      </c>
      <c r="I330">
        <v>0.16</v>
      </c>
      <c r="J330" t="str">
        <f t="shared" si="29"/>
        <v>GRL000MAIHI0GRLFER</v>
      </c>
      <c r="K330">
        <f>_xlfn.IFNA(IF(F330="H",VLOOKUP(E330,Fertiliser_data!$E$7:$L$267,8,FALSE),VLOOKUP(E330,Fertiliser_data!$E$7:$L$267,8,FALSE)*0.65),IF(F330="H",0.038,(0.038*0.65)))</f>
        <v>9.3570149253731347E-2</v>
      </c>
      <c r="L330">
        <f>IF($C330="IE",$K330*CF_231025!$E$16,$K330/VLOOKUP($C330,CF_231025!$A$2:$E$28,5,FALSE))</f>
        <v>3.1596512086769321E-2</v>
      </c>
    </row>
    <row r="331" spans="1:12" x14ac:dyDescent="0.25">
      <c r="A331" t="s">
        <v>136</v>
      </c>
      <c r="B331" t="s">
        <v>475</v>
      </c>
      <c r="C331" t="str">
        <f t="shared" si="26"/>
        <v>GR</v>
      </c>
      <c r="D331" t="str">
        <f t="shared" si="27"/>
        <v>MAI</v>
      </c>
      <c r="E331" t="str">
        <f t="shared" si="25"/>
        <v>GRMAI</v>
      </c>
      <c r="F331" t="str">
        <f t="shared" si="28"/>
        <v>H</v>
      </c>
      <c r="G331" t="s">
        <v>466</v>
      </c>
      <c r="H331">
        <v>1</v>
      </c>
      <c r="I331">
        <v>0.16</v>
      </c>
      <c r="J331" t="str">
        <f t="shared" si="29"/>
        <v>GRL000MAIHR0GRLFER</v>
      </c>
      <c r="K331">
        <f>_xlfn.IFNA(IF(F331="H",VLOOKUP(E331,Fertiliser_data!$E$7:$L$267,8,FALSE),VLOOKUP(E331,Fertiliser_data!$E$7:$L$267,8,FALSE)*0.65),IF(F331="H",0.038,(0.038*0.65)))</f>
        <v>9.3570149253731347E-2</v>
      </c>
      <c r="L331">
        <f>IF($C331="IE",$K331*CF_231025!$E$16,$K331/VLOOKUP($C331,CF_231025!$A$2:$E$28,5,FALSE))</f>
        <v>3.1596512086769321E-2</v>
      </c>
    </row>
    <row r="332" spans="1:12" x14ac:dyDescent="0.25">
      <c r="A332" t="s">
        <v>136</v>
      </c>
      <c r="B332" t="s">
        <v>476</v>
      </c>
      <c r="C332" t="str">
        <f t="shared" si="26"/>
        <v>GR</v>
      </c>
      <c r="D332" t="str">
        <f t="shared" si="27"/>
        <v>MAI</v>
      </c>
      <c r="E332" t="str">
        <f t="shared" si="25"/>
        <v>GRMAI</v>
      </c>
      <c r="F332" t="str">
        <f t="shared" si="28"/>
        <v>L</v>
      </c>
      <c r="G332" t="s">
        <v>466</v>
      </c>
      <c r="H332">
        <v>1</v>
      </c>
      <c r="I332">
        <v>0.06</v>
      </c>
      <c r="J332" t="str">
        <f t="shared" si="29"/>
        <v>GRL000MAILI0GRLFER</v>
      </c>
      <c r="K332">
        <f>_xlfn.IFNA(IF(F332="H",VLOOKUP(E332,Fertiliser_data!$E$7:$L$267,8,FALSE),VLOOKUP(E332,Fertiliser_data!$E$7:$L$267,8,FALSE)*0.65),IF(F332="H",0.038,(0.038*0.65)))</f>
        <v>6.0820597014925377E-2</v>
      </c>
      <c r="L332">
        <f>IF($C332="IE",$K332*CF_231025!$E$16,$K332/VLOOKUP($C332,CF_231025!$A$2:$E$28,5,FALSE))</f>
        <v>2.0537732856400058E-2</v>
      </c>
    </row>
    <row r="333" spans="1:12" x14ac:dyDescent="0.25">
      <c r="A333" t="s">
        <v>136</v>
      </c>
      <c r="B333" t="s">
        <v>477</v>
      </c>
      <c r="C333" t="str">
        <f t="shared" si="26"/>
        <v>GR</v>
      </c>
      <c r="D333" t="str">
        <f t="shared" si="27"/>
        <v>MAI</v>
      </c>
      <c r="E333" t="str">
        <f t="shared" si="25"/>
        <v>GRMAI</v>
      </c>
      <c r="F333" t="str">
        <f t="shared" si="28"/>
        <v>L</v>
      </c>
      <c r="G333" t="s">
        <v>466</v>
      </c>
      <c r="H333">
        <v>1</v>
      </c>
      <c r="I333">
        <v>0.06</v>
      </c>
      <c r="J333" t="str">
        <f t="shared" si="29"/>
        <v>GRL000MAILR0GRLFER</v>
      </c>
      <c r="K333">
        <f>_xlfn.IFNA(IF(F333="H",VLOOKUP(E333,Fertiliser_data!$E$7:$L$267,8,FALSE),VLOOKUP(E333,Fertiliser_data!$E$7:$L$267,8,FALSE)*0.65),IF(F333="H",0.038,(0.038*0.65)))</f>
        <v>6.0820597014925377E-2</v>
      </c>
      <c r="L333">
        <f>IF($C333="IE",$K333*CF_231025!$E$16,$K333/VLOOKUP($C333,CF_231025!$A$2:$E$28,5,FALSE))</f>
        <v>2.0537732856400058E-2</v>
      </c>
    </row>
    <row r="334" spans="1:12" x14ac:dyDescent="0.25">
      <c r="A334" t="s">
        <v>136</v>
      </c>
      <c r="B334" t="s">
        <v>478</v>
      </c>
      <c r="C334" t="str">
        <f t="shared" si="26"/>
        <v>GR</v>
      </c>
      <c r="D334" t="str">
        <f t="shared" si="27"/>
        <v>SUN</v>
      </c>
      <c r="E334" t="str">
        <f t="shared" si="25"/>
        <v>GRSUN</v>
      </c>
      <c r="F334" t="str">
        <f t="shared" si="28"/>
        <v>H</v>
      </c>
      <c r="G334" t="s">
        <v>466</v>
      </c>
      <c r="H334">
        <v>1</v>
      </c>
      <c r="I334">
        <v>0.19</v>
      </c>
      <c r="J334" t="str">
        <f t="shared" si="29"/>
        <v>GRL000SUNHI0GRLFER</v>
      </c>
      <c r="K334">
        <f>_xlfn.IFNA(IF(F334="H",VLOOKUP(E334,Fertiliser_data!$E$7:$L$267,8,FALSE),VLOOKUP(E334,Fertiliser_data!$E$7:$L$267,8,FALSE)*0.65),IF(F334="H",0.038,(0.038*0.65)))</f>
        <v>2.6813432835820893E-2</v>
      </c>
      <c r="L334">
        <f>IF($C334="IE",$K334*CF_231025!$E$16,$K334/VLOOKUP($C334,CF_231025!$A$2:$E$28,5,FALSE))</f>
        <v>9.0542866655842977E-3</v>
      </c>
    </row>
    <row r="335" spans="1:12" x14ac:dyDescent="0.25">
      <c r="A335" t="s">
        <v>136</v>
      </c>
      <c r="B335" t="s">
        <v>479</v>
      </c>
      <c r="C335" t="str">
        <f t="shared" si="26"/>
        <v>GR</v>
      </c>
      <c r="D335" t="str">
        <f t="shared" si="27"/>
        <v>SUN</v>
      </c>
      <c r="E335" t="str">
        <f t="shared" si="25"/>
        <v>GRSUN</v>
      </c>
      <c r="F335" t="str">
        <f t="shared" si="28"/>
        <v>H</v>
      </c>
      <c r="G335" t="s">
        <v>466</v>
      </c>
      <c r="H335">
        <v>1</v>
      </c>
      <c r="I335">
        <v>0.19</v>
      </c>
      <c r="J335" t="str">
        <f t="shared" si="29"/>
        <v>GRL000SUNHR0GRLFER</v>
      </c>
      <c r="K335">
        <f>_xlfn.IFNA(IF(F335="H",VLOOKUP(E335,Fertiliser_data!$E$7:$L$267,8,FALSE),VLOOKUP(E335,Fertiliser_data!$E$7:$L$267,8,FALSE)*0.65),IF(F335="H",0.038,(0.038*0.65)))</f>
        <v>2.6813432835820893E-2</v>
      </c>
      <c r="L335">
        <f>IF($C335="IE",$K335*CF_231025!$E$16,$K335/VLOOKUP($C335,CF_231025!$A$2:$E$28,5,FALSE))</f>
        <v>9.0542866655842977E-3</v>
      </c>
    </row>
    <row r="336" spans="1:12" x14ac:dyDescent="0.25">
      <c r="A336" t="s">
        <v>136</v>
      </c>
      <c r="B336" t="s">
        <v>480</v>
      </c>
      <c r="C336" t="str">
        <f t="shared" si="26"/>
        <v>GR</v>
      </c>
      <c r="D336" t="str">
        <f t="shared" si="27"/>
        <v>SUN</v>
      </c>
      <c r="E336" t="str">
        <f t="shared" si="25"/>
        <v>GRSUN</v>
      </c>
      <c r="F336" t="str">
        <f t="shared" si="28"/>
        <v>L</v>
      </c>
      <c r="G336" t="s">
        <v>466</v>
      </c>
      <c r="H336">
        <v>1</v>
      </c>
      <c r="I336">
        <v>7.0000000000000007E-2</v>
      </c>
      <c r="J336" t="str">
        <f t="shared" si="29"/>
        <v>GRL000SUNLI0GRLFER</v>
      </c>
      <c r="K336">
        <f>_xlfn.IFNA(IF(F336="H",VLOOKUP(E336,Fertiliser_data!$E$7:$L$267,8,FALSE),VLOOKUP(E336,Fertiliser_data!$E$7:$L$267,8,FALSE)*0.65),IF(F336="H",0.038,(0.038*0.65)))</f>
        <v>1.7428731343283582E-2</v>
      </c>
      <c r="L336">
        <f>IF($C336="IE",$K336*CF_231025!$E$16,$K336/VLOOKUP($C336,CF_231025!$A$2:$E$28,5,FALSE))</f>
        <v>5.8852863326297935E-3</v>
      </c>
    </row>
    <row r="337" spans="1:12" x14ac:dyDescent="0.25">
      <c r="A337" t="s">
        <v>136</v>
      </c>
      <c r="B337" t="s">
        <v>481</v>
      </c>
      <c r="C337" t="str">
        <f t="shared" si="26"/>
        <v>GR</v>
      </c>
      <c r="D337" t="str">
        <f t="shared" si="27"/>
        <v>SUN</v>
      </c>
      <c r="E337" t="str">
        <f t="shared" si="25"/>
        <v>GRSUN</v>
      </c>
      <c r="F337" t="str">
        <f t="shared" si="28"/>
        <v>L</v>
      </c>
      <c r="G337" t="s">
        <v>466</v>
      </c>
      <c r="H337">
        <v>1</v>
      </c>
      <c r="I337">
        <v>7.0000000000000007E-2</v>
      </c>
      <c r="J337" t="str">
        <f t="shared" si="29"/>
        <v>GRL000SUNLR0GRLFER</v>
      </c>
      <c r="K337">
        <f>_xlfn.IFNA(IF(F337="H",VLOOKUP(E337,Fertiliser_data!$E$7:$L$267,8,FALSE),VLOOKUP(E337,Fertiliser_data!$E$7:$L$267,8,FALSE)*0.65),IF(F337="H",0.038,(0.038*0.65)))</f>
        <v>1.7428731343283582E-2</v>
      </c>
      <c r="L337">
        <f>IF($C337="IE",$K337*CF_231025!$E$16,$K337/VLOOKUP($C337,CF_231025!$A$2:$E$28,5,FALSE))</f>
        <v>5.8852863326297935E-3</v>
      </c>
    </row>
    <row r="338" spans="1:12" x14ac:dyDescent="0.25">
      <c r="A338" t="s">
        <v>136</v>
      </c>
      <c r="B338" t="s">
        <v>482</v>
      </c>
      <c r="C338" t="str">
        <f t="shared" si="26"/>
        <v>GR</v>
      </c>
      <c r="D338" t="str">
        <f t="shared" si="27"/>
        <v>OTH</v>
      </c>
      <c r="E338" t="str">
        <f t="shared" si="25"/>
        <v>GROTH</v>
      </c>
      <c r="F338" t="str">
        <f t="shared" si="28"/>
        <v>H</v>
      </c>
      <c r="G338" t="s">
        <v>466</v>
      </c>
      <c r="H338">
        <v>1</v>
      </c>
      <c r="I338">
        <v>0.17</v>
      </c>
      <c r="J338" t="str">
        <f t="shared" si="29"/>
        <v>GRL000OTHHI0GRLFER</v>
      </c>
      <c r="K338">
        <f>_xlfn.IFNA(IF(F338="H",VLOOKUP(E338,Fertiliser_data!$E$7:$L$267,8,FALSE),VLOOKUP(E338,Fertiliser_data!$E$7:$L$267,8,FALSE)*0.65),IF(F338="H",0.038,(0.038*0.65)))</f>
        <v>3.7999999999999999E-2</v>
      </c>
      <c r="L338">
        <f>IF($C338="IE",$K338*CF_231025!$E$16,$K338/VLOOKUP($C338,CF_231025!$A$2:$E$28,5,FALSE))</f>
        <v>1.2831736070457903E-2</v>
      </c>
    </row>
    <row r="339" spans="1:12" x14ac:dyDescent="0.25">
      <c r="A339" t="s">
        <v>136</v>
      </c>
      <c r="B339" t="s">
        <v>483</v>
      </c>
      <c r="C339" t="str">
        <f t="shared" si="26"/>
        <v>GR</v>
      </c>
      <c r="D339" t="str">
        <f t="shared" si="27"/>
        <v>OTH</v>
      </c>
      <c r="E339" t="str">
        <f t="shared" si="25"/>
        <v>GROTH</v>
      </c>
      <c r="F339" t="str">
        <f t="shared" si="28"/>
        <v>H</v>
      </c>
      <c r="G339" t="s">
        <v>466</v>
      </c>
      <c r="H339">
        <v>1</v>
      </c>
      <c r="I339">
        <v>0.17</v>
      </c>
      <c r="J339" t="str">
        <f t="shared" si="29"/>
        <v>GRL000OTHHR0GRLFER</v>
      </c>
      <c r="K339">
        <f>_xlfn.IFNA(IF(F339="H",VLOOKUP(E339,Fertiliser_data!$E$7:$L$267,8,FALSE),VLOOKUP(E339,Fertiliser_data!$E$7:$L$267,8,FALSE)*0.65),IF(F339="H",0.038,(0.038*0.65)))</f>
        <v>3.7999999999999999E-2</v>
      </c>
      <c r="L339">
        <f>IF($C339="IE",$K339*CF_231025!$E$16,$K339/VLOOKUP($C339,CF_231025!$A$2:$E$28,5,FALSE))</f>
        <v>1.2831736070457903E-2</v>
      </c>
    </row>
    <row r="340" spans="1:12" x14ac:dyDescent="0.25">
      <c r="A340" t="s">
        <v>136</v>
      </c>
      <c r="B340" t="s">
        <v>484</v>
      </c>
      <c r="C340" t="str">
        <f t="shared" si="26"/>
        <v>GR</v>
      </c>
      <c r="D340" t="str">
        <f t="shared" si="27"/>
        <v>OTH</v>
      </c>
      <c r="E340" t="str">
        <f t="shared" si="25"/>
        <v>GROTH</v>
      </c>
      <c r="F340" t="str">
        <f t="shared" si="28"/>
        <v>L</v>
      </c>
      <c r="G340" t="s">
        <v>466</v>
      </c>
      <c r="H340">
        <v>1</v>
      </c>
      <c r="I340">
        <v>0.06</v>
      </c>
      <c r="J340" t="str">
        <f t="shared" si="29"/>
        <v>GRL000OTHLI0GRLFER</v>
      </c>
      <c r="K340">
        <f>_xlfn.IFNA(IF(F340="H",VLOOKUP(E340,Fertiliser_data!$E$7:$L$267,8,FALSE),VLOOKUP(E340,Fertiliser_data!$E$7:$L$267,8,FALSE)*0.65),IF(F340="H",0.038,(0.038*0.65)))</f>
        <v>2.47E-2</v>
      </c>
      <c r="L340">
        <f>IF($C340="IE",$K340*CF_231025!$E$16,$K340/VLOOKUP($C340,CF_231025!$A$2:$E$28,5,FALSE))</f>
        <v>8.3406284457976376E-3</v>
      </c>
    </row>
    <row r="341" spans="1:12" x14ac:dyDescent="0.25">
      <c r="A341" t="s">
        <v>136</v>
      </c>
      <c r="B341" t="s">
        <v>485</v>
      </c>
      <c r="C341" t="str">
        <f t="shared" si="26"/>
        <v>GR</v>
      </c>
      <c r="D341" t="str">
        <f t="shared" si="27"/>
        <v>OTH</v>
      </c>
      <c r="E341" t="str">
        <f t="shared" si="25"/>
        <v>GROTH</v>
      </c>
      <c r="F341" t="str">
        <f t="shared" si="28"/>
        <v>L</v>
      </c>
      <c r="G341" t="s">
        <v>466</v>
      </c>
      <c r="H341">
        <v>1</v>
      </c>
      <c r="I341">
        <v>0.06</v>
      </c>
      <c r="J341" t="str">
        <f t="shared" si="29"/>
        <v>GRL000OTHLR0GRLFER</v>
      </c>
      <c r="K341">
        <f>_xlfn.IFNA(IF(F341="H",VLOOKUP(E341,Fertiliser_data!$E$7:$L$267,8,FALSE),VLOOKUP(E341,Fertiliser_data!$E$7:$L$267,8,FALSE)*0.65),IF(F341="H",0.038,(0.038*0.65)))</f>
        <v>2.47E-2</v>
      </c>
      <c r="L341">
        <f>IF($C341="IE",$K341*CF_231025!$E$16,$K341/VLOOKUP($C341,CF_231025!$A$2:$E$28,5,FALSE))</f>
        <v>8.3406284457976376E-3</v>
      </c>
    </row>
    <row r="342" spans="1:12" x14ac:dyDescent="0.25">
      <c r="A342" t="s">
        <v>136</v>
      </c>
      <c r="B342" t="s">
        <v>486</v>
      </c>
      <c r="C342" t="str">
        <f t="shared" si="26"/>
        <v>GR</v>
      </c>
      <c r="D342" t="str">
        <f t="shared" si="27"/>
        <v>GRP</v>
      </c>
      <c r="E342" t="str">
        <f t="shared" si="25"/>
        <v>GRGRP</v>
      </c>
      <c r="F342" t="str">
        <f t="shared" si="28"/>
        <v>H</v>
      </c>
      <c r="G342" t="s">
        <v>466</v>
      </c>
      <c r="H342">
        <v>1</v>
      </c>
      <c r="I342">
        <v>0.17</v>
      </c>
      <c r="J342" t="str">
        <f t="shared" si="29"/>
        <v>GRL000GRPHI0GRLFER</v>
      </c>
      <c r="K342">
        <f>_xlfn.IFNA(IF(F342="H",VLOOKUP(E342,Fertiliser_data!$E$7:$L$267,8,FALSE),VLOOKUP(E342,Fertiliser_data!$E$7:$L$267,8,FALSE)*0.65),IF(F342="H",0.038,(0.038*0.65)))</f>
        <v>2.1420895522388059E-2</v>
      </c>
      <c r="L342">
        <f>IF($C342="IE",$K342*CF_231025!$E$16,$K342/VLOOKUP($C342,CF_231025!$A$2:$E$28,5,FALSE))</f>
        <v>7.2333494141088696E-3</v>
      </c>
    </row>
    <row r="343" spans="1:12" x14ac:dyDescent="0.25">
      <c r="A343" t="s">
        <v>136</v>
      </c>
      <c r="B343" t="s">
        <v>487</v>
      </c>
      <c r="C343" t="str">
        <f t="shared" si="26"/>
        <v>GR</v>
      </c>
      <c r="D343" t="str">
        <f t="shared" si="27"/>
        <v>GRP</v>
      </c>
      <c r="E343" t="str">
        <f t="shared" si="25"/>
        <v>GRGRP</v>
      </c>
      <c r="F343" t="str">
        <f t="shared" si="28"/>
        <v>H</v>
      </c>
      <c r="G343" t="s">
        <v>466</v>
      </c>
      <c r="H343">
        <v>1</v>
      </c>
      <c r="I343">
        <v>0.17</v>
      </c>
      <c r="J343" t="str">
        <f t="shared" si="29"/>
        <v>GRL000GRPHR0GRLFER</v>
      </c>
      <c r="K343">
        <f>_xlfn.IFNA(IF(F343="H",VLOOKUP(E343,Fertiliser_data!$E$7:$L$267,8,FALSE),VLOOKUP(E343,Fertiliser_data!$E$7:$L$267,8,FALSE)*0.65),IF(F343="H",0.038,(0.038*0.65)))</f>
        <v>2.1420895522388059E-2</v>
      </c>
      <c r="L343">
        <f>IF($C343="IE",$K343*CF_231025!$E$16,$K343/VLOOKUP($C343,CF_231025!$A$2:$E$28,5,FALSE))</f>
        <v>7.2333494141088696E-3</v>
      </c>
    </row>
    <row r="344" spans="1:12" x14ac:dyDescent="0.25">
      <c r="A344" t="s">
        <v>136</v>
      </c>
      <c r="B344" t="s">
        <v>488</v>
      </c>
      <c r="C344" t="str">
        <f t="shared" si="26"/>
        <v>GR</v>
      </c>
      <c r="D344" t="str">
        <f t="shared" si="27"/>
        <v>GRP</v>
      </c>
      <c r="E344" t="str">
        <f t="shared" si="25"/>
        <v>GRGRP</v>
      </c>
      <c r="F344" t="str">
        <f t="shared" si="28"/>
        <v>L</v>
      </c>
      <c r="G344" t="s">
        <v>466</v>
      </c>
      <c r="H344">
        <v>1</v>
      </c>
      <c r="I344">
        <v>0.06</v>
      </c>
      <c r="J344" t="str">
        <f t="shared" si="29"/>
        <v>GRL000GRPLI0GRLFER</v>
      </c>
      <c r="K344">
        <f>_xlfn.IFNA(IF(F344="H",VLOOKUP(E344,Fertiliser_data!$E$7:$L$267,8,FALSE),VLOOKUP(E344,Fertiliser_data!$E$7:$L$267,8,FALSE)*0.65),IF(F344="H",0.038,(0.038*0.65)))</f>
        <v>1.3923582089552239E-2</v>
      </c>
      <c r="L344">
        <f>IF($C344="IE",$K344*CF_231025!$E$16,$K344/VLOOKUP($C344,CF_231025!$A$2:$E$28,5,FALSE))</f>
        <v>4.7016771191707657E-3</v>
      </c>
    </row>
    <row r="345" spans="1:12" x14ac:dyDescent="0.25">
      <c r="A345" t="s">
        <v>136</v>
      </c>
      <c r="B345" t="s">
        <v>489</v>
      </c>
      <c r="C345" t="str">
        <f t="shared" si="26"/>
        <v>GR</v>
      </c>
      <c r="D345" t="str">
        <f t="shared" si="27"/>
        <v>GRP</v>
      </c>
      <c r="E345" t="str">
        <f t="shared" si="25"/>
        <v>GRGRP</v>
      </c>
      <c r="F345" t="str">
        <f t="shared" si="28"/>
        <v>L</v>
      </c>
      <c r="G345" t="s">
        <v>466</v>
      </c>
      <c r="H345">
        <v>1</v>
      </c>
      <c r="I345">
        <v>0.06</v>
      </c>
      <c r="J345" t="str">
        <f t="shared" si="29"/>
        <v>GRL000GRPLR0GRLFER</v>
      </c>
      <c r="K345">
        <f>_xlfn.IFNA(IF(F345="H",VLOOKUP(E345,Fertiliser_data!$E$7:$L$267,8,FALSE),VLOOKUP(E345,Fertiliser_data!$E$7:$L$267,8,FALSE)*0.65),IF(F345="H",0.038,(0.038*0.65)))</f>
        <v>1.3923582089552239E-2</v>
      </c>
      <c r="L345">
        <f>IF($C345="IE",$K345*CF_231025!$E$16,$K345/VLOOKUP($C345,CF_231025!$A$2:$E$28,5,FALSE))</f>
        <v>4.7016771191707657E-3</v>
      </c>
    </row>
    <row r="346" spans="1:12" x14ac:dyDescent="0.25">
      <c r="A346" t="s">
        <v>136</v>
      </c>
      <c r="B346" t="s">
        <v>490</v>
      </c>
      <c r="C346" t="str">
        <f t="shared" si="26"/>
        <v>GR</v>
      </c>
      <c r="D346" t="str">
        <f t="shared" si="27"/>
        <v>SEE</v>
      </c>
      <c r="E346" t="str">
        <f t="shared" si="25"/>
        <v>GRSEE</v>
      </c>
      <c r="F346" t="str">
        <f t="shared" si="28"/>
        <v>H</v>
      </c>
      <c r="G346" t="s">
        <v>466</v>
      </c>
      <c r="H346">
        <v>1</v>
      </c>
      <c r="I346">
        <v>0.17</v>
      </c>
      <c r="J346" t="str">
        <f t="shared" si="29"/>
        <v>GRL000SEEHI0GRLFER</v>
      </c>
      <c r="K346">
        <f>_xlfn.IFNA(IF(F346="H",VLOOKUP(E346,Fertiliser_data!$E$7:$L$267,8,FALSE),VLOOKUP(E346,Fertiliser_data!$E$7:$L$267,8,FALSE)*0.65),IF(F346="H",0.038,(0.038*0.65)))</f>
        <v>2.5514925373134326E-2</v>
      </c>
      <c r="L346">
        <f>IF($C346="IE",$K346*CF_231025!$E$16,$K346/VLOOKUP($C346,CF_231025!$A$2:$E$28,5,FALSE))</f>
        <v>8.6158102169865605E-3</v>
      </c>
    </row>
    <row r="347" spans="1:12" x14ac:dyDescent="0.25">
      <c r="A347" t="s">
        <v>136</v>
      </c>
      <c r="B347" t="s">
        <v>491</v>
      </c>
      <c r="C347" t="str">
        <f t="shared" si="26"/>
        <v>GR</v>
      </c>
      <c r="D347" t="str">
        <f t="shared" si="27"/>
        <v>SEE</v>
      </c>
      <c r="E347" t="str">
        <f t="shared" si="25"/>
        <v>GRSEE</v>
      </c>
      <c r="F347" t="str">
        <f t="shared" si="28"/>
        <v>H</v>
      </c>
      <c r="G347" t="s">
        <v>466</v>
      </c>
      <c r="H347">
        <v>1</v>
      </c>
      <c r="I347">
        <v>0.17</v>
      </c>
      <c r="J347" t="str">
        <f t="shared" si="29"/>
        <v>GRL000SEEHR0GRLFER</v>
      </c>
      <c r="K347">
        <f>_xlfn.IFNA(IF(F347="H",VLOOKUP(E347,Fertiliser_data!$E$7:$L$267,8,FALSE),VLOOKUP(E347,Fertiliser_data!$E$7:$L$267,8,FALSE)*0.65),IF(F347="H",0.038,(0.038*0.65)))</f>
        <v>2.5514925373134326E-2</v>
      </c>
      <c r="L347">
        <f>IF($C347="IE",$K347*CF_231025!$E$16,$K347/VLOOKUP($C347,CF_231025!$A$2:$E$28,5,FALSE))</f>
        <v>8.6158102169865605E-3</v>
      </c>
    </row>
    <row r="348" spans="1:12" x14ac:dyDescent="0.25">
      <c r="A348" t="s">
        <v>136</v>
      </c>
      <c r="B348" t="s">
        <v>492</v>
      </c>
      <c r="C348" t="str">
        <f t="shared" si="26"/>
        <v>GR</v>
      </c>
      <c r="D348" t="str">
        <f t="shared" si="27"/>
        <v>SEE</v>
      </c>
      <c r="E348" t="str">
        <f t="shared" si="25"/>
        <v>GRSEE</v>
      </c>
      <c r="F348" t="str">
        <f t="shared" si="28"/>
        <v>L</v>
      </c>
      <c r="G348" t="s">
        <v>466</v>
      </c>
      <c r="H348">
        <v>1</v>
      </c>
      <c r="I348">
        <v>0.06</v>
      </c>
      <c r="J348" t="str">
        <f t="shared" si="29"/>
        <v>GRL000SEELI0GRLFER</v>
      </c>
      <c r="K348">
        <f>_xlfn.IFNA(IF(F348="H",VLOOKUP(E348,Fertiliser_data!$E$7:$L$267,8,FALSE),VLOOKUP(E348,Fertiliser_data!$E$7:$L$267,8,FALSE)*0.65),IF(F348="H",0.038,(0.038*0.65)))</f>
        <v>1.6584701492537313E-2</v>
      </c>
      <c r="L348">
        <f>IF($C348="IE",$K348*CF_231025!$E$16,$K348/VLOOKUP($C348,CF_231025!$A$2:$E$28,5,FALSE))</f>
        <v>5.6002766410412647E-3</v>
      </c>
    </row>
    <row r="349" spans="1:12" x14ac:dyDescent="0.25">
      <c r="A349" t="s">
        <v>136</v>
      </c>
      <c r="B349" t="s">
        <v>493</v>
      </c>
      <c r="C349" t="str">
        <f t="shared" si="26"/>
        <v>GR</v>
      </c>
      <c r="D349" t="str">
        <f t="shared" si="27"/>
        <v>SEE</v>
      </c>
      <c r="E349" t="str">
        <f t="shared" si="25"/>
        <v>GRSEE</v>
      </c>
      <c r="F349" t="str">
        <f t="shared" si="28"/>
        <v>L</v>
      </c>
      <c r="G349" t="s">
        <v>466</v>
      </c>
      <c r="H349">
        <v>1</v>
      </c>
      <c r="I349">
        <v>0.06</v>
      </c>
      <c r="J349" t="str">
        <f t="shared" si="29"/>
        <v>GRL000SEELR0GRLFER</v>
      </c>
      <c r="K349">
        <f>_xlfn.IFNA(IF(F349="H",VLOOKUP(E349,Fertiliser_data!$E$7:$L$267,8,FALSE),VLOOKUP(E349,Fertiliser_data!$E$7:$L$267,8,FALSE)*0.65),IF(F349="H",0.038,(0.038*0.65)))</f>
        <v>1.6584701492537313E-2</v>
      </c>
      <c r="L349">
        <f>IF($C349="IE",$K349*CF_231025!$E$16,$K349/VLOOKUP($C349,CF_231025!$A$2:$E$28,5,FALSE))</f>
        <v>5.6002766410412647E-3</v>
      </c>
    </row>
    <row r="350" spans="1:12" x14ac:dyDescent="0.25">
      <c r="A350" t="s">
        <v>136</v>
      </c>
      <c r="B350" t="s">
        <v>494</v>
      </c>
      <c r="C350" t="str">
        <f t="shared" si="26"/>
        <v>GR</v>
      </c>
      <c r="D350" t="str">
        <f t="shared" si="27"/>
        <v>BRL</v>
      </c>
      <c r="E350" t="str">
        <f t="shared" si="25"/>
        <v>GRBRL</v>
      </c>
      <c r="F350" t="str">
        <f t="shared" si="28"/>
        <v>H</v>
      </c>
      <c r="G350" t="s">
        <v>466</v>
      </c>
      <c r="H350">
        <v>1</v>
      </c>
      <c r="I350">
        <v>0.15</v>
      </c>
      <c r="J350" t="str">
        <f t="shared" si="29"/>
        <v>GRL000BRLHI0GRLFER</v>
      </c>
      <c r="K350">
        <f>_xlfn.IFNA(IF(F350="H",VLOOKUP(E350,Fertiliser_data!$E$7:$L$267,8,FALSE),VLOOKUP(E350,Fertiliser_data!$E$7:$L$267,8,FALSE)*0.65),IF(F350="H",0.038,(0.038*0.65)))</f>
        <v>3.814328358208955E-2</v>
      </c>
      <c r="L350">
        <f>IF($C350="IE",$K350*CF_231025!$E$16,$K350/VLOOKUP($C350,CF_231025!$A$2:$E$28,5,FALSE))</f>
        <v>1.2880119678579032E-2</v>
      </c>
    </row>
    <row r="351" spans="1:12" x14ac:dyDescent="0.25">
      <c r="A351" t="s">
        <v>136</v>
      </c>
      <c r="B351" t="s">
        <v>495</v>
      </c>
      <c r="C351" t="str">
        <f t="shared" si="26"/>
        <v>GR</v>
      </c>
      <c r="D351" t="str">
        <f t="shared" si="27"/>
        <v>BRL</v>
      </c>
      <c r="E351" t="str">
        <f t="shared" si="25"/>
        <v>GRBRL</v>
      </c>
      <c r="F351" t="str">
        <f t="shared" si="28"/>
        <v>H</v>
      </c>
      <c r="G351" t="s">
        <v>466</v>
      </c>
      <c r="H351">
        <v>1</v>
      </c>
      <c r="I351">
        <v>0.15</v>
      </c>
      <c r="J351" t="str">
        <f t="shared" si="29"/>
        <v>GRL000BRLHR0GRLFER</v>
      </c>
      <c r="K351">
        <f>_xlfn.IFNA(IF(F351="H",VLOOKUP(E351,Fertiliser_data!$E$7:$L$267,8,FALSE),VLOOKUP(E351,Fertiliser_data!$E$7:$L$267,8,FALSE)*0.65),IF(F351="H",0.038,(0.038*0.65)))</f>
        <v>3.814328358208955E-2</v>
      </c>
      <c r="L351">
        <f>IF($C351="IE",$K351*CF_231025!$E$16,$K351/VLOOKUP($C351,CF_231025!$A$2:$E$28,5,FALSE))</f>
        <v>1.2880119678579032E-2</v>
      </c>
    </row>
    <row r="352" spans="1:12" x14ac:dyDescent="0.25">
      <c r="A352" t="s">
        <v>136</v>
      </c>
      <c r="B352" t="s">
        <v>496</v>
      </c>
      <c r="C352" t="str">
        <f t="shared" si="26"/>
        <v>GR</v>
      </c>
      <c r="D352" t="str">
        <f t="shared" si="27"/>
        <v>BRL</v>
      </c>
      <c r="E352" t="str">
        <f t="shared" si="25"/>
        <v>GRBRL</v>
      </c>
      <c r="F352" t="str">
        <f t="shared" si="28"/>
        <v>L</v>
      </c>
      <c r="G352" t="s">
        <v>466</v>
      </c>
      <c r="H352">
        <v>1</v>
      </c>
      <c r="I352">
        <v>0.06</v>
      </c>
      <c r="J352" t="str">
        <f t="shared" si="29"/>
        <v>GRL000BRLLI0GRLFER</v>
      </c>
      <c r="K352">
        <f>_xlfn.IFNA(IF(F352="H",VLOOKUP(E352,Fertiliser_data!$E$7:$L$267,8,FALSE),VLOOKUP(E352,Fertiliser_data!$E$7:$L$267,8,FALSE)*0.65),IF(F352="H",0.038,(0.038*0.65)))</f>
        <v>2.479313432835821E-2</v>
      </c>
      <c r="L352">
        <f>IF($C352="IE",$K352*CF_231025!$E$16,$K352/VLOOKUP($C352,CF_231025!$A$2:$E$28,5,FALSE))</f>
        <v>8.3720777910763714E-3</v>
      </c>
    </row>
    <row r="353" spans="1:12" x14ac:dyDescent="0.25">
      <c r="A353" t="s">
        <v>136</v>
      </c>
      <c r="B353" t="s">
        <v>497</v>
      </c>
      <c r="C353" t="str">
        <f t="shared" si="26"/>
        <v>GR</v>
      </c>
      <c r="D353" t="str">
        <f t="shared" si="27"/>
        <v>BRL</v>
      </c>
      <c r="E353" t="str">
        <f t="shared" si="25"/>
        <v>GRBRL</v>
      </c>
      <c r="F353" t="str">
        <f t="shared" si="28"/>
        <v>L</v>
      </c>
      <c r="G353" t="s">
        <v>466</v>
      </c>
      <c r="H353">
        <v>1</v>
      </c>
      <c r="I353">
        <v>0.06</v>
      </c>
      <c r="J353" t="str">
        <f t="shared" si="29"/>
        <v>GRL000BRLLR0GRLFER</v>
      </c>
      <c r="K353">
        <f>_xlfn.IFNA(IF(F353="H",VLOOKUP(E353,Fertiliser_data!$E$7:$L$267,8,FALSE),VLOOKUP(E353,Fertiliser_data!$E$7:$L$267,8,FALSE)*0.65),IF(F353="H",0.038,(0.038*0.65)))</f>
        <v>2.479313432835821E-2</v>
      </c>
      <c r="L353">
        <f>IF($C353="IE",$K353*CF_231025!$E$16,$K353/VLOOKUP($C353,CF_231025!$A$2:$E$28,5,FALSE))</f>
        <v>8.3720777910763714E-3</v>
      </c>
    </row>
    <row r="354" spans="1:12" x14ac:dyDescent="0.25">
      <c r="A354" t="s">
        <v>136</v>
      </c>
      <c r="B354" t="s">
        <v>498</v>
      </c>
      <c r="C354" t="str">
        <f t="shared" si="26"/>
        <v>GR</v>
      </c>
      <c r="D354" t="str">
        <f t="shared" si="27"/>
        <v>OTP</v>
      </c>
      <c r="E354" t="str">
        <f t="shared" si="25"/>
        <v>GROTP</v>
      </c>
      <c r="F354" t="str">
        <f t="shared" si="28"/>
        <v>H</v>
      </c>
      <c r="G354" t="s">
        <v>466</v>
      </c>
      <c r="H354">
        <v>1</v>
      </c>
      <c r="I354">
        <v>0.17</v>
      </c>
      <c r="J354" t="str">
        <f t="shared" si="29"/>
        <v>GRL000OTPHI0GRLFER</v>
      </c>
      <c r="K354">
        <f>_xlfn.IFNA(IF(F354="H",VLOOKUP(E354,Fertiliser_data!$E$7:$L$267,8,FALSE),VLOOKUP(E354,Fertiliser_data!$E$7:$L$267,8,FALSE)*0.65),IF(F354="H",0.038,(0.038*0.65)))</f>
        <v>7.9746268656716406E-3</v>
      </c>
      <c r="L354">
        <f>IF($C354="IE",$K354*CF_231025!$E$16,$K354/VLOOKUP($C354,CF_231025!$A$2:$E$28,5,FALSE))</f>
        <v>2.6928501894916169E-3</v>
      </c>
    </row>
    <row r="355" spans="1:12" x14ac:dyDescent="0.25">
      <c r="A355" t="s">
        <v>136</v>
      </c>
      <c r="B355" t="s">
        <v>499</v>
      </c>
      <c r="C355" t="str">
        <f t="shared" si="26"/>
        <v>GR</v>
      </c>
      <c r="D355" t="str">
        <f t="shared" si="27"/>
        <v>OTP</v>
      </c>
      <c r="E355" t="str">
        <f t="shared" si="25"/>
        <v>GROTP</v>
      </c>
      <c r="F355" t="str">
        <f t="shared" si="28"/>
        <v>H</v>
      </c>
      <c r="G355" t="s">
        <v>466</v>
      </c>
      <c r="H355">
        <v>1</v>
      </c>
      <c r="I355">
        <v>0.17</v>
      </c>
      <c r="J355" t="str">
        <f t="shared" si="29"/>
        <v>GRL000OTPHR0GRLFER</v>
      </c>
      <c r="K355">
        <f>_xlfn.IFNA(IF(F355="H",VLOOKUP(E355,Fertiliser_data!$E$7:$L$267,8,FALSE),VLOOKUP(E355,Fertiliser_data!$E$7:$L$267,8,FALSE)*0.65),IF(F355="H",0.038,(0.038*0.65)))</f>
        <v>7.9746268656716406E-3</v>
      </c>
      <c r="L355">
        <f>IF($C355="IE",$K355*CF_231025!$E$16,$K355/VLOOKUP($C355,CF_231025!$A$2:$E$28,5,FALSE))</f>
        <v>2.6928501894916169E-3</v>
      </c>
    </row>
    <row r="356" spans="1:12" x14ac:dyDescent="0.25">
      <c r="A356" t="s">
        <v>136</v>
      </c>
      <c r="B356" t="s">
        <v>500</v>
      </c>
      <c r="C356" t="str">
        <f t="shared" si="26"/>
        <v>GR</v>
      </c>
      <c r="D356" t="str">
        <f t="shared" si="27"/>
        <v>OTP</v>
      </c>
      <c r="E356" t="str">
        <f t="shared" si="25"/>
        <v>GROTP</v>
      </c>
      <c r="F356" t="str">
        <f t="shared" si="28"/>
        <v>L</v>
      </c>
      <c r="G356" t="s">
        <v>466</v>
      </c>
      <c r="H356">
        <v>1</v>
      </c>
      <c r="I356">
        <v>0.06</v>
      </c>
      <c r="J356" t="str">
        <f t="shared" si="29"/>
        <v>GRL000OTPLI0GRLFER</v>
      </c>
      <c r="K356">
        <f>_xlfn.IFNA(IF(F356="H",VLOOKUP(E356,Fertiliser_data!$E$7:$L$267,8,FALSE),VLOOKUP(E356,Fertiliser_data!$E$7:$L$267,8,FALSE)*0.65),IF(F356="H",0.038,(0.038*0.65)))</f>
        <v>5.1835074626865665E-3</v>
      </c>
      <c r="L356">
        <f>IF($C356="IE",$K356*CF_231025!$E$16,$K356/VLOOKUP($C356,CF_231025!$A$2:$E$28,5,FALSE))</f>
        <v>1.7503526231695511E-3</v>
      </c>
    </row>
    <row r="357" spans="1:12" x14ac:dyDescent="0.25">
      <c r="A357" t="s">
        <v>136</v>
      </c>
      <c r="B357" t="s">
        <v>501</v>
      </c>
      <c r="C357" t="str">
        <f t="shared" si="26"/>
        <v>GR</v>
      </c>
      <c r="D357" t="str">
        <f t="shared" si="27"/>
        <v>OTP</v>
      </c>
      <c r="E357" t="str">
        <f t="shared" si="25"/>
        <v>GROTP</v>
      </c>
      <c r="F357" t="str">
        <f t="shared" si="28"/>
        <v>L</v>
      </c>
      <c r="G357" t="s">
        <v>466</v>
      </c>
      <c r="H357">
        <v>1</v>
      </c>
      <c r="I357">
        <v>0.06</v>
      </c>
      <c r="J357" t="str">
        <f t="shared" si="29"/>
        <v>GRL000OTPLR0GRLFER</v>
      </c>
      <c r="K357">
        <f>_xlfn.IFNA(IF(F357="H",VLOOKUP(E357,Fertiliser_data!$E$7:$L$267,8,FALSE),VLOOKUP(E357,Fertiliser_data!$E$7:$L$267,8,FALSE)*0.65),IF(F357="H",0.038,(0.038*0.65)))</f>
        <v>5.1835074626865665E-3</v>
      </c>
      <c r="L357">
        <f>IF($C357="IE",$K357*CF_231025!$E$16,$K357/VLOOKUP($C357,CF_231025!$A$2:$E$28,5,FALSE))</f>
        <v>1.7503526231695511E-3</v>
      </c>
    </row>
    <row r="358" spans="1:12" x14ac:dyDescent="0.25">
      <c r="A358" t="s">
        <v>136</v>
      </c>
      <c r="B358" t="s">
        <v>502</v>
      </c>
      <c r="C358" t="str">
        <f t="shared" si="26"/>
        <v>GR</v>
      </c>
      <c r="D358" t="str">
        <f t="shared" si="27"/>
        <v>OLI</v>
      </c>
      <c r="E358" t="str">
        <f t="shared" si="25"/>
        <v>GROLI</v>
      </c>
      <c r="F358" t="str">
        <f t="shared" si="28"/>
        <v>H</v>
      </c>
      <c r="G358" t="s">
        <v>466</v>
      </c>
      <c r="H358">
        <v>1</v>
      </c>
      <c r="I358">
        <v>0.17</v>
      </c>
      <c r="J358" t="str">
        <f t="shared" si="29"/>
        <v>GRL000OLIHI0GRLFER</v>
      </c>
      <c r="K358">
        <f>_xlfn.IFNA(IF(F358="H",VLOOKUP(E358,Fertiliser_data!$E$7:$L$267,8,FALSE),VLOOKUP(E358,Fertiliser_data!$E$7:$L$267,8,FALSE)*0.65),IF(F358="H",0.038,(0.038*0.65)))</f>
        <v>2.6313432835820893E-2</v>
      </c>
      <c r="L358">
        <f>IF($C358="IE",$K358*CF_231025!$E$16,$K358/VLOOKUP($C358,CF_231025!$A$2:$E$28,5,FALSE))</f>
        <v>8.8854480330782717E-3</v>
      </c>
    </row>
    <row r="359" spans="1:12" x14ac:dyDescent="0.25">
      <c r="A359" t="s">
        <v>136</v>
      </c>
      <c r="B359" t="s">
        <v>503</v>
      </c>
      <c r="C359" t="str">
        <f t="shared" si="26"/>
        <v>GR</v>
      </c>
      <c r="D359" t="str">
        <f t="shared" si="27"/>
        <v>OLI</v>
      </c>
      <c r="E359" t="str">
        <f t="shared" si="25"/>
        <v>GROLI</v>
      </c>
      <c r="F359" t="str">
        <f t="shared" si="28"/>
        <v>H</v>
      </c>
      <c r="G359" t="s">
        <v>466</v>
      </c>
      <c r="H359">
        <v>1</v>
      </c>
      <c r="I359">
        <v>0.17</v>
      </c>
      <c r="J359" t="str">
        <f t="shared" si="29"/>
        <v>GRL000OLIHR0GRLFER</v>
      </c>
      <c r="K359">
        <f>_xlfn.IFNA(IF(F359="H",VLOOKUP(E359,Fertiliser_data!$E$7:$L$267,8,FALSE),VLOOKUP(E359,Fertiliser_data!$E$7:$L$267,8,FALSE)*0.65),IF(F359="H",0.038,(0.038*0.65)))</f>
        <v>2.6313432835820893E-2</v>
      </c>
      <c r="L359">
        <f>IF($C359="IE",$K359*CF_231025!$E$16,$K359/VLOOKUP($C359,CF_231025!$A$2:$E$28,5,FALSE))</f>
        <v>8.8854480330782717E-3</v>
      </c>
    </row>
    <row r="360" spans="1:12" x14ac:dyDescent="0.25">
      <c r="A360" t="s">
        <v>136</v>
      </c>
      <c r="B360" t="s">
        <v>504</v>
      </c>
      <c r="C360" t="str">
        <f t="shared" si="26"/>
        <v>GR</v>
      </c>
      <c r="D360" t="str">
        <f t="shared" si="27"/>
        <v>OLI</v>
      </c>
      <c r="E360" t="str">
        <f t="shared" si="25"/>
        <v>GROLI</v>
      </c>
      <c r="F360" t="str">
        <f t="shared" si="28"/>
        <v>L</v>
      </c>
      <c r="G360" t="s">
        <v>466</v>
      </c>
      <c r="H360">
        <v>1</v>
      </c>
      <c r="I360">
        <v>0.06</v>
      </c>
      <c r="J360" t="str">
        <f t="shared" si="29"/>
        <v>GRL000OLILI0GRLFER</v>
      </c>
      <c r="K360">
        <f>_xlfn.IFNA(IF(F360="H",VLOOKUP(E360,Fertiliser_data!$E$7:$L$267,8,FALSE),VLOOKUP(E360,Fertiliser_data!$E$7:$L$267,8,FALSE)*0.65),IF(F360="H",0.038,(0.038*0.65)))</f>
        <v>1.7103731343283583E-2</v>
      </c>
      <c r="L360">
        <f>IF($C360="IE",$K360*CF_231025!$E$16,$K360/VLOOKUP($C360,CF_231025!$A$2:$E$28,5,FALSE))</f>
        <v>5.7755412215008779E-3</v>
      </c>
    </row>
    <row r="361" spans="1:12" x14ac:dyDescent="0.25">
      <c r="A361" t="s">
        <v>136</v>
      </c>
      <c r="B361" t="s">
        <v>505</v>
      </c>
      <c r="C361" t="str">
        <f t="shared" si="26"/>
        <v>GR</v>
      </c>
      <c r="D361" t="str">
        <f t="shared" si="27"/>
        <v>OLI</v>
      </c>
      <c r="E361" t="str">
        <f t="shared" si="25"/>
        <v>GROLI</v>
      </c>
      <c r="F361" t="str">
        <f t="shared" si="28"/>
        <v>L</v>
      </c>
      <c r="G361" t="s">
        <v>466</v>
      </c>
      <c r="H361">
        <v>1</v>
      </c>
      <c r="I361">
        <v>0.06</v>
      </c>
      <c r="J361" t="str">
        <f t="shared" si="29"/>
        <v>GRL000OLILR0GRLFER</v>
      </c>
      <c r="K361">
        <f>_xlfn.IFNA(IF(F361="H",VLOOKUP(E361,Fertiliser_data!$E$7:$L$267,8,FALSE),VLOOKUP(E361,Fertiliser_data!$E$7:$L$267,8,FALSE)*0.65),IF(F361="H",0.038,(0.038*0.65)))</f>
        <v>1.7103731343283583E-2</v>
      </c>
      <c r="L361">
        <f>IF($C361="IE",$K361*CF_231025!$E$16,$K361/VLOOKUP($C361,CF_231025!$A$2:$E$28,5,FALSE))</f>
        <v>5.7755412215008779E-3</v>
      </c>
    </row>
    <row r="362" spans="1:12" x14ac:dyDescent="0.25">
      <c r="A362" t="s">
        <v>136</v>
      </c>
      <c r="B362" t="s">
        <v>506</v>
      </c>
      <c r="C362" t="str">
        <f t="shared" si="26"/>
        <v>ES</v>
      </c>
      <c r="D362" t="str">
        <f t="shared" si="27"/>
        <v>BRL</v>
      </c>
      <c r="E362" t="str">
        <f t="shared" si="25"/>
        <v>ESBRL</v>
      </c>
      <c r="F362" t="str">
        <f t="shared" si="28"/>
        <v>H</v>
      </c>
      <c r="G362" t="s">
        <v>507</v>
      </c>
      <c r="H362">
        <v>1</v>
      </c>
      <c r="I362">
        <v>0.15</v>
      </c>
      <c r="J362" t="str">
        <f t="shared" si="29"/>
        <v>ESL000BRLHI0ESLFER</v>
      </c>
      <c r="K362">
        <f>_xlfn.IFNA(IF(F362="H",VLOOKUP(E362,Fertiliser_data!$E$7:$L$267,8,FALSE),VLOOKUP(E362,Fertiliser_data!$E$7:$L$267,8,FALSE)*0.65),IF(F362="H",0.038,(0.038*0.65)))</f>
        <v>3.0997014925373136E-2</v>
      </c>
      <c r="L362">
        <f>IF($C362="IE",$K362*CF_231025!$E$16,$K362/VLOOKUP($C362,CF_231025!$A$2:$E$28,5,FALSE))</f>
        <v>1.0424286300705932E-2</v>
      </c>
    </row>
    <row r="363" spans="1:12" x14ac:dyDescent="0.25">
      <c r="A363" t="s">
        <v>136</v>
      </c>
      <c r="B363" t="s">
        <v>508</v>
      </c>
      <c r="C363" t="str">
        <f t="shared" si="26"/>
        <v>ES</v>
      </c>
      <c r="D363" t="str">
        <f t="shared" si="27"/>
        <v>BRL</v>
      </c>
      <c r="E363" t="str">
        <f t="shared" si="25"/>
        <v>ESBRL</v>
      </c>
      <c r="F363" t="str">
        <f t="shared" si="28"/>
        <v>H</v>
      </c>
      <c r="G363" t="s">
        <v>507</v>
      </c>
      <c r="H363">
        <v>1</v>
      </c>
      <c r="I363">
        <v>0.15</v>
      </c>
      <c r="J363" t="str">
        <f t="shared" si="29"/>
        <v>ESL000BRLHR0ESLFER</v>
      </c>
      <c r="K363">
        <f>_xlfn.IFNA(IF(F363="H",VLOOKUP(E363,Fertiliser_data!$E$7:$L$267,8,FALSE),VLOOKUP(E363,Fertiliser_data!$E$7:$L$267,8,FALSE)*0.65),IF(F363="H",0.038,(0.038*0.65)))</f>
        <v>3.0997014925373136E-2</v>
      </c>
      <c r="L363">
        <f>IF($C363="IE",$K363*CF_231025!$E$16,$K363/VLOOKUP($C363,CF_231025!$A$2:$E$28,5,FALSE))</f>
        <v>1.0424286300705932E-2</v>
      </c>
    </row>
    <row r="364" spans="1:12" x14ac:dyDescent="0.25">
      <c r="A364" t="s">
        <v>136</v>
      </c>
      <c r="B364" t="s">
        <v>509</v>
      </c>
      <c r="C364" t="str">
        <f t="shared" si="26"/>
        <v>ES</v>
      </c>
      <c r="D364" t="str">
        <f t="shared" si="27"/>
        <v>BRL</v>
      </c>
      <c r="E364" t="str">
        <f t="shared" si="25"/>
        <v>ESBRL</v>
      </c>
      <c r="F364" t="str">
        <f t="shared" si="28"/>
        <v>L</v>
      </c>
      <c r="G364" t="s">
        <v>507</v>
      </c>
      <c r="H364">
        <v>1</v>
      </c>
      <c r="I364">
        <v>0.06</v>
      </c>
      <c r="J364" t="str">
        <f t="shared" si="29"/>
        <v>ESL000BRLLI0ESLFER</v>
      </c>
      <c r="K364">
        <f>_xlfn.IFNA(IF(F364="H",VLOOKUP(E364,Fertiliser_data!$E$7:$L$267,8,FALSE),VLOOKUP(E364,Fertiliser_data!$E$7:$L$267,8,FALSE)*0.65),IF(F364="H",0.038,(0.038*0.65)))</f>
        <v>2.0148059701492537E-2</v>
      </c>
      <c r="L364">
        <f>IF($C364="IE",$K364*CF_231025!$E$16,$K364/VLOOKUP($C364,CF_231025!$A$2:$E$28,5,FALSE))</f>
        <v>6.775786095458855E-3</v>
      </c>
    </row>
    <row r="365" spans="1:12" x14ac:dyDescent="0.25">
      <c r="A365" t="s">
        <v>136</v>
      </c>
      <c r="B365" t="s">
        <v>510</v>
      </c>
      <c r="C365" t="str">
        <f t="shared" si="26"/>
        <v>ES</v>
      </c>
      <c r="D365" t="str">
        <f t="shared" si="27"/>
        <v>BRL</v>
      </c>
      <c r="E365" t="str">
        <f t="shared" si="25"/>
        <v>ESBRL</v>
      </c>
      <c r="F365" t="str">
        <f t="shared" si="28"/>
        <v>L</v>
      </c>
      <c r="G365" t="s">
        <v>507</v>
      </c>
      <c r="H365">
        <v>1</v>
      </c>
      <c r="I365">
        <v>0.06</v>
      </c>
      <c r="J365" t="str">
        <f t="shared" si="29"/>
        <v>ESL000BRLLR0ESLFER</v>
      </c>
      <c r="K365">
        <f>_xlfn.IFNA(IF(F365="H",VLOOKUP(E365,Fertiliser_data!$E$7:$L$267,8,FALSE),VLOOKUP(E365,Fertiliser_data!$E$7:$L$267,8,FALSE)*0.65),IF(F365="H",0.038,(0.038*0.65)))</f>
        <v>2.0148059701492537E-2</v>
      </c>
      <c r="L365">
        <f>IF($C365="IE",$K365*CF_231025!$E$16,$K365/VLOOKUP($C365,CF_231025!$A$2:$E$28,5,FALSE))</f>
        <v>6.775786095458855E-3</v>
      </c>
    </row>
    <row r="366" spans="1:12" x14ac:dyDescent="0.25">
      <c r="A366" t="s">
        <v>136</v>
      </c>
      <c r="B366" t="s">
        <v>511</v>
      </c>
      <c r="C366" t="str">
        <f t="shared" si="26"/>
        <v>ES</v>
      </c>
      <c r="D366" t="str">
        <f t="shared" si="27"/>
        <v>MAI</v>
      </c>
      <c r="E366" t="str">
        <f t="shared" si="25"/>
        <v>ESMAI</v>
      </c>
      <c r="F366" t="str">
        <f t="shared" si="28"/>
        <v>H</v>
      </c>
      <c r="G366" t="s">
        <v>507</v>
      </c>
      <c r="H366">
        <v>1</v>
      </c>
      <c r="I366">
        <v>0.16</v>
      </c>
      <c r="J366" t="str">
        <f t="shared" si="29"/>
        <v>ESL000MAIHI0ESLFER</v>
      </c>
      <c r="K366">
        <f>_xlfn.IFNA(IF(F366="H",VLOOKUP(E366,Fertiliser_data!$E$7:$L$267,8,FALSE),VLOOKUP(E366,Fertiliser_data!$E$7:$L$267,8,FALSE)*0.65),IF(F366="H",0.038,(0.038*0.65)))</f>
        <v>0.10982388059701494</v>
      </c>
      <c r="L366">
        <f>IF($C366="IE",$K366*CF_231025!$E$16,$K366/VLOOKUP($C366,CF_231025!$A$2:$E$28,5,FALSE))</f>
        <v>3.6933736256671026E-2</v>
      </c>
    </row>
    <row r="367" spans="1:12" x14ac:dyDescent="0.25">
      <c r="A367" t="s">
        <v>136</v>
      </c>
      <c r="B367" t="s">
        <v>512</v>
      </c>
      <c r="C367" t="str">
        <f t="shared" si="26"/>
        <v>ES</v>
      </c>
      <c r="D367" t="str">
        <f t="shared" si="27"/>
        <v>MAI</v>
      </c>
      <c r="E367" t="str">
        <f t="shared" si="25"/>
        <v>ESMAI</v>
      </c>
      <c r="F367" t="str">
        <f t="shared" si="28"/>
        <v>H</v>
      </c>
      <c r="G367" t="s">
        <v>507</v>
      </c>
      <c r="H367">
        <v>1</v>
      </c>
      <c r="I367">
        <v>0.16</v>
      </c>
      <c r="J367" t="str">
        <f t="shared" si="29"/>
        <v>ESL000MAIHR0ESLFER</v>
      </c>
      <c r="K367">
        <f>_xlfn.IFNA(IF(F367="H",VLOOKUP(E367,Fertiliser_data!$E$7:$L$267,8,FALSE),VLOOKUP(E367,Fertiliser_data!$E$7:$L$267,8,FALSE)*0.65),IF(F367="H",0.038,(0.038*0.65)))</f>
        <v>0.10982388059701494</v>
      </c>
      <c r="L367">
        <f>IF($C367="IE",$K367*CF_231025!$E$16,$K367/VLOOKUP($C367,CF_231025!$A$2:$E$28,5,FALSE))</f>
        <v>3.6933736256671026E-2</v>
      </c>
    </row>
    <row r="368" spans="1:12" x14ac:dyDescent="0.25">
      <c r="A368" t="s">
        <v>136</v>
      </c>
      <c r="B368" t="s">
        <v>513</v>
      </c>
      <c r="C368" t="str">
        <f t="shared" si="26"/>
        <v>ES</v>
      </c>
      <c r="D368" t="str">
        <f t="shared" si="27"/>
        <v>MAI</v>
      </c>
      <c r="E368" t="str">
        <f t="shared" si="25"/>
        <v>ESMAI</v>
      </c>
      <c r="F368" t="str">
        <f t="shared" si="28"/>
        <v>L</v>
      </c>
      <c r="G368" t="s">
        <v>507</v>
      </c>
      <c r="H368">
        <v>1</v>
      </c>
      <c r="I368">
        <v>0.06</v>
      </c>
      <c r="J368" t="str">
        <f t="shared" si="29"/>
        <v>ESL000MAILI0ESLFER</v>
      </c>
      <c r="K368">
        <f>_xlfn.IFNA(IF(F368="H",VLOOKUP(E368,Fertiliser_data!$E$7:$L$267,8,FALSE),VLOOKUP(E368,Fertiliser_data!$E$7:$L$267,8,FALSE)*0.65),IF(F368="H",0.038,(0.038*0.65)))</f>
        <v>7.1385522388059716E-2</v>
      </c>
      <c r="L368">
        <f>IF($C368="IE",$K368*CF_231025!$E$16,$K368/VLOOKUP($C368,CF_231025!$A$2:$E$28,5,FALSE))</f>
        <v>2.4006928566836172E-2</v>
      </c>
    </row>
    <row r="369" spans="1:12" x14ac:dyDescent="0.25">
      <c r="A369" t="s">
        <v>136</v>
      </c>
      <c r="B369" t="s">
        <v>514</v>
      </c>
      <c r="C369" t="str">
        <f t="shared" si="26"/>
        <v>ES</v>
      </c>
      <c r="D369" t="str">
        <f t="shared" si="27"/>
        <v>MAI</v>
      </c>
      <c r="E369" t="str">
        <f t="shared" si="25"/>
        <v>ESMAI</v>
      </c>
      <c r="F369" t="str">
        <f t="shared" si="28"/>
        <v>L</v>
      </c>
      <c r="G369" t="s">
        <v>507</v>
      </c>
      <c r="H369">
        <v>1</v>
      </c>
      <c r="I369">
        <v>0.06</v>
      </c>
      <c r="J369" t="str">
        <f t="shared" si="29"/>
        <v>ESL000MAILR0ESLFER</v>
      </c>
      <c r="K369">
        <f>_xlfn.IFNA(IF(F369="H",VLOOKUP(E369,Fertiliser_data!$E$7:$L$267,8,FALSE),VLOOKUP(E369,Fertiliser_data!$E$7:$L$267,8,FALSE)*0.65),IF(F369="H",0.038,(0.038*0.65)))</f>
        <v>7.1385522388059716E-2</v>
      </c>
      <c r="L369">
        <f>IF($C369="IE",$K369*CF_231025!$E$16,$K369/VLOOKUP($C369,CF_231025!$A$2:$E$28,5,FALSE))</f>
        <v>2.4006928566836172E-2</v>
      </c>
    </row>
    <row r="370" spans="1:12" x14ac:dyDescent="0.25">
      <c r="A370" t="s">
        <v>136</v>
      </c>
      <c r="B370" t="s">
        <v>515</v>
      </c>
      <c r="C370" t="str">
        <f t="shared" si="26"/>
        <v>ES</v>
      </c>
      <c r="D370" t="str">
        <f t="shared" si="27"/>
        <v>ALM</v>
      </c>
      <c r="E370" t="str">
        <f t="shared" si="25"/>
        <v>ESALM</v>
      </c>
      <c r="F370" t="str">
        <f t="shared" si="28"/>
        <v>H</v>
      </c>
      <c r="G370" t="s">
        <v>507</v>
      </c>
      <c r="H370">
        <v>1</v>
      </c>
      <c r="I370">
        <v>0.17</v>
      </c>
      <c r="J370" t="str">
        <f t="shared" si="29"/>
        <v>ESL000ALMHI0ESLFER</v>
      </c>
      <c r="K370">
        <f>_xlfn.IFNA(IF(F370="H",VLOOKUP(E370,Fertiliser_data!$E$7:$L$267,8,FALSE),VLOOKUP(E370,Fertiliser_data!$E$7:$L$267,8,FALSE)*0.65),IF(F370="H",0.038,(0.038*0.65)))</f>
        <v>0</v>
      </c>
      <c r="L370">
        <f>IF($C370="IE",$K370*CF_231025!$E$16,$K370/VLOOKUP($C370,CF_231025!$A$2:$E$28,5,FALSE))</f>
        <v>0</v>
      </c>
    </row>
    <row r="371" spans="1:12" x14ac:dyDescent="0.25">
      <c r="A371" t="s">
        <v>136</v>
      </c>
      <c r="B371" t="s">
        <v>516</v>
      </c>
      <c r="C371" t="str">
        <f t="shared" si="26"/>
        <v>ES</v>
      </c>
      <c r="D371" t="str">
        <f t="shared" si="27"/>
        <v>ALM</v>
      </c>
      <c r="E371" t="str">
        <f t="shared" si="25"/>
        <v>ESALM</v>
      </c>
      <c r="F371" t="str">
        <f t="shared" si="28"/>
        <v>H</v>
      </c>
      <c r="G371" t="s">
        <v>507</v>
      </c>
      <c r="H371">
        <v>1</v>
      </c>
      <c r="I371">
        <v>0.17</v>
      </c>
      <c r="J371" t="str">
        <f t="shared" si="29"/>
        <v>ESL000ALMHR0ESLFER</v>
      </c>
      <c r="K371">
        <f>_xlfn.IFNA(IF(F371="H",VLOOKUP(E371,Fertiliser_data!$E$7:$L$267,8,FALSE),VLOOKUP(E371,Fertiliser_data!$E$7:$L$267,8,FALSE)*0.65),IF(F371="H",0.038,(0.038*0.65)))</f>
        <v>0</v>
      </c>
      <c r="L371">
        <f>IF($C371="IE",$K371*CF_231025!$E$16,$K371/VLOOKUP($C371,CF_231025!$A$2:$E$28,5,FALSE))</f>
        <v>0</v>
      </c>
    </row>
    <row r="372" spans="1:12" x14ac:dyDescent="0.25">
      <c r="A372" t="s">
        <v>136</v>
      </c>
      <c r="B372" t="s">
        <v>517</v>
      </c>
      <c r="C372" t="str">
        <f t="shared" si="26"/>
        <v>ES</v>
      </c>
      <c r="D372" t="str">
        <f t="shared" si="27"/>
        <v>ALM</v>
      </c>
      <c r="E372" t="str">
        <f t="shared" si="25"/>
        <v>ESALM</v>
      </c>
      <c r="F372" t="str">
        <f t="shared" si="28"/>
        <v>L</v>
      </c>
      <c r="G372" t="s">
        <v>507</v>
      </c>
      <c r="H372">
        <v>1</v>
      </c>
      <c r="I372">
        <v>0.06</v>
      </c>
      <c r="J372" t="str">
        <f t="shared" si="29"/>
        <v>ESL000ALMLI0ESLFER</v>
      </c>
      <c r="K372">
        <f>_xlfn.IFNA(IF(F372="H",VLOOKUP(E372,Fertiliser_data!$E$7:$L$267,8,FALSE),VLOOKUP(E372,Fertiliser_data!$E$7:$L$267,8,FALSE)*0.65),IF(F372="H",0.038,(0.038*0.65)))</f>
        <v>0</v>
      </c>
      <c r="L372">
        <f>IF($C372="IE",$K372*CF_231025!$E$16,$K372/VLOOKUP($C372,CF_231025!$A$2:$E$28,5,FALSE))</f>
        <v>0</v>
      </c>
    </row>
    <row r="373" spans="1:12" x14ac:dyDescent="0.25">
      <c r="A373" t="s">
        <v>136</v>
      </c>
      <c r="B373" t="s">
        <v>518</v>
      </c>
      <c r="C373" t="str">
        <f t="shared" si="26"/>
        <v>ES</v>
      </c>
      <c r="D373" t="str">
        <f t="shared" si="27"/>
        <v>ALM</v>
      </c>
      <c r="E373" t="str">
        <f t="shared" si="25"/>
        <v>ESALM</v>
      </c>
      <c r="F373" t="str">
        <f t="shared" si="28"/>
        <v>L</v>
      </c>
      <c r="G373" t="s">
        <v>507</v>
      </c>
      <c r="H373">
        <v>1</v>
      </c>
      <c r="I373">
        <v>0.06</v>
      </c>
      <c r="J373" t="str">
        <f t="shared" si="29"/>
        <v>ESL000ALMLR0ESLFER</v>
      </c>
      <c r="K373">
        <f>_xlfn.IFNA(IF(F373="H",VLOOKUP(E373,Fertiliser_data!$E$7:$L$267,8,FALSE),VLOOKUP(E373,Fertiliser_data!$E$7:$L$267,8,FALSE)*0.65),IF(F373="H",0.038,(0.038*0.65)))</f>
        <v>0</v>
      </c>
      <c r="L373">
        <f>IF($C373="IE",$K373*CF_231025!$E$16,$K373/VLOOKUP($C373,CF_231025!$A$2:$E$28,5,FALSE))</f>
        <v>0</v>
      </c>
    </row>
    <row r="374" spans="1:12" x14ac:dyDescent="0.25">
      <c r="A374" t="s">
        <v>136</v>
      </c>
      <c r="B374" t="s">
        <v>519</v>
      </c>
      <c r="C374" t="str">
        <f t="shared" si="26"/>
        <v>ES</v>
      </c>
      <c r="D374" t="str">
        <f t="shared" si="27"/>
        <v>RYE</v>
      </c>
      <c r="E374" t="str">
        <f t="shared" si="25"/>
        <v>ESRYE</v>
      </c>
      <c r="F374" t="str">
        <f t="shared" si="28"/>
        <v>H</v>
      </c>
      <c r="G374" t="s">
        <v>507</v>
      </c>
      <c r="H374">
        <v>1</v>
      </c>
      <c r="I374">
        <v>0.11</v>
      </c>
      <c r="J374" t="str">
        <f t="shared" si="29"/>
        <v>ESL000RYEHI0ESLFER</v>
      </c>
      <c r="K374">
        <f>_xlfn.IFNA(IF(F374="H",VLOOKUP(E374,Fertiliser_data!$E$7:$L$267,8,FALSE),VLOOKUP(E374,Fertiliser_data!$E$7:$L$267,8,FALSE)*0.65),IF(F374="H",0.038,(0.038*0.65)))</f>
        <v>3.7999999999999999E-2</v>
      </c>
      <c r="L374">
        <f>IF($C374="IE",$K374*CF_231025!$E$16,$K374/VLOOKUP($C374,CF_231025!$A$2:$E$28,5,FALSE))</f>
        <v>1.277938796301873E-2</v>
      </c>
    </row>
    <row r="375" spans="1:12" x14ac:dyDescent="0.25">
      <c r="A375" t="s">
        <v>136</v>
      </c>
      <c r="B375" t="s">
        <v>520</v>
      </c>
      <c r="C375" t="str">
        <f t="shared" si="26"/>
        <v>ES</v>
      </c>
      <c r="D375" t="str">
        <f t="shared" si="27"/>
        <v>RYE</v>
      </c>
      <c r="E375" t="str">
        <f t="shared" si="25"/>
        <v>ESRYE</v>
      </c>
      <c r="F375" t="str">
        <f t="shared" si="28"/>
        <v>H</v>
      </c>
      <c r="G375" t="s">
        <v>507</v>
      </c>
      <c r="H375">
        <v>1</v>
      </c>
      <c r="I375">
        <v>0.11</v>
      </c>
      <c r="J375" t="str">
        <f t="shared" si="29"/>
        <v>ESL000RYEHR0ESLFER</v>
      </c>
      <c r="K375">
        <f>_xlfn.IFNA(IF(F375="H",VLOOKUP(E375,Fertiliser_data!$E$7:$L$267,8,FALSE),VLOOKUP(E375,Fertiliser_data!$E$7:$L$267,8,FALSE)*0.65),IF(F375="H",0.038,(0.038*0.65)))</f>
        <v>3.7999999999999999E-2</v>
      </c>
      <c r="L375">
        <f>IF($C375="IE",$K375*CF_231025!$E$16,$K375/VLOOKUP($C375,CF_231025!$A$2:$E$28,5,FALSE))</f>
        <v>1.277938796301873E-2</v>
      </c>
    </row>
    <row r="376" spans="1:12" x14ac:dyDescent="0.25">
      <c r="A376" t="s">
        <v>136</v>
      </c>
      <c r="B376" t="s">
        <v>521</v>
      </c>
      <c r="C376" t="str">
        <f t="shared" si="26"/>
        <v>ES</v>
      </c>
      <c r="D376" t="str">
        <f t="shared" si="27"/>
        <v>RYE</v>
      </c>
      <c r="E376" t="str">
        <f t="shared" si="25"/>
        <v>ESRYE</v>
      </c>
      <c r="F376" t="str">
        <f t="shared" si="28"/>
        <v>L</v>
      </c>
      <c r="G376" t="s">
        <v>507</v>
      </c>
      <c r="H376">
        <v>1</v>
      </c>
      <c r="I376">
        <v>0.04</v>
      </c>
      <c r="J376" t="str">
        <f t="shared" si="29"/>
        <v>ESL000RYELI0ESLFER</v>
      </c>
      <c r="K376">
        <f>_xlfn.IFNA(IF(F376="H",VLOOKUP(E376,Fertiliser_data!$E$7:$L$267,8,FALSE),VLOOKUP(E376,Fertiliser_data!$E$7:$L$267,8,FALSE)*0.65),IF(F376="H",0.038,(0.038*0.65)))</f>
        <v>2.47E-2</v>
      </c>
      <c r="L376">
        <f>IF($C376="IE",$K376*CF_231025!$E$16,$K376/VLOOKUP($C376,CF_231025!$A$2:$E$28,5,FALSE))</f>
        <v>8.3066021759621751E-3</v>
      </c>
    </row>
    <row r="377" spans="1:12" x14ac:dyDescent="0.25">
      <c r="A377" t="s">
        <v>136</v>
      </c>
      <c r="B377" t="s">
        <v>522</v>
      </c>
      <c r="C377" t="str">
        <f t="shared" si="26"/>
        <v>ES</v>
      </c>
      <c r="D377" t="str">
        <f t="shared" si="27"/>
        <v>RYE</v>
      </c>
      <c r="E377" t="str">
        <f t="shared" si="25"/>
        <v>ESRYE</v>
      </c>
      <c r="F377" t="str">
        <f t="shared" si="28"/>
        <v>L</v>
      </c>
      <c r="G377" t="s">
        <v>507</v>
      </c>
      <c r="H377">
        <v>1</v>
      </c>
      <c r="I377">
        <v>0.04</v>
      </c>
      <c r="J377" t="str">
        <f t="shared" si="29"/>
        <v>ESL000RYELR0ESLFER</v>
      </c>
      <c r="K377">
        <f>_xlfn.IFNA(IF(F377="H",VLOOKUP(E377,Fertiliser_data!$E$7:$L$267,8,FALSE),VLOOKUP(E377,Fertiliser_data!$E$7:$L$267,8,FALSE)*0.65),IF(F377="H",0.038,(0.038*0.65)))</f>
        <v>2.47E-2</v>
      </c>
      <c r="L377">
        <f>IF($C377="IE",$K377*CF_231025!$E$16,$K377/VLOOKUP($C377,CF_231025!$A$2:$E$28,5,FALSE))</f>
        <v>8.3066021759621751E-3</v>
      </c>
    </row>
    <row r="378" spans="1:12" x14ac:dyDescent="0.25">
      <c r="A378" t="s">
        <v>136</v>
      </c>
      <c r="B378" t="s">
        <v>523</v>
      </c>
      <c r="C378" t="str">
        <f t="shared" si="26"/>
        <v>ES</v>
      </c>
      <c r="D378" t="str">
        <f t="shared" si="27"/>
        <v>OTH</v>
      </c>
      <c r="E378" t="str">
        <f t="shared" si="25"/>
        <v>ESOTH</v>
      </c>
      <c r="F378" t="str">
        <f t="shared" si="28"/>
        <v>H</v>
      </c>
      <c r="G378" t="s">
        <v>507</v>
      </c>
      <c r="H378">
        <v>1</v>
      </c>
      <c r="I378">
        <v>0.17</v>
      </c>
      <c r="J378" t="str">
        <f t="shared" si="29"/>
        <v>ESL000OTHHI0ESLFER</v>
      </c>
      <c r="K378">
        <f>_xlfn.IFNA(IF(F378="H",VLOOKUP(E378,Fertiliser_data!$E$7:$L$267,8,FALSE),VLOOKUP(E378,Fertiliser_data!$E$7:$L$267,8,FALSE)*0.65),IF(F378="H",0.038,(0.038*0.65)))</f>
        <v>3.7999999999999999E-2</v>
      </c>
      <c r="L378">
        <f>IF($C378="IE",$K378*CF_231025!$E$16,$K378/VLOOKUP($C378,CF_231025!$A$2:$E$28,5,FALSE))</f>
        <v>1.277938796301873E-2</v>
      </c>
    </row>
    <row r="379" spans="1:12" x14ac:dyDescent="0.25">
      <c r="A379" t="s">
        <v>136</v>
      </c>
      <c r="B379" t="s">
        <v>524</v>
      </c>
      <c r="C379" t="str">
        <f t="shared" si="26"/>
        <v>ES</v>
      </c>
      <c r="D379" t="str">
        <f t="shared" si="27"/>
        <v>OTH</v>
      </c>
      <c r="E379" t="str">
        <f t="shared" si="25"/>
        <v>ESOTH</v>
      </c>
      <c r="F379" t="str">
        <f t="shared" si="28"/>
        <v>H</v>
      </c>
      <c r="G379" t="s">
        <v>507</v>
      </c>
      <c r="H379">
        <v>1</v>
      </c>
      <c r="I379">
        <v>0.17</v>
      </c>
      <c r="J379" t="str">
        <f t="shared" si="29"/>
        <v>ESL000OTHHR0ESLFER</v>
      </c>
      <c r="K379">
        <f>_xlfn.IFNA(IF(F379="H",VLOOKUP(E379,Fertiliser_data!$E$7:$L$267,8,FALSE),VLOOKUP(E379,Fertiliser_data!$E$7:$L$267,8,FALSE)*0.65),IF(F379="H",0.038,(0.038*0.65)))</f>
        <v>3.7999999999999999E-2</v>
      </c>
      <c r="L379">
        <f>IF($C379="IE",$K379*CF_231025!$E$16,$K379/VLOOKUP($C379,CF_231025!$A$2:$E$28,5,FALSE))</f>
        <v>1.277938796301873E-2</v>
      </c>
    </row>
    <row r="380" spans="1:12" x14ac:dyDescent="0.25">
      <c r="A380" t="s">
        <v>136</v>
      </c>
      <c r="B380" t="s">
        <v>525</v>
      </c>
      <c r="C380" t="str">
        <f t="shared" si="26"/>
        <v>ES</v>
      </c>
      <c r="D380" t="str">
        <f t="shared" si="27"/>
        <v>OTH</v>
      </c>
      <c r="E380" t="str">
        <f t="shared" si="25"/>
        <v>ESOTH</v>
      </c>
      <c r="F380" t="str">
        <f t="shared" si="28"/>
        <v>L</v>
      </c>
      <c r="G380" t="s">
        <v>507</v>
      </c>
      <c r="H380">
        <v>1</v>
      </c>
      <c r="I380">
        <v>0.06</v>
      </c>
      <c r="J380" t="str">
        <f t="shared" si="29"/>
        <v>ESL000OTHLI0ESLFER</v>
      </c>
      <c r="K380">
        <f>_xlfn.IFNA(IF(F380="H",VLOOKUP(E380,Fertiliser_data!$E$7:$L$267,8,FALSE),VLOOKUP(E380,Fertiliser_data!$E$7:$L$267,8,FALSE)*0.65),IF(F380="H",0.038,(0.038*0.65)))</f>
        <v>2.47E-2</v>
      </c>
      <c r="L380">
        <f>IF($C380="IE",$K380*CF_231025!$E$16,$K380/VLOOKUP($C380,CF_231025!$A$2:$E$28,5,FALSE))</f>
        <v>8.3066021759621751E-3</v>
      </c>
    </row>
    <row r="381" spans="1:12" x14ac:dyDescent="0.25">
      <c r="A381" t="s">
        <v>136</v>
      </c>
      <c r="B381" t="s">
        <v>526</v>
      </c>
      <c r="C381" t="str">
        <f t="shared" si="26"/>
        <v>ES</v>
      </c>
      <c r="D381" t="str">
        <f t="shared" si="27"/>
        <v>OTH</v>
      </c>
      <c r="E381" t="str">
        <f t="shared" si="25"/>
        <v>ESOTH</v>
      </c>
      <c r="F381" t="str">
        <f t="shared" si="28"/>
        <v>L</v>
      </c>
      <c r="G381" t="s">
        <v>507</v>
      </c>
      <c r="H381">
        <v>1</v>
      </c>
      <c r="I381">
        <v>0.06</v>
      </c>
      <c r="J381" t="str">
        <f t="shared" si="29"/>
        <v>ESL000OTHLR0ESLFER</v>
      </c>
      <c r="K381">
        <f>_xlfn.IFNA(IF(F381="H",VLOOKUP(E381,Fertiliser_data!$E$7:$L$267,8,FALSE),VLOOKUP(E381,Fertiliser_data!$E$7:$L$267,8,FALSE)*0.65),IF(F381="H",0.038,(0.038*0.65)))</f>
        <v>2.47E-2</v>
      </c>
      <c r="L381">
        <f>IF($C381="IE",$K381*CF_231025!$E$16,$K381/VLOOKUP($C381,CF_231025!$A$2:$E$28,5,FALSE))</f>
        <v>8.3066021759621751E-3</v>
      </c>
    </row>
    <row r="382" spans="1:12" x14ac:dyDescent="0.25">
      <c r="A382" t="s">
        <v>136</v>
      </c>
      <c r="B382" t="s">
        <v>527</v>
      </c>
      <c r="C382" t="str">
        <f t="shared" si="26"/>
        <v>ES</v>
      </c>
      <c r="D382" t="str">
        <f t="shared" si="27"/>
        <v>OAT</v>
      </c>
      <c r="E382" t="str">
        <f t="shared" si="25"/>
        <v>ESOAT</v>
      </c>
      <c r="F382" t="str">
        <f t="shared" si="28"/>
        <v>H</v>
      </c>
      <c r="G382" t="s">
        <v>507</v>
      </c>
      <c r="H382">
        <v>1</v>
      </c>
      <c r="I382">
        <v>0.11</v>
      </c>
      <c r="J382" t="str">
        <f t="shared" si="29"/>
        <v>ESL000OATHI0ESLFER</v>
      </c>
      <c r="K382">
        <f>_xlfn.IFNA(IF(F382="H",VLOOKUP(E382,Fertiliser_data!$E$7:$L$267,8,FALSE),VLOOKUP(E382,Fertiliser_data!$E$7:$L$267,8,FALSE)*0.65),IF(F382="H",0.038,(0.038*0.65)))</f>
        <v>3.0997014925373136E-2</v>
      </c>
      <c r="L382">
        <f>IF($C382="IE",$K382*CF_231025!$E$16,$K382/VLOOKUP($C382,CF_231025!$A$2:$E$28,5,FALSE))</f>
        <v>1.0424286300705932E-2</v>
      </c>
    </row>
    <row r="383" spans="1:12" x14ac:dyDescent="0.25">
      <c r="A383" t="s">
        <v>136</v>
      </c>
      <c r="B383" t="s">
        <v>528</v>
      </c>
      <c r="C383" t="str">
        <f t="shared" si="26"/>
        <v>ES</v>
      </c>
      <c r="D383" t="str">
        <f t="shared" si="27"/>
        <v>OAT</v>
      </c>
      <c r="E383" t="str">
        <f t="shared" si="25"/>
        <v>ESOAT</v>
      </c>
      <c r="F383" t="str">
        <f t="shared" si="28"/>
        <v>H</v>
      </c>
      <c r="G383" t="s">
        <v>507</v>
      </c>
      <c r="H383">
        <v>1</v>
      </c>
      <c r="I383">
        <v>0.11</v>
      </c>
      <c r="J383" t="str">
        <f t="shared" si="29"/>
        <v>ESL000OATHR0ESLFER</v>
      </c>
      <c r="K383">
        <f>_xlfn.IFNA(IF(F383="H",VLOOKUP(E383,Fertiliser_data!$E$7:$L$267,8,FALSE),VLOOKUP(E383,Fertiliser_data!$E$7:$L$267,8,FALSE)*0.65),IF(F383="H",0.038,(0.038*0.65)))</f>
        <v>3.0997014925373136E-2</v>
      </c>
      <c r="L383">
        <f>IF($C383="IE",$K383*CF_231025!$E$16,$K383/VLOOKUP($C383,CF_231025!$A$2:$E$28,5,FALSE))</f>
        <v>1.0424286300705932E-2</v>
      </c>
    </row>
    <row r="384" spans="1:12" x14ac:dyDescent="0.25">
      <c r="A384" t="s">
        <v>136</v>
      </c>
      <c r="B384" t="s">
        <v>529</v>
      </c>
      <c r="C384" t="str">
        <f t="shared" si="26"/>
        <v>ES</v>
      </c>
      <c r="D384" t="str">
        <f t="shared" si="27"/>
        <v>OAT</v>
      </c>
      <c r="E384" t="str">
        <f t="shared" si="25"/>
        <v>ESOAT</v>
      </c>
      <c r="F384" t="str">
        <f t="shared" si="28"/>
        <v>L</v>
      </c>
      <c r="G384" t="s">
        <v>507</v>
      </c>
      <c r="H384">
        <v>1</v>
      </c>
      <c r="I384">
        <v>0.04</v>
      </c>
      <c r="J384" t="str">
        <f t="shared" si="29"/>
        <v>ESL000OATLI0ESLFER</v>
      </c>
      <c r="K384">
        <f>_xlfn.IFNA(IF(F384="H",VLOOKUP(E384,Fertiliser_data!$E$7:$L$267,8,FALSE),VLOOKUP(E384,Fertiliser_data!$E$7:$L$267,8,FALSE)*0.65),IF(F384="H",0.038,(0.038*0.65)))</f>
        <v>2.0148059701492537E-2</v>
      </c>
      <c r="L384">
        <f>IF($C384="IE",$K384*CF_231025!$E$16,$K384/VLOOKUP($C384,CF_231025!$A$2:$E$28,5,FALSE))</f>
        <v>6.775786095458855E-3</v>
      </c>
    </row>
    <row r="385" spans="1:12" x14ac:dyDescent="0.25">
      <c r="A385" t="s">
        <v>136</v>
      </c>
      <c r="B385" t="s">
        <v>530</v>
      </c>
      <c r="C385" t="str">
        <f t="shared" si="26"/>
        <v>ES</v>
      </c>
      <c r="D385" t="str">
        <f t="shared" si="27"/>
        <v>OAT</v>
      </c>
      <c r="E385" t="str">
        <f t="shared" si="25"/>
        <v>ESOAT</v>
      </c>
      <c r="F385" t="str">
        <f t="shared" si="28"/>
        <v>L</v>
      </c>
      <c r="G385" t="s">
        <v>507</v>
      </c>
      <c r="H385">
        <v>1</v>
      </c>
      <c r="I385">
        <v>0.04</v>
      </c>
      <c r="J385" t="str">
        <f t="shared" si="29"/>
        <v>ESL000OATLR0ESLFER</v>
      </c>
      <c r="K385">
        <f>_xlfn.IFNA(IF(F385="H",VLOOKUP(E385,Fertiliser_data!$E$7:$L$267,8,FALSE),VLOOKUP(E385,Fertiliser_data!$E$7:$L$267,8,FALSE)*0.65),IF(F385="H",0.038,(0.038*0.65)))</f>
        <v>2.0148059701492537E-2</v>
      </c>
      <c r="L385">
        <f>IF($C385="IE",$K385*CF_231025!$E$16,$K385/VLOOKUP($C385,CF_231025!$A$2:$E$28,5,FALSE))</f>
        <v>6.775786095458855E-3</v>
      </c>
    </row>
    <row r="386" spans="1:12" x14ac:dyDescent="0.25">
      <c r="A386" t="s">
        <v>136</v>
      </c>
      <c r="B386" t="s">
        <v>531</v>
      </c>
      <c r="C386" t="str">
        <f t="shared" si="26"/>
        <v>ES</v>
      </c>
      <c r="D386" t="str">
        <f t="shared" si="27"/>
        <v>WHE</v>
      </c>
      <c r="E386" t="str">
        <f t="shared" ref="E386:E449" si="30">C386&amp;D386</f>
        <v>ESWHE</v>
      </c>
      <c r="F386" t="str">
        <f t="shared" si="28"/>
        <v>H</v>
      </c>
      <c r="G386" t="s">
        <v>507</v>
      </c>
      <c r="H386">
        <v>1</v>
      </c>
      <c r="I386">
        <v>0.2</v>
      </c>
      <c r="J386" t="str">
        <f t="shared" si="29"/>
        <v>ESL000WHEHI0ESLFER</v>
      </c>
      <c r="K386">
        <f>_xlfn.IFNA(IF(F386="H",VLOOKUP(E386,Fertiliser_data!$E$7:$L$267,8,FALSE),VLOOKUP(E386,Fertiliser_data!$E$7:$L$267,8,FALSE)*0.65),IF(F386="H",0.038,(0.038*0.65)))</f>
        <v>6.3877611940298507E-2</v>
      </c>
      <c r="L386">
        <f>IF($C386="IE",$K386*CF_231025!$E$16,$K386/VLOOKUP($C386,CF_231025!$A$2:$E$28,5,FALSE))</f>
        <v>2.1482020661479799E-2</v>
      </c>
    </row>
    <row r="387" spans="1:12" x14ac:dyDescent="0.25">
      <c r="A387" t="s">
        <v>136</v>
      </c>
      <c r="B387" t="s">
        <v>532</v>
      </c>
      <c r="C387" t="str">
        <f t="shared" ref="C387:C450" si="31">LEFT(B387,2)</f>
        <v>ES</v>
      </c>
      <c r="D387" t="str">
        <f t="shared" ref="D387:D450" si="32">MID(B387,7,3)</f>
        <v>WHE</v>
      </c>
      <c r="E387" t="str">
        <f t="shared" si="30"/>
        <v>ESWHE</v>
      </c>
      <c r="F387" t="str">
        <f t="shared" ref="F387:F450" si="33">MID(B387,10,1)</f>
        <v>H</v>
      </c>
      <c r="G387" t="s">
        <v>507</v>
      </c>
      <c r="H387">
        <v>1</v>
      </c>
      <c r="I387">
        <v>0.2</v>
      </c>
      <c r="J387" t="str">
        <f t="shared" ref="J387:J450" si="34">B387&amp;G387</f>
        <v>ESL000WHEHR0ESLFER</v>
      </c>
      <c r="K387">
        <f>_xlfn.IFNA(IF(F387="H",VLOOKUP(E387,Fertiliser_data!$E$7:$L$267,8,FALSE),VLOOKUP(E387,Fertiliser_data!$E$7:$L$267,8,FALSE)*0.65),IF(F387="H",0.038,(0.038*0.65)))</f>
        <v>6.3877611940298507E-2</v>
      </c>
      <c r="L387">
        <f>IF($C387="IE",$K387*CF_231025!$E$16,$K387/VLOOKUP($C387,CF_231025!$A$2:$E$28,5,FALSE))</f>
        <v>2.1482020661479799E-2</v>
      </c>
    </row>
    <row r="388" spans="1:12" x14ac:dyDescent="0.25">
      <c r="A388" t="s">
        <v>136</v>
      </c>
      <c r="B388" t="s">
        <v>533</v>
      </c>
      <c r="C388" t="str">
        <f t="shared" si="31"/>
        <v>ES</v>
      </c>
      <c r="D388" t="str">
        <f t="shared" si="32"/>
        <v>WHE</v>
      </c>
      <c r="E388" t="str">
        <f t="shared" si="30"/>
        <v>ESWHE</v>
      </c>
      <c r="F388" t="str">
        <f t="shared" si="33"/>
        <v>L</v>
      </c>
      <c r="G388" t="s">
        <v>507</v>
      </c>
      <c r="H388">
        <v>1</v>
      </c>
      <c r="I388">
        <v>7.0000000000000007E-2</v>
      </c>
      <c r="J388" t="str">
        <f t="shared" si="34"/>
        <v>ESL000WHELI0ESLFER</v>
      </c>
      <c r="K388">
        <f>_xlfn.IFNA(IF(F388="H",VLOOKUP(E388,Fertiliser_data!$E$7:$L$267,8,FALSE),VLOOKUP(E388,Fertiliser_data!$E$7:$L$267,8,FALSE)*0.65),IF(F388="H",0.038,(0.038*0.65)))</f>
        <v>4.1520447761194033E-2</v>
      </c>
      <c r="L388">
        <f>IF($C388="IE",$K388*CF_231025!$E$16,$K388/VLOOKUP($C388,CF_231025!$A$2:$E$28,5,FALSE))</f>
        <v>1.396331342996187E-2</v>
      </c>
    </row>
    <row r="389" spans="1:12" x14ac:dyDescent="0.25">
      <c r="A389" t="s">
        <v>136</v>
      </c>
      <c r="B389" t="s">
        <v>534</v>
      </c>
      <c r="C389" t="str">
        <f t="shared" si="31"/>
        <v>ES</v>
      </c>
      <c r="D389" t="str">
        <f t="shared" si="32"/>
        <v>WHE</v>
      </c>
      <c r="E389" t="str">
        <f t="shared" si="30"/>
        <v>ESWHE</v>
      </c>
      <c r="F389" t="str">
        <f t="shared" si="33"/>
        <v>L</v>
      </c>
      <c r="G389" t="s">
        <v>507</v>
      </c>
      <c r="H389">
        <v>1</v>
      </c>
      <c r="I389">
        <v>7.0000000000000007E-2</v>
      </c>
      <c r="J389" t="str">
        <f t="shared" si="34"/>
        <v>ESL000WHELR0ESLFER</v>
      </c>
      <c r="K389">
        <f>_xlfn.IFNA(IF(F389="H",VLOOKUP(E389,Fertiliser_data!$E$7:$L$267,8,FALSE),VLOOKUP(E389,Fertiliser_data!$E$7:$L$267,8,FALSE)*0.65),IF(F389="H",0.038,(0.038*0.65)))</f>
        <v>4.1520447761194033E-2</v>
      </c>
      <c r="L389">
        <f>IF($C389="IE",$K389*CF_231025!$E$16,$K389/VLOOKUP($C389,CF_231025!$A$2:$E$28,5,FALSE))</f>
        <v>1.396331342996187E-2</v>
      </c>
    </row>
    <row r="390" spans="1:12" x14ac:dyDescent="0.25">
      <c r="A390" t="s">
        <v>136</v>
      </c>
      <c r="B390" t="s">
        <v>535</v>
      </c>
      <c r="C390" t="str">
        <f t="shared" si="31"/>
        <v>ES</v>
      </c>
      <c r="D390" t="str">
        <f t="shared" si="32"/>
        <v>GRP</v>
      </c>
      <c r="E390" t="str">
        <f t="shared" si="30"/>
        <v>ESGRP</v>
      </c>
      <c r="F390" t="str">
        <f t="shared" si="33"/>
        <v>H</v>
      </c>
      <c r="G390" t="s">
        <v>507</v>
      </c>
      <c r="H390">
        <v>1</v>
      </c>
      <c r="I390">
        <v>0.17</v>
      </c>
      <c r="J390" t="str">
        <f t="shared" si="34"/>
        <v>ESL000GRPHI0ESLFER</v>
      </c>
      <c r="K390">
        <f>_xlfn.IFNA(IF(F390="H",VLOOKUP(E390,Fertiliser_data!$E$7:$L$267,8,FALSE),VLOOKUP(E390,Fertiliser_data!$E$7:$L$267,8,FALSE)*0.65),IF(F390="H",0.038,(0.038*0.65)))</f>
        <v>1.1671641791044777E-2</v>
      </c>
      <c r="L390">
        <f>IF($C390="IE",$K390*CF_231025!$E$16,$K390/VLOOKUP($C390,CF_231025!$A$2:$E$28,5,FALSE))</f>
        <v>3.9251694371880003E-3</v>
      </c>
    </row>
    <row r="391" spans="1:12" x14ac:dyDescent="0.25">
      <c r="A391" t="s">
        <v>136</v>
      </c>
      <c r="B391" t="s">
        <v>536</v>
      </c>
      <c r="C391" t="str">
        <f t="shared" si="31"/>
        <v>ES</v>
      </c>
      <c r="D391" t="str">
        <f t="shared" si="32"/>
        <v>GRP</v>
      </c>
      <c r="E391" t="str">
        <f t="shared" si="30"/>
        <v>ESGRP</v>
      </c>
      <c r="F391" t="str">
        <f t="shared" si="33"/>
        <v>H</v>
      </c>
      <c r="G391" t="s">
        <v>507</v>
      </c>
      <c r="H391">
        <v>1</v>
      </c>
      <c r="I391">
        <v>0.17</v>
      </c>
      <c r="J391" t="str">
        <f t="shared" si="34"/>
        <v>ESL000GRPHR0ESLFER</v>
      </c>
      <c r="K391">
        <f>_xlfn.IFNA(IF(F391="H",VLOOKUP(E391,Fertiliser_data!$E$7:$L$267,8,FALSE),VLOOKUP(E391,Fertiliser_data!$E$7:$L$267,8,FALSE)*0.65),IF(F391="H",0.038,(0.038*0.65)))</f>
        <v>1.1671641791044777E-2</v>
      </c>
      <c r="L391">
        <f>IF($C391="IE",$K391*CF_231025!$E$16,$K391/VLOOKUP($C391,CF_231025!$A$2:$E$28,5,FALSE))</f>
        <v>3.9251694371880003E-3</v>
      </c>
    </row>
    <row r="392" spans="1:12" x14ac:dyDescent="0.25">
      <c r="A392" t="s">
        <v>136</v>
      </c>
      <c r="B392" t="s">
        <v>537</v>
      </c>
      <c r="C392" t="str">
        <f t="shared" si="31"/>
        <v>ES</v>
      </c>
      <c r="D392" t="str">
        <f t="shared" si="32"/>
        <v>GRP</v>
      </c>
      <c r="E392" t="str">
        <f t="shared" si="30"/>
        <v>ESGRP</v>
      </c>
      <c r="F392" t="str">
        <f t="shared" si="33"/>
        <v>L</v>
      </c>
      <c r="G392" t="s">
        <v>507</v>
      </c>
      <c r="H392">
        <v>1</v>
      </c>
      <c r="I392">
        <v>0.06</v>
      </c>
      <c r="J392" t="str">
        <f t="shared" si="34"/>
        <v>ESL000GRPLI0ESLFER</v>
      </c>
      <c r="K392">
        <f>_xlfn.IFNA(IF(F392="H",VLOOKUP(E392,Fertiliser_data!$E$7:$L$267,8,FALSE),VLOOKUP(E392,Fertiliser_data!$E$7:$L$267,8,FALSE)*0.65),IF(F392="H",0.038,(0.038*0.65)))</f>
        <v>7.586567164179105E-3</v>
      </c>
      <c r="L392">
        <f>IF($C392="IE",$K392*CF_231025!$E$16,$K392/VLOOKUP($C392,CF_231025!$A$2:$E$28,5,FALSE))</f>
        <v>2.5513601341722002E-3</v>
      </c>
    </row>
    <row r="393" spans="1:12" x14ac:dyDescent="0.25">
      <c r="A393" t="s">
        <v>136</v>
      </c>
      <c r="B393" t="s">
        <v>538</v>
      </c>
      <c r="C393" t="str">
        <f t="shared" si="31"/>
        <v>ES</v>
      </c>
      <c r="D393" t="str">
        <f t="shared" si="32"/>
        <v>GRP</v>
      </c>
      <c r="E393" t="str">
        <f t="shared" si="30"/>
        <v>ESGRP</v>
      </c>
      <c r="F393" t="str">
        <f t="shared" si="33"/>
        <v>L</v>
      </c>
      <c r="G393" t="s">
        <v>507</v>
      </c>
      <c r="H393">
        <v>1</v>
      </c>
      <c r="I393">
        <v>0.06</v>
      </c>
      <c r="J393" t="str">
        <f t="shared" si="34"/>
        <v>ESL000GRPLR0ESLFER</v>
      </c>
      <c r="K393">
        <f>_xlfn.IFNA(IF(F393="H",VLOOKUP(E393,Fertiliser_data!$E$7:$L$267,8,FALSE),VLOOKUP(E393,Fertiliser_data!$E$7:$L$267,8,FALSE)*0.65),IF(F393="H",0.038,(0.038*0.65)))</f>
        <v>7.586567164179105E-3</v>
      </c>
      <c r="L393">
        <f>IF($C393="IE",$K393*CF_231025!$E$16,$K393/VLOOKUP($C393,CF_231025!$A$2:$E$28,5,FALSE))</f>
        <v>2.5513601341722002E-3</v>
      </c>
    </row>
    <row r="394" spans="1:12" x14ac:dyDescent="0.25">
      <c r="A394" t="s">
        <v>136</v>
      </c>
      <c r="B394" t="s">
        <v>539</v>
      </c>
      <c r="C394" t="str">
        <f t="shared" si="31"/>
        <v>ES</v>
      </c>
      <c r="D394" t="str">
        <f t="shared" si="32"/>
        <v>SUN</v>
      </c>
      <c r="E394" t="str">
        <f t="shared" si="30"/>
        <v>ESSUN</v>
      </c>
      <c r="F394" t="str">
        <f t="shared" si="33"/>
        <v>H</v>
      </c>
      <c r="G394" t="s">
        <v>507</v>
      </c>
      <c r="H394">
        <v>1</v>
      </c>
      <c r="I394">
        <v>0.19</v>
      </c>
      <c r="J394" t="str">
        <f t="shared" si="34"/>
        <v>ESL000SUNHI0ESLFER</v>
      </c>
      <c r="K394">
        <f>_xlfn.IFNA(IF(F394="H",VLOOKUP(E394,Fertiliser_data!$E$7:$L$267,8,FALSE),VLOOKUP(E394,Fertiliser_data!$E$7:$L$267,8,FALSE)*0.65),IF(F394="H",0.038,(0.038*0.65)))</f>
        <v>6.6820895522388063E-3</v>
      </c>
      <c r="L394">
        <f>IF($C394="IE",$K394*CF_231025!$E$16,$K394/VLOOKUP($C394,CF_231025!$A$2:$E$28,5,FALSE))</f>
        <v>2.2471845997814165E-3</v>
      </c>
    </row>
    <row r="395" spans="1:12" x14ac:dyDescent="0.25">
      <c r="A395" t="s">
        <v>136</v>
      </c>
      <c r="B395" t="s">
        <v>540</v>
      </c>
      <c r="C395" t="str">
        <f t="shared" si="31"/>
        <v>ES</v>
      </c>
      <c r="D395" t="str">
        <f t="shared" si="32"/>
        <v>SUN</v>
      </c>
      <c r="E395" t="str">
        <f t="shared" si="30"/>
        <v>ESSUN</v>
      </c>
      <c r="F395" t="str">
        <f t="shared" si="33"/>
        <v>H</v>
      </c>
      <c r="G395" t="s">
        <v>507</v>
      </c>
      <c r="H395">
        <v>1</v>
      </c>
      <c r="I395">
        <v>0.19</v>
      </c>
      <c r="J395" t="str">
        <f t="shared" si="34"/>
        <v>ESL000SUNHR0ESLFER</v>
      </c>
      <c r="K395">
        <f>_xlfn.IFNA(IF(F395="H",VLOOKUP(E395,Fertiliser_data!$E$7:$L$267,8,FALSE),VLOOKUP(E395,Fertiliser_data!$E$7:$L$267,8,FALSE)*0.65),IF(F395="H",0.038,(0.038*0.65)))</f>
        <v>6.6820895522388063E-3</v>
      </c>
      <c r="L395">
        <f>IF($C395="IE",$K395*CF_231025!$E$16,$K395/VLOOKUP($C395,CF_231025!$A$2:$E$28,5,FALSE))</f>
        <v>2.2471845997814165E-3</v>
      </c>
    </row>
    <row r="396" spans="1:12" x14ac:dyDescent="0.25">
      <c r="A396" t="s">
        <v>136</v>
      </c>
      <c r="B396" t="s">
        <v>541</v>
      </c>
      <c r="C396" t="str">
        <f t="shared" si="31"/>
        <v>ES</v>
      </c>
      <c r="D396" t="str">
        <f t="shared" si="32"/>
        <v>SUN</v>
      </c>
      <c r="E396" t="str">
        <f t="shared" si="30"/>
        <v>ESSUN</v>
      </c>
      <c r="F396" t="str">
        <f t="shared" si="33"/>
        <v>L</v>
      </c>
      <c r="G396" t="s">
        <v>507</v>
      </c>
      <c r="H396">
        <v>1</v>
      </c>
      <c r="I396">
        <v>7.0000000000000007E-2</v>
      </c>
      <c r="J396" t="str">
        <f t="shared" si="34"/>
        <v>ESL000SUNLI0ESLFER</v>
      </c>
      <c r="K396">
        <f>_xlfn.IFNA(IF(F396="H",VLOOKUP(E396,Fertiliser_data!$E$7:$L$267,8,FALSE),VLOOKUP(E396,Fertiliser_data!$E$7:$L$267,8,FALSE)*0.65),IF(F396="H",0.038,(0.038*0.65)))</f>
        <v>4.3433582089552241E-3</v>
      </c>
      <c r="L396">
        <f>IF($C396="IE",$K396*CF_231025!$E$16,$K396/VLOOKUP($C396,CF_231025!$A$2:$E$28,5,FALSE))</f>
        <v>1.4606699898579206E-3</v>
      </c>
    </row>
    <row r="397" spans="1:12" x14ac:dyDescent="0.25">
      <c r="A397" t="s">
        <v>136</v>
      </c>
      <c r="B397" t="s">
        <v>542</v>
      </c>
      <c r="C397" t="str">
        <f t="shared" si="31"/>
        <v>ES</v>
      </c>
      <c r="D397" t="str">
        <f t="shared" si="32"/>
        <v>SUN</v>
      </c>
      <c r="E397" t="str">
        <f t="shared" si="30"/>
        <v>ESSUN</v>
      </c>
      <c r="F397" t="str">
        <f t="shared" si="33"/>
        <v>L</v>
      </c>
      <c r="G397" t="s">
        <v>507</v>
      </c>
      <c r="H397">
        <v>1</v>
      </c>
      <c r="I397">
        <v>7.0000000000000007E-2</v>
      </c>
      <c r="J397" t="str">
        <f t="shared" si="34"/>
        <v>ESL000SUNLR0ESLFER</v>
      </c>
      <c r="K397">
        <f>_xlfn.IFNA(IF(F397="H",VLOOKUP(E397,Fertiliser_data!$E$7:$L$267,8,FALSE),VLOOKUP(E397,Fertiliser_data!$E$7:$L$267,8,FALSE)*0.65),IF(F397="H",0.038,(0.038*0.65)))</f>
        <v>4.3433582089552241E-3</v>
      </c>
      <c r="L397">
        <f>IF($C397="IE",$K397*CF_231025!$E$16,$K397/VLOOKUP($C397,CF_231025!$A$2:$E$28,5,FALSE))</f>
        <v>1.4606699898579206E-3</v>
      </c>
    </row>
    <row r="398" spans="1:12" x14ac:dyDescent="0.25">
      <c r="A398" t="s">
        <v>136</v>
      </c>
      <c r="B398" t="s">
        <v>543</v>
      </c>
      <c r="C398" t="str">
        <f t="shared" si="31"/>
        <v>ES</v>
      </c>
      <c r="D398" t="str">
        <f t="shared" si="32"/>
        <v>OLI</v>
      </c>
      <c r="E398" t="str">
        <f t="shared" si="30"/>
        <v>ESOLI</v>
      </c>
      <c r="F398" t="str">
        <f t="shared" si="33"/>
        <v>H</v>
      </c>
      <c r="G398" t="s">
        <v>507</v>
      </c>
      <c r="H398">
        <v>1</v>
      </c>
      <c r="I398">
        <v>0.17</v>
      </c>
      <c r="J398" t="str">
        <f t="shared" si="34"/>
        <v>ESL000OLIHI0ESLFER</v>
      </c>
      <c r="K398">
        <f>_xlfn.IFNA(IF(F398="H",VLOOKUP(E398,Fertiliser_data!$E$7:$L$267,8,FALSE),VLOOKUP(E398,Fertiliser_data!$E$7:$L$267,8,FALSE)*0.65),IF(F398="H",0.038,(0.038*0.65)))</f>
        <v>6.6820895522388063E-3</v>
      </c>
      <c r="L398">
        <f>IF($C398="IE",$K398*CF_231025!$E$16,$K398/VLOOKUP($C398,CF_231025!$A$2:$E$28,5,FALSE))</f>
        <v>2.2471845997814165E-3</v>
      </c>
    </row>
    <row r="399" spans="1:12" x14ac:dyDescent="0.25">
      <c r="A399" t="s">
        <v>136</v>
      </c>
      <c r="B399" t="s">
        <v>544</v>
      </c>
      <c r="C399" t="str">
        <f t="shared" si="31"/>
        <v>ES</v>
      </c>
      <c r="D399" t="str">
        <f t="shared" si="32"/>
        <v>OLI</v>
      </c>
      <c r="E399" t="str">
        <f t="shared" si="30"/>
        <v>ESOLI</v>
      </c>
      <c r="F399" t="str">
        <f t="shared" si="33"/>
        <v>H</v>
      </c>
      <c r="G399" t="s">
        <v>507</v>
      </c>
      <c r="H399">
        <v>1</v>
      </c>
      <c r="I399">
        <v>0.17</v>
      </c>
      <c r="J399" t="str">
        <f t="shared" si="34"/>
        <v>ESL000OLIHR0ESLFER</v>
      </c>
      <c r="K399">
        <f>_xlfn.IFNA(IF(F399="H",VLOOKUP(E399,Fertiliser_data!$E$7:$L$267,8,FALSE),VLOOKUP(E399,Fertiliser_data!$E$7:$L$267,8,FALSE)*0.65),IF(F399="H",0.038,(0.038*0.65)))</f>
        <v>6.6820895522388063E-3</v>
      </c>
      <c r="L399">
        <f>IF($C399="IE",$K399*CF_231025!$E$16,$K399/VLOOKUP($C399,CF_231025!$A$2:$E$28,5,FALSE))</f>
        <v>2.2471845997814165E-3</v>
      </c>
    </row>
    <row r="400" spans="1:12" x14ac:dyDescent="0.25">
      <c r="A400" t="s">
        <v>136</v>
      </c>
      <c r="B400" t="s">
        <v>545</v>
      </c>
      <c r="C400" t="str">
        <f t="shared" si="31"/>
        <v>ES</v>
      </c>
      <c r="D400" t="str">
        <f t="shared" si="32"/>
        <v>OLI</v>
      </c>
      <c r="E400" t="str">
        <f t="shared" si="30"/>
        <v>ESOLI</v>
      </c>
      <c r="F400" t="str">
        <f t="shared" si="33"/>
        <v>L</v>
      </c>
      <c r="G400" t="s">
        <v>507</v>
      </c>
      <c r="H400">
        <v>1</v>
      </c>
      <c r="I400">
        <v>0.06</v>
      </c>
      <c r="J400" t="str">
        <f t="shared" si="34"/>
        <v>ESL000OLILI0ESLFER</v>
      </c>
      <c r="K400">
        <f>_xlfn.IFNA(IF(F400="H",VLOOKUP(E400,Fertiliser_data!$E$7:$L$267,8,FALSE),VLOOKUP(E400,Fertiliser_data!$E$7:$L$267,8,FALSE)*0.65),IF(F400="H",0.038,(0.038*0.65)))</f>
        <v>4.3433582089552241E-3</v>
      </c>
      <c r="L400">
        <f>IF($C400="IE",$K400*CF_231025!$E$16,$K400/VLOOKUP($C400,CF_231025!$A$2:$E$28,5,FALSE))</f>
        <v>1.4606699898579206E-3</v>
      </c>
    </row>
    <row r="401" spans="1:12" x14ac:dyDescent="0.25">
      <c r="A401" t="s">
        <v>136</v>
      </c>
      <c r="B401" t="s">
        <v>546</v>
      </c>
      <c r="C401" t="str">
        <f t="shared" si="31"/>
        <v>ES</v>
      </c>
      <c r="D401" t="str">
        <f t="shared" si="32"/>
        <v>OLI</v>
      </c>
      <c r="E401" t="str">
        <f t="shared" si="30"/>
        <v>ESOLI</v>
      </c>
      <c r="F401" t="str">
        <f t="shared" si="33"/>
        <v>L</v>
      </c>
      <c r="G401" t="s">
        <v>507</v>
      </c>
      <c r="H401">
        <v>1</v>
      </c>
      <c r="I401">
        <v>0.06</v>
      </c>
      <c r="J401" t="str">
        <f t="shared" si="34"/>
        <v>ESL000OLILR0ESLFER</v>
      </c>
      <c r="K401">
        <f>_xlfn.IFNA(IF(F401="H",VLOOKUP(E401,Fertiliser_data!$E$7:$L$267,8,FALSE),VLOOKUP(E401,Fertiliser_data!$E$7:$L$267,8,FALSE)*0.65),IF(F401="H",0.038,(0.038*0.65)))</f>
        <v>4.3433582089552241E-3</v>
      </c>
      <c r="L401">
        <f>IF($C401="IE",$K401*CF_231025!$E$16,$K401/VLOOKUP($C401,CF_231025!$A$2:$E$28,5,FALSE))</f>
        <v>1.4606699898579206E-3</v>
      </c>
    </row>
    <row r="402" spans="1:12" x14ac:dyDescent="0.25">
      <c r="A402" t="s">
        <v>136</v>
      </c>
      <c r="B402" t="s">
        <v>547</v>
      </c>
      <c r="C402" t="str">
        <f t="shared" si="31"/>
        <v>FI</v>
      </c>
      <c r="D402" t="str">
        <f t="shared" si="32"/>
        <v>OAT</v>
      </c>
      <c r="E402" t="str">
        <f t="shared" si="30"/>
        <v>FIOAT</v>
      </c>
      <c r="F402" t="str">
        <f t="shared" si="33"/>
        <v>H</v>
      </c>
      <c r="G402" t="s">
        <v>548</v>
      </c>
      <c r="H402">
        <v>1</v>
      </c>
      <c r="I402">
        <v>0.11</v>
      </c>
      <c r="J402" t="str">
        <f t="shared" si="34"/>
        <v>FIL000OATHI0FILFER</v>
      </c>
      <c r="K402">
        <f>_xlfn.IFNA(IF(F402="H",VLOOKUP(E402,Fertiliser_data!$E$7:$L$267,8,FALSE),VLOOKUP(E402,Fertiliser_data!$E$7:$L$267,8,FALSE)*0.65),IF(F402="H",0.038,(0.038*0.65)))</f>
        <v>3.3735820895522385E-2</v>
      </c>
      <c r="L402">
        <f>IF($C402="IE",$K402*CF_231025!$E$16,$K402/VLOOKUP($C402,CF_231025!$A$2:$E$28,5,FALSE))</f>
        <v>9.9986899070912596E-3</v>
      </c>
    </row>
    <row r="403" spans="1:12" x14ac:dyDescent="0.25">
      <c r="A403" t="s">
        <v>136</v>
      </c>
      <c r="B403" t="s">
        <v>549</v>
      </c>
      <c r="C403" t="str">
        <f t="shared" si="31"/>
        <v>FI</v>
      </c>
      <c r="D403" t="str">
        <f t="shared" si="32"/>
        <v>OAT</v>
      </c>
      <c r="E403" t="str">
        <f t="shared" si="30"/>
        <v>FIOAT</v>
      </c>
      <c r="F403" t="str">
        <f t="shared" si="33"/>
        <v>H</v>
      </c>
      <c r="G403" t="s">
        <v>548</v>
      </c>
      <c r="H403">
        <v>1</v>
      </c>
      <c r="I403">
        <v>0.11</v>
      </c>
      <c r="J403" t="str">
        <f t="shared" si="34"/>
        <v>FIL000OATHR0FILFER</v>
      </c>
      <c r="K403">
        <f>_xlfn.IFNA(IF(F403="H",VLOOKUP(E403,Fertiliser_data!$E$7:$L$267,8,FALSE),VLOOKUP(E403,Fertiliser_data!$E$7:$L$267,8,FALSE)*0.65),IF(F403="H",0.038,(0.038*0.65)))</f>
        <v>3.3735820895522385E-2</v>
      </c>
      <c r="L403">
        <f>IF($C403="IE",$K403*CF_231025!$E$16,$K403/VLOOKUP($C403,CF_231025!$A$2:$E$28,5,FALSE))</f>
        <v>9.9986899070912596E-3</v>
      </c>
    </row>
    <row r="404" spans="1:12" x14ac:dyDescent="0.25">
      <c r="A404" t="s">
        <v>136</v>
      </c>
      <c r="B404" t="s">
        <v>550</v>
      </c>
      <c r="C404" t="str">
        <f t="shared" si="31"/>
        <v>FI</v>
      </c>
      <c r="D404" t="str">
        <f t="shared" si="32"/>
        <v>OAT</v>
      </c>
      <c r="E404" t="str">
        <f t="shared" si="30"/>
        <v>FIOAT</v>
      </c>
      <c r="F404" t="str">
        <f t="shared" si="33"/>
        <v>L</v>
      </c>
      <c r="G404" t="s">
        <v>548</v>
      </c>
      <c r="H404">
        <v>1</v>
      </c>
      <c r="I404">
        <v>0.04</v>
      </c>
      <c r="J404" t="str">
        <f t="shared" si="34"/>
        <v>FIL000OATLI0FILFER</v>
      </c>
      <c r="K404">
        <f>_xlfn.IFNA(IF(F404="H",VLOOKUP(E404,Fertiliser_data!$E$7:$L$267,8,FALSE),VLOOKUP(E404,Fertiliser_data!$E$7:$L$267,8,FALSE)*0.65),IF(F404="H",0.038,(0.038*0.65)))</f>
        <v>2.192828358208955E-2</v>
      </c>
      <c r="L404">
        <f>IF($C404="IE",$K404*CF_231025!$E$16,$K404/VLOOKUP($C404,CF_231025!$A$2:$E$28,5,FALSE))</f>
        <v>6.4991484396093183E-3</v>
      </c>
    </row>
    <row r="405" spans="1:12" x14ac:dyDescent="0.25">
      <c r="A405" t="s">
        <v>136</v>
      </c>
      <c r="B405" t="s">
        <v>551</v>
      </c>
      <c r="C405" t="str">
        <f t="shared" si="31"/>
        <v>FI</v>
      </c>
      <c r="D405" t="str">
        <f t="shared" si="32"/>
        <v>OAT</v>
      </c>
      <c r="E405" t="str">
        <f t="shared" si="30"/>
        <v>FIOAT</v>
      </c>
      <c r="F405" t="str">
        <f t="shared" si="33"/>
        <v>L</v>
      </c>
      <c r="G405" t="s">
        <v>548</v>
      </c>
      <c r="H405">
        <v>1</v>
      </c>
      <c r="I405">
        <v>0.04</v>
      </c>
      <c r="J405" t="str">
        <f t="shared" si="34"/>
        <v>FIL000OATLR0FILFER</v>
      </c>
      <c r="K405">
        <f>_xlfn.IFNA(IF(F405="H",VLOOKUP(E405,Fertiliser_data!$E$7:$L$267,8,FALSE),VLOOKUP(E405,Fertiliser_data!$E$7:$L$267,8,FALSE)*0.65),IF(F405="H",0.038,(0.038*0.65)))</f>
        <v>2.192828358208955E-2</v>
      </c>
      <c r="L405">
        <f>IF($C405="IE",$K405*CF_231025!$E$16,$K405/VLOOKUP($C405,CF_231025!$A$2:$E$28,5,FALSE))</f>
        <v>6.4991484396093183E-3</v>
      </c>
    </row>
    <row r="406" spans="1:12" x14ac:dyDescent="0.25">
      <c r="A406" t="s">
        <v>136</v>
      </c>
      <c r="B406" t="s">
        <v>552</v>
      </c>
      <c r="C406" t="str">
        <f t="shared" si="31"/>
        <v>FI</v>
      </c>
      <c r="D406" t="str">
        <f t="shared" si="32"/>
        <v>BRO</v>
      </c>
      <c r="E406" t="str">
        <f t="shared" si="30"/>
        <v>FIBRO</v>
      </c>
      <c r="F406" t="str">
        <f t="shared" si="33"/>
        <v>H</v>
      </c>
      <c r="G406" t="s">
        <v>548</v>
      </c>
      <c r="H406">
        <v>1</v>
      </c>
      <c r="I406">
        <v>0.17</v>
      </c>
      <c r="J406" t="str">
        <f t="shared" si="34"/>
        <v>FIL000BROHI0FILFER</v>
      </c>
      <c r="K406">
        <f>_xlfn.IFNA(IF(F406="H",VLOOKUP(E406,Fertiliser_data!$E$7:$L$267,8,FALSE),VLOOKUP(E406,Fertiliser_data!$E$7:$L$267,8,FALSE)*0.65),IF(F406="H",0.038,(0.038*0.65)))</f>
        <v>2.0340298507462686E-2</v>
      </c>
      <c r="L406">
        <f>IF($C406="IE",$K406*CF_231025!$E$16,$K406/VLOOKUP($C406,CF_231025!$A$2:$E$28,5,FALSE))</f>
        <v>6.0284982548263373E-3</v>
      </c>
    </row>
    <row r="407" spans="1:12" x14ac:dyDescent="0.25">
      <c r="A407" t="s">
        <v>136</v>
      </c>
      <c r="B407" t="s">
        <v>553</v>
      </c>
      <c r="C407" t="str">
        <f t="shared" si="31"/>
        <v>FI</v>
      </c>
      <c r="D407" t="str">
        <f t="shared" si="32"/>
        <v>BRO</v>
      </c>
      <c r="E407" t="str">
        <f t="shared" si="30"/>
        <v>FIBRO</v>
      </c>
      <c r="F407" t="str">
        <f t="shared" si="33"/>
        <v>H</v>
      </c>
      <c r="G407" t="s">
        <v>548</v>
      </c>
      <c r="H407">
        <v>1</v>
      </c>
      <c r="I407">
        <v>0.17</v>
      </c>
      <c r="J407" t="str">
        <f t="shared" si="34"/>
        <v>FIL000BROHR0FILFER</v>
      </c>
      <c r="K407">
        <f>_xlfn.IFNA(IF(F407="H",VLOOKUP(E407,Fertiliser_data!$E$7:$L$267,8,FALSE),VLOOKUP(E407,Fertiliser_data!$E$7:$L$267,8,FALSE)*0.65),IF(F407="H",0.038,(0.038*0.65)))</f>
        <v>2.0340298507462686E-2</v>
      </c>
      <c r="L407">
        <f>IF($C407="IE",$K407*CF_231025!$E$16,$K407/VLOOKUP($C407,CF_231025!$A$2:$E$28,5,FALSE))</f>
        <v>6.0284982548263373E-3</v>
      </c>
    </row>
    <row r="408" spans="1:12" x14ac:dyDescent="0.25">
      <c r="A408" t="s">
        <v>136</v>
      </c>
      <c r="B408" t="s">
        <v>554</v>
      </c>
      <c r="C408" t="str">
        <f t="shared" si="31"/>
        <v>FI</v>
      </c>
      <c r="D408" t="str">
        <f t="shared" si="32"/>
        <v>BRO</v>
      </c>
      <c r="E408" t="str">
        <f t="shared" si="30"/>
        <v>FIBRO</v>
      </c>
      <c r="F408" t="str">
        <f t="shared" si="33"/>
        <v>L</v>
      </c>
      <c r="G408" t="s">
        <v>548</v>
      </c>
      <c r="H408">
        <v>1</v>
      </c>
      <c r="I408">
        <v>0.06</v>
      </c>
      <c r="J408" t="str">
        <f t="shared" si="34"/>
        <v>FIL000BROLI0FILFER</v>
      </c>
      <c r="K408">
        <f>_xlfn.IFNA(IF(F408="H",VLOOKUP(E408,Fertiliser_data!$E$7:$L$267,8,FALSE),VLOOKUP(E408,Fertiliser_data!$E$7:$L$267,8,FALSE)*0.65),IF(F408="H",0.038,(0.038*0.65)))</f>
        <v>1.3221194029850747E-2</v>
      </c>
      <c r="L408">
        <f>IF($C408="IE",$K408*CF_231025!$E$16,$K408/VLOOKUP($C408,CF_231025!$A$2:$E$28,5,FALSE))</f>
        <v>3.9185238656371194E-3</v>
      </c>
    </row>
    <row r="409" spans="1:12" x14ac:dyDescent="0.25">
      <c r="A409" t="s">
        <v>136</v>
      </c>
      <c r="B409" t="s">
        <v>555</v>
      </c>
      <c r="C409" t="str">
        <f t="shared" si="31"/>
        <v>FI</v>
      </c>
      <c r="D409" t="str">
        <f t="shared" si="32"/>
        <v>BRO</v>
      </c>
      <c r="E409" t="str">
        <f t="shared" si="30"/>
        <v>FIBRO</v>
      </c>
      <c r="F409" t="str">
        <f t="shared" si="33"/>
        <v>L</v>
      </c>
      <c r="G409" t="s">
        <v>548</v>
      </c>
      <c r="H409">
        <v>1</v>
      </c>
      <c r="I409">
        <v>0.06</v>
      </c>
      <c r="J409" t="str">
        <f t="shared" si="34"/>
        <v>FIL000BROLR0FILFER</v>
      </c>
      <c r="K409">
        <f>_xlfn.IFNA(IF(F409="H",VLOOKUP(E409,Fertiliser_data!$E$7:$L$267,8,FALSE),VLOOKUP(E409,Fertiliser_data!$E$7:$L$267,8,FALSE)*0.65),IF(F409="H",0.038,(0.038*0.65)))</f>
        <v>1.3221194029850747E-2</v>
      </c>
      <c r="L409">
        <f>IF($C409="IE",$K409*CF_231025!$E$16,$K409/VLOOKUP($C409,CF_231025!$A$2:$E$28,5,FALSE))</f>
        <v>3.9185238656371194E-3</v>
      </c>
    </row>
    <row r="410" spans="1:12" x14ac:dyDescent="0.25">
      <c r="A410" t="s">
        <v>136</v>
      </c>
      <c r="B410" t="s">
        <v>556</v>
      </c>
      <c r="C410" t="str">
        <f t="shared" si="31"/>
        <v>FI</v>
      </c>
      <c r="D410" t="str">
        <f t="shared" si="32"/>
        <v>RYE</v>
      </c>
      <c r="E410" t="str">
        <f t="shared" si="30"/>
        <v>FIRYE</v>
      </c>
      <c r="F410" t="str">
        <f t="shared" si="33"/>
        <v>H</v>
      </c>
      <c r="G410" t="s">
        <v>548</v>
      </c>
      <c r="H410">
        <v>1</v>
      </c>
      <c r="I410">
        <v>0.11</v>
      </c>
      <c r="J410" t="str">
        <f t="shared" si="34"/>
        <v>FIL000RYEHI0FILFER</v>
      </c>
      <c r="K410">
        <f>_xlfn.IFNA(IF(F410="H",VLOOKUP(E410,Fertiliser_data!$E$7:$L$267,8,FALSE),VLOOKUP(E410,Fertiliser_data!$E$7:$L$267,8,FALSE)*0.65),IF(F410="H",0.038,(0.038*0.65)))</f>
        <v>3.4034328358208958E-2</v>
      </c>
      <c r="L410">
        <f>IF($C410="IE",$K410*CF_231025!$E$16,$K410/VLOOKUP($C410,CF_231025!$A$2:$E$28,5,FALSE))</f>
        <v>1.0087162144467639E-2</v>
      </c>
    </row>
    <row r="411" spans="1:12" x14ac:dyDescent="0.25">
      <c r="A411" t="s">
        <v>136</v>
      </c>
      <c r="B411" t="s">
        <v>557</v>
      </c>
      <c r="C411" t="str">
        <f t="shared" si="31"/>
        <v>FI</v>
      </c>
      <c r="D411" t="str">
        <f t="shared" si="32"/>
        <v>RYE</v>
      </c>
      <c r="E411" t="str">
        <f t="shared" si="30"/>
        <v>FIRYE</v>
      </c>
      <c r="F411" t="str">
        <f t="shared" si="33"/>
        <v>H</v>
      </c>
      <c r="G411" t="s">
        <v>548</v>
      </c>
      <c r="H411">
        <v>1</v>
      </c>
      <c r="I411">
        <v>0.11</v>
      </c>
      <c r="J411" t="str">
        <f t="shared" si="34"/>
        <v>FIL000RYEHR0FILFER</v>
      </c>
      <c r="K411">
        <f>_xlfn.IFNA(IF(F411="H",VLOOKUP(E411,Fertiliser_data!$E$7:$L$267,8,FALSE),VLOOKUP(E411,Fertiliser_data!$E$7:$L$267,8,FALSE)*0.65),IF(F411="H",0.038,(0.038*0.65)))</f>
        <v>3.4034328358208958E-2</v>
      </c>
      <c r="L411">
        <f>IF($C411="IE",$K411*CF_231025!$E$16,$K411/VLOOKUP($C411,CF_231025!$A$2:$E$28,5,FALSE))</f>
        <v>1.0087162144467639E-2</v>
      </c>
    </row>
    <row r="412" spans="1:12" x14ac:dyDescent="0.25">
      <c r="A412" t="s">
        <v>136</v>
      </c>
      <c r="B412" t="s">
        <v>558</v>
      </c>
      <c r="C412" t="str">
        <f t="shared" si="31"/>
        <v>FI</v>
      </c>
      <c r="D412" t="str">
        <f t="shared" si="32"/>
        <v>RYE</v>
      </c>
      <c r="E412" t="str">
        <f t="shared" si="30"/>
        <v>FIRYE</v>
      </c>
      <c r="F412" t="str">
        <f t="shared" si="33"/>
        <v>L</v>
      </c>
      <c r="G412" t="s">
        <v>548</v>
      </c>
      <c r="H412">
        <v>1</v>
      </c>
      <c r="I412">
        <v>0.04</v>
      </c>
      <c r="J412" t="str">
        <f t="shared" si="34"/>
        <v>FIL000RYELI0FILFER</v>
      </c>
      <c r="K412">
        <f>_xlfn.IFNA(IF(F412="H",VLOOKUP(E412,Fertiliser_data!$E$7:$L$267,8,FALSE),VLOOKUP(E412,Fertiliser_data!$E$7:$L$267,8,FALSE)*0.65),IF(F412="H",0.038,(0.038*0.65)))</f>
        <v>2.2122313432835824E-2</v>
      </c>
      <c r="L412">
        <f>IF($C412="IE",$K412*CF_231025!$E$16,$K412/VLOOKUP($C412,CF_231025!$A$2:$E$28,5,FALSE))</f>
        <v>6.5566553939039656E-3</v>
      </c>
    </row>
    <row r="413" spans="1:12" x14ac:dyDescent="0.25">
      <c r="A413" t="s">
        <v>136</v>
      </c>
      <c r="B413" t="s">
        <v>559</v>
      </c>
      <c r="C413" t="str">
        <f t="shared" si="31"/>
        <v>FI</v>
      </c>
      <c r="D413" t="str">
        <f t="shared" si="32"/>
        <v>RYE</v>
      </c>
      <c r="E413" t="str">
        <f t="shared" si="30"/>
        <v>FIRYE</v>
      </c>
      <c r="F413" t="str">
        <f t="shared" si="33"/>
        <v>L</v>
      </c>
      <c r="G413" t="s">
        <v>548</v>
      </c>
      <c r="H413">
        <v>1</v>
      </c>
      <c r="I413">
        <v>0.04</v>
      </c>
      <c r="J413" t="str">
        <f t="shared" si="34"/>
        <v>FIL000RYELR0FILFER</v>
      </c>
      <c r="K413">
        <f>_xlfn.IFNA(IF(F413="H",VLOOKUP(E413,Fertiliser_data!$E$7:$L$267,8,FALSE),VLOOKUP(E413,Fertiliser_data!$E$7:$L$267,8,FALSE)*0.65),IF(F413="H",0.038,(0.038*0.65)))</f>
        <v>2.2122313432835824E-2</v>
      </c>
      <c r="L413">
        <f>IF($C413="IE",$K413*CF_231025!$E$16,$K413/VLOOKUP($C413,CF_231025!$A$2:$E$28,5,FALSE))</f>
        <v>6.5566553939039656E-3</v>
      </c>
    </row>
    <row r="414" spans="1:12" x14ac:dyDescent="0.25">
      <c r="A414" t="s">
        <v>136</v>
      </c>
      <c r="B414" t="s">
        <v>560</v>
      </c>
      <c r="C414" t="str">
        <f t="shared" si="31"/>
        <v>FI</v>
      </c>
      <c r="D414" t="str">
        <f t="shared" si="32"/>
        <v>MIX</v>
      </c>
      <c r="E414" t="str">
        <f t="shared" si="30"/>
        <v>FIMIX</v>
      </c>
      <c r="F414" t="str">
        <f t="shared" si="33"/>
        <v>H</v>
      </c>
      <c r="G414" t="s">
        <v>548</v>
      </c>
      <c r="H414">
        <v>1</v>
      </c>
      <c r="I414">
        <v>0.17</v>
      </c>
      <c r="J414" t="str">
        <f t="shared" si="34"/>
        <v>FIL000MIXHI0FILFER</v>
      </c>
      <c r="K414">
        <f>_xlfn.IFNA(IF(F414="H",VLOOKUP(E414,Fertiliser_data!$E$7:$L$267,8,FALSE),VLOOKUP(E414,Fertiliser_data!$E$7:$L$267,8,FALSE)*0.65),IF(F414="H",0.038,(0.038*0.65)))</f>
        <v>3.3735820895522385E-2</v>
      </c>
      <c r="L414">
        <f>IF($C414="IE",$K414*CF_231025!$E$16,$K414/VLOOKUP($C414,CF_231025!$A$2:$E$28,5,FALSE))</f>
        <v>9.9986899070912596E-3</v>
      </c>
    </row>
    <row r="415" spans="1:12" x14ac:dyDescent="0.25">
      <c r="A415" t="s">
        <v>136</v>
      </c>
      <c r="B415" t="s">
        <v>561</v>
      </c>
      <c r="C415" t="str">
        <f t="shared" si="31"/>
        <v>FI</v>
      </c>
      <c r="D415" t="str">
        <f t="shared" si="32"/>
        <v>MIX</v>
      </c>
      <c r="E415" t="str">
        <f t="shared" si="30"/>
        <v>FIMIX</v>
      </c>
      <c r="F415" t="str">
        <f t="shared" si="33"/>
        <v>H</v>
      </c>
      <c r="G415" t="s">
        <v>548</v>
      </c>
      <c r="H415">
        <v>1</v>
      </c>
      <c r="I415">
        <v>0.17</v>
      </c>
      <c r="J415" t="str">
        <f t="shared" si="34"/>
        <v>FIL000MIXHR0FILFER</v>
      </c>
      <c r="K415">
        <f>_xlfn.IFNA(IF(F415="H",VLOOKUP(E415,Fertiliser_data!$E$7:$L$267,8,FALSE),VLOOKUP(E415,Fertiliser_data!$E$7:$L$267,8,FALSE)*0.65),IF(F415="H",0.038,(0.038*0.65)))</f>
        <v>3.3735820895522385E-2</v>
      </c>
      <c r="L415">
        <f>IF($C415="IE",$K415*CF_231025!$E$16,$K415/VLOOKUP($C415,CF_231025!$A$2:$E$28,5,FALSE))</f>
        <v>9.9986899070912596E-3</v>
      </c>
    </row>
    <row r="416" spans="1:12" x14ac:dyDescent="0.25">
      <c r="A416" t="s">
        <v>136</v>
      </c>
      <c r="B416" t="s">
        <v>562</v>
      </c>
      <c r="C416" t="str">
        <f t="shared" si="31"/>
        <v>FI</v>
      </c>
      <c r="D416" t="str">
        <f t="shared" si="32"/>
        <v>MIX</v>
      </c>
      <c r="E416" t="str">
        <f t="shared" si="30"/>
        <v>FIMIX</v>
      </c>
      <c r="F416" t="str">
        <f t="shared" si="33"/>
        <v>L</v>
      </c>
      <c r="G416" t="s">
        <v>548</v>
      </c>
      <c r="H416">
        <v>1</v>
      </c>
      <c r="I416">
        <v>0.06</v>
      </c>
      <c r="J416" t="str">
        <f t="shared" si="34"/>
        <v>FIL000MIXLI0FILFER</v>
      </c>
      <c r="K416">
        <f>_xlfn.IFNA(IF(F416="H",VLOOKUP(E416,Fertiliser_data!$E$7:$L$267,8,FALSE),VLOOKUP(E416,Fertiliser_data!$E$7:$L$267,8,FALSE)*0.65),IF(F416="H",0.038,(0.038*0.65)))</f>
        <v>2.192828358208955E-2</v>
      </c>
      <c r="L416">
        <f>IF($C416="IE",$K416*CF_231025!$E$16,$K416/VLOOKUP($C416,CF_231025!$A$2:$E$28,5,FALSE))</f>
        <v>6.4991484396093183E-3</v>
      </c>
    </row>
    <row r="417" spans="1:12" x14ac:dyDescent="0.25">
      <c r="A417" t="s">
        <v>136</v>
      </c>
      <c r="B417" t="s">
        <v>563</v>
      </c>
      <c r="C417" t="str">
        <f t="shared" si="31"/>
        <v>FI</v>
      </c>
      <c r="D417" t="str">
        <f t="shared" si="32"/>
        <v>MIX</v>
      </c>
      <c r="E417" t="str">
        <f t="shared" si="30"/>
        <v>FIMIX</v>
      </c>
      <c r="F417" t="str">
        <f t="shared" si="33"/>
        <v>L</v>
      </c>
      <c r="G417" t="s">
        <v>548</v>
      </c>
      <c r="H417">
        <v>1</v>
      </c>
      <c r="I417">
        <v>0.06</v>
      </c>
      <c r="J417" t="str">
        <f t="shared" si="34"/>
        <v>FIL000MIXLR0FILFER</v>
      </c>
      <c r="K417">
        <f>_xlfn.IFNA(IF(F417="H",VLOOKUP(E417,Fertiliser_data!$E$7:$L$267,8,FALSE),VLOOKUP(E417,Fertiliser_data!$E$7:$L$267,8,FALSE)*0.65),IF(F417="H",0.038,(0.038*0.65)))</f>
        <v>2.192828358208955E-2</v>
      </c>
      <c r="L417">
        <f>IF($C417="IE",$K417*CF_231025!$E$16,$K417/VLOOKUP($C417,CF_231025!$A$2:$E$28,5,FALSE))</f>
        <v>6.4991484396093183E-3</v>
      </c>
    </row>
    <row r="418" spans="1:12" x14ac:dyDescent="0.25">
      <c r="A418" t="s">
        <v>136</v>
      </c>
      <c r="B418" t="s">
        <v>564</v>
      </c>
      <c r="C418" t="str">
        <f t="shared" si="31"/>
        <v>FI</v>
      </c>
      <c r="D418" t="str">
        <f t="shared" si="32"/>
        <v>OTH</v>
      </c>
      <c r="E418" t="str">
        <f t="shared" si="30"/>
        <v>FIOTH</v>
      </c>
      <c r="F418" t="str">
        <f t="shared" si="33"/>
        <v>H</v>
      </c>
      <c r="G418" t="s">
        <v>548</v>
      </c>
      <c r="H418">
        <v>1</v>
      </c>
      <c r="I418">
        <v>0.17</v>
      </c>
      <c r="J418" t="str">
        <f t="shared" si="34"/>
        <v>FIL000OTHHI0FILFER</v>
      </c>
      <c r="K418">
        <f>_xlfn.IFNA(IF(F418="H",VLOOKUP(E418,Fertiliser_data!$E$7:$L$267,8,FALSE),VLOOKUP(E418,Fertiliser_data!$E$7:$L$267,8,FALSE)*0.65),IF(F418="H",0.038,(0.038*0.65)))</f>
        <v>3.7999999999999999E-2</v>
      </c>
      <c r="L418">
        <f>IF($C418="IE",$K418*CF_231025!$E$16,$K418/VLOOKUP($C418,CF_231025!$A$2:$E$28,5,FALSE))</f>
        <v>1.1262515818012808E-2</v>
      </c>
    </row>
    <row r="419" spans="1:12" x14ac:dyDescent="0.25">
      <c r="A419" t="s">
        <v>136</v>
      </c>
      <c r="B419" t="s">
        <v>565</v>
      </c>
      <c r="C419" t="str">
        <f t="shared" si="31"/>
        <v>FI</v>
      </c>
      <c r="D419" t="str">
        <f t="shared" si="32"/>
        <v>OTH</v>
      </c>
      <c r="E419" t="str">
        <f t="shared" si="30"/>
        <v>FIOTH</v>
      </c>
      <c r="F419" t="str">
        <f t="shared" si="33"/>
        <v>H</v>
      </c>
      <c r="G419" t="s">
        <v>548</v>
      </c>
      <c r="H419">
        <v>1</v>
      </c>
      <c r="I419">
        <v>0.17</v>
      </c>
      <c r="J419" t="str">
        <f t="shared" si="34"/>
        <v>FIL000OTHHR0FILFER</v>
      </c>
      <c r="K419">
        <f>_xlfn.IFNA(IF(F419="H",VLOOKUP(E419,Fertiliser_data!$E$7:$L$267,8,FALSE),VLOOKUP(E419,Fertiliser_data!$E$7:$L$267,8,FALSE)*0.65),IF(F419="H",0.038,(0.038*0.65)))</f>
        <v>3.7999999999999999E-2</v>
      </c>
      <c r="L419">
        <f>IF($C419="IE",$K419*CF_231025!$E$16,$K419/VLOOKUP($C419,CF_231025!$A$2:$E$28,5,FALSE))</f>
        <v>1.1262515818012808E-2</v>
      </c>
    </row>
    <row r="420" spans="1:12" x14ac:dyDescent="0.25">
      <c r="A420" t="s">
        <v>136</v>
      </c>
      <c r="B420" t="s">
        <v>566</v>
      </c>
      <c r="C420" t="str">
        <f t="shared" si="31"/>
        <v>FI</v>
      </c>
      <c r="D420" t="str">
        <f t="shared" si="32"/>
        <v>OTH</v>
      </c>
      <c r="E420" t="str">
        <f t="shared" si="30"/>
        <v>FIOTH</v>
      </c>
      <c r="F420" t="str">
        <f t="shared" si="33"/>
        <v>L</v>
      </c>
      <c r="G420" t="s">
        <v>548</v>
      </c>
      <c r="H420">
        <v>1</v>
      </c>
      <c r="I420">
        <v>0.06</v>
      </c>
      <c r="J420" t="str">
        <f t="shared" si="34"/>
        <v>FIL000OTHLI0FILFER</v>
      </c>
      <c r="K420">
        <f>_xlfn.IFNA(IF(F420="H",VLOOKUP(E420,Fertiliser_data!$E$7:$L$267,8,FALSE),VLOOKUP(E420,Fertiliser_data!$E$7:$L$267,8,FALSE)*0.65),IF(F420="H",0.038,(0.038*0.65)))</f>
        <v>2.47E-2</v>
      </c>
      <c r="L420">
        <f>IF($C420="IE",$K420*CF_231025!$E$16,$K420/VLOOKUP($C420,CF_231025!$A$2:$E$28,5,FALSE))</f>
        <v>7.3206352817083249E-3</v>
      </c>
    </row>
    <row r="421" spans="1:12" x14ac:dyDescent="0.25">
      <c r="A421" t="s">
        <v>136</v>
      </c>
      <c r="B421" t="s">
        <v>567</v>
      </c>
      <c r="C421" t="str">
        <f t="shared" si="31"/>
        <v>FI</v>
      </c>
      <c r="D421" t="str">
        <f t="shared" si="32"/>
        <v>OTH</v>
      </c>
      <c r="E421" t="str">
        <f t="shared" si="30"/>
        <v>FIOTH</v>
      </c>
      <c r="F421" t="str">
        <f t="shared" si="33"/>
        <v>L</v>
      </c>
      <c r="G421" t="s">
        <v>548</v>
      </c>
      <c r="H421">
        <v>1</v>
      </c>
      <c r="I421">
        <v>0.06</v>
      </c>
      <c r="J421" t="str">
        <f t="shared" si="34"/>
        <v>FIL000OTHLR0FILFER</v>
      </c>
      <c r="K421">
        <f>_xlfn.IFNA(IF(F421="H",VLOOKUP(E421,Fertiliser_data!$E$7:$L$267,8,FALSE),VLOOKUP(E421,Fertiliser_data!$E$7:$L$267,8,FALSE)*0.65),IF(F421="H",0.038,(0.038*0.65)))</f>
        <v>2.47E-2</v>
      </c>
      <c r="L421">
        <f>IF($C421="IE",$K421*CF_231025!$E$16,$K421/VLOOKUP($C421,CF_231025!$A$2:$E$28,5,FALSE))</f>
        <v>7.3206352817083249E-3</v>
      </c>
    </row>
    <row r="422" spans="1:12" x14ac:dyDescent="0.25">
      <c r="A422" t="s">
        <v>136</v>
      </c>
      <c r="B422" t="s">
        <v>568</v>
      </c>
      <c r="C422" t="str">
        <f t="shared" si="31"/>
        <v>FI</v>
      </c>
      <c r="D422" t="str">
        <f t="shared" si="32"/>
        <v>POT</v>
      </c>
      <c r="E422" t="str">
        <f t="shared" si="30"/>
        <v>FIPOT</v>
      </c>
      <c r="F422" t="str">
        <f t="shared" si="33"/>
        <v>H</v>
      </c>
      <c r="G422" t="s">
        <v>548</v>
      </c>
      <c r="H422">
        <v>1</v>
      </c>
      <c r="I422">
        <v>0.17</v>
      </c>
      <c r="J422" t="str">
        <f t="shared" si="34"/>
        <v>FIL000POTHI0FILFER</v>
      </c>
      <c r="K422">
        <f>_xlfn.IFNA(IF(F422="H",VLOOKUP(E422,Fertiliser_data!$E$7:$L$267,8,FALSE),VLOOKUP(E422,Fertiliser_data!$E$7:$L$267,8,FALSE)*0.65),IF(F422="H",0.038,(0.038*0.65)))</f>
        <v>4.7395522388059705E-2</v>
      </c>
      <c r="L422">
        <f>IF($C422="IE",$K422*CF_231025!$E$16,$K422/VLOOKUP($C422,CF_231025!$A$2:$E$28,5,FALSE))</f>
        <v>1.4047179489434279E-2</v>
      </c>
    </row>
    <row r="423" spans="1:12" x14ac:dyDescent="0.25">
      <c r="A423" t="s">
        <v>136</v>
      </c>
      <c r="B423" t="s">
        <v>569</v>
      </c>
      <c r="C423" t="str">
        <f t="shared" si="31"/>
        <v>FI</v>
      </c>
      <c r="D423" t="str">
        <f t="shared" si="32"/>
        <v>POT</v>
      </c>
      <c r="E423" t="str">
        <f t="shared" si="30"/>
        <v>FIPOT</v>
      </c>
      <c r="F423" t="str">
        <f t="shared" si="33"/>
        <v>H</v>
      </c>
      <c r="G423" t="s">
        <v>548</v>
      </c>
      <c r="H423">
        <v>1</v>
      </c>
      <c r="I423">
        <v>0.17</v>
      </c>
      <c r="J423" t="str">
        <f t="shared" si="34"/>
        <v>FIL000POTHR0FILFER</v>
      </c>
      <c r="K423">
        <f>_xlfn.IFNA(IF(F423="H",VLOOKUP(E423,Fertiliser_data!$E$7:$L$267,8,FALSE),VLOOKUP(E423,Fertiliser_data!$E$7:$L$267,8,FALSE)*0.65),IF(F423="H",0.038,(0.038*0.65)))</f>
        <v>4.7395522388059705E-2</v>
      </c>
      <c r="L423">
        <f>IF($C423="IE",$K423*CF_231025!$E$16,$K423/VLOOKUP($C423,CF_231025!$A$2:$E$28,5,FALSE))</f>
        <v>1.4047179489434279E-2</v>
      </c>
    </row>
    <row r="424" spans="1:12" x14ac:dyDescent="0.25">
      <c r="A424" t="s">
        <v>136</v>
      </c>
      <c r="B424" t="s">
        <v>570</v>
      </c>
      <c r="C424" t="str">
        <f t="shared" si="31"/>
        <v>FI</v>
      </c>
      <c r="D424" t="str">
        <f t="shared" si="32"/>
        <v>POT</v>
      </c>
      <c r="E424" t="str">
        <f t="shared" si="30"/>
        <v>FIPOT</v>
      </c>
      <c r="F424" t="str">
        <f t="shared" si="33"/>
        <v>L</v>
      </c>
      <c r="G424" t="s">
        <v>548</v>
      </c>
      <c r="H424">
        <v>1</v>
      </c>
      <c r="I424">
        <v>0.06</v>
      </c>
      <c r="J424" t="str">
        <f t="shared" si="34"/>
        <v>FIL000POTLI0FILFER</v>
      </c>
      <c r="K424">
        <f>_xlfn.IFNA(IF(F424="H",VLOOKUP(E424,Fertiliser_data!$E$7:$L$267,8,FALSE),VLOOKUP(E424,Fertiliser_data!$E$7:$L$267,8,FALSE)*0.65),IF(F424="H",0.038,(0.038*0.65)))</f>
        <v>3.080708955223881E-2</v>
      </c>
      <c r="L424">
        <f>IF($C424="IE",$K424*CF_231025!$E$16,$K424/VLOOKUP($C424,CF_231025!$A$2:$E$28,5,FALSE))</f>
        <v>9.1306666681322812E-3</v>
      </c>
    </row>
    <row r="425" spans="1:12" x14ac:dyDescent="0.25">
      <c r="A425" t="s">
        <v>136</v>
      </c>
      <c r="B425" t="s">
        <v>571</v>
      </c>
      <c r="C425" t="str">
        <f t="shared" si="31"/>
        <v>FI</v>
      </c>
      <c r="D425" t="str">
        <f t="shared" si="32"/>
        <v>POT</v>
      </c>
      <c r="E425" t="str">
        <f t="shared" si="30"/>
        <v>FIPOT</v>
      </c>
      <c r="F425" t="str">
        <f t="shared" si="33"/>
        <v>L</v>
      </c>
      <c r="G425" t="s">
        <v>548</v>
      </c>
      <c r="H425">
        <v>1</v>
      </c>
      <c r="I425">
        <v>0.06</v>
      </c>
      <c r="J425" t="str">
        <f t="shared" si="34"/>
        <v>FIL000POTLR0FILFER</v>
      </c>
      <c r="K425">
        <f>_xlfn.IFNA(IF(F425="H",VLOOKUP(E425,Fertiliser_data!$E$7:$L$267,8,FALSE),VLOOKUP(E425,Fertiliser_data!$E$7:$L$267,8,FALSE)*0.65),IF(F425="H",0.038,(0.038*0.65)))</f>
        <v>3.080708955223881E-2</v>
      </c>
      <c r="L425">
        <f>IF($C425="IE",$K425*CF_231025!$E$16,$K425/VLOOKUP($C425,CF_231025!$A$2:$E$28,5,FALSE))</f>
        <v>9.1306666681322812E-3</v>
      </c>
    </row>
    <row r="426" spans="1:12" x14ac:dyDescent="0.25">
      <c r="A426" t="s">
        <v>136</v>
      </c>
      <c r="B426" t="s">
        <v>572</v>
      </c>
      <c r="C426" t="str">
        <f t="shared" si="31"/>
        <v>FI</v>
      </c>
      <c r="D426" t="str">
        <f t="shared" si="32"/>
        <v>WHE</v>
      </c>
      <c r="E426" t="str">
        <f t="shared" si="30"/>
        <v>FIWHE</v>
      </c>
      <c r="F426" t="str">
        <f t="shared" si="33"/>
        <v>H</v>
      </c>
      <c r="G426" t="s">
        <v>548</v>
      </c>
      <c r="H426">
        <v>1</v>
      </c>
      <c r="I426">
        <v>0.2</v>
      </c>
      <c r="J426" t="str">
        <f t="shared" si="34"/>
        <v>FIL000WHEHI0FILFER</v>
      </c>
      <c r="K426">
        <f>_xlfn.IFNA(IF(F426="H",VLOOKUP(E426,Fertiliser_data!$E$7:$L$267,8,FALSE),VLOOKUP(E426,Fertiliser_data!$E$7:$L$267,8,FALSE)*0.65),IF(F426="H",0.038,(0.038*0.65)))</f>
        <v>2.9361194029850744E-2</v>
      </c>
      <c r="L426">
        <f>IF($C426="IE",$K426*CF_231025!$E$16,$K426/VLOOKUP($C426,CF_231025!$A$2:$E$28,5,FALSE))</f>
        <v>8.7021292683404534E-3</v>
      </c>
    </row>
    <row r="427" spans="1:12" x14ac:dyDescent="0.25">
      <c r="A427" t="s">
        <v>136</v>
      </c>
      <c r="B427" t="s">
        <v>573</v>
      </c>
      <c r="C427" t="str">
        <f t="shared" si="31"/>
        <v>FI</v>
      </c>
      <c r="D427" t="str">
        <f t="shared" si="32"/>
        <v>WHE</v>
      </c>
      <c r="E427" t="str">
        <f t="shared" si="30"/>
        <v>FIWHE</v>
      </c>
      <c r="F427" t="str">
        <f t="shared" si="33"/>
        <v>H</v>
      </c>
      <c r="G427" t="s">
        <v>548</v>
      </c>
      <c r="H427">
        <v>1</v>
      </c>
      <c r="I427">
        <v>0.2</v>
      </c>
      <c r="J427" t="str">
        <f t="shared" si="34"/>
        <v>FIL000WHEHR0FILFER</v>
      </c>
      <c r="K427">
        <f>_xlfn.IFNA(IF(F427="H",VLOOKUP(E427,Fertiliser_data!$E$7:$L$267,8,FALSE),VLOOKUP(E427,Fertiliser_data!$E$7:$L$267,8,FALSE)*0.65),IF(F427="H",0.038,(0.038*0.65)))</f>
        <v>2.9361194029850744E-2</v>
      </c>
      <c r="L427">
        <f>IF($C427="IE",$K427*CF_231025!$E$16,$K427/VLOOKUP($C427,CF_231025!$A$2:$E$28,5,FALSE))</f>
        <v>8.7021292683404534E-3</v>
      </c>
    </row>
    <row r="428" spans="1:12" x14ac:dyDescent="0.25">
      <c r="A428" t="s">
        <v>136</v>
      </c>
      <c r="B428" t="s">
        <v>574</v>
      </c>
      <c r="C428" t="str">
        <f t="shared" si="31"/>
        <v>FI</v>
      </c>
      <c r="D428" t="str">
        <f t="shared" si="32"/>
        <v>WHE</v>
      </c>
      <c r="E428" t="str">
        <f t="shared" si="30"/>
        <v>FIWHE</v>
      </c>
      <c r="F428" t="str">
        <f t="shared" si="33"/>
        <v>L</v>
      </c>
      <c r="G428" t="s">
        <v>548</v>
      </c>
      <c r="H428">
        <v>1</v>
      </c>
      <c r="I428">
        <v>7.0000000000000007E-2</v>
      </c>
      <c r="J428" t="str">
        <f t="shared" si="34"/>
        <v>FIL000WHELI0FILFER</v>
      </c>
      <c r="K428">
        <f>_xlfn.IFNA(IF(F428="H",VLOOKUP(E428,Fertiliser_data!$E$7:$L$267,8,FALSE),VLOOKUP(E428,Fertiliser_data!$E$7:$L$267,8,FALSE)*0.65),IF(F428="H",0.038,(0.038*0.65)))</f>
        <v>1.9084776119402985E-2</v>
      </c>
      <c r="L428">
        <f>IF($C428="IE",$K428*CF_231025!$E$16,$K428/VLOOKUP($C428,CF_231025!$A$2:$E$28,5,FALSE))</f>
        <v>5.6563840244212953E-3</v>
      </c>
    </row>
    <row r="429" spans="1:12" x14ac:dyDescent="0.25">
      <c r="A429" t="s">
        <v>136</v>
      </c>
      <c r="B429" t="s">
        <v>575</v>
      </c>
      <c r="C429" t="str">
        <f t="shared" si="31"/>
        <v>FI</v>
      </c>
      <c r="D429" t="str">
        <f t="shared" si="32"/>
        <v>WHE</v>
      </c>
      <c r="E429" t="str">
        <f t="shared" si="30"/>
        <v>FIWHE</v>
      </c>
      <c r="F429" t="str">
        <f t="shared" si="33"/>
        <v>L</v>
      </c>
      <c r="G429" t="s">
        <v>548</v>
      </c>
      <c r="H429">
        <v>1</v>
      </c>
      <c r="I429">
        <v>7.0000000000000007E-2</v>
      </c>
      <c r="J429" t="str">
        <f t="shared" si="34"/>
        <v>FIL000WHELR0FILFER</v>
      </c>
      <c r="K429">
        <f>_xlfn.IFNA(IF(F429="H",VLOOKUP(E429,Fertiliser_data!$E$7:$L$267,8,FALSE),VLOOKUP(E429,Fertiliser_data!$E$7:$L$267,8,FALSE)*0.65),IF(F429="H",0.038,(0.038*0.65)))</f>
        <v>1.9084776119402985E-2</v>
      </c>
      <c r="L429">
        <f>IF($C429="IE",$K429*CF_231025!$E$16,$K429/VLOOKUP($C429,CF_231025!$A$2:$E$28,5,FALSE))</f>
        <v>5.6563840244212953E-3</v>
      </c>
    </row>
    <row r="430" spans="1:12" x14ac:dyDescent="0.25">
      <c r="A430" t="s">
        <v>136</v>
      </c>
      <c r="B430" t="s">
        <v>576</v>
      </c>
      <c r="C430" t="str">
        <f t="shared" si="31"/>
        <v>FI</v>
      </c>
      <c r="D430" t="str">
        <f t="shared" si="32"/>
        <v>RAP</v>
      </c>
      <c r="E430" t="str">
        <f t="shared" si="30"/>
        <v>FIRAP</v>
      </c>
      <c r="F430" t="str">
        <f t="shared" si="33"/>
        <v>H</v>
      </c>
      <c r="G430" t="s">
        <v>548</v>
      </c>
      <c r="H430">
        <v>1</v>
      </c>
      <c r="I430">
        <v>0.26</v>
      </c>
      <c r="J430" t="str">
        <f t="shared" si="34"/>
        <v>FIL000RAPHI0FILFER</v>
      </c>
      <c r="K430">
        <f>_xlfn.IFNA(IF(F430="H",VLOOKUP(E430,Fertiliser_data!$E$7:$L$267,8,FALSE),VLOOKUP(E430,Fertiliser_data!$E$7:$L$267,8,FALSE)*0.65),IF(F430="H",0.038,(0.038*0.65)))</f>
        <v>3.1361194029850742E-2</v>
      </c>
      <c r="L430">
        <f>IF($C430="IE",$K430*CF_231025!$E$16,$K430/VLOOKUP($C430,CF_231025!$A$2:$E$28,5,FALSE))</f>
        <v>9.2948932587621786E-3</v>
      </c>
    </row>
    <row r="431" spans="1:12" x14ac:dyDescent="0.25">
      <c r="A431" t="s">
        <v>136</v>
      </c>
      <c r="B431" t="s">
        <v>577</v>
      </c>
      <c r="C431" t="str">
        <f t="shared" si="31"/>
        <v>FI</v>
      </c>
      <c r="D431" t="str">
        <f t="shared" si="32"/>
        <v>RAP</v>
      </c>
      <c r="E431" t="str">
        <f t="shared" si="30"/>
        <v>FIRAP</v>
      </c>
      <c r="F431" t="str">
        <f t="shared" si="33"/>
        <v>H</v>
      </c>
      <c r="G431" t="s">
        <v>548</v>
      </c>
      <c r="H431">
        <v>1</v>
      </c>
      <c r="I431">
        <v>0.26</v>
      </c>
      <c r="J431" t="str">
        <f t="shared" si="34"/>
        <v>FIL000RAPHR0FILFER</v>
      </c>
      <c r="K431">
        <f>_xlfn.IFNA(IF(F431="H",VLOOKUP(E431,Fertiliser_data!$E$7:$L$267,8,FALSE),VLOOKUP(E431,Fertiliser_data!$E$7:$L$267,8,FALSE)*0.65),IF(F431="H",0.038,(0.038*0.65)))</f>
        <v>3.1361194029850742E-2</v>
      </c>
      <c r="L431">
        <f>IF($C431="IE",$K431*CF_231025!$E$16,$K431/VLOOKUP($C431,CF_231025!$A$2:$E$28,5,FALSE))</f>
        <v>9.2948932587621786E-3</v>
      </c>
    </row>
    <row r="432" spans="1:12" x14ac:dyDescent="0.25">
      <c r="A432" t="s">
        <v>136</v>
      </c>
      <c r="B432" t="s">
        <v>578</v>
      </c>
      <c r="C432" t="str">
        <f t="shared" si="31"/>
        <v>FI</v>
      </c>
      <c r="D432" t="str">
        <f t="shared" si="32"/>
        <v>RAP</v>
      </c>
      <c r="E432" t="str">
        <f t="shared" si="30"/>
        <v>FIRAP</v>
      </c>
      <c r="F432" t="str">
        <f t="shared" si="33"/>
        <v>L</v>
      </c>
      <c r="G432" t="s">
        <v>548</v>
      </c>
      <c r="H432">
        <v>1</v>
      </c>
      <c r="I432">
        <v>0.1</v>
      </c>
      <c r="J432" t="str">
        <f t="shared" si="34"/>
        <v>FIL000RAPLI0FILFER</v>
      </c>
      <c r="K432">
        <f>_xlfn.IFNA(IF(F432="H",VLOOKUP(E432,Fertiliser_data!$E$7:$L$267,8,FALSE),VLOOKUP(E432,Fertiliser_data!$E$7:$L$267,8,FALSE)*0.65),IF(F432="H",0.038,(0.038*0.65)))</f>
        <v>2.0384776119402984E-2</v>
      </c>
      <c r="L432">
        <f>IF($C432="IE",$K432*CF_231025!$E$16,$K432/VLOOKUP($C432,CF_231025!$A$2:$E$28,5,FALSE))</f>
        <v>6.0416806181954174E-3</v>
      </c>
    </row>
    <row r="433" spans="1:12" x14ac:dyDescent="0.25">
      <c r="A433" t="s">
        <v>136</v>
      </c>
      <c r="B433" t="s">
        <v>579</v>
      </c>
      <c r="C433" t="str">
        <f t="shared" si="31"/>
        <v>FI</v>
      </c>
      <c r="D433" t="str">
        <f t="shared" si="32"/>
        <v>RAP</v>
      </c>
      <c r="E433" t="str">
        <f t="shared" si="30"/>
        <v>FIRAP</v>
      </c>
      <c r="F433" t="str">
        <f t="shared" si="33"/>
        <v>L</v>
      </c>
      <c r="G433" t="s">
        <v>548</v>
      </c>
      <c r="H433">
        <v>1</v>
      </c>
      <c r="I433">
        <v>0.1</v>
      </c>
      <c r="J433" t="str">
        <f t="shared" si="34"/>
        <v>FIL000RAPLR0FILFER</v>
      </c>
      <c r="K433">
        <f>_xlfn.IFNA(IF(F433="H",VLOOKUP(E433,Fertiliser_data!$E$7:$L$267,8,FALSE),VLOOKUP(E433,Fertiliser_data!$E$7:$L$267,8,FALSE)*0.65),IF(F433="H",0.038,(0.038*0.65)))</f>
        <v>2.0384776119402984E-2</v>
      </c>
      <c r="L433">
        <f>IF($C433="IE",$K433*CF_231025!$E$16,$K433/VLOOKUP($C433,CF_231025!$A$2:$E$28,5,FALSE))</f>
        <v>6.0416806181954174E-3</v>
      </c>
    </row>
    <row r="434" spans="1:12" x14ac:dyDescent="0.25">
      <c r="A434" t="s">
        <v>136</v>
      </c>
      <c r="B434" t="s">
        <v>580</v>
      </c>
      <c r="C434" t="str">
        <f t="shared" si="31"/>
        <v>FI</v>
      </c>
      <c r="D434" t="str">
        <f t="shared" si="32"/>
        <v>PEA</v>
      </c>
      <c r="E434" t="str">
        <f t="shared" si="30"/>
        <v>FIPEA</v>
      </c>
      <c r="F434" t="str">
        <f t="shared" si="33"/>
        <v>H</v>
      </c>
      <c r="G434" t="s">
        <v>548</v>
      </c>
      <c r="H434">
        <v>1</v>
      </c>
      <c r="I434">
        <v>0.17</v>
      </c>
      <c r="J434" t="str">
        <f t="shared" si="34"/>
        <v>FIL000PEAHI0FILFER</v>
      </c>
      <c r="K434">
        <f>_xlfn.IFNA(IF(F434="H",VLOOKUP(E434,Fertiliser_data!$E$7:$L$267,8,FALSE),VLOOKUP(E434,Fertiliser_data!$E$7:$L$267,8,FALSE)*0.65),IF(F434="H",0.038,(0.038*0.65)))</f>
        <v>3.7999999999999999E-2</v>
      </c>
      <c r="L434">
        <f>IF($C434="IE",$K434*CF_231025!$E$16,$K434/VLOOKUP($C434,CF_231025!$A$2:$E$28,5,FALSE))</f>
        <v>1.1262515818012808E-2</v>
      </c>
    </row>
    <row r="435" spans="1:12" x14ac:dyDescent="0.25">
      <c r="A435" t="s">
        <v>136</v>
      </c>
      <c r="B435" t="s">
        <v>581</v>
      </c>
      <c r="C435" t="str">
        <f t="shared" si="31"/>
        <v>FI</v>
      </c>
      <c r="D435" t="str">
        <f t="shared" si="32"/>
        <v>PEA</v>
      </c>
      <c r="E435" t="str">
        <f t="shared" si="30"/>
        <v>FIPEA</v>
      </c>
      <c r="F435" t="str">
        <f t="shared" si="33"/>
        <v>H</v>
      </c>
      <c r="G435" t="s">
        <v>548</v>
      </c>
      <c r="H435">
        <v>1</v>
      </c>
      <c r="I435">
        <v>0.17</v>
      </c>
      <c r="J435" t="str">
        <f t="shared" si="34"/>
        <v>FIL000PEAHR0FILFER</v>
      </c>
      <c r="K435">
        <f>_xlfn.IFNA(IF(F435="H",VLOOKUP(E435,Fertiliser_data!$E$7:$L$267,8,FALSE),VLOOKUP(E435,Fertiliser_data!$E$7:$L$267,8,FALSE)*0.65),IF(F435="H",0.038,(0.038*0.65)))</f>
        <v>3.7999999999999999E-2</v>
      </c>
      <c r="L435">
        <f>IF($C435="IE",$K435*CF_231025!$E$16,$K435/VLOOKUP($C435,CF_231025!$A$2:$E$28,5,FALSE))</f>
        <v>1.1262515818012808E-2</v>
      </c>
    </row>
    <row r="436" spans="1:12" x14ac:dyDescent="0.25">
      <c r="A436" t="s">
        <v>136</v>
      </c>
      <c r="B436" t="s">
        <v>582</v>
      </c>
      <c r="C436" t="str">
        <f t="shared" si="31"/>
        <v>FI</v>
      </c>
      <c r="D436" t="str">
        <f t="shared" si="32"/>
        <v>PEA</v>
      </c>
      <c r="E436" t="str">
        <f t="shared" si="30"/>
        <v>FIPEA</v>
      </c>
      <c r="F436" t="str">
        <f t="shared" si="33"/>
        <v>L</v>
      </c>
      <c r="G436" t="s">
        <v>548</v>
      </c>
      <c r="H436">
        <v>1</v>
      </c>
      <c r="I436">
        <v>0.06</v>
      </c>
      <c r="J436" t="str">
        <f t="shared" si="34"/>
        <v>FIL000PEALI0FILFER</v>
      </c>
      <c r="K436">
        <f>_xlfn.IFNA(IF(F436="H",VLOOKUP(E436,Fertiliser_data!$E$7:$L$267,8,FALSE),VLOOKUP(E436,Fertiliser_data!$E$7:$L$267,8,FALSE)*0.65),IF(F436="H",0.038,(0.038*0.65)))</f>
        <v>2.47E-2</v>
      </c>
      <c r="L436">
        <f>IF($C436="IE",$K436*CF_231025!$E$16,$K436/VLOOKUP($C436,CF_231025!$A$2:$E$28,5,FALSE))</f>
        <v>7.3206352817083249E-3</v>
      </c>
    </row>
    <row r="437" spans="1:12" x14ac:dyDescent="0.25">
      <c r="A437" t="s">
        <v>136</v>
      </c>
      <c r="B437" t="s">
        <v>583</v>
      </c>
      <c r="C437" t="str">
        <f t="shared" si="31"/>
        <v>FI</v>
      </c>
      <c r="D437" t="str">
        <f t="shared" si="32"/>
        <v>PEA</v>
      </c>
      <c r="E437" t="str">
        <f t="shared" si="30"/>
        <v>FIPEA</v>
      </c>
      <c r="F437" t="str">
        <f t="shared" si="33"/>
        <v>L</v>
      </c>
      <c r="G437" t="s">
        <v>548</v>
      </c>
      <c r="H437">
        <v>1</v>
      </c>
      <c r="I437">
        <v>0.06</v>
      </c>
      <c r="J437" t="str">
        <f t="shared" si="34"/>
        <v>FIL000PEALR0FILFER</v>
      </c>
      <c r="K437">
        <f>_xlfn.IFNA(IF(F437="H",VLOOKUP(E437,Fertiliser_data!$E$7:$L$267,8,FALSE),VLOOKUP(E437,Fertiliser_data!$E$7:$L$267,8,FALSE)*0.65),IF(F437="H",0.038,(0.038*0.65)))</f>
        <v>2.47E-2</v>
      </c>
      <c r="L437">
        <f>IF($C437="IE",$K437*CF_231025!$E$16,$K437/VLOOKUP($C437,CF_231025!$A$2:$E$28,5,FALSE))</f>
        <v>7.3206352817083249E-3</v>
      </c>
    </row>
    <row r="438" spans="1:12" x14ac:dyDescent="0.25">
      <c r="A438" t="s">
        <v>136</v>
      </c>
      <c r="B438" t="s">
        <v>584</v>
      </c>
      <c r="C438" t="str">
        <f t="shared" si="31"/>
        <v>FI</v>
      </c>
      <c r="D438" t="str">
        <f t="shared" si="32"/>
        <v>BRL</v>
      </c>
      <c r="E438" t="str">
        <f t="shared" si="30"/>
        <v>FIBRL</v>
      </c>
      <c r="F438" t="str">
        <f t="shared" si="33"/>
        <v>H</v>
      </c>
      <c r="G438" t="s">
        <v>548</v>
      </c>
      <c r="H438">
        <v>1</v>
      </c>
      <c r="I438">
        <v>0.15</v>
      </c>
      <c r="J438" t="str">
        <f t="shared" si="34"/>
        <v>FIL000BRLHI0FILFER</v>
      </c>
      <c r="K438">
        <f>_xlfn.IFNA(IF(F438="H",VLOOKUP(E438,Fertiliser_data!$E$7:$L$267,8,FALSE),VLOOKUP(E438,Fertiliser_data!$E$7:$L$267,8,FALSE)*0.65),IF(F438="H",0.038,(0.038*0.65)))</f>
        <v>3.4034328358208958E-2</v>
      </c>
      <c r="L438">
        <f>IF($C438="IE",$K438*CF_231025!$E$16,$K438/VLOOKUP($C438,CF_231025!$A$2:$E$28,5,FALSE))</f>
        <v>1.0087162144467639E-2</v>
      </c>
    </row>
    <row r="439" spans="1:12" x14ac:dyDescent="0.25">
      <c r="A439" t="s">
        <v>136</v>
      </c>
      <c r="B439" t="s">
        <v>585</v>
      </c>
      <c r="C439" t="str">
        <f t="shared" si="31"/>
        <v>FI</v>
      </c>
      <c r="D439" t="str">
        <f t="shared" si="32"/>
        <v>BRL</v>
      </c>
      <c r="E439" t="str">
        <f t="shared" si="30"/>
        <v>FIBRL</v>
      </c>
      <c r="F439" t="str">
        <f t="shared" si="33"/>
        <v>H</v>
      </c>
      <c r="G439" t="s">
        <v>548</v>
      </c>
      <c r="H439">
        <v>1</v>
      </c>
      <c r="I439">
        <v>0.15</v>
      </c>
      <c r="J439" t="str">
        <f t="shared" si="34"/>
        <v>FIL000BRLHR0FILFER</v>
      </c>
      <c r="K439">
        <f>_xlfn.IFNA(IF(F439="H",VLOOKUP(E439,Fertiliser_data!$E$7:$L$267,8,FALSE),VLOOKUP(E439,Fertiliser_data!$E$7:$L$267,8,FALSE)*0.65),IF(F439="H",0.038,(0.038*0.65)))</f>
        <v>3.4034328358208958E-2</v>
      </c>
      <c r="L439">
        <f>IF($C439="IE",$K439*CF_231025!$E$16,$K439/VLOOKUP($C439,CF_231025!$A$2:$E$28,5,FALSE))</f>
        <v>1.0087162144467639E-2</v>
      </c>
    </row>
    <row r="440" spans="1:12" x14ac:dyDescent="0.25">
      <c r="A440" t="s">
        <v>136</v>
      </c>
      <c r="B440" t="s">
        <v>586</v>
      </c>
      <c r="C440" t="str">
        <f t="shared" si="31"/>
        <v>FI</v>
      </c>
      <c r="D440" t="str">
        <f t="shared" si="32"/>
        <v>BRL</v>
      </c>
      <c r="E440" t="str">
        <f t="shared" si="30"/>
        <v>FIBRL</v>
      </c>
      <c r="F440" t="str">
        <f t="shared" si="33"/>
        <v>L</v>
      </c>
      <c r="G440" t="s">
        <v>548</v>
      </c>
      <c r="H440">
        <v>1</v>
      </c>
      <c r="I440">
        <v>0.06</v>
      </c>
      <c r="J440" t="str">
        <f t="shared" si="34"/>
        <v>FIL000BRLLI0FILFER</v>
      </c>
      <c r="K440">
        <f>_xlfn.IFNA(IF(F440="H",VLOOKUP(E440,Fertiliser_data!$E$7:$L$267,8,FALSE),VLOOKUP(E440,Fertiliser_data!$E$7:$L$267,8,FALSE)*0.65),IF(F440="H",0.038,(0.038*0.65)))</f>
        <v>2.2122313432835824E-2</v>
      </c>
      <c r="L440">
        <f>IF($C440="IE",$K440*CF_231025!$E$16,$K440/VLOOKUP($C440,CF_231025!$A$2:$E$28,5,FALSE))</f>
        <v>6.5566553939039656E-3</v>
      </c>
    </row>
    <row r="441" spans="1:12" x14ac:dyDescent="0.25">
      <c r="A441" t="s">
        <v>136</v>
      </c>
      <c r="B441" t="s">
        <v>587</v>
      </c>
      <c r="C441" t="str">
        <f t="shared" si="31"/>
        <v>FI</v>
      </c>
      <c r="D441" t="str">
        <f t="shared" si="32"/>
        <v>BRL</v>
      </c>
      <c r="E441" t="str">
        <f t="shared" si="30"/>
        <v>FIBRL</v>
      </c>
      <c r="F441" t="str">
        <f t="shared" si="33"/>
        <v>L</v>
      </c>
      <c r="G441" t="s">
        <v>548</v>
      </c>
      <c r="H441">
        <v>1</v>
      </c>
      <c r="I441">
        <v>0.06</v>
      </c>
      <c r="J441" t="str">
        <f t="shared" si="34"/>
        <v>FIL000BRLLR0FILFER</v>
      </c>
      <c r="K441">
        <f>_xlfn.IFNA(IF(F441="H",VLOOKUP(E441,Fertiliser_data!$E$7:$L$267,8,FALSE),VLOOKUP(E441,Fertiliser_data!$E$7:$L$267,8,FALSE)*0.65),IF(F441="H",0.038,(0.038*0.65)))</f>
        <v>2.2122313432835824E-2</v>
      </c>
      <c r="L441">
        <f>IF($C441="IE",$K441*CF_231025!$E$16,$K441/VLOOKUP($C441,CF_231025!$A$2:$E$28,5,FALSE))</f>
        <v>6.5566553939039656E-3</v>
      </c>
    </row>
    <row r="442" spans="1:12" x14ac:dyDescent="0.25">
      <c r="A442" t="s">
        <v>136</v>
      </c>
      <c r="B442" t="s">
        <v>588</v>
      </c>
      <c r="C442" t="str">
        <f t="shared" si="31"/>
        <v>FR</v>
      </c>
      <c r="D442" t="str">
        <f t="shared" si="32"/>
        <v>BRL</v>
      </c>
      <c r="E442" t="str">
        <f t="shared" si="30"/>
        <v>FRBRL</v>
      </c>
      <c r="F442" t="str">
        <f t="shared" si="33"/>
        <v>H</v>
      </c>
      <c r="G442" t="s">
        <v>589</v>
      </c>
      <c r="H442">
        <v>1</v>
      </c>
      <c r="I442">
        <v>0.15</v>
      </c>
      <c r="J442" t="str">
        <f t="shared" si="34"/>
        <v>FRL000BRLHI0FRLFER</v>
      </c>
      <c r="K442">
        <f>_xlfn.IFNA(IF(F442="H",VLOOKUP(E442,Fertiliser_data!$E$7:$L$267,8,FALSE),VLOOKUP(E442,Fertiliser_data!$E$7:$L$267,8,FALSE)*0.65),IF(F442="H",0.038,(0.038*0.65)))</f>
        <v>9.6910447761194042E-3</v>
      </c>
      <c r="L442">
        <f>IF($C442="IE",$K442*CF_231025!$E$16,$K442/VLOOKUP($C442,CF_231025!$A$2:$E$28,5,FALSE))</f>
        <v>3.4060388149822242E-3</v>
      </c>
    </row>
    <row r="443" spans="1:12" x14ac:dyDescent="0.25">
      <c r="A443" t="s">
        <v>136</v>
      </c>
      <c r="B443" t="s">
        <v>590</v>
      </c>
      <c r="C443" t="str">
        <f t="shared" si="31"/>
        <v>FR</v>
      </c>
      <c r="D443" t="str">
        <f t="shared" si="32"/>
        <v>BRL</v>
      </c>
      <c r="E443" t="str">
        <f t="shared" si="30"/>
        <v>FRBRL</v>
      </c>
      <c r="F443" t="str">
        <f t="shared" si="33"/>
        <v>H</v>
      </c>
      <c r="G443" t="s">
        <v>589</v>
      </c>
      <c r="H443">
        <v>1</v>
      </c>
      <c r="I443">
        <v>0.15</v>
      </c>
      <c r="J443" t="str">
        <f t="shared" si="34"/>
        <v>FRL000BRLHR0FRLFER</v>
      </c>
      <c r="K443">
        <f>_xlfn.IFNA(IF(F443="H",VLOOKUP(E443,Fertiliser_data!$E$7:$L$267,8,FALSE),VLOOKUP(E443,Fertiliser_data!$E$7:$L$267,8,FALSE)*0.65),IF(F443="H",0.038,(0.038*0.65)))</f>
        <v>9.6910447761194042E-3</v>
      </c>
      <c r="L443">
        <f>IF($C443="IE",$K443*CF_231025!$E$16,$K443/VLOOKUP($C443,CF_231025!$A$2:$E$28,5,FALSE))</f>
        <v>3.4060388149822242E-3</v>
      </c>
    </row>
    <row r="444" spans="1:12" x14ac:dyDescent="0.25">
      <c r="A444" t="s">
        <v>136</v>
      </c>
      <c r="B444" t="s">
        <v>591</v>
      </c>
      <c r="C444" t="str">
        <f t="shared" si="31"/>
        <v>FR</v>
      </c>
      <c r="D444" t="str">
        <f t="shared" si="32"/>
        <v>BRL</v>
      </c>
      <c r="E444" t="str">
        <f t="shared" si="30"/>
        <v>FRBRL</v>
      </c>
      <c r="F444" t="str">
        <f t="shared" si="33"/>
        <v>L</v>
      </c>
      <c r="G444" t="s">
        <v>589</v>
      </c>
      <c r="H444">
        <v>1</v>
      </c>
      <c r="I444">
        <v>0.06</v>
      </c>
      <c r="J444" t="str">
        <f t="shared" si="34"/>
        <v>FRL000BRLLI0FRLFER</v>
      </c>
      <c r="K444">
        <f>_xlfn.IFNA(IF(F444="H",VLOOKUP(E444,Fertiliser_data!$E$7:$L$267,8,FALSE),VLOOKUP(E444,Fertiliser_data!$E$7:$L$267,8,FALSE)*0.65),IF(F444="H",0.038,(0.038*0.65)))</f>
        <v>6.2991791044776126E-3</v>
      </c>
      <c r="L444">
        <f>IF($C444="IE",$K444*CF_231025!$E$16,$K444/VLOOKUP($C444,CF_231025!$A$2:$E$28,5,FALSE))</f>
        <v>2.2139252297384455E-3</v>
      </c>
    </row>
    <row r="445" spans="1:12" x14ac:dyDescent="0.25">
      <c r="A445" t="s">
        <v>136</v>
      </c>
      <c r="B445" t="s">
        <v>592</v>
      </c>
      <c r="C445" t="str">
        <f t="shared" si="31"/>
        <v>FR</v>
      </c>
      <c r="D445" t="str">
        <f t="shared" si="32"/>
        <v>BRL</v>
      </c>
      <c r="E445" t="str">
        <f t="shared" si="30"/>
        <v>FRBRL</v>
      </c>
      <c r="F445" t="str">
        <f t="shared" si="33"/>
        <v>L</v>
      </c>
      <c r="G445" t="s">
        <v>589</v>
      </c>
      <c r="H445">
        <v>1</v>
      </c>
      <c r="I445">
        <v>0.06</v>
      </c>
      <c r="J445" t="str">
        <f t="shared" si="34"/>
        <v>FRL000BRLLR0FRLFER</v>
      </c>
      <c r="K445">
        <f>_xlfn.IFNA(IF(F445="H",VLOOKUP(E445,Fertiliser_data!$E$7:$L$267,8,FALSE),VLOOKUP(E445,Fertiliser_data!$E$7:$L$267,8,FALSE)*0.65),IF(F445="H",0.038,(0.038*0.65)))</f>
        <v>6.2991791044776126E-3</v>
      </c>
      <c r="L445">
        <f>IF($C445="IE",$K445*CF_231025!$E$16,$K445/VLOOKUP($C445,CF_231025!$A$2:$E$28,5,FALSE))</f>
        <v>2.2139252297384455E-3</v>
      </c>
    </row>
    <row r="446" spans="1:12" x14ac:dyDescent="0.25">
      <c r="A446" t="s">
        <v>136</v>
      </c>
      <c r="B446" t="s">
        <v>593</v>
      </c>
      <c r="C446" t="str">
        <f t="shared" si="31"/>
        <v>FR</v>
      </c>
      <c r="D446" t="str">
        <f t="shared" si="32"/>
        <v>POT</v>
      </c>
      <c r="E446" t="str">
        <f t="shared" si="30"/>
        <v>FRPOT</v>
      </c>
      <c r="F446" t="str">
        <f t="shared" si="33"/>
        <v>H</v>
      </c>
      <c r="G446" t="s">
        <v>589</v>
      </c>
      <c r="H446">
        <v>1</v>
      </c>
      <c r="I446">
        <v>0.17</v>
      </c>
      <c r="J446" t="str">
        <f t="shared" si="34"/>
        <v>FRL000POTHI0FRLFER</v>
      </c>
      <c r="K446">
        <f>_xlfn.IFNA(IF(F446="H",VLOOKUP(E446,Fertiliser_data!$E$7:$L$267,8,FALSE),VLOOKUP(E446,Fertiliser_data!$E$7:$L$267,8,FALSE)*0.65),IF(F446="H",0.038,(0.038*0.65)))</f>
        <v>3.4407462686567164E-2</v>
      </c>
      <c r="L446">
        <f>IF($C446="IE",$K446*CF_231025!$E$16,$K446/VLOOKUP($C446,CF_231025!$A$2:$E$28,5,FALSE))</f>
        <v>1.20929328202349E-2</v>
      </c>
    </row>
    <row r="447" spans="1:12" x14ac:dyDescent="0.25">
      <c r="A447" t="s">
        <v>136</v>
      </c>
      <c r="B447" t="s">
        <v>594</v>
      </c>
      <c r="C447" t="str">
        <f t="shared" si="31"/>
        <v>FR</v>
      </c>
      <c r="D447" t="str">
        <f t="shared" si="32"/>
        <v>POT</v>
      </c>
      <c r="E447" t="str">
        <f t="shared" si="30"/>
        <v>FRPOT</v>
      </c>
      <c r="F447" t="str">
        <f t="shared" si="33"/>
        <v>H</v>
      </c>
      <c r="G447" t="s">
        <v>589</v>
      </c>
      <c r="H447">
        <v>1</v>
      </c>
      <c r="I447">
        <v>0.17</v>
      </c>
      <c r="J447" t="str">
        <f t="shared" si="34"/>
        <v>FRL000POTHR0FRLFER</v>
      </c>
      <c r="K447">
        <f>_xlfn.IFNA(IF(F447="H",VLOOKUP(E447,Fertiliser_data!$E$7:$L$267,8,FALSE),VLOOKUP(E447,Fertiliser_data!$E$7:$L$267,8,FALSE)*0.65),IF(F447="H",0.038,(0.038*0.65)))</f>
        <v>3.4407462686567164E-2</v>
      </c>
      <c r="L447">
        <f>IF($C447="IE",$K447*CF_231025!$E$16,$K447/VLOOKUP($C447,CF_231025!$A$2:$E$28,5,FALSE))</f>
        <v>1.20929328202349E-2</v>
      </c>
    </row>
    <row r="448" spans="1:12" x14ac:dyDescent="0.25">
      <c r="A448" t="s">
        <v>136</v>
      </c>
      <c r="B448" t="s">
        <v>595</v>
      </c>
      <c r="C448" t="str">
        <f t="shared" si="31"/>
        <v>FR</v>
      </c>
      <c r="D448" t="str">
        <f t="shared" si="32"/>
        <v>POT</v>
      </c>
      <c r="E448" t="str">
        <f t="shared" si="30"/>
        <v>FRPOT</v>
      </c>
      <c r="F448" t="str">
        <f t="shared" si="33"/>
        <v>L</v>
      </c>
      <c r="G448" t="s">
        <v>589</v>
      </c>
      <c r="H448">
        <v>1</v>
      </c>
      <c r="I448">
        <v>0.06</v>
      </c>
      <c r="J448" t="str">
        <f t="shared" si="34"/>
        <v>FRL000POTLI0FRLFER</v>
      </c>
      <c r="K448">
        <f>_xlfn.IFNA(IF(F448="H",VLOOKUP(E448,Fertiliser_data!$E$7:$L$267,8,FALSE),VLOOKUP(E448,Fertiliser_data!$E$7:$L$267,8,FALSE)*0.65),IF(F448="H",0.038,(0.038*0.65)))</f>
        <v>2.2364850746268657E-2</v>
      </c>
      <c r="L448">
        <f>IF($C448="IE",$K448*CF_231025!$E$16,$K448/VLOOKUP($C448,CF_231025!$A$2:$E$28,5,FALSE))</f>
        <v>7.8604063331526846E-3</v>
      </c>
    </row>
    <row r="449" spans="1:12" x14ac:dyDescent="0.25">
      <c r="A449" t="s">
        <v>136</v>
      </c>
      <c r="B449" t="s">
        <v>596</v>
      </c>
      <c r="C449" t="str">
        <f t="shared" si="31"/>
        <v>FR</v>
      </c>
      <c r="D449" t="str">
        <f t="shared" si="32"/>
        <v>POT</v>
      </c>
      <c r="E449" t="str">
        <f t="shared" si="30"/>
        <v>FRPOT</v>
      </c>
      <c r="F449" t="str">
        <f t="shared" si="33"/>
        <v>L</v>
      </c>
      <c r="G449" t="s">
        <v>589</v>
      </c>
      <c r="H449">
        <v>1</v>
      </c>
      <c r="I449">
        <v>0.06</v>
      </c>
      <c r="J449" t="str">
        <f t="shared" si="34"/>
        <v>FRL000POTLR0FRLFER</v>
      </c>
      <c r="K449">
        <f>_xlfn.IFNA(IF(F449="H",VLOOKUP(E449,Fertiliser_data!$E$7:$L$267,8,FALSE),VLOOKUP(E449,Fertiliser_data!$E$7:$L$267,8,FALSE)*0.65),IF(F449="H",0.038,(0.038*0.65)))</f>
        <v>2.2364850746268657E-2</v>
      </c>
      <c r="L449">
        <f>IF($C449="IE",$K449*CF_231025!$E$16,$K449/VLOOKUP($C449,CF_231025!$A$2:$E$28,5,FALSE))</f>
        <v>7.8604063331526846E-3</v>
      </c>
    </row>
    <row r="450" spans="1:12" x14ac:dyDescent="0.25">
      <c r="A450" t="s">
        <v>136</v>
      </c>
      <c r="B450" t="s">
        <v>597</v>
      </c>
      <c r="C450" t="str">
        <f t="shared" si="31"/>
        <v>FR</v>
      </c>
      <c r="D450" t="str">
        <f t="shared" si="32"/>
        <v>GRP</v>
      </c>
      <c r="E450" t="str">
        <f t="shared" ref="E450:E513" si="35">C450&amp;D450</f>
        <v>FRGRP</v>
      </c>
      <c r="F450" t="str">
        <f t="shared" si="33"/>
        <v>H</v>
      </c>
      <c r="G450" t="s">
        <v>589</v>
      </c>
      <c r="H450">
        <v>1</v>
      </c>
      <c r="I450">
        <v>0.17</v>
      </c>
      <c r="J450" t="str">
        <f t="shared" si="34"/>
        <v>FRL000GRPHI0FRLFER</v>
      </c>
      <c r="K450">
        <f>_xlfn.IFNA(IF(F450="H",VLOOKUP(E450,Fertiliser_data!$E$7:$L$267,8,FALSE),VLOOKUP(E450,Fertiliser_data!$E$7:$L$267,8,FALSE)*0.65),IF(F450="H",0.038,(0.038*0.65)))</f>
        <v>1.7550746268656717E-2</v>
      </c>
      <c r="L450">
        <f>IF($C450="IE",$K450*CF_231025!$E$16,$K450/VLOOKUP($C450,CF_231025!$A$2:$E$28,5,FALSE))</f>
        <v>6.1684291429810519E-3</v>
      </c>
    </row>
    <row r="451" spans="1:12" x14ac:dyDescent="0.25">
      <c r="A451" t="s">
        <v>136</v>
      </c>
      <c r="B451" t="s">
        <v>598</v>
      </c>
      <c r="C451" t="str">
        <f t="shared" ref="C451:C514" si="36">LEFT(B451,2)</f>
        <v>FR</v>
      </c>
      <c r="D451" t="str">
        <f t="shared" ref="D451:D514" si="37">MID(B451,7,3)</f>
        <v>GRP</v>
      </c>
      <c r="E451" t="str">
        <f t="shared" si="35"/>
        <v>FRGRP</v>
      </c>
      <c r="F451" t="str">
        <f t="shared" ref="F451:F514" si="38">MID(B451,10,1)</f>
        <v>H</v>
      </c>
      <c r="G451" t="s">
        <v>589</v>
      </c>
      <c r="H451">
        <v>1</v>
      </c>
      <c r="I451">
        <v>0.17</v>
      </c>
      <c r="J451" t="str">
        <f t="shared" ref="J451:J514" si="39">B451&amp;G451</f>
        <v>FRL000GRPHR0FRLFER</v>
      </c>
      <c r="K451">
        <f>_xlfn.IFNA(IF(F451="H",VLOOKUP(E451,Fertiliser_data!$E$7:$L$267,8,FALSE),VLOOKUP(E451,Fertiliser_data!$E$7:$L$267,8,FALSE)*0.65),IF(F451="H",0.038,(0.038*0.65)))</f>
        <v>1.7550746268656717E-2</v>
      </c>
      <c r="L451">
        <f>IF($C451="IE",$K451*CF_231025!$E$16,$K451/VLOOKUP($C451,CF_231025!$A$2:$E$28,5,FALSE))</f>
        <v>6.1684291429810519E-3</v>
      </c>
    </row>
    <row r="452" spans="1:12" x14ac:dyDescent="0.25">
      <c r="A452" t="s">
        <v>136</v>
      </c>
      <c r="B452" t="s">
        <v>599</v>
      </c>
      <c r="C452" t="str">
        <f t="shared" si="36"/>
        <v>FR</v>
      </c>
      <c r="D452" t="str">
        <f t="shared" si="37"/>
        <v>GRP</v>
      </c>
      <c r="E452" t="str">
        <f t="shared" si="35"/>
        <v>FRGRP</v>
      </c>
      <c r="F452" t="str">
        <f t="shared" si="38"/>
        <v>L</v>
      </c>
      <c r="G452" t="s">
        <v>589</v>
      </c>
      <c r="H452">
        <v>1</v>
      </c>
      <c r="I452">
        <v>0.06</v>
      </c>
      <c r="J452" t="str">
        <f t="shared" si="39"/>
        <v>FRL000GRPLI0FRLFER</v>
      </c>
      <c r="K452">
        <f>_xlfn.IFNA(IF(F452="H",VLOOKUP(E452,Fertiliser_data!$E$7:$L$267,8,FALSE),VLOOKUP(E452,Fertiliser_data!$E$7:$L$267,8,FALSE)*0.65),IF(F452="H",0.038,(0.038*0.65)))</f>
        <v>1.1407985074626866E-2</v>
      </c>
      <c r="L452">
        <f>IF($C452="IE",$K452*CF_231025!$E$16,$K452/VLOOKUP($C452,CF_231025!$A$2:$E$28,5,FALSE))</f>
        <v>4.009478942937684E-3</v>
      </c>
    </row>
    <row r="453" spans="1:12" x14ac:dyDescent="0.25">
      <c r="A453" t="s">
        <v>136</v>
      </c>
      <c r="B453" t="s">
        <v>600</v>
      </c>
      <c r="C453" t="str">
        <f t="shared" si="36"/>
        <v>FR</v>
      </c>
      <c r="D453" t="str">
        <f t="shared" si="37"/>
        <v>GRP</v>
      </c>
      <c r="E453" t="str">
        <f t="shared" si="35"/>
        <v>FRGRP</v>
      </c>
      <c r="F453" t="str">
        <f t="shared" si="38"/>
        <v>L</v>
      </c>
      <c r="G453" t="s">
        <v>589</v>
      </c>
      <c r="H453">
        <v>1</v>
      </c>
      <c r="I453">
        <v>0.06</v>
      </c>
      <c r="J453" t="str">
        <f t="shared" si="39"/>
        <v>FRL000GRPLR0FRLFER</v>
      </c>
      <c r="K453">
        <f>_xlfn.IFNA(IF(F453="H",VLOOKUP(E453,Fertiliser_data!$E$7:$L$267,8,FALSE),VLOOKUP(E453,Fertiliser_data!$E$7:$L$267,8,FALSE)*0.65),IF(F453="H",0.038,(0.038*0.65)))</f>
        <v>1.1407985074626866E-2</v>
      </c>
      <c r="L453">
        <f>IF($C453="IE",$K453*CF_231025!$E$16,$K453/VLOOKUP($C453,CF_231025!$A$2:$E$28,5,FALSE))</f>
        <v>4.009478942937684E-3</v>
      </c>
    </row>
    <row r="454" spans="1:12" x14ac:dyDescent="0.25">
      <c r="A454" t="s">
        <v>136</v>
      </c>
      <c r="B454" t="s">
        <v>601</v>
      </c>
      <c r="C454" t="str">
        <f t="shared" si="36"/>
        <v>FR</v>
      </c>
      <c r="D454" t="str">
        <f t="shared" si="37"/>
        <v>RYE</v>
      </c>
      <c r="E454" t="str">
        <f t="shared" si="35"/>
        <v>FRRYE</v>
      </c>
      <c r="F454" t="str">
        <f t="shared" si="38"/>
        <v>H</v>
      </c>
      <c r="G454" t="s">
        <v>589</v>
      </c>
      <c r="H454">
        <v>1</v>
      </c>
      <c r="I454">
        <v>0.11</v>
      </c>
      <c r="J454" t="str">
        <f t="shared" si="39"/>
        <v>FRL000RYEHI0FRLFER</v>
      </c>
      <c r="K454">
        <f>_xlfn.IFNA(IF(F454="H",VLOOKUP(E454,Fertiliser_data!$E$7:$L$267,8,FALSE),VLOOKUP(E454,Fertiliser_data!$E$7:$L$267,8,FALSE)*0.65),IF(F454="H",0.038,(0.038*0.65)))</f>
        <v>3.7999999999999999E-2</v>
      </c>
      <c r="L454">
        <f>IF($C454="IE",$K454*CF_231025!$E$16,$K454/VLOOKUP($C454,CF_231025!$A$2:$E$28,5,FALSE))</f>
        <v>1.3355574962181951E-2</v>
      </c>
    </row>
    <row r="455" spans="1:12" x14ac:dyDescent="0.25">
      <c r="A455" t="s">
        <v>136</v>
      </c>
      <c r="B455" t="s">
        <v>602</v>
      </c>
      <c r="C455" t="str">
        <f t="shared" si="36"/>
        <v>FR</v>
      </c>
      <c r="D455" t="str">
        <f t="shared" si="37"/>
        <v>RYE</v>
      </c>
      <c r="E455" t="str">
        <f t="shared" si="35"/>
        <v>FRRYE</v>
      </c>
      <c r="F455" t="str">
        <f t="shared" si="38"/>
        <v>H</v>
      </c>
      <c r="G455" t="s">
        <v>589</v>
      </c>
      <c r="H455">
        <v>1</v>
      </c>
      <c r="I455">
        <v>0.11</v>
      </c>
      <c r="J455" t="str">
        <f t="shared" si="39"/>
        <v>FRL000RYEHR0FRLFER</v>
      </c>
      <c r="K455">
        <f>_xlfn.IFNA(IF(F455="H",VLOOKUP(E455,Fertiliser_data!$E$7:$L$267,8,FALSE),VLOOKUP(E455,Fertiliser_data!$E$7:$L$267,8,FALSE)*0.65),IF(F455="H",0.038,(0.038*0.65)))</f>
        <v>3.7999999999999999E-2</v>
      </c>
      <c r="L455">
        <f>IF($C455="IE",$K455*CF_231025!$E$16,$K455/VLOOKUP($C455,CF_231025!$A$2:$E$28,5,FALSE))</f>
        <v>1.3355574962181951E-2</v>
      </c>
    </row>
    <row r="456" spans="1:12" x14ac:dyDescent="0.25">
      <c r="A456" t="s">
        <v>136</v>
      </c>
      <c r="B456" t="s">
        <v>603</v>
      </c>
      <c r="C456" t="str">
        <f t="shared" si="36"/>
        <v>FR</v>
      </c>
      <c r="D456" t="str">
        <f t="shared" si="37"/>
        <v>RYE</v>
      </c>
      <c r="E456" t="str">
        <f t="shared" si="35"/>
        <v>FRRYE</v>
      </c>
      <c r="F456" t="str">
        <f t="shared" si="38"/>
        <v>L</v>
      </c>
      <c r="G456" t="s">
        <v>589</v>
      </c>
      <c r="H456">
        <v>1</v>
      </c>
      <c r="I456">
        <v>0.04</v>
      </c>
      <c r="J456" t="str">
        <f t="shared" si="39"/>
        <v>FRL000RYELI0FRLFER</v>
      </c>
      <c r="K456">
        <f>_xlfn.IFNA(IF(F456="H",VLOOKUP(E456,Fertiliser_data!$E$7:$L$267,8,FALSE),VLOOKUP(E456,Fertiliser_data!$E$7:$L$267,8,FALSE)*0.65),IF(F456="H",0.038,(0.038*0.65)))</f>
        <v>2.47E-2</v>
      </c>
      <c r="L456">
        <f>IF($C456="IE",$K456*CF_231025!$E$16,$K456/VLOOKUP($C456,CF_231025!$A$2:$E$28,5,FALSE))</f>
        <v>8.6811237254182678E-3</v>
      </c>
    </row>
    <row r="457" spans="1:12" x14ac:dyDescent="0.25">
      <c r="A457" t="s">
        <v>136</v>
      </c>
      <c r="B457" t="s">
        <v>604</v>
      </c>
      <c r="C457" t="str">
        <f t="shared" si="36"/>
        <v>FR</v>
      </c>
      <c r="D457" t="str">
        <f t="shared" si="37"/>
        <v>RYE</v>
      </c>
      <c r="E457" t="str">
        <f t="shared" si="35"/>
        <v>FRRYE</v>
      </c>
      <c r="F457" t="str">
        <f t="shared" si="38"/>
        <v>L</v>
      </c>
      <c r="G457" t="s">
        <v>589</v>
      </c>
      <c r="H457">
        <v>1</v>
      </c>
      <c r="I457">
        <v>0.04</v>
      </c>
      <c r="J457" t="str">
        <f t="shared" si="39"/>
        <v>FRL000RYELR0FRLFER</v>
      </c>
      <c r="K457">
        <f>_xlfn.IFNA(IF(F457="H",VLOOKUP(E457,Fertiliser_data!$E$7:$L$267,8,FALSE),VLOOKUP(E457,Fertiliser_data!$E$7:$L$267,8,FALSE)*0.65),IF(F457="H",0.038,(0.038*0.65)))</f>
        <v>2.47E-2</v>
      </c>
      <c r="L457">
        <f>IF($C457="IE",$K457*CF_231025!$E$16,$K457/VLOOKUP($C457,CF_231025!$A$2:$E$28,5,FALSE))</f>
        <v>8.6811237254182678E-3</v>
      </c>
    </row>
    <row r="458" spans="1:12" x14ac:dyDescent="0.25">
      <c r="A458" t="s">
        <v>136</v>
      </c>
      <c r="B458" t="s">
        <v>605</v>
      </c>
      <c r="C458" t="str">
        <f t="shared" si="36"/>
        <v>FR</v>
      </c>
      <c r="D458" t="str">
        <f t="shared" si="37"/>
        <v>OTH</v>
      </c>
      <c r="E458" t="str">
        <f t="shared" si="35"/>
        <v>FROTH</v>
      </c>
      <c r="F458" t="str">
        <f t="shared" si="38"/>
        <v>H</v>
      </c>
      <c r="G458" t="s">
        <v>589</v>
      </c>
      <c r="H458">
        <v>1</v>
      </c>
      <c r="I458">
        <v>0.17</v>
      </c>
      <c r="J458" t="str">
        <f t="shared" si="39"/>
        <v>FRL000OTHHI0FRLFER</v>
      </c>
      <c r="K458">
        <f>_xlfn.IFNA(IF(F458="H",VLOOKUP(E458,Fertiliser_data!$E$7:$L$267,8,FALSE),VLOOKUP(E458,Fertiliser_data!$E$7:$L$267,8,FALSE)*0.65),IF(F458="H",0.038,(0.038*0.65)))</f>
        <v>3.7999999999999999E-2</v>
      </c>
      <c r="L458">
        <f>IF($C458="IE",$K458*CF_231025!$E$16,$K458/VLOOKUP($C458,CF_231025!$A$2:$E$28,5,FALSE))</f>
        <v>1.3355574962181951E-2</v>
      </c>
    </row>
    <row r="459" spans="1:12" x14ac:dyDescent="0.25">
      <c r="A459" t="s">
        <v>136</v>
      </c>
      <c r="B459" t="s">
        <v>606</v>
      </c>
      <c r="C459" t="str">
        <f t="shared" si="36"/>
        <v>FR</v>
      </c>
      <c r="D459" t="str">
        <f t="shared" si="37"/>
        <v>OTH</v>
      </c>
      <c r="E459" t="str">
        <f t="shared" si="35"/>
        <v>FROTH</v>
      </c>
      <c r="F459" t="str">
        <f t="shared" si="38"/>
        <v>H</v>
      </c>
      <c r="G459" t="s">
        <v>589</v>
      </c>
      <c r="H459">
        <v>1</v>
      </c>
      <c r="I459">
        <v>0.17</v>
      </c>
      <c r="J459" t="str">
        <f t="shared" si="39"/>
        <v>FRL000OTHHR0FRLFER</v>
      </c>
      <c r="K459">
        <f>_xlfn.IFNA(IF(F459="H",VLOOKUP(E459,Fertiliser_data!$E$7:$L$267,8,FALSE),VLOOKUP(E459,Fertiliser_data!$E$7:$L$267,8,FALSE)*0.65),IF(F459="H",0.038,(0.038*0.65)))</f>
        <v>3.7999999999999999E-2</v>
      </c>
      <c r="L459">
        <f>IF($C459="IE",$K459*CF_231025!$E$16,$K459/VLOOKUP($C459,CF_231025!$A$2:$E$28,5,FALSE))</f>
        <v>1.3355574962181951E-2</v>
      </c>
    </row>
    <row r="460" spans="1:12" x14ac:dyDescent="0.25">
      <c r="A460" t="s">
        <v>136</v>
      </c>
      <c r="B460" t="s">
        <v>607</v>
      </c>
      <c r="C460" t="str">
        <f t="shared" si="36"/>
        <v>FR</v>
      </c>
      <c r="D460" t="str">
        <f t="shared" si="37"/>
        <v>OTH</v>
      </c>
      <c r="E460" t="str">
        <f t="shared" si="35"/>
        <v>FROTH</v>
      </c>
      <c r="F460" t="str">
        <f t="shared" si="38"/>
        <v>L</v>
      </c>
      <c r="G460" t="s">
        <v>589</v>
      </c>
      <c r="H460">
        <v>1</v>
      </c>
      <c r="I460">
        <v>0.06</v>
      </c>
      <c r="J460" t="str">
        <f t="shared" si="39"/>
        <v>FRL000OTHLI0FRLFER</v>
      </c>
      <c r="K460">
        <f>_xlfn.IFNA(IF(F460="H",VLOOKUP(E460,Fertiliser_data!$E$7:$L$267,8,FALSE),VLOOKUP(E460,Fertiliser_data!$E$7:$L$267,8,FALSE)*0.65),IF(F460="H",0.038,(0.038*0.65)))</f>
        <v>2.47E-2</v>
      </c>
      <c r="L460">
        <f>IF($C460="IE",$K460*CF_231025!$E$16,$K460/VLOOKUP($C460,CF_231025!$A$2:$E$28,5,FALSE))</f>
        <v>8.6811237254182678E-3</v>
      </c>
    </row>
    <row r="461" spans="1:12" x14ac:dyDescent="0.25">
      <c r="A461" t="s">
        <v>136</v>
      </c>
      <c r="B461" t="s">
        <v>608</v>
      </c>
      <c r="C461" t="str">
        <f t="shared" si="36"/>
        <v>FR</v>
      </c>
      <c r="D461" t="str">
        <f t="shared" si="37"/>
        <v>OTH</v>
      </c>
      <c r="E461" t="str">
        <f t="shared" si="35"/>
        <v>FROTH</v>
      </c>
      <c r="F461" t="str">
        <f t="shared" si="38"/>
        <v>L</v>
      </c>
      <c r="G461" t="s">
        <v>589</v>
      </c>
      <c r="H461">
        <v>1</v>
      </c>
      <c r="I461">
        <v>0.06</v>
      </c>
      <c r="J461" t="str">
        <f t="shared" si="39"/>
        <v>FRL000OTHLR0FRLFER</v>
      </c>
      <c r="K461">
        <f>_xlfn.IFNA(IF(F461="H",VLOOKUP(E461,Fertiliser_data!$E$7:$L$267,8,FALSE),VLOOKUP(E461,Fertiliser_data!$E$7:$L$267,8,FALSE)*0.65),IF(F461="H",0.038,(0.038*0.65)))</f>
        <v>2.47E-2</v>
      </c>
      <c r="L461">
        <f>IF($C461="IE",$K461*CF_231025!$E$16,$K461/VLOOKUP($C461,CF_231025!$A$2:$E$28,5,FALSE))</f>
        <v>8.6811237254182678E-3</v>
      </c>
    </row>
    <row r="462" spans="1:12" x14ac:dyDescent="0.25">
      <c r="A462" t="s">
        <v>136</v>
      </c>
      <c r="B462" t="s">
        <v>609</v>
      </c>
      <c r="C462" t="str">
        <f t="shared" si="36"/>
        <v>FR</v>
      </c>
      <c r="D462" t="str">
        <f t="shared" si="37"/>
        <v>SUG</v>
      </c>
      <c r="E462" t="str">
        <f t="shared" si="35"/>
        <v>FRSUG</v>
      </c>
      <c r="F462" t="str">
        <f t="shared" si="38"/>
        <v>H</v>
      </c>
      <c r="G462" t="s">
        <v>589</v>
      </c>
      <c r="H462">
        <v>1</v>
      </c>
      <c r="I462">
        <v>0.17</v>
      </c>
      <c r="J462" t="str">
        <f t="shared" si="39"/>
        <v>FRL000SUGHI0FRLFER</v>
      </c>
      <c r="K462">
        <f>_xlfn.IFNA(IF(F462="H",VLOOKUP(E462,Fertiliser_data!$E$7:$L$267,8,FALSE),VLOOKUP(E462,Fertiliser_data!$E$7:$L$267,8,FALSE)*0.65),IF(F462="H",0.038,(0.038*0.65)))</f>
        <v>5.4844776119402992E-2</v>
      </c>
      <c r="L462">
        <f>IF($C462="IE",$K462*CF_231025!$E$16,$K462/VLOOKUP($C462,CF_231025!$A$2:$E$28,5,FALSE))</f>
        <v>1.9275882072283507E-2</v>
      </c>
    </row>
    <row r="463" spans="1:12" x14ac:dyDescent="0.25">
      <c r="A463" t="s">
        <v>136</v>
      </c>
      <c r="B463" t="s">
        <v>610</v>
      </c>
      <c r="C463" t="str">
        <f t="shared" si="36"/>
        <v>FR</v>
      </c>
      <c r="D463" t="str">
        <f t="shared" si="37"/>
        <v>SUG</v>
      </c>
      <c r="E463" t="str">
        <f t="shared" si="35"/>
        <v>FRSUG</v>
      </c>
      <c r="F463" t="str">
        <f t="shared" si="38"/>
        <v>H</v>
      </c>
      <c r="G463" t="s">
        <v>589</v>
      </c>
      <c r="H463">
        <v>1</v>
      </c>
      <c r="I463">
        <v>0.17</v>
      </c>
      <c r="J463" t="str">
        <f t="shared" si="39"/>
        <v>FRL000SUGHR0FRLFER</v>
      </c>
      <c r="K463">
        <f>_xlfn.IFNA(IF(F463="H",VLOOKUP(E463,Fertiliser_data!$E$7:$L$267,8,FALSE),VLOOKUP(E463,Fertiliser_data!$E$7:$L$267,8,FALSE)*0.65),IF(F463="H",0.038,(0.038*0.65)))</f>
        <v>5.4844776119402992E-2</v>
      </c>
      <c r="L463">
        <f>IF($C463="IE",$K463*CF_231025!$E$16,$K463/VLOOKUP($C463,CF_231025!$A$2:$E$28,5,FALSE))</f>
        <v>1.9275882072283507E-2</v>
      </c>
    </row>
    <row r="464" spans="1:12" x14ac:dyDescent="0.25">
      <c r="A464" t="s">
        <v>136</v>
      </c>
      <c r="B464" t="s">
        <v>611</v>
      </c>
      <c r="C464" t="str">
        <f t="shared" si="36"/>
        <v>FR</v>
      </c>
      <c r="D464" t="str">
        <f t="shared" si="37"/>
        <v>SUG</v>
      </c>
      <c r="E464" t="str">
        <f t="shared" si="35"/>
        <v>FRSUG</v>
      </c>
      <c r="F464" t="str">
        <f t="shared" si="38"/>
        <v>L</v>
      </c>
      <c r="G464" t="s">
        <v>589</v>
      </c>
      <c r="H464">
        <v>1</v>
      </c>
      <c r="I464">
        <v>0.06</v>
      </c>
      <c r="J464" t="str">
        <f t="shared" si="39"/>
        <v>FRL000SUGLI0FRLFER</v>
      </c>
      <c r="K464">
        <f>_xlfn.IFNA(IF(F464="H",VLOOKUP(E464,Fertiliser_data!$E$7:$L$267,8,FALSE),VLOOKUP(E464,Fertiliser_data!$E$7:$L$267,8,FALSE)*0.65),IF(F464="H",0.038,(0.038*0.65)))</f>
        <v>3.5649104477611944E-2</v>
      </c>
      <c r="L464">
        <f>IF($C464="IE",$K464*CF_231025!$E$16,$K464/VLOOKUP($C464,CF_231025!$A$2:$E$28,5,FALSE))</f>
        <v>1.2529323346984278E-2</v>
      </c>
    </row>
    <row r="465" spans="1:12" x14ac:dyDescent="0.25">
      <c r="A465" t="s">
        <v>136</v>
      </c>
      <c r="B465" t="s">
        <v>612</v>
      </c>
      <c r="C465" t="str">
        <f t="shared" si="36"/>
        <v>FR</v>
      </c>
      <c r="D465" t="str">
        <f t="shared" si="37"/>
        <v>SUG</v>
      </c>
      <c r="E465" t="str">
        <f t="shared" si="35"/>
        <v>FRSUG</v>
      </c>
      <c r="F465" t="str">
        <f t="shared" si="38"/>
        <v>L</v>
      </c>
      <c r="G465" t="s">
        <v>589</v>
      </c>
      <c r="H465">
        <v>1</v>
      </c>
      <c r="I465">
        <v>0.06</v>
      </c>
      <c r="J465" t="str">
        <f t="shared" si="39"/>
        <v>FRL000SUGLR0FRLFER</v>
      </c>
      <c r="K465">
        <f>_xlfn.IFNA(IF(F465="H",VLOOKUP(E465,Fertiliser_data!$E$7:$L$267,8,FALSE),VLOOKUP(E465,Fertiliser_data!$E$7:$L$267,8,FALSE)*0.65),IF(F465="H",0.038,(0.038*0.65)))</f>
        <v>3.5649104477611944E-2</v>
      </c>
      <c r="L465">
        <f>IF($C465="IE",$K465*CF_231025!$E$16,$K465/VLOOKUP($C465,CF_231025!$A$2:$E$28,5,FALSE))</f>
        <v>1.2529323346984278E-2</v>
      </c>
    </row>
    <row r="466" spans="1:12" x14ac:dyDescent="0.25">
      <c r="A466" t="s">
        <v>136</v>
      </c>
      <c r="B466" t="s">
        <v>613</v>
      </c>
      <c r="C466" t="str">
        <f t="shared" si="36"/>
        <v>FR</v>
      </c>
      <c r="D466" t="str">
        <f t="shared" si="37"/>
        <v>MAI</v>
      </c>
      <c r="E466" t="str">
        <f t="shared" si="35"/>
        <v>FRMAI</v>
      </c>
      <c r="F466" t="str">
        <f t="shared" si="38"/>
        <v>H</v>
      </c>
      <c r="G466" t="s">
        <v>589</v>
      </c>
      <c r="H466">
        <v>1</v>
      </c>
      <c r="I466">
        <v>0.16</v>
      </c>
      <c r="J466" t="str">
        <f t="shared" si="39"/>
        <v>FRL000MAIHI0FRLFER</v>
      </c>
      <c r="K466">
        <f>_xlfn.IFNA(IF(F466="H",VLOOKUP(E466,Fertiliser_data!$E$7:$L$267,8,FALSE),VLOOKUP(E466,Fertiliser_data!$E$7:$L$267,8,FALSE)*0.65),IF(F466="H",0.038,(0.038*0.65)))</f>
        <v>5.937313432835821E-2</v>
      </c>
      <c r="L466">
        <f>IF($C466="IE",$K466*CF_231025!$E$16,$K466/VLOOKUP($C466,CF_231025!$A$2:$E$28,5,FALSE))</f>
        <v>2.0867430164791752E-2</v>
      </c>
    </row>
    <row r="467" spans="1:12" x14ac:dyDescent="0.25">
      <c r="A467" t="s">
        <v>136</v>
      </c>
      <c r="B467" t="s">
        <v>614</v>
      </c>
      <c r="C467" t="str">
        <f t="shared" si="36"/>
        <v>FR</v>
      </c>
      <c r="D467" t="str">
        <f t="shared" si="37"/>
        <v>MAI</v>
      </c>
      <c r="E467" t="str">
        <f t="shared" si="35"/>
        <v>FRMAI</v>
      </c>
      <c r="F467" t="str">
        <f t="shared" si="38"/>
        <v>H</v>
      </c>
      <c r="G467" t="s">
        <v>589</v>
      </c>
      <c r="H467">
        <v>1</v>
      </c>
      <c r="I467">
        <v>0.16</v>
      </c>
      <c r="J467" t="str">
        <f t="shared" si="39"/>
        <v>FRL000MAIHR0FRLFER</v>
      </c>
      <c r="K467">
        <f>_xlfn.IFNA(IF(F467="H",VLOOKUP(E467,Fertiliser_data!$E$7:$L$267,8,FALSE),VLOOKUP(E467,Fertiliser_data!$E$7:$L$267,8,FALSE)*0.65),IF(F467="H",0.038,(0.038*0.65)))</f>
        <v>5.937313432835821E-2</v>
      </c>
      <c r="L467">
        <f>IF($C467="IE",$K467*CF_231025!$E$16,$K467/VLOOKUP($C467,CF_231025!$A$2:$E$28,5,FALSE))</f>
        <v>2.0867430164791752E-2</v>
      </c>
    </row>
    <row r="468" spans="1:12" x14ac:dyDescent="0.25">
      <c r="A468" t="s">
        <v>136</v>
      </c>
      <c r="B468" t="s">
        <v>615</v>
      </c>
      <c r="C468" t="str">
        <f t="shared" si="36"/>
        <v>FR</v>
      </c>
      <c r="D468" t="str">
        <f t="shared" si="37"/>
        <v>MAI</v>
      </c>
      <c r="E468" t="str">
        <f t="shared" si="35"/>
        <v>FRMAI</v>
      </c>
      <c r="F468" t="str">
        <f t="shared" si="38"/>
        <v>L</v>
      </c>
      <c r="G468" t="s">
        <v>589</v>
      </c>
      <c r="H468">
        <v>1</v>
      </c>
      <c r="I468">
        <v>0.06</v>
      </c>
      <c r="J468" t="str">
        <f t="shared" si="39"/>
        <v>FRL000MAILI0FRLFER</v>
      </c>
      <c r="K468">
        <f>_xlfn.IFNA(IF(F468="H",VLOOKUP(E468,Fertiliser_data!$E$7:$L$267,8,FALSE),VLOOKUP(E468,Fertiliser_data!$E$7:$L$267,8,FALSE)*0.65),IF(F468="H",0.038,(0.038*0.65)))</f>
        <v>3.8592537313432838E-2</v>
      </c>
      <c r="L468">
        <f>IF($C468="IE",$K468*CF_231025!$E$16,$K468/VLOOKUP($C468,CF_231025!$A$2:$E$28,5,FALSE))</f>
        <v>1.3563829607114641E-2</v>
      </c>
    </row>
    <row r="469" spans="1:12" x14ac:dyDescent="0.25">
      <c r="A469" t="s">
        <v>136</v>
      </c>
      <c r="B469" t="s">
        <v>616</v>
      </c>
      <c r="C469" t="str">
        <f t="shared" si="36"/>
        <v>FR</v>
      </c>
      <c r="D469" t="str">
        <f t="shared" si="37"/>
        <v>MAI</v>
      </c>
      <c r="E469" t="str">
        <f t="shared" si="35"/>
        <v>FRMAI</v>
      </c>
      <c r="F469" t="str">
        <f t="shared" si="38"/>
        <v>L</v>
      </c>
      <c r="G469" t="s">
        <v>589</v>
      </c>
      <c r="H469">
        <v>1</v>
      </c>
      <c r="I469">
        <v>0.06</v>
      </c>
      <c r="J469" t="str">
        <f t="shared" si="39"/>
        <v>FRL000MAILR0FRLFER</v>
      </c>
      <c r="K469">
        <f>_xlfn.IFNA(IF(F469="H",VLOOKUP(E469,Fertiliser_data!$E$7:$L$267,8,FALSE),VLOOKUP(E469,Fertiliser_data!$E$7:$L$267,8,FALSE)*0.65),IF(F469="H",0.038,(0.038*0.65)))</f>
        <v>3.8592537313432838E-2</v>
      </c>
      <c r="L469">
        <f>IF($C469="IE",$K469*CF_231025!$E$16,$K469/VLOOKUP($C469,CF_231025!$A$2:$E$28,5,FALSE))</f>
        <v>1.3563829607114641E-2</v>
      </c>
    </row>
    <row r="470" spans="1:12" x14ac:dyDescent="0.25">
      <c r="A470" t="s">
        <v>136</v>
      </c>
      <c r="B470" t="s">
        <v>617</v>
      </c>
      <c r="C470" t="str">
        <f t="shared" si="36"/>
        <v>FR</v>
      </c>
      <c r="D470" t="str">
        <f t="shared" si="37"/>
        <v>RAP</v>
      </c>
      <c r="E470" t="str">
        <f t="shared" si="35"/>
        <v>FRRAP</v>
      </c>
      <c r="F470" t="str">
        <f t="shared" si="38"/>
        <v>H</v>
      </c>
      <c r="G470" t="s">
        <v>589</v>
      </c>
      <c r="H470">
        <v>1</v>
      </c>
      <c r="I470">
        <v>0.26</v>
      </c>
      <c r="J470" t="str">
        <f t="shared" si="39"/>
        <v>FRL000RAPHI0FRLFER</v>
      </c>
      <c r="K470">
        <f>_xlfn.IFNA(IF(F470="H",VLOOKUP(E470,Fertiliser_data!$E$7:$L$267,8,FALSE),VLOOKUP(E470,Fertiliser_data!$E$7:$L$267,8,FALSE)*0.65),IF(F470="H",0.038,(0.038*0.65)))</f>
        <v>6.2552238805970148E-2</v>
      </c>
      <c r="L470">
        <f>IF($C470="IE",$K470*CF_231025!$E$16,$K470/VLOOKUP($C470,CF_231025!$A$2:$E$28,5,FALSE))</f>
        <v>2.1984766169090557E-2</v>
      </c>
    </row>
    <row r="471" spans="1:12" x14ac:dyDescent="0.25">
      <c r="A471" t="s">
        <v>136</v>
      </c>
      <c r="B471" t="s">
        <v>618</v>
      </c>
      <c r="C471" t="str">
        <f t="shared" si="36"/>
        <v>FR</v>
      </c>
      <c r="D471" t="str">
        <f t="shared" si="37"/>
        <v>RAP</v>
      </c>
      <c r="E471" t="str">
        <f t="shared" si="35"/>
        <v>FRRAP</v>
      </c>
      <c r="F471" t="str">
        <f t="shared" si="38"/>
        <v>H</v>
      </c>
      <c r="G471" t="s">
        <v>589</v>
      </c>
      <c r="H471">
        <v>1</v>
      </c>
      <c r="I471">
        <v>0.26</v>
      </c>
      <c r="J471" t="str">
        <f t="shared" si="39"/>
        <v>FRL000RAPHR0FRLFER</v>
      </c>
      <c r="K471">
        <f>_xlfn.IFNA(IF(F471="H",VLOOKUP(E471,Fertiliser_data!$E$7:$L$267,8,FALSE),VLOOKUP(E471,Fertiliser_data!$E$7:$L$267,8,FALSE)*0.65),IF(F471="H",0.038,(0.038*0.65)))</f>
        <v>6.2552238805970148E-2</v>
      </c>
      <c r="L471">
        <f>IF($C471="IE",$K471*CF_231025!$E$16,$K471/VLOOKUP($C471,CF_231025!$A$2:$E$28,5,FALSE))</f>
        <v>2.1984766169090557E-2</v>
      </c>
    </row>
    <row r="472" spans="1:12" x14ac:dyDescent="0.25">
      <c r="A472" t="s">
        <v>136</v>
      </c>
      <c r="B472" t="s">
        <v>619</v>
      </c>
      <c r="C472" t="str">
        <f t="shared" si="36"/>
        <v>FR</v>
      </c>
      <c r="D472" t="str">
        <f t="shared" si="37"/>
        <v>RAP</v>
      </c>
      <c r="E472" t="str">
        <f t="shared" si="35"/>
        <v>FRRAP</v>
      </c>
      <c r="F472" t="str">
        <f t="shared" si="38"/>
        <v>L</v>
      </c>
      <c r="G472" t="s">
        <v>589</v>
      </c>
      <c r="H472">
        <v>1</v>
      </c>
      <c r="I472">
        <v>0.1</v>
      </c>
      <c r="J472" t="str">
        <f t="shared" si="39"/>
        <v>FRL000RAPLI0FRLFER</v>
      </c>
      <c r="K472">
        <f>_xlfn.IFNA(IF(F472="H",VLOOKUP(E472,Fertiliser_data!$E$7:$L$267,8,FALSE),VLOOKUP(E472,Fertiliser_data!$E$7:$L$267,8,FALSE)*0.65),IF(F472="H",0.038,(0.038*0.65)))</f>
        <v>4.0658955223880598E-2</v>
      </c>
      <c r="L472">
        <f>IF($C472="IE",$K472*CF_231025!$E$16,$K472/VLOOKUP($C472,CF_231025!$A$2:$E$28,5,FALSE))</f>
        <v>1.4290098009908863E-2</v>
      </c>
    </row>
    <row r="473" spans="1:12" x14ac:dyDescent="0.25">
      <c r="A473" t="s">
        <v>136</v>
      </c>
      <c r="B473" t="s">
        <v>620</v>
      </c>
      <c r="C473" t="str">
        <f t="shared" si="36"/>
        <v>FR</v>
      </c>
      <c r="D473" t="str">
        <f t="shared" si="37"/>
        <v>RAP</v>
      </c>
      <c r="E473" t="str">
        <f t="shared" si="35"/>
        <v>FRRAP</v>
      </c>
      <c r="F473" t="str">
        <f t="shared" si="38"/>
        <v>L</v>
      </c>
      <c r="G473" t="s">
        <v>589</v>
      </c>
      <c r="H473">
        <v>1</v>
      </c>
      <c r="I473">
        <v>0.1</v>
      </c>
      <c r="J473" t="str">
        <f t="shared" si="39"/>
        <v>FRL000RAPLR0FRLFER</v>
      </c>
      <c r="K473">
        <f>_xlfn.IFNA(IF(F473="H",VLOOKUP(E473,Fertiliser_data!$E$7:$L$267,8,FALSE),VLOOKUP(E473,Fertiliser_data!$E$7:$L$267,8,FALSE)*0.65),IF(F473="H",0.038,(0.038*0.65)))</f>
        <v>4.0658955223880598E-2</v>
      </c>
      <c r="L473">
        <f>IF($C473="IE",$K473*CF_231025!$E$16,$K473/VLOOKUP($C473,CF_231025!$A$2:$E$28,5,FALSE))</f>
        <v>1.4290098009908863E-2</v>
      </c>
    </row>
    <row r="474" spans="1:12" x14ac:dyDescent="0.25">
      <c r="A474" t="s">
        <v>136</v>
      </c>
      <c r="B474" t="s">
        <v>621</v>
      </c>
      <c r="C474" t="str">
        <f t="shared" si="36"/>
        <v>FR</v>
      </c>
      <c r="D474" t="str">
        <f t="shared" si="37"/>
        <v>SUN</v>
      </c>
      <c r="E474" t="str">
        <f t="shared" si="35"/>
        <v>FRSUN</v>
      </c>
      <c r="F474" t="str">
        <f t="shared" si="38"/>
        <v>H</v>
      </c>
      <c r="G474" t="s">
        <v>589</v>
      </c>
      <c r="H474">
        <v>1</v>
      </c>
      <c r="I474">
        <v>0.19</v>
      </c>
      <c r="J474" t="str">
        <f t="shared" si="39"/>
        <v>FRL000SUNHI0FRLFER</v>
      </c>
      <c r="K474">
        <f>_xlfn.IFNA(IF(F474="H",VLOOKUP(E474,Fertiliser_data!$E$7:$L$267,8,FALSE),VLOOKUP(E474,Fertiliser_data!$E$7:$L$267,8,FALSE)*0.65),IF(F474="H",0.038,(0.038*0.65)))</f>
        <v>3.1514925373134328E-2</v>
      </c>
      <c r="L474">
        <f>IF($C474="IE",$K474*CF_231025!$E$16,$K474/VLOOKUP($C474,CF_231025!$A$2:$E$28,5,FALSE))</f>
        <v>1.1076314427591199E-2</v>
      </c>
    </row>
    <row r="475" spans="1:12" x14ac:dyDescent="0.25">
      <c r="A475" t="s">
        <v>136</v>
      </c>
      <c r="B475" t="s">
        <v>622</v>
      </c>
      <c r="C475" t="str">
        <f t="shared" si="36"/>
        <v>FR</v>
      </c>
      <c r="D475" t="str">
        <f t="shared" si="37"/>
        <v>SUN</v>
      </c>
      <c r="E475" t="str">
        <f t="shared" si="35"/>
        <v>FRSUN</v>
      </c>
      <c r="F475" t="str">
        <f t="shared" si="38"/>
        <v>H</v>
      </c>
      <c r="G475" t="s">
        <v>589</v>
      </c>
      <c r="H475">
        <v>1</v>
      </c>
      <c r="I475">
        <v>0.19</v>
      </c>
      <c r="J475" t="str">
        <f t="shared" si="39"/>
        <v>FRL000SUNHR0FRLFER</v>
      </c>
      <c r="K475">
        <f>_xlfn.IFNA(IF(F475="H",VLOOKUP(E475,Fertiliser_data!$E$7:$L$267,8,FALSE),VLOOKUP(E475,Fertiliser_data!$E$7:$L$267,8,FALSE)*0.65),IF(F475="H",0.038,(0.038*0.65)))</f>
        <v>3.1514925373134328E-2</v>
      </c>
      <c r="L475">
        <f>IF($C475="IE",$K475*CF_231025!$E$16,$K475/VLOOKUP($C475,CF_231025!$A$2:$E$28,5,FALSE))</f>
        <v>1.1076314427591199E-2</v>
      </c>
    </row>
    <row r="476" spans="1:12" x14ac:dyDescent="0.25">
      <c r="A476" t="s">
        <v>136</v>
      </c>
      <c r="B476" t="s">
        <v>623</v>
      </c>
      <c r="C476" t="str">
        <f t="shared" si="36"/>
        <v>FR</v>
      </c>
      <c r="D476" t="str">
        <f t="shared" si="37"/>
        <v>SUN</v>
      </c>
      <c r="E476" t="str">
        <f t="shared" si="35"/>
        <v>FRSUN</v>
      </c>
      <c r="F476" t="str">
        <f t="shared" si="38"/>
        <v>L</v>
      </c>
      <c r="G476" t="s">
        <v>589</v>
      </c>
      <c r="H476">
        <v>1</v>
      </c>
      <c r="I476">
        <v>7.0000000000000007E-2</v>
      </c>
      <c r="J476" t="str">
        <f t="shared" si="39"/>
        <v>FRL000SUNLI0FRLFER</v>
      </c>
      <c r="K476">
        <f>_xlfn.IFNA(IF(F476="H",VLOOKUP(E476,Fertiliser_data!$E$7:$L$267,8,FALSE),VLOOKUP(E476,Fertiliser_data!$E$7:$L$267,8,FALSE)*0.65),IF(F476="H",0.038,(0.038*0.65)))</f>
        <v>2.0484701492537314E-2</v>
      </c>
      <c r="L476">
        <f>IF($C476="IE",$K476*CF_231025!$E$16,$K476/VLOOKUP($C476,CF_231025!$A$2:$E$28,5,FALSE))</f>
        <v>7.1996043779342794E-3</v>
      </c>
    </row>
    <row r="477" spans="1:12" x14ac:dyDescent="0.25">
      <c r="A477" t="s">
        <v>136</v>
      </c>
      <c r="B477" t="s">
        <v>624</v>
      </c>
      <c r="C477" t="str">
        <f t="shared" si="36"/>
        <v>FR</v>
      </c>
      <c r="D477" t="str">
        <f t="shared" si="37"/>
        <v>SUN</v>
      </c>
      <c r="E477" t="str">
        <f t="shared" si="35"/>
        <v>FRSUN</v>
      </c>
      <c r="F477" t="str">
        <f t="shared" si="38"/>
        <v>L</v>
      </c>
      <c r="G477" t="s">
        <v>589</v>
      </c>
      <c r="H477">
        <v>1</v>
      </c>
      <c r="I477">
        <v>7.0000000000000007E-2</v>
      </c>
      <c r="J477" t="str">
        <f t="shared" si="39"/>
        <v>FRL000SUNLR0FRLFER</v>
      </c>
      <c r="K477">
        <f>_xlfn.IFNA(IF(F477="H",VLOOKUP(E477,Fertiliser_data!$E$7:$L$267,8,FALSE),VLOOKUP(E477,Fertiliser_data!$E$7:$L$267,8,FALSE)*0.65),IF(F477="H",0.038,(0.038*0.65)))</f>
        <v>2.0484701492537314E-2</v>
      </c>
      <c r="L477">
        <f>IF($C477="IE",$K477*CF_231025!$E$16,$K477/VLOOKUP($C477,CF_231025!$A$2:$E$28,5,FALSE))</f>
        <v>7.1996043779342794E-3</v>
      </c>
    </row>
    <row r="478" spans="1:12" x14ac:dyDescent="0.25">
      <c r="A478" t="s">
        <v>136</v>
      </c>
      <c r="B478" t="s">
        <v>625</v>
      </c>
      <c r="C478" t="str">
        <f t="shared" si="36"/>
        <v>FR</v>
      </c>
      <c r="D478" t="str">
        <f t="shared" si="37"/>
        <v>WHE</v>
      </c>
      <c r="E478" t="str">
        <f t="shared" si="35"/>
        <v>FRWHE</v>
      </c>
      <c r="F478" t="str">
        <f t="shared" si="38"/>
        <v>H</v>
      </c>
      <c r="G478" t="s">
        <v>589</v>
      </c>
      <c r="H478">
        <v>1</v>
      </c>
      <c r="I478">
        <v>0.2</v>
      </c>
      <c r="J478" t="str">
        <f t="shared" si="39"/>
        <v>FRL000WHEHI0FRLFER</v>
      </c>
      <c r="K478">
        <f>_xlfn.IFNA(IF(F478="H",VLOOKUP(E478,Fertiliser_data!$E$7:$L$267,8,FALSE),VLOOKUP(E478,Fertiliser_data!$E$7:$L$267,8,FALSE)*0.65),IF(F478="H",0.038,(0.038*0.65)))</f>
        <v>5.8143283582089554E-2</v>
      </c>
      <c r="L478">
        <f>IF($C478="IE",$K478*CF_231025!$E$16,$K478/VLOOKUP($C478,CF_231025!$A$2:$E$28,5,FALSE))</f>
        <v>2.0435183748105268E-2</v>
      </c>
    </row>
    <row r="479" spans="1:12" x14ac:dyDescent="0.25">
      <c r="A479" t="s">
        <v>136</v>
      </c>
      <c r="B479" t="s">
        <v>626</v>
      </c>
      <c r="C479" t="str">
        <f t="shared" si="36"/>
        <v>FR</v>
      </c>
      <c r="D479" t="str">
        <f t="shared" si="37"/>
        <v>WHE</v>
      </c>
      <c r="E479" t="str">
        <f t="shared" si="35"/>
        <v>FRWHE</v>
      </c>
      <c r="F479" t="str">
        <f t="shared" si="38"/>
        <v>H</v>
      </c>
      <c r="G479" t="s">
        <v>589</v>
      </c>
      <c r="H479">
        <v>1</v>
      </c>
      <c r="I479">
        <v>0.2</v>
      </c>
      <c r="J479" t="str">
        <f t="shared" si="39"/>
        <v>FRL000WHEHR0FRLFER</v>
      </c>
      <c r="K479">
        <f>_xlfn.IFNA(IF(F479="H",VLOOKUP(E479,Fertiliser_data!$E$7:$L$267,8,FALSE),VLOOKUP(E479,Fertiliser_data!$E$7:$L$267,8,FALSE)*0.65),IF(F479="H",0.038,(0.038*0.65)))</f>
        <v>5.8143283582089554E-2</v>
      </c>
      <c r="L479">
        <f>IF($C479="IE",$K479*CF_231025!$E$16,$K479/VLOOKUP($C479,CF_231025!$A$2:$E$28,5,FALSE))</f>
        <v>2.0435183748105268E-2</v>
      </c>
    </row>
    <row r="480" spans="1:12" x14ac:dyDescent="0.25">
      <c r="A480" t="s">
        <v>136</v>
      </c>
      <c r="B480" t="s">
        <v>627</v>
      </c>
      <c r="C480" t="str">
        <f t="shared" si="36"/>
        <v>FR</v>
      </c>
      <c r="D480" t="str">
        <f t="shared" si="37"/>
        <v>WHE</v>
      </c>
      <c r="E480" t="str">
        <f t="shared" si="35"/>
        <v>FRWHE</v>
      </c>
      <c r="F480" t="str">
        <f t="shared" si="38"/>
        <v>L</v>
      </c>
      <c r="G480" t="s">
        <v>589</v>
      </c>
      <c r="H480">
        <v>1</v>
      </c>
      <c r="I480">
        <v>7.0000000000000007E-2</v>
      </c>
      <c r="J480" t="str">
        <f t="shared" si="39"/>
        <v>FRL000WHELI0FRLFER</v>
      </c>
      <c r="K480">
        <f>_xlfn.IFNA(IF(F480="H",VLOOKUP(E480,Fertiliser_data!$E$7:$L$267,8,FALSE),VLOOKUP(E480,Fertiliser_data!$E$7:$L$267,8,FALSE)*0.65),IF(F480="H",0.038,(0.038*0.65)))</f>
        <v>3.7793134328358215E-2</v>
      </c>
      <c r="L480">
        <f>IF($C480="IE",$K480*CF_231025!$E$16,$K480/VLOOKUP($C480,CF_231025!$A$2:$E$28,5,FALSE))</f>
        <v>1.3282869436268427E-2</v>
      </c>
    </row>
    <row r="481" spans="1:12" x14ac:dyDescent="0.25">
      <c r="A481" t="s">
        <v>136</v>
      </c>
      <c r="B481" t="s">
        <v>628</v>
      </c>
      <c r="C481" t="str">
        <f t="shared" si="36"/>
        <v>FR</v>
      </c>
      <c r="D481" t="str">
        <f t="shared" si="37"/>
        <v>WHE</v>
      </c>
      <c r="E481" t="str">
        <f t="shared" si="35"/>
        <v>FRWHE</v>
      </c>
      <c r="F481" t="str">
        <f t="shared" si="38"/>
        <v>L</v>
      </c>
      <c r="G481" t="s">
        <v>589</v>
      </c>
      <c r="H481">
        <v>1</v>
      </c>
      <c r="I481">
        <v>7.0000000000000007E-2</v>
      </c>
      <c r="J481" t="str">
        <f t="shared" si="39"/>
        <v>FRL000WHELR0FRLFER</v>
      </c>
      <c r="K481">
        <f>_xlfn.IFNA(IF(F481="H",VLOOKUP(E481,Fertiliser_data!$E$7:$L$267,8,FALSE),VLOOKUP(E481,Fertiliser_data!$E$7:$L$267,8,FALSE)*0.65),IF(F481="H",0.038,(0.038*0.65)))</f>
        <v>3.7793134328358215E-2</v>
      </c>
      <c r="L481">
        <f>IF($C481="IE",$K481*CF_231025!$E$16,$K481/VLOOKUP($C481,CF_231025!$A$2:$E$28,5,FALSE))</f>
        <v>1.3282869436268427E-2</v>
      </c>
    </row>
    <row r="482" spans="1:12" x14ac:dyDescent="0.25">
      <c r="A482" t="s">
        <v>136</v>
      </c>
      <c r="B482" t="s">
        <v>629</v>
      </c>
      <c r="C482" t="str">
        <f t="shared" si="36"/>
        <v>HR</v>
      </c>
      <c r="D482" t="str">
        <f t="shared" si="37"/>
        <v>WHE</v>
      </c>
      <c r="E482" t="str">
        <f t="shared" si="35"/>
        <v>HRWHE</v>
      </c>
      <c r="F482" t="str">
        <f t="shared" si="38"/>
        <v>H</v>
      </c>
      <c r="G482" t="s">
        <v>630</v>
      </c>
      <c r="H482">
        <v>1</v>
      </c>
      <c r="I482">
        <v>0.2</v>
      </c>
      <c r="J482" t="str">
        <f t="shared" si="39"/>
        <v>HRL000WHEHI0HRLFER</v>
      </c>
      <c r="K482">
        <f>_xlfn.IFNA(IF(F482="H",VLOOKUP(E482,Fertiliser_data!$E$7:$L$267,8,FALSE),VLOOKUP(E482,Fertiliser_data!$E$7:$L$267,8,FALSE)*0.65),IF(F482="H",0.038,(0.038*0.65)))</f>
        <v>4.641641791044776E-2</v>
      </c>
      <c r="L482">
        <f>IF($C482="IE",$K482*CF_231025!$E$16,$K482/VLOOKUP($C482,CF_231025!$A$2:$E$28,5,FALSE))</f>
        <v>1.6335130899902621E-2</v>
      </c>
    </row>
    <row r="483" spans="1:12" x14ac:dyDescent="0.25">
      <c r="A483" t="s">
        <v>136</v>
      </c>
      <c r="B483" t="s">
        <v>631</v>
      </c>
      <c r="C483" t="str">
        <f t="shared" si="36"/>
        <v>HR</v>
      </c>
      <c r="D483" t="str">
        <f t="shared" si="37"/>
        <v>WHE</v>
      </c>
      <c r="E483" t="str">
        <f t="shared" si="35"/>
        <v>HRWHE</v>
      </c>
      <c r="F483" t="str">
        <f t="shared" si="38"/>
        <v>H</v>
      </c>
      <c r="G483" t="s">
        <v>630</v>
      </c>
      <c r="H483">
        <v>1</v>
      </c>
      <c r="I483">
        <v>0.2</v>
      </c>
      <c r="J483" t="str">
        <f t="shared" si="39"/>
        <v>HRL000WHEHR0HRLFER</v>
      </c>
      <c r="K483">
        <f>_xlfn.IFNA(IF(F483="H",VLOOKUP(E483,Fertiliser_data!$E$7:$L$267,8,FALSE),VLOOKUP(E483,Fertiliser_data!$E$7:$L$267,8,FALSE)*0.65),IF(F483="H",0.038,(0.038*0.65)))</f>
        <v>4.641641791044776E-2</v>
      </c>
      <c r="L483">
        <f>IF($C483="IE",$K483*CF_231025!$E$16,$K483/VLOOKUP($C483,CF_231025!$A$2:$E$28,5,FALSE))</f>
        <v>1.6335130899902621E-2</v>
      </c>
    </row>
    <row r="484" spans="1:12" x14ac:dyDescent="0.25">
      <c r="A484" t="s">
        <v>136</v>
      </c>
      <c r="B484" t="s">
        <v>632</v>
      </c>
      <c r="C484" t="str">
        <f t="shared" si="36"/>
        <v>HR</v>
      </c>
      <c r="D484" t="str">
        <f t="shared" si="37"/>
        <v>WHE</v>
      </c>
      <c r="E484" t="str">
        <f t="shared" si="35"/>
        <v>HRWHE</v>
      </c>
      <c r="F484" t="str">
        <f t="shared" si="38"/>
        <v>L</v>
      </c>
      <c r="G484" t="s">
        <v>630</v>
      </c>
      <c r="H484">
        <v>1</v>
      </c>
      <c r="I484">
        <v>7.0000000000000007E-2</v>
      </c>
      <c r="J484" t="str">
        <f t="shared" si="39"/>
        <v>HRL000WHELI0HRLFER</v>
      </c>
      <c r="K484">
        <f>_xlfn.IFNA(IF(F484="H",VLOOKUP(E484,Fertiliser_data!$E$7:$L$267,8,FALSE),VLOOKUP(E484,Fertiliser_data!$E$7:$L$267,8,FALSE)*0.65),IF(F484="H",0.038,(0.038*0.65)))</f>
        <v>3.0170671641791044E-2</v>
      </c>
      <c r="L484">
        <f>IF($C484="IE",$K484*CF_231025!$E$16,$K484/VLOOKUP($C484,CF_231025!$A$2:$E$28,5,FALSE))</f>
        <v>1.0617835084936704E-2</v>
      </c>
    </row>
    <row r="485" spans="1:12" x14ac:dyDescent="0.25">
      <c r="A485" t="s">
        <v>136</v>
      </c>
      <c r="B485" t="s">
        <v>633</v>
      </c>
      <c r="C485" t="str">
        <f t="shared" si="36"/>
        <v>HR</v>
      </c>
      <c r="D485" t="str">
        <f t="shared" si="37"/>
        <v>WHE</v>
      </c>
      <c r="E485" t="str">
        <f t="shared" si="35"/>
        <v>HRWHE</v>
      </c>
      <c r="F485" t="str">
        <f t="shared" si="38"/>
        <v>L</v>
      </c>
      <c r="G485" t="s">
        <v>630</v>
      </c>
      <c r="H485">
        <v>1</v>
      </c>
      <c r="I485">
        <v>7.0000000000000007E-2</v>
      </c>
      <c r="J485" t="str">
        <f t="shared" si="39"/>
        <v>HRL000WHELR0HRLFER</v>
      </c>
      <c r="K485">
        <f>_xlfn.IFNA(IF(F485="H",VLOOKUP(E485,Fertiliser_data!$E$7:$L$267,8,FALSE),VLOOKUP(E485,Fertiliser_data!$E$7:$L$267,8,FALSE)*0.65),IF(F485="H",0.038,(0.038*0.65)))</f>
        <v>3.0170671641791044E-2</v>
      </c>
      <c r="L485">
        <f>IF($C485="IE",$K485*CF_231025!$E$16,$K485/VLOOKUP($C485,CF_231025!$A$2:$E$28,5,FALSE))</f>
        <v>1.0617835084936704E-2</v>
      </c>
    </row>
    <row r="486" spans="1:12" x14ac:dyDescent="0.25">
      <c r="A486" t="s">
        <v>136</v>
      </c>
      <c r="B486" t="s">
        <v>634</v>
      </c>
      <c r="C486" t="str">
        <f t="shared" si="36"/>
        <v>HR</v>
      </c>
      <c r="D486" t="str">
        <f t="shared" si="37"/>
        <v>OLI</v>
      </c>
      <c r="E486" t="str">
        <f t="shared" si="35"/>
        <v>HROLI</v>
      </c>
      <c r="F486" t="str">
        <f t="shared" si="38"/>
        <v>H</v>
      </c>
      <c r="G486" t="s">
        <v>630</v>
      </c>
      <c r="H486">
        <v>1</v>
      </c>
      <c r="I486">
        <v>0.17</v>
      </c>
      <c r="J486" t="str">
        <f t="shared" si="39"/>
        <v>HRL000OLIHI0HRLFER</v>
      </c>
      <c r="K486">
        <f>_xlfn.IFNA(IF(F486="H",VLOOKUP(E486,Fertiliser_data!$E$7:$L$267,8,FALSE),VLOOKUP(E486,Fertiliser_data!$E$7:$L$267,8,FALSE)*0.65),IF(F486="H",0.038,(0.038*0.65)))</f>
        <v>3.3119402985074625E-2</v>
      </c>
      <c r="L486">
        <f>IF($C486="IE",$K486*CF_231025!$E$16,$K486/VLOOKUP($C486,CF_231025!$A$2:$E$28,5,FALSE))</f>
        <v>1.1655569461038592E-2</v>
      </c>
    </row>
    <row r="487" spans="1:12" x14ac:dyDescent="0.25">
      <c r="A487" t="s">
        <v>136</v>
      </c>
      <c r="B487" t="s">
        <v>635</v>
      </c>
      <c r="C487" t="str">
        <f t="shared" si="36"/>
        <v>HR</v>
      </c>
      <c r="D487" t="str">
        <f t="shared" si="37"/>
        <v>OLI</v>
      </c>
      <c r="E487" t="str">
        <f t="shared" si="35"/>
        <v>HROLI</v>
      </c>
      <c r="F487" t="str">
        <f t="shared" si="38"/>
        <v>H</v>
      </c>
      <c r="G487" t="s">
        <v>630</v>
      </c>
      <c r="H487">
        <v>1</v>
      </c>
      <c r="I487">
        <v>0.17</v>
      </c>
      <c r="J487" t="str">
        <f t="shared" si="39"/>
        <v>HRL000OLIHR0HRLFER</v>
      </c>
      <c r="K487">
        <f>_xlfn.IFNA(IF(F487="H",VLOOKUP(E487,Fertiliser_data!$E$7:$L$267,8,FALSE),VLOOKUP(E487,Fertiliser_data!$E$7:$L$267,8,FALSE)*0.65),IF(F487="H",0.038,(0.038*0.65)))</f>
        <v>3.3119402985074625E-2</v>
      </c>
      <c r="L487">
        <f>IF($C487="IE",$K487*CF_231025!$E$16,$K487/VLOOKUP($C487,CF_231025!$A$2:$E$28,5,FALSE))</f>
        <v>1.1655569461038592E-2</v>
      </c>
    </row>
    <row r="488" spans="1:12" x14ac:dyDescent="0.25">
      <c r="A488" t="s">
        <v>136</v>
      </c>
      <c r="B488" t="s">
        <v>636</v>
      </c>
      <c r="C488" t="str">
        <f t="shared" si="36"/>
        <v>HR</v>
      </c>
      <c r="D488" t="str">
        <f t="shared" si="37"/>
        <v>OLI</v>
      </c>
      <c r="E488" t="str">
        <f t="shared" si="35"/>
        <v>HROLI</v>
      </c>
      <c r="F488" t="str">
        <f t="shared" si="38"/>
        <v>L</v>
      </c>
      <c r="G488" t="s">
        <v>630</v>
      </c>
      <c r="H488">
        <v>1</v>
      </c>
      <c r="I488">
        <v>0.06</v>
      </c>
      <c r="J488" t="str">
        <f t="shared" si="39"/>
        <v>HRL000OLILI0HRLFER</v>
      </c>
      <c r="K488">
        <f>_xlfn.IFNA(IF(F488="H",VLOOKUP(E488,Fertiliser_data!$E$7:$L$267,8,FALSE),VLOOKUP(E488,Fertiliser_data!$E$7:$L$267,8,FALSE)*0.65),IF(F488="H",0.038,(0.038*0.65)))</f>
        <v>2.1527611940298508E-2</v>
      </c>
      <c r="L488">
        <f>IF($C488="IE",$K488*CF_231025!$E$16,$K488/VLOOKUP($C488,CF_231025!$A$2:$E$28,5,FALSE))</f>
        <v>7.5761201496750852E-3</v>
      </c>
    </row>
    <row r="489" spans="1:12" x14ac:dyDescent="0.25">
      <c r="A489" t="s">
        <v>136</v>
      </c>
      <c r="B489" t="s">
        <v>637</v>
      </c>
      <c r="C489" t="str">
        <f t="shared" si="36"/>
        <v>HR</v>
      </c>
      <c r="D489" t="str">
        <f t="shared" si="37"/>
        <v>OLI</v>
      </c>
      <c r="E489" t="str">
        <f t="shared" si="35"/>
        <v>HROLI</v>
      </c>
      <c r="F489" t="str">
        <f t="shared" si="38"/>
        <v>L</v>
      </c>
      <c r="G489" t="s">
        <v>630</v>
      </c>
      <c r="H489">
        <v>1</v>
      </c>
      <c r="I489">
        <v>0.06</v>
      </c>
      <c r="J489" t="str">
        <f t="shared" si="39"/>
        <v>HRL000OLILR0HRLFER</v>
      </c>
      <c r="K489">
        <f>_xlfn.IFNA(IF(F489="H",VLOOKUP(E489,Fertiliser_data!$E$7:$L$267,8,FALSE),VLOOKUP(E489,Fertiliser_data!$E$7:$L$267,8,FALSE)*0.65),IF(F489="H",0.038,(0.038*0.65)))</f>
        <v>2.1527611940298508E-2</v>
      </c>
      <c r="L489">
        <f>IF($C489="IE",$K489*CF_231025!$E$16,$K489/VLOOKUP($C489,CF_231025!$A$2:$E$28,5,FALSE))</f>
        <v>7.5761201496750852E-3</v>
      </c>
    </row>
    <row r="490" spans="1:12" x14ac:dyDescent="0.25">
      <c r="A490" t="s">
        <v>136</v>
      </c>
      <c r="B490" t="s">
        <v>638</v>
      </c>
      <c r="C490" t="str">
        <f t="shared" si="36"/>
        <v>HR</v>
      </c>
      <c r="D490" t="str">
        <f t="shared" si="37"/>
        <v>SUN</v>
      </c>
      <c r="E490" t="str">
        <f t="shared" si="35"/>
        <v>HRSUN</v>
      </c>
      <c r="F490" t="str">
        <f t="shared" si="38"/>
        <v>H</v>
      </c>
      <c r="G490" t="s">
        <v>630</v>
      </c>
      <c r="H490">
        <v>1</v>
      </c>
      <c r="I490">
        <v>0.19</v>
      </c>
      <c r="J490" t="str">
        <f t="shared" si="39"/>
        <v>HRL000SUNHI0HRLFER</v>
      </c>
      <c r="K490">
        <f>_xlfn.IFNA(IF(F490="H",VLOOKUP(E490,Fertiliser_data!$E$7:$L$267,8,FALSE),VLOOKUP(E490,Fertiliser_data!$E$7:$L$267,8,FALSE)*0.65),IF(F490="H",0.038,(0.038*0.65)))</f>
        <v>3.2919402985074626E-2</v>
      </c>
      <c r="L490">
        <f>IF($C490="IE",$K490*CF_231025!$E$16,$K490/VLOOKUP($C490,CF_231025!$A$2:$E$28,5,FALSE))</f>
        <v>1.1585184318732185E-2</v>
      </c>
    </row>
    <row r="491" spans="1:12" x14ac:dyDescent="0.25">
      <c r="A491" t="s">
        <v>136</v>
      </c>
      <c r="B491" t="s">
        <v>639</v>
      </c>
      <c r="C491" t="str">
        <f t="shared" si="36"/>
        <v>HR</v>
      </c>
      <c r="D491" t="str">
        <f t="shared" si="37"/>
        <v>SUN</v>
      </c>
      <c r="E491" t="str">
        <f t="shared" si="35"/>
        <v>HRSUN</v>
      </c>
      <c r="F491" t="str">
        <f t="shared" si="38"/>
        <v>H</v>
      </c>
      <c r="G491" t="s">
        <v>630</v>
      </c>
      <c r="H491">
        <v>1</v>
      </c>
      <c r="I491">
        <v>0.19</v>
      </c>
      <c r="J491" t="str">
        <f t="shared" si="39"/>
        <v>HRL000SUNHR0HRLFER</v>
      </c>
      <c r="K491">
        <f>_xlfn.IFNA(IF(F491="H",VLOOKUP(E491,Fertiliser_data!$E$7:$L$267,8,FALSE),VLOOKUP(E491,Fertiliser_data!$E$7:$L$267,8,FALSE)*0.65),IF(F491="H",0.038,(0.038*0.65)))</f>
        <v>3.2919402985074626E-2</v>
      </c>
      <c r="L491">
        <f>IF($C491="IE",$K491*CF_231025!$E$16,$K491/VLOOKUP($C491,CF_231025!$A$2:$E$28,5,FALSE))</f>
        <v>1.1585184318732185E-2</v>
      </c>
    </row>
    <row r="492" spans="1:12" x14ac:dyDescent="0.25">
      <c r="A492" t="s">
        <v>136</v>
      </c>
      <c r="B492" t="s">
        <v>640</v>
      </c>
      <c r="C492" t="str">
        <f t="shared" si="36"/>
        <v>HR</v>
      </c>
      <c r="D492" t="str">
        <f t="shared" si="37"/>
        <v>SUN</v>
      </c>
      <c r="E492" t="str">
        <f t="shared" si="35"/>
        <v>HRSUN</v>
      </c>
      <c r="F492" t="str">
        <f t="shared" si="38"/>
        <v>L</v>
      </c>
      <c r="G492" t="s">
        <v>630</v>
      </c>
      <c r="H492">
        <v>1</v>
      </c>
      <c r="I492">
        <v>7.0000000000000007E-2</v>
      </c>
      <c r="J492" t="str">
        <f t="shared" si="39"/>
        <v>HRL000SUNLI0HRLFER</v>
      </c>
      <c r="K492">
        <f>_xlfn.IFNA(IF(F492="H",VLOOKUP(E492,Fertiliser_data!$E$7:$L$267,8,FALSE),VLOOKUP(E492,Fertiliser_data!$E$7:$L$267,8,FALSE)*0.65),IF(F492="H",0.038,(0.038*0.65)))</f>
        <v>2.139761194029851E-2</v>
      </c>
      <c r="L492">
        <f>IF($C492="IE",$K492*CF_231025!$E$16,$K492/VLOOKUP($C492,CF_231025!$A$2:$E$28,5,FALSE))</f>
        <v>7.530369807175921E-3</v>
      </c>
    </row>
    <row r="493" spans="1:12" x14ac:dyDescent="0.25">
      <c r="A493" t="s">
        <v>136</v>
      </c>
      <c r="B493" t="s">
        <v>641</v>
      </c>
      <c r="C493" t="str">
        <f t="shared" si="36"/>
        <v>HR</v>
      </c>
      <c r="D493" t="str">
        <f t="shared" si="37"/>
        <v>SUN</v>
      </c>
      <c r="E493" t="str">
        <f t="shared" si="35"/>
        <v>HRSUN</v>
      </c>
      <c r="F493" t="str">
        <f t="shared" si="38"/>
        <v>L</v>
      </c>
      <c r="G493" t="s">
        <v>630</v>
      </c>
      <c r="H493">
        <v>1</v>
      </c>
      <c r="I493">
        <v>7.0000000000000007E-2</v>
      </c>
      <c r="J493" t="str">
        <f t="shared" si="39"/>
        <v>HRL000SUNLR0HRLFER</v>
      </c>
      <c r="K493">
        <f>_xlfn.IFNA(IF(F493="H",VLOOKUP(E493,Fertiliser_data!$E$7:$L$267,8,FALSE),VLOOKUP(E493,Fertiliser_data!$E$7:$L$267,8,FALSE)*0.65),IF(F493="H",0.038,(0.038*0.65)))</f>
        <v>2.139761194029851E-2</v>
      </c>
      <c r="L493">
        <f>IF($C493="IE",$K493*CF_231025!$E$16,$K493/VLOOKUP($C493,CF_231025!$A$2:$E$28,5,FALSE))</f>
        <v>7.530369807175921E-3</v>
      </c>
    </row>
    <row r="494" spans="1:12" x14ac:dyDescent="0.25">
      <c r="A494" t="s">
        <v>136</v>
      </c>
      <c r="B494" t="s">
        <v>642</v>
      </c>
      <c r="C494" t="str">
        <f t="shared" si="36"/>
        <v>HR</v>
      </c>
      <c r="D494" t="str">
        <f t="shared" si="37"/>
        <v>GRP</v>
      </c>
      <c r="E494" t="str">
        <f t="shared" si="35"/>
        <v>HRGRP</v>
      </c>
      <c r="F494" t="str">
        <f t="shared" si="38"/>
        <v>H</v>
      </c>
      <c r="G494" t="s">
        <v>630</v>
      </c>
      <c r="H494">
        <v>1</v>
      </c>
      <c r="I494">
        <v>0.17</v>
      </c>
      <c r="J494" t="str">
        <f t="shared" si="39"/>
        <v>HRL000GRPHI0HRLFER</v>
      </c>
      <c r="K494">
        <f>_xlfn.IFNA(IF(F494="H",VLOOKUP(E494,Fertiliser_data!$E$7:$L$267,8,FALSE),VLOOKUP(E494,Fertiliser_data!$E$7:$L$267,8,FALSE)*0.65),IF(F494="H",0.038,(0.038*0.65)))</f>
        <v>2.6346268656716416E-2</v>
      </c>
      <c r="L494">
        <f>IF($C494="IE",$K494*CF_231025!$E$16,$K494/VLOOKUP($C494,CF_231025!$A$2:$E$28,5,FALSE))</f>
        <v>9.271929343229077E-3</v>
      </c>
    </row>
    <row r="495" spans="1:12" x14ac:dyDescent="0.25">
      <c r="A495" t="s">
        <v>136</v>
      </c>
      <c r="B495" t="s">
        <v>643</v>
      </c>
      <c r="C495" t="str">
        <f t="shared" si="36"/>
        <v>HR</v>
      </c>
      <c r="D495" t="str">
        <f t="shared" si="37"/>
        <v>GRP</v>
      </c>
      <c r="E495" t="str">
        <f t="shared" si="35"/>
        <v>HRGRP</v>
      </c>
      <c r="F495" t="str">
        <f t="shared" si="38"/>
        <v>H</v>
      </c>
      <c r="G495" t="s">
        <v>630</v>
      </c>
      <c r="H495">
        <v>1</v>
      </c>
      <c r="I495">
        <v>0.17</v>
      </c>
      <c r="J495" t="str">
        <f t="shared" si="39"/>
        <v>HRL000GRPHR0HRLFER</v>
      </c>
      <c r="K495">
        <f>_xlfn.IFNA(IF(F495="H",VLOOKUP(E495,Fertiliser_data!$E$7:$L$267,8,FALSE),VLOOKUP(E495,Fertiliser_data!$E$7:$L$267,8,FALSE)*0.65),IF(F495="H",0.038,(0.038*0.65)))</f>
        <v>2.6346268656716416E-2</v>
      </c>
      <c r="L495">
        <f>IF($C495="IE",$K495*CF_231025!$E$16,$K495/VLOOKUP($C495,CF_231025!$A$2:$E$28,5,FALSE))</f>
        <v>9.271929343229077E-3</v>
      </c>
    </row>
    <row r="496" spans="1:12" x14ac:dyDescent="0.25">
      <c r="A496" t="s">
        <v>136</v>
      </c>
      <c r="B496" t="s">
        <v>644</v>
      </c>
      <c r="C496" t="str">
        <f t="shared" si="36"/>
        <v>HR</v>
      </c>
      <c r="D496" t="str">
        <f t="shared" si="37"/>
        <v>GRP</v>
      </c>
      <c r="E496" t="str">
        <f t="shared" si="35"/>
        <v>HRGRP</v>
      </c>
      <c r="F496" t="str">
        <f t="shared" si="38"/>
        <v>L</v>
      </c>
      <c r="G496" t="s">
        <v>630</v>
      </c>
      <c r="H496">
        <v>1</v>
      </c>
      <c r="I496">
        <v>0.06</v>
      </c>
      <c r="J496" t="str">
        <f t="shared" si="39"/>
        <v>HRL000GRPLI0HRLFER</v>
      </c>
      <c r="K496">
        <f>_xlfn.IFNA(IF(F496="H",VLOOKUP(E496,Fertiliser_data!$E$7:$L$267,8,FALSE),VLOOKUP(E496,Fertiliser_data!$E$7:$L$267,8,FALSE)*0.65),IF(F496="H",0.038,(0.038*0.65)))</f>
        <v>1.7125074626865671E-2</v>
      </c>
      <c r="L496">
        <f>IF($C496="IE",$K496*CF_231025!$E$16,$K496/VLOOKUP($C496,CF_231025!$A$2:$E$28,5,FALSE))</f>
        <v>6.0267540730989007E-3</v>
      </c>
    </row>
    <row r="497" spans="1:12" x14ac:dyDescent="0.25">
      <c r="A497" t="s">
        <v>136</v>
      </c>
      <c r="B497" t="s">
        <v>645</v>
      </c>
      <c r="C497" t="str">
        <f t="shared" si="36"/>
        <v>HR</v>
      </c>
      <c r="D497" t="str">
        <f t="shared" si="37"/>
        <v>GRP</v>
      </c>
      <c r="E497" t="str">
        <f t="shared" si="35"/>
        <v>HRGRP</v>
      </c>
      <c r="F497" t="str">
        <f t="shared" si="38"/>
        <v>L</v>
      </c>
      <c r="G497" t="s">
        <v>630</v>
      </c>
      <c r="H497">
        <v>1</v>
      </c>
      <c r="I497">
        <v>0.06</v>
      </c>
      <c r="J497" t="str">
        <f t="shared" si="39"/>
        <v>HRL000GRPLR0HRLFER</v>
      </c>
      <c r="K497">
        <f>_xlfn.IFNA(IF(F497="H",VLOOKUP(E497,Fertiliser_data!$E$7:$L$267,8,FALSE),VLOOKUP(E497,Fertiliser_data!$E$7:$L$267,8,FALSE)*0.65),IF(F497="H",0.038,(0.038*0.65)))</f>
        <v>1.7125074626865671E-2</v>
      </c>
      <c r="L497">
        <f>IF($C497="IE",$K497*CF_231025!$E$16,$K497/VLOOKUP($C497,CF_231025!$A$2:$E$28,5,FALSE))</f>
        <v>6.0267540730989007E-3</v>
      </c>
    </row>
    <row r="498" spans="1:12" x14ac:dyDescent="0.25">
      <c r="A498" t="s">
        <v>136</v>
      </c>
      <c r="B498" t="s">
        <v>646</v>
      </c>
      <c r="C498" t="str">
        <f t="shared" si="36"/>
        <v>HR</v>
      </c>
      <c r="D498" t="str">
        <f t="shared" si="37"/>
        <v>OTH</v>
      </c>
      <c r="E498" t="str">
        <f t="shared" si="35"/>
        <v>HROTH</v>
      </c>
      <c r="F498" t="str">
        <f t="shared" si="38"/>
        <v>H</v>
      </c>
      <c r="G498" t="s">
        <v>630</v>
      </c>
      <c r="H498">
        <v>1</v>
      </c>
      <c r="I498">
        <v>0.17</v>
      </c>
      <c r="J498" t="str">
        <f t="shared" si="39"/>
        <v>HRL000OTHHI0HRLFER</v>
      </c>
      <c r="K498">
        <f>_xlfn.IFNA(IF(F498="H",VLOOKUP(E498,Fertiliser_data!$E$7:$L$267,8,FALSE),VLOOKUP(E498,Fertiliser_data!$E$7:$L$267,8,FALSE)*0.65),IF(F498="H",0.038,(0.038*0.65)))</f>
        <v>3.7999999999999999E-2</v>
      </c>
      <c r="L498">
        <f>IF($C498="IE",$K498*CF_231025!$E$16,$K498/VLOOKUP($C498,CF_231025!$A$2:$E$28,5,FALSE))</f>
        <v>1.337317703821733E-2</v>
      </c>
    </row>
    <row r="499" spans="1:12" x14ac:dyDescent="0.25">
      <c r="A499" t="s">
        <v>136</v>
      </c>
      <c r="B499" t="s">
        <v>647</v>
      </c>
      <c r="C499" t="str">
        <f t="shared" si="36"/>
        <v>HR</v>
      </c>
      <c r="D499" t="str">
        <f t="shared" si="37"/>
        <v>OTH</v>
      </c>
      <c r="E499" t="str">
        <f t="shared" si="35"/>
        <v>HROTH</v>
      </c>
      <c r="F499" t="str">
        <f t="shared" si="38"/>
        <v>H</v>
      </c>
      <c r="G499" t="s">
        <v>630</v>
      </c>
      <c r="H499">
        <v>1</v>
      </c>
      <c r="I499">
        <v>0.17</v>
      </c>
      <c r="J499" t="str">
        <f t="shared" si="39"/>
        <v>HRL000OTHHR0HRLFER</v>
      </c>
      <c r="K499">
        <f>_xlfn.IFNA(IF(F499="H",VLOOKUP(E499,Fertiliser_data!$E$7:$L$267,8,FALSE),VLOOKUP(E499,Fertiliser_data!$E$7:$L$267,8,FALSE)*0.65),IF(F499="H",0.038,(0.038*0.65)))</f>
        <v>3.7999999999999999E-2</v>
      </c>
      <c r="L499">
        <f>IF($C499="IE",$K499*CF_231025!$E$16,$K499/VLOOKUP($C499,CF_231025!$A$2:$E$28,5,FALSE))</f>
        <v>1.337317703821733E-2</v>
      </c>
    </row>
    <row r="500" spans="1:12" x14ac:dyDescent="0.25">
      <c r="A500" t="s">
        <v>136</v>
      </c>
      <c r="B500" t="s">
        <v>648</v>
      </c>
      <c r="C500" t="str">
        <f t="shared" si="36"/>
        <v>HR</v>
      </c>
      <c r="D500" t="str">
        <f t="shared" si="37"/>
        <v>OTH</v>
      </c>
      <c r="E500" t="str">
        <f t="shared" si="35"/>
        <v>HROTH</v>
      </c>
      <c r="F500" t="str">
        <f t="shared" si="38"/>
        <v>L</v>
      </c>
      <c r="G500" t="s">
        <v>630</v>
      </c>
      <c r="H500">
        <v>1</v>
      </c>
      <c r="I500">
        <v>0.06</v>
      </c>
      <c r="J500" t="str">
        <f t="shared" si="39"/>
        <v>HRL000OTHLI0HRLFER</v>
      </c>
      <c r="K500">
        <f>_xlfn.IFNA(IF(F500="H",VLOOKUP(E500,Fertiliser_data!$E$7:$L$267,8,FALSE),VLOOKUP(E500,Fertiliser_data!$E$7:$L$267,8,FALSE)*0.65),IF(F500="H",0.038,(0.038*0.65)))</f>
        <v>2.47E-2</v>
      </c>
      <c r="L500">
        <f>IF($C500="IE",$K500*CF_231025!$E$16,$K500/VLOOKUP($C500,CF_231025!$A$2:$E$28,5,FALSE))</f>
        <v>8.6925650748412644E-3</v>
      </c>
    </row>
    <row r="501" spans="1:12" x14ac:dyDescent="0.25">
      <c r="A501" t="s">
        <v>136</v>
      </c>
      <c r="B501" t="s">
        <v>649</v>
      </c>
      <c r="C501" t="str">
        <f t="shared" si="36"/>
        <v>HR</v>
      </c>
      <c r="D501" t="str">
        <f t="shared" si="37"/>
        <v>OTH</v>
      </c>
      <c r="E501" t="str">
        <f t="shared" si="35"/>
        <v>HROTH</v>
      </c>
      <c r="F501" t="str">
        <f t="shared" si="38"/>
        <v>L</v>
      </c>
      <c r="G501" t="s">
        <v>630</v>
      </c>
      <c r="H501">
        <v>1</v>
      </c>
      <c r="I501">
        <v>0.06</v>
      </c>
      <c r="J501" t="str">
        <f t="shared" si="39"/>
        <v>HRL000OTHLR0HRLFER</v>
      </c>
      <c r="K501">
        <f>_xlfn.IFNA(IF(F501="H",VLOOKUP(E501,Fertiliser_data!$E$7:$L$267,8,FALSE),VLOOKUP(E501,Fertiliser_data!$E$7:$L$267,8,FALSE)*0.65),IF(F501="H",0.038,(0.038*0.65)))</f>
        <v>2.47E-2</v>
      </c>
      <c r="L501">
        <f>IF($C501="IE",$K501*CF_231025!$E$16,$K501/VLOOKUP($C501,CF_231025!$A$2:$E$28,5,FALSE))</f>
        <v>8.6925650748412644E-3</v>
      </c>
    </row>
    <row r="502" spans="1:12" x14ac:dyDescent="0.25">
      <c r="A502" t="s">
        <v>136</v>
      </c>
      <c r="B502" t="s">
        <v>650</v>
      </c>
      <c r="C502" t="str">
        <f t="shared" si="36"/>
        <v>HR</v>
      </c>
      <c r="D502" t="str">
        <f t="shared" si="37"/>
        <v>GRE</v>
      </c>
      <c r="E502" t="str">
        <f t="shared" si="35"/>
        <v>HRGRE</v>
      </c>
      <c r="F502" t="str">
        <f t="shared" si="38"/>
        <v>H</v>
      </c>
      <c r="G502" t="s">
        <v>630</v>
      </c>
      <c r="H502">
        <v>1</v>
      </c>
      <c r="I502">
        <v>0.17</v>
      </c>
      <c r="J502" t="str">
        <f t="shared" si="39"/>
        <v>HRL000GREHI0HRLFER</v>
      </c>
      <c r="K502">
        <f>_xlfn.IFNA(IF(F502="H",VLOOKUP(E502,Fertiliser_data!$E$7:$L$267,8,FALSE),VLOOKUP(E502,Fertiliser_data!$E$7:$L$267,8,FALSE)*0.65),IF(F502="H",0.038,(0.038*0.65)))</f>
        <v>4.8588059701492534E-2</v>
      </c>
      <c r="L502">
        <f>IF($C502="IE",$K502*CF_231025!$E$16,$K502/VLOOKUP($C502,CF_231025!$A$2:$E$28,5,FALSE))</f>
        <v>1.7099387482408756E-2</v>
      </c>
    </row>
    <row r="503" spans="1:12" x14ac:dyDescent="0.25">
      <c r="A503" t="s">
        <v>136</v>
      </c>
      <c r="B503" t="s">
        <v>651</v>
      </c>
      <c r="C503" t="str">
        <f t="shared" si="36"/>
        <v>HR</v>
      </c>
      <c r="D503" t="str">
        <f t="shared" si="37"/>
        <v>GRE</v>
      </c>
      <c r="E503" t="str">
        <f t="shared" si="35"/>
        <v>HRGRE</v>
      </c>
      <c r="F503" t="str">
        <f t="shared" si="38"/>
        <v>H</v>
      </c>
      <c r="G503" t="s">
        <v>630</v>
      </c>
      <c r="H503">
        <v>1</v>
      </c>
      <c r="I503">
        <v>0.17</v>
      </c>
      <c r="J503" t="str">
        <f t="shared" si="39"/>
        <v>HRL000GREHR0HRLFER</v>
      </c>
      <c r="K503">
        <f>_xlfn.IFNA(IF(F503="H",VLOOKUP(E503,Fertiliser_data!$E$7:$L$267,8,FALSE),VLOOKUP(E503,Fertiliser_data!$E$7:$L$267,8,FALSE)*0.65),IF(F503="H",0.038,(0.038*0.65)))</f>
        <v>4.8588059701492534E-2</v>
      </c>
      <c r="L503">
        <f>IF($C503="IE",$K503*CF_231025!$E$16,$K503/VLOOKUP($C503,CF_231025!$A$2:$E$28,5,FALSE))</f>
        <v>1.7099387482408756E-2</v>
      </c>
    </row>
    <row r="504" spans="1:12" x14ac:dyDescent="0.25">
      <c r="A504" t="s">
        <v>136</v>
      </c>
      <c r="B504" t="s">
        <v>652</v>
      </c>
      <c r="C504" t="str">
        <f t="shared" si="36"/>
        <v>HR</v>
      </c>
      <c r="D504" t="str">
        <f t="shared" si="37"/>
        <v>GRE</v>
      </c>
      <c r="E504" t="str">
        <f t="shared" si="35"/>
        <v>HRGRE</v>
      </c>
      <c r="F504" t="str">
        <f t="shared" si="38"/>
        <v>L</v>
      </c>
      <c r="G504" t="s">
        <v>630</v>
      </c>
      <c r="H504">
        <v>1</v>
      </c>
      <c r="I504">
        <v>0.06</v>
      </c>
      <c r="J504" t="str">
        <f t="shared" si="39"/>
        <v>HRL000GRELI0HRLFER</v>
      </c>
      <c r="K504">
        <f>_xlfn.IFNA(IF(F504="H",VLOOKUP(E504,Fertiliser_data!$E$7:$L$267,8,FALSE),VLOOKUP(E504,Fertiliser_data!$E$7:$L$267,8,FALSE)*0.65),IF(F504="H",0.038,(0.038*0.65)))</f>
        <v>3.158223880597015E-2</v>
      </c>
      <c r="L504">
        <f>IF($C504="IE",$K504*CF_231025!$E$16,$K504/VLOOKUP($C504,CF_231025!$A$2:$E$28,5,FALSE))</f>
        <v>1.1114601863565693E-2</v>
      </c>
    </row>
    <row r="505" spans="1:12" x14ac:dyDescent="0.25">
      <c r="A505" t="s">
        <v>136</v>
      </c>
      <c r="B505" t="s">
        <v>653</v>
      </c>
      <c r="C505" t="str">
        <f t="shared" si="36"/>
        <v>HR</v>
      </c>
      <c r="D505" t="str">
        <f t="shared" si="37"/>
        <v>GRE</v>
      </c>
      <c r="E505" t="str">
        <f t="shared" si="35"/>
        <v>HRGRE</v>
      </c>
      <c r="F505" t="str">
        <f t="shared" si="38"/>
        <v>L</v>
      </c>
      <c r="G505" t="s">
        <v>630</v>
      </c>
      <c r="H505">
        <v>1</v>
      </c>
      <c r="I505">
        <v>0.06</v>
      </c>
      <c r="J505" t="str">
        <f t="shared" si="39"/>
        <v>HRL000GRELR0HRLFER</v>
      </c>
      <c r="K505">
        <f>_xlfn.IFNA(IF(F505="H",VLOOKUP(E505,Fertiliser_data!$E$7:$L$267,8,FALSE),VLOOKUP(E505,Fertiliser_data!$E$7:$L$267,8,FALSE)*0.65),IF(F505="H",0.038,(0.038*0.65)))</f>
        <v>3.158223880597015E-2</v>
      </c>
      <c r="L505">
        <f>IF($C505="IE",$K505*CF_231025!$E$16,$K505/VLOOKUP($C505,CF_231025!$A$2:$E$28,5,FALSE))</f>
        <v>1.1114601863565693E-2</v>
      </c>
    </row>
    <row r="506" spans="1:12" x14ac:dyDescent="0.25">
      <c r="A506" t="s">
        <v>136</v>
      </c>
      <c r="B506" t="s">
        <v>654</v>
      </c>
      <c r="C506" t="str">
        <f t="shared" si="36"/>
        <v>HR</v>
      </c>
      <c r="D506" t="str">
        <f t="shared" si="37"/>
        <v>SOY</v>
      </c>
      <c r="E506" t="str">
        <f t="shared" si="35"/>
        <v>HRSOY</v>
      </c>
      <c r="F506" t="str">
        <f t="shared" si="38"/>
        <v>H</v>
      </c>
      <c r="G506" t="s">
        <v>630</v>
      </c>
      <c r="H506">
        <v>1</v>
      </c>
      <c r="I506">
        <v>0.17</v>
      </c>
      <c r="J506" t="str">
        <f t="shared" si="39"/>
        <v>HRL000SOYHI0HRLFER</v>
      </c>
      <c r="K506">
        <f>_xlfn.IFNA(IF(F506="H",VLOOKUP(E506,Fertiliser_data!$E$7:$L$267,8,FALSE),VLOOKUP(E506,Fertiliser_data!$E$7:$L$267,8,FALSE)*0.65),IF(F506="H",0.038,(0.038*0.65)))</f>
        <v>3.2919402985074626E-2</v>
      </c>
      <c r="L506">
        <f>IF($C506="IE",$K506*CF_231025!$E$16,$K506/VLOOKUP($C506,CF_231025!$A$2:$E$28,5,FALSE))</f>
        <v>1.1585184318732185E-2</v>
      </c>
    </row>
    <row r="507" spans="1:12" x14ac:dyDescent="0.25">
      <c r="A507" t="s">
        <v>136</v>
      </c>
      <c r="B507" t="s">
        <v>655</v>
      </c>
      <c r="C507" t="str">
        <f t="shared" si="36"/>
        <v>HR</v>
      </c>
      <c r="D507" t="str">
        <f t="shared" si="37"/>
        <v>SOY</v>
      </c>
      <c r="E507" t="str">
        <f t="shared" si="35"/>
        <v>HRSOY</v>
      </c>
      <c r="F507" t="str">
        <f t="shared" si="38"/>
        <v>H</v>
      </c>
      <c r="G507" t="s">
        <v>630</v>
      </c>
      <c r="H507">
        <v>1</v>
      </c>
      <c r="I507">
        <v>0.17</v>
      </c>
      <c r="J507" t="str">
        <f t="shared" si="39"/>
        <v>HRL000SOYHR0HRLFER</v>
      </c>
      <c r="K507">
        <f>_xlfn.IFNA(IF(F507="H",VLOOKUP(E507,Fertiliser_data!$E$7:$L$267,8,FALSE),VLOOKUP(E507,Fertiliser_data!$E$7:$L$267,8,FALSE)*0.65),IF(F507="H",0.038,(0.038*0.65)))</f>
        <v>3.2919402985074626E-2</v>
      </c>
      <c r="L507">
        <f>IF($C507="IE",$K507*CF_231025!$E$16,$K507/VLOOKUP($C507,CF_231025!$A$2:$E$28,5,FALSE))</f>
        <v>1.1585184318732185E-2</v>
      </c>
    </row>
    <row r="508" spans="1:12" x14ac:dyDescent="0.25">
      <c r="A508" t="s">
        <v>136</v>
      </c>
      <c r="B508" t="s">
        <v>656</v>
      </c>
      <c r="C508" t="str">
        <f t="shared" si="36"/>
        <v>HR</v>
      </c>
      <c r="D508" t="str">
        <f t="shared" si="37"/>
        <v>SOY</v>
      </c>
      <c r="E508" t="str">
        <f t="shared" si="35"/>
        <v>HRSOY</v>
      </c>
      <c r="F508" t="str">
        <f t="shared" si="38"/>
        <v>L</v>
      </c>
      <c r="G508" t="s">
        <v>630</v>
      </c>
      <c r="H508">
        <v>1</v>
      </c>
      <c r="I508">
        <v>0.06</v>
      </c>
      <c r="J508" t="str">
        <f t="shared" si="39"/>
        <v>HRL000SOYLI0HRLFER</v>
      </c>
      <c r="K508">
        <f>_xlfn.IFNA(IF(F508="H",VLOOKUP(E508,Fertiliser_data!$E$7:$L$267,8,FALSE),VLOOKUP(E508,Fertiliser_data!$E$7:$L$267,8,FALSE)*0.65),IF(F508="H",0.038,(0.038*0.65)))</f>
        <v>2.139761194029851E-2</v>
      </c>
      <c r="L508">
        <f>IF($C508="IE",$K508*CF_231025!$E$16,$K508/VLOOKUP($C508,CF_231025!$A$2:$E$28,5,FALSE))</f>
        <v>7.530369807175921E-3</v>
      </c>
    </row>
    <row r="509" spans="1:12" x14ac:dyDescent="0.25">
      <c r="A509" t="s">
        <v>136</v>
      </c>
      <c r="B509" t="s">
        <v>657</v>
      </c>
      <c r="C509" t="str">
        <f t="shared" si="36"/>
        <v>HR</v>
      </c>
      <c r="D509" t="str">
        <f t="shared" si="37"/>
        <v>SOY</v>
      </c>
      <c r="E509" t="str">
        <f t="shared" si="35"/>
        <v>HRSOY</v>
      </c>
      <c r="F509" t="str">
        <f t="shared" si="38"/>
        <v>L</v>
      </c>
      <c r="G509" t="s">
        <v>630</v>
      </c>
      <c r="H509">
        <v>1</v>
      </c>
      <c r="I509">
        <v>0.06</v>
      </c>
      <c r="J509" t="str">
        <f t="shared" si="39"/>
        <v>HRL000SOYLR0HRLFER</v>
      </c>
      <c r="K509">
        <f>_xlfn.IFNA(IF(F509="H",VLOOKUP(E509,Fertiliser_data!$E$7:$L$267,8,FALSE),VLOOKUP(E509,Fertiliser_data!$E$7:$L$267,8,FALSE)*0.65),IF(F509="H",0.038,(0.038*0.65)))</f>
        <v>2.139761194029851E-2</v>
      </c>
      <c r="L509">
        <f>IF($C509="IE",$K509*CF_231025!$E$16,$K509/VLOOKUP($C509,CF_231025!$A$2:$E$28,5,FALSE))</f>
        <v>7.530369807175921E-3</v>
      </c>
    </row>
    <row r="510" spans="1:12" x14ac:dyDescent="0.25">
      <c r="A510" t="s">
        <v>136</v>
      </c>
      <c r="B510" t="s">
        <v>658</v>
      </c>
      <c r="C510" t="str">
        <f t="shared" si="36"/>
        <v>HR</v>
      </c>
      <c r="D510" t="str">
        <f t="shared" si="37"/>
        <v>BRL</v>
      </c>
      <c r="E510" t="str">
        <f t="shared" si="35"/>
        <v>HRBRL</v>
      </c>
      <c r="F510" t="str">
        <f t="shared" si="38"/>
        <v>H</v>
      </c>
      <c r="G510" t="s">
        <v>630</v>
      </c>
      <c r="H510">
        <v>1</v>
      </c>
      <c r="I510">
        <v>0.15</v>
      </c>
      <c r="J510" t="str">
        <f t="shared" si="39"/>
        <v>HRL000BRLHI0HRLFER</v>
      </c>
      <c r="K510">
        <f>_xlfn.IFNA(IF(F510="H",VLOOKUP(E510,Fertiliser_data!$E$7:$L$267,8,FALSE),VLOOKUP(E510,Fertiliser_data!$E$7:$L$267,8,FALSE)*0.65),IF(F510="H",0.038,(0.038*0.65)))</f>
        <v>2.4601492537313432E-2</v>
      </c>
      <c r="L510">
        <f>IF($C510="IE",$K510*CF_231025!$E$16,$K510/VLOOKUP($C510,CF_231025!$A$2:$E$28,5,FALSE))</f>
        <v>8.6578977659440785E-3</v>
      </c>
    </row>
    <row r="511" spans="1:12" x14ac:dyDescent="0.25">
      <c r="A511" t="s">
        <v>136</v>
      </c>
      <c r="B511" t="s">
        <v>659</v>
      </c>
      <c r="C511" t="str">
        <f t="shared" si="36"/>
        <v>HR</v>
      </c>
      <c r="D511" t="str">
        <f t="shared" si="37"/>
        <v>BRL</v>
      </c>
      <c r="E511" t="str">
        <f t="shared" si="35"/>
        <v>HRBRL</v>
      </c>
      <c r="F511" t="str">
        <f t="shared" si="38"/>
        <v>H</v>
      </c>
      <c r="G511" t="s">
        <v>630</v>
      </c>
      <c r="H511">
        <v>1</v>
      </c>
      <c r="I511">
        <v>0.15</v>
      </c>
      <c r="J511" t="str">
        <f t="shared" si="39"/>
        <v>HRL000BRLHR0HRLFER</v>
      </c>
      <c r="K511">
        <f>_xlfn.IFNA(IF(F511="H",VLOOKUP(E511,Fertiliser_data!$E$7:$L$267,8,FALSE),VLOOKUP(E511,Fertiliser_data!$E$7:$L$267,8,FALSE)*0.65),IF(F511="H",0.038,(0.038*0.65)))</f>
        <v>2.4601492537313432E-2</v>
      </c>
      <c r="L511">
        <f>IF($C511="IE",$K511*CF_231025!$E$16,$K511/VLOOKUP($C511,CF_231025!$A$2:$E$28,5,FALSE))</f>
        <v>8.6578977659440785E-3</v>
      </c>
    </row>
    <row r="512" spans="1:12" x14ac:dyDescent="0.25">
      <c r="A512" t="s">
        <v>136</v>
      </c>
      <c r="B512" t="s">
        <v>660</v>
      </c>
      <c r="C512" t="str">
        <f t="shared" si="36"/>
        <v>HR</v>
      </c>
      <c r="D512" t="str">
        <f t="shared" si="37"/>
        <v>BRL</v>
      </c>
      <c r="E512" t="str">
        <f t="shared" si="35"/>
        <v>HRBRL</v>
      </c>
      <c r="F512" t="str">
        <f t="shared" si="38"/>
        <v>L</v>
      </c>
      <c r="G512" t="s">
        <v>630</v>
      </c>
      <c r="H512">
        <v>1</v>
      </c>
      <c r="I512">
        <v>0.06</v>
      </c>
      <c r="J512" t="str">
        <f t="shared" si="39"/>
        <v>HRL000BRLLI0HRLFER</v>
      </c>
      <c r="K512">
        <f>_xlfn.IFNA(IF(F512="H",VLOOKUP(E512,Fertiliser_data!$E$7:$L$267,8,FALSE),VLOOKUP(E512,Fertiliser_data!$E$7:$L$267,8,FALSE)*0.65),IF(F512="H",0.038,(0.038*0.65)))</f>
        <v>1.5990970149253731E-2</v>
      </c>
      <c r="L512">
        <f>IF($C512="IE",$K512*CF_231025!$E$16,$K512/VLOOKUP($C512,CF_231025!$A$2:$E$28,5,FALSE))</f>
        <v>5.6276335478636511E-3</v>
      </c>
    </row>
    <row r="513" spans="1:12" x14ac:dyDescent="0.25">
      <c r="A513" t="s">
        <v>136</v>
      </c>
      <c r="B513" t="s">
        <v>661</v>
      </c>
      <c r="C513" t="str">
        <f t="shared" si="36"/>
        <v>HR</v>
      </c>
      <c r="D513" t="str">
        <f t="shared" si="37"/>
        <v>BRL</v>
      </c>
      <c r="E513" t="str">
        <f t="shared" si="35"/>
        <v>HRBRL</v>
      </c>
      <c r="F513" t="str">
        <f t="shared" si="38"/>
        <v>L</v>
      </c>
      <c r="G513" t="s">
        <v>630</v>
      </c>
      <c r="H513">
        <v>1</v>
      </c>
      <c r="I513">
        <v>0.06</v>
      </c>
      <c r="J513" t="str">
        <f t="shared" si="39"/>
        <v>HRL000BRLLR0HRLFER</v>
      </c>
      <c r="K513">
        <f>_xlfn.IFNA(IF(F513="H",VLOOKUP(E513,Fertiliser_data!$E$7:$L$267,8,FALSE),VLOOKUP(E513,Fertiliser_data!$E$7:$L$267,8,FALSE)*0.65),IF(F513="H",0.038,(0.038*0.65)))</f>
        <v>1.5990970149253731E-2</v>
      </c>
      <c r="L513">
        <f>IF($C513="IE",$K513*CF_231025!$E$16,$K513/VLOOKUP($C513,CF_231025!$A$2:$E$28,5,FALSE))</f>
        <v>5.6276335478636511E-3</v>
      </c>
    </row>
    <row r="514" spans="1:12" x14ac:dyDescent="0.25">
      <c r="A514" t="s">
        <v>136</v>
      </c>
      <c r="B514" t="s">
        <v>662</v>
      </c>
      <c r="C514" t="str">
        <f t="shared" si="36"/>
        <v>HR</v>
      </c>
      <c r="D514" t="str">
        <f t="shared" si="37"/>
        <v>RAP</v>
      </c>
      <c r="E514" t="str">
        <f t="shared" ref="E514:E577" si="40">C514&amp;D514</f>
        <v>HRRAP</v>
      </c>
      <c r="F514" t="str">
        <f t="shared" si="38"/>
        <v>H</v>
      </c>
      <c r="G514" t="s">
        <v>630</v>
      </c>
      <c r="H514">
        <v>1</v>
      </c>
      <c r="I514">
        <v>0.26</v>
      </c>
      <c r="J514" t="str">
        <f t="shared" si="39"/>
        <v>HRL000RAPHI0HRLFER</v>
      </c>
      <c r="K514">
        <f>_xlfn.IFNA(IF(F514="H",VLOOKUP(E514,Fertiliser_data!$E$7:$L$267,8,FALSE),VLOOKUP(E514,Fertiliser_data!$E$7:$L$267,8,FALSE)*0.65),IF(F514="H",0.038,(0.038*0.65)))</f>
        <v>5.4902985074626862E-2</v>
      </c>
      <c r="L514">
        <f>IF($C514="IE",$K514*CF_231025!$E$16,$K514/VLOOKUP($C514,CF_231025!$A$2:$E$28,5,FALSE))</f>
        <v>1.9321772087620755E-2</v>
      </c>
    </row>
    <row r="515" spans="1:12" x14ac:dyDescent="0.25">
      <c r="A515" t="s">
        <v>136</v>
      </c>
      <c r="B515" t="s">
        <v>663</v>
      </c>
      <c r="C515" t="str">
        <f t="shared" ref="C515:C578" si="41">LEFT(B515,2)</f>
        <v>HR</v>
      </c>
      <c r="D515" t="str">
        <f t="shared" ref="D515:D578" si="42">MID(B515,7,3)</f>
        <v>RAP</v>
      </c>
      <c r="E515" t="str">
        <f t="shared" si="40"/>
        <v>HRRAP</v>
      </c>
      <c r="F515" t="str">
        <f t="shared" ref="F515:F578" si="43">MID(B515,10,1)</f>
        <v>H</v>
      </c>
      <c r="G515" t="s">
        <v>630</v>
      </c>
      <c r="H515">
        <v>1</v>
      </c>
      <c r="I515">
        <v>0.26</v>
      </c>
      <c r="J515" t="str">
        <f t="shared" ref="J515:J578" si="44">B515&amp;G515</f>
        <v>HRL000RAPHR0HRLFER</v>
      </c>
      <c r="K515">
        <f>_xlfn.IFNA(IF(F515="H",VLOOKUP(E515,Fertiliser_data!$E$7:$L$267,8,FALSE),VLOOKUP(E515,Fertiliser_data!$E$7:$L$267,8,FALSE)*0.65),IF(F515="H",0.038,(0.038*0.65)))</f>
        <v>5.4902985074626862E-2</v>
      </c>
      <c r="L515">
        <f>IF($C515="IE",$K515*CF_231025!$E$16,$K515/VLOOKUP($C515,CF_231025!$A$2:$E$28,5,FALSE))</f>
        <v>1.9321772087620755E-2</v>
      </c>
    </row>
    <row r="516" spans="1:12" x14ac:dyDescent="0.25">
      <c r="A516" t="s">
        <v>136</v>
      </c>
      <c r="B516" t="s">
        <v>664</v>
      </c>
      <c r="C516" t="str">
        <f t="shared" si="41"/>
        <v>HR</v>
      </c>
      <c r="D516" t="str">
        <f t="shared" si="42"/>
        <v>RAP</v>
      </c>
      <c r="E516" t="str">
        <f t="shared" si="40"/>
        <v>HRRAP</v>
      </c>
      <c r="F516" t="str">
        <f t="shared" si="43"/>
        <v>L</v>
      </c>
      <c r="G516" t="s">
        <v>630</v>
      </c>
      <c r="H516">
        <v>1</v>
      </c>
      <c r="I516">
        <v>0.1</v>
      </c>
      <c r="J516" t="str">
        <f t="shared" si="44"/>
        <v>HRL000RAPLI0HRLFER</v>
      </c>
      <c r="K516">
        <f>_xlfn.IFNA(IF(F516="H",VLOOKUP(E516,Fertiliser_data!$E$7:$L$267,8,FALSE),VLOOKUP(E516,Fertiliser_data!$E$7:$L$267,8,FALSE)*0.65),IF(F516="H",0.038,(0.038*0.65)))</f>
        <v>3.5686940298507462E-2</v>
      </c>
      <c r="L516">
        <f>IF($C516="IE",$K516*CF_231025!$E$16,$K516/VLOOKUP($C516,CF_231025!$A$2:$E$28,5,FALSE))</f>
        <v>1.2559151856953492E-2</v>
      </c>
    </row>
    <row r="517" spans="1:12" x14ac:dyDescent="0.25">
      <c r="A517" t="s">
        <v>136</v>
      </c>
      <c r="B517" t="s">
        <v>665</v>
      </c>
      <c r="C517" t="str">
        <f t="shared" si="41"/>
        <v>HR</v>
      </c>
      <c r="D517" t="str">
        <f t="shared" si="42"/>
        <v>RAP</v>
      </c>
      <c r="E517" t="str">
        <f t="shared" si="40"/>
        <v>HRRAP</v>
      </c>
      <c r="F517" t="str">
        <f t="shared" si="43"/>
        <v>L</v>
      </c>
      <c r="G517" t="s">
        <v>630</v>
      </c>
      <c r="H517">
        <v>1</v>
      </c>
      <c r="I517">
        <v>0.1</v>
      </c>
      <c r="J517" t="str">
        <f t="shared" si="44"/>
        <v>HRL000RAPLR0HRLFER</v>
      </c>
      <c r="K517">
        <f>_xlfn.IFNA(IF(F517="H",VLOOKUP(E517,Fertiliser_data!$E$7:$L$267,8,FALSE),VLOOKUP(E517,Fertiliser_data!$E$7:$L$267,8,FALSE)*0.65),IF(F517="H",0.038,(0.038*0.65)))</f>
        <v>3.5686940298507462E-2</v>
      </c>
      <c r="L517">
        <f>IF($C517="IE",$K517*CF_231025!$E$16,$K517/VLOOKUP($C517,CF_231025!$A$2:$E$28,5,FALSE))</f>
        <v>1.2559151856953492E-2</v>
      </c>
    </row>
    <row r="518" spans="1:12" x14ac:dyDescent="0.25">
      <c r="A518" t="s">
        <v>136</v>
      </c>
      <c r="B518" t="s">
        <v>666</v>
      </c>
      <c r="C518" t="str">
        <f t="shared" si="41"/>
        <v>HR</v>
      </c>
      <c r="D518" t="str">
        <f t="shared" si="42"/>
        <v>MAI</v>
      </c>
      <c r="E518" t="str">
        <f t="shared" si="40"/>
        <v>HRMAI</v>
      </c>
      <c r="F518" t="str">
        <f t="shared" si="43"/>
        <v>H</v>
      </c>
      <c r="G518" t="s">
        <v>630</v>
      </c>
      <c r="H518">
        <v>1</v>
      </c>
      <c r="I518">
        <v>0.16</v>
      </c>
      <c r="J518" t="str">
        <f t="shared" si="44"/>
        <v>HRL000MAIHI0HRLFER</v>
      </c>
      <c r="K518">
        <f>_xlfn.IFNA(IF(F518="H",VLOOKUP(E518,Fertiliser_data!$E$7:$L$267,8,FALSE),VLOOKUP(E518,Fertiliser_data!$E$7:$L$267,8,FALSE)*0.65),IF(F518="H",0.038,(0.038*0.65)))</f>
        <v>5.0498507462686568E-2</v>
      </c>
      <c r="L518">
        <f>IF($C518="IE",$K518*CF_231025!$E$16,$K518/VLOOKUP($C518,CF_231025!$A$2:$E$28,5,FALSE))</f>
        <v>1.7771723170111751E-2</v>
      </c>
    </row>
    <row r="519" spans="1:12" x14ac:dyDescent="0.25">
      <c r="A519" t="s">
        <v>136</v>
      </c>
      <c r="B519" t="s">
        <v>667</v>
      </c>
      <c r="C519" t="str">
        <f t="shared" si="41"/>
        <v>HR</v>
      </c>
      <c r="D519" t="str">
        <f t="shared" si="42"/>
        <v>MAI</v>
      </c>
      <c r="E519" t="str">
        <f t="shared" si="40"/>
        <v>HRMAI</v>
      </c>
      <c r="F519" t="str">
        <f t="shared" si="43"/>
        <v>H</v>
      </c>
      <c r="G519" t="s">
        <v>630</v>
      </c>
      <c r="H519">
        <v>1</v>
      </c>
      <c r="I519">
        <v>0.16</v>
      </c>
      <c r="J519" t="str">
        <f t="shared" si="44"/>
        <v>HRL000MAIHR0HRLFER</v>
      </c>
      <c r="K519">
        <f>_xlfn.IFNA(IF(F519="H",VLOOKUP(E519,Fertiliser_data!$E$7:$L$267,8,FALSE),VLOOKUP(E519,Fertiliser_data!$E$7:$L$267,8,FALSE)*0.65),IF(F519="H",0.038,(0.038*0.65)))</f>
        <v>5.0498507462686568E-2</v>
      </c>
      <c r="L519">
        <f>IF($C519="IE",$K519*CF_231025!$E$16,$K519/VLOOKUP($C519,CF_231025!$A$2:$E$28,5,FALSE))</f>
        <v>1.7771723170111751E-2</v>
      </c>
    </row>
    <row r="520" spans="1:12" x14ac:dyDescent="0.25">
      <c r="A520" t="s">
        <v>136</v>
      </c>
      <c r="B520" t="s">
        <v>668</v>
      </c>
      <c r="C520" t="str">
        <f t="shared" si="41"/>
        <v>HR</v>
      </c>
      <c r="D520" t="str">
        <f t="shared" si="42"/>
        <v>MAI</v>
      </c>
      <c r="E520" t="str">
        <f t="shared" si="40"/>
        <v>HRMAI</v>
      </c>
      <c r="F520" t="str">
        <f t="shared" si="43"/>
        <v>L</v>
      </c>
      <c r="G520" t="s">
        <v>630</v>
      </c>
      <c r="H520">
        <v>1</v>
      </c>
      <c r="I520">
        <v>0.06</v>
      </c>
      <c r="J520" t="str">
        <f t="shared" si="44"/>
        <v>HRL000MAILI0HRLFER</v>
      </c>
      <c r="K520">
        <f>_xlfn.IFNA(IF(F520="H",VLOOKUP(E520,Fertiliser_data!$E$7:$L$267,8,FALSE),VLOOKUP(E520,Fertiliser_data!$E$7:$L$267,8,FALSE)*0.65),IF(F520="H",0.038,(0.038*0.65)))</f>
        <v>3.282402985074627E-2</v>
      </c>
      <c r="L520">
        <f>IF($C520="IE",$K520*CF_231025!$E$16,$K520/VLOOKUP($C520,CF_231025!$A$2:$E$28,5,FALSE))</f>
        <v>1.1551620060572637E-2</v>
      </c>
    </row>
    <row r="521" spans="1:12" x14ac:dyDescent="0.25">
      <c r="A521" t="s">
        <v>136</v>
      </c>
      <c r="B521" t="s">
        <v>669</v>
      </c>
      <c r="C521" t="str">
        <f t="shared" si="41"/>
        <v>HR</v>
      </c>
      <c r="D521" t="str">
        <f t="shared" si="42"/>
        <v>MAI</v>
      </c>
      <c r="E521" t="str">
        <f t="shared" si="40"/>
        <v>HRMAI</v>
      </c>
      <c r="F521" t="str">
        <f t="shared" si="43"/>
        <v>L</v>
      </c>
      <c r="G521" t="s">
        <v>630</v>
      </c>
      <c r="H521">
        <v>1</v>
      </c>
      <c r="I521">
        <v>0.06</v>
      </c>
      <c r="J521" t="str">
        <f t="shared" si="44"/>
        <v>HRL000MAILR0HRLFER</v>
      </c>
      <c r="K521">
        <f>_xlfn.IFNA(IF(F521="H",VLOOKUP(E521,Fertiliser_data!$E$7:$L$267,8,FALSE),VLOOKUP(E521,Fertiliser_data!$E$7:$L$267,8,FALSE)*0.65),IF(F521="H",0.038,(0.038*0.65)))</f>
        <v>3.282402985074627E-2</v>
      </c>
      <c r="L521">
        <f>IF($C521="IE",$K521*CF_231025!$E$16,$K521/VLOOKUP($C521,CF_231025!$A$2:$E$28,5,FALSE))</f>
        <v>1.1551620060572637E-2</v>
      </c>
    </row>
    <row r="522" spans="1:12" x14ac:dyDescent="0.25">
      <c r="A522" t="s">
        <v>136</v>
      </c>
      <c r="B522" t="s">
        <v>670</v>
      </c>
      <c r="C522" t="str">
        <f t="shared" si="41"/>
        <v>HU</v>
      </c>
      <c r="D522" t="str">
        <f t="shared" si="42"/>
        <v>BRL</v>
      </c>
      <c r="E522" t="str">
        <f t="shared" si="40"/>
        <v>HUBRL</v>
      </c>
      <c r="F522" t="str">
        <f t="shared" si="43"/>
        <v>H</v>
      </c>
      <c r="G522" t="s">
        <v>671</v>
      </c>
      <c r="H522">
        <v>1</v>
      </c>
      <c r="I522">
        <v>0.15</v>
      </c>
      <c r="J522" t="str">
        <f t="shared" si="44"/>
        <v>HUL000BRLHI0HULFER</v>
      </c>
      <c r="K522">
        <f>_xlfn.IFNA(IF(F522="H",VLOOKUP(E522,Fertiliser_data!$E$7:$L$267,8,FALSE),VLOOKUP(E522,Fertiliser_data!$E$7:$L$267,8,FALSE)*0.65),IF(F522="H",0.038,(0.038*0.65)))</f>
        <v>1.0252238805970149E-2</v>
      </c>
      <c r="L522">
        <f>IF($C522="IE",$K522*CF_231025!$E$16,$K522/VLOOKUP($C522,CF_231025!$A$2:$E$28,5,FALSE))</f>
        <v>3.8383191854845242E-3</v>
      </c>
    </row>
    <row r="523" spans="1:12" x14ac:dyDescent="0.25">
      <c r="A523" t="s">
        <v>136</v>
      </c>
      <c r="B523" t="s">
        <v>672</v>
      </c>
      <c r="C523" t="str">
        <f t="shared" si="41"/>
        <v>HU</v>
      </c>
      <c r="D523" t="str">
        <f t="shared" si="42"/>
        <v>BRL</v>
      </c>
      <c r="E523" t="str">
        <f t="shared" si="40"/>
        <v>HUBRL</v>
      </c>
      <c r="F523" t="str">
        <f t="shared" si="43"/>
        <v>H</v>
      </c>
      <c r="G523" t="s">
        <v>671</v>
      </c>
      <c r="H523">
        <v>1</v>
      </c>
      <c r="I523">
        <v>0.15</v>
      </c>
      <c r="J523" t="str">
        <f t="shared" si="44"/>
        <v>HUL000BRLHR0HULFER</v>
      </c>
      <c r="K523">
        <f>_xlfn.IFNA(IF(F523="H",VLOOKUP(E523,Fertiliser_data!$E$7:$L$267,8,FALSE),VLOOKUP(E523,Fertiliser_data!$E$7:$L$267,8,FALSE)*0.65),IF(F523="H",0.038,(0.038*0.65)))</f>
        <v>1.0252238805970149E-2</v>
      </c>
      <c r="L523">
        <f>IF($C523="IE",$K523*CF_231025!$E$16,$K523/VLOOKUP($C523,CF_231025!$A$2:$E$28,5,FALSE))</f>
        <v>3.8383191854845242E-3</v>
      </c>
    </row>
    <row r="524" spans="1:12" x14ac:dyDescent="0.25">
      <c r="A524" t="s">
        <v>136</v>
      </c>
      <c r="B524" t="s">
        <v>673</v>
      </c>
      <c r="C524" t="str">
        <f t="shared" si="41"/>
        <v>HU</v>
      </c>
      <c r="D524" t="str">
        <f t="shared" si="42"/>
        <v>BRL</v>
      </c>
      <c r="E524" t="str">
        <f t="shared" si="40"/>
        <v>HUBRL</v>
      </c>
      <c r="F524" t="str">
        <f t="shared" si="43"/>
        <v>L</v>
      </c>
      <c r="G524" t="s">
        <v>671</v>
      </c>
      <c r="H524">
        <v>1</v>
      </c>
      <c r="I524">
        <v>0.06</v>
      </c>
      <c r="J524" t="str">
        <f t="shared" si="44"/>
        <v>HUL000BRLLI0HULFER</v>
      </c>
      <c r="K524">
        <f>_xlfn.IFNA(IF(F524="H",VLOOKUP(E524,Fertiliser_data!$E$7:$L$267,8,FALSE),VLOOKUP(E524,Fertiliser_data!$E$7:$L$267,8,FALSE)*0.65),IF(F524="H",0.038,(0.038*0.65)))</f>
        <v>6.6639552238805964E-3</v>
      </c>
      <c r="L524">
        <f>IF($C524="IE",$K524*CF_231025!$E$16,$K524/VLOOKUP($C524,CF_231025!$A$2:$E$28,5,FALSE))</f>
        <v>2.4949074705649405E-3</v>
      </c>
    </row>
    <row r="525" spans="1:12" x14ac:dyDescent="0.25">
      <c r="A525" t="s">
        <v>136</v>
      </c>
      <c r="B525" t="s">
        <v>674</v>
      </c>
      <c r="C525" t="str">
        <f t="shared" si="41"/>
        <v>HU</v>
      </c>
      <c r="D525" t="str">
        <f t="shared" si="42"/>
        <v>BRL</v>
      </c>
      <c r="E525" t="str">
        <f t="shared" si="40"/>
        <v>HUBRL</v>
      </c>
      <c r="F525" t="str">
        <f t="shared" si="43"/>
        <v>L</v>
      </c>
      <c r="G525" t="s">
        <v>671</v>
      </c>
      <c r="H525">
        <v>1</v>
      </c>
      <c r="I525">
        <v>0.06</v>
      </c>
      <c r="J525" t="str">
        <f t="shared" si="44"/>
        <v>HUL000BRLLR0HULFER</v>
      </c>
      <c r="K525">
        <f>_xlfn.IFNA(IF(F525="H",VLOOKUP(E525,Fertiliser_data!$E$7:$L$267,8,FALSE),VLOOKUP(E525,Fertiliser_data!$E$7:$L$267,8,FALSE)*0.65),IF(F525="H",0.038,(0.038*0.65)))</f>
        <v>6.6639552238805964E-3</v>
      </c>
      <c r="L525">
        <f>IF($C525="IE",$K525*CF_231025!$E$16,$K525/VLOOKUP($C525,CF_231025!$A$2:$E$28,5,FALSE))</f>
        <v>2.4949074705649405E-3</v>
      </c>
    </row>
    <row r="526" spans="1:12" x14ac:dyDescent="0.25">
      <c r="A526" t="s">
        <v>136</v>
      </c>
      <c r="B526" t="s">
        <v>675</v>
      </c>
      <c r="C526" t="str">
        <f t="shared" si="41"/>
        <v>HU</v>
      </c>
      <c r="D526" t="str">
        <f t="shared" si="42"/>
        <v>GRP</v>
      </c>
      <c r="E526" t="str">
        <f t="shared" si="40"/>
        <v>HUGRP</v>
      </c>
      <c r="F526" t="str">
        <f t="shared" si="43"/>
        <v>H</v>
      </c>
      <c r="G526" t="s">
        <v>671</v>
      </c>
      <c r="H526">
        <v>1</v>
      </c>
      <c r="I526">
        <v>0.17</v>
      </c>
      <c r="J526" t="str">
        <f t="shared" si="44"/>
        <v>HUL000GRPHI0HULFER</v>
      </c>
      <c r="K526">
        <f>_xlfn.IFNA(IF(F526="H",VLOOKUP(E526,Fertiliser_data!$E$7:$L$267,8,FALSE),VLOOKUP(E526,Fertiliser_data!$E$7:$L$267,8,FALSE)*0.65),IF(F526="H",0.038,(0.038*0.65)))</f>
        <v>1.4332835820895524E-2</v>
      </c>
      <c r="L526">
        <f>IF($C526="IE",$K526*CF_231025!$E$16,$K526/VLOOKUP($C526,CF_231025!$A$2:$E$28,5,FALSE))</f>
        <v>5.3660473341400339E-3</v>
      </c>
    </row>
    <row r="527" spans="1:12" x14ac:dyDescent="0.25">
      <c r="A527" t="s">
        <v>136</v>
      </c>
      <c r="B527" t="s">
        <v>676</v>
      </c>
      <c r="C527" t="str">
        <f t="shared" si="41"/>
        <v>HU</v>
      </c>
      <c r="D527" t="str">
        <f t="shared" si="42"/>
        <v>GRP</v>
      </c>
      <c r="E527" t="str">
        <f t="shared" si="40"/>
        <v>HUGRP</v>
      </c>
      <c r="F527" t="str">
        <f t="shared" si="43"/>
        <v>H</v>
      </c>
      <c r="G527" t="s">
        <v>671</v>
      </c>
      <c r="H527">
        <v>1</v>
      </c>
      <c r="I527">
        <v>0.17</v>
      </c>
      <c r="J527" t="str">
        <f t="shared" si="44"/>
        <v>HUL000GRPHR0HULFER</v>
      </c>
      <c r="K527">
        <f>_xlfn.IFNA(IF(F527="H",VLOOKUP(E527,Fertiliser_data!$E$7:$L$267,8,FALSE),VLOOKUP(E527,Fertiliser_data!$E$7:$L$267,8,FALSE)*0.65),IF(F527="H",0.038,(0.038*0.65)))</f>
        <v>1.4332835820895524E-2</v>
      </c>
      <c r="L527">
        <f>IF($C527="IE",$K527*CF_231025!$E$16,$K527/VLOOKUP($C527,CF_231025!$A$2:$E$28,5,FALSE))</f>
        <v>5.3660473341400339E-3</v>
      </c>
    </row>
    <row r="528" spans="1:12" x14ac:dyDescent="0.25">
      <c r="A528" t="s">
        <v>136</v>
      </c>
      <c r="B528" t="s">
        <v>677</v>
      </c>
      <c r="C528" t="str">
        <f t="shared" si="41"/>
        <v>HU</v>
      </c>
      <c r="D528" t="str">
        <f t="shared" si="42"/>
        <v>GRP</v>
      </c>
      <c r="E528" t="str">
        <f t="shared" si="40"/>
        <v>HUGRP</v>
      </c>
      <c r="F528" t="str">
        <f t="shared" si="43"/>
        <v>L</v>
      </c>
      <c r="G528" t="s">
        <v>671</v>
      </c>
      <c r="H528">
        <v>1</v>
      </c>
      <c r="I528">
        <v>0.06</v>
      </c>
      <c r="J528" t="str">
        <f t="shared" si="44"/>
        <v>HUL000GRPLI0HULFER</v>
      </c>
      <c r="K528">
        <f>_xlfn.IFNA(IF(F528="H",VLOOKUP(E528,Fertiliser_data!$E$7:$L$267,8,FALSE),VLOOKUP(E528,Fertiliser_data!$E$7:$L$267,8,FALSE)*0.65),IF(F528="H",0.038,(0.038*0.65)))</f>
        <v>9.3163432835820913E-3</v>
      </c>
      <c r="L528">
        <f>IF($C528="IE",$K528*CF_231025!$E$16,$K528/VLOOKUP($C528,CF_231025!$A$2:$E$28,5,FALSE))</f>
        <v>3.4879307671910223E-3</v>
      </c>
    </row>
    <row r="529" spans="1:12" x14ac:dyDescent="0.25">
      <c r="A529" t="s">
        <v>136</v>
      </c>
      <c r="B529" t="s">
        <v>678</v>
      </c>
      <c r="C529" t="str">
        <f t="shared" si="41"/>
        <v>HU</v>
      </c>
      <c r="D529" t="str">
        <f t="shared" si="42"/>
        <v>GRP</v>
      </c>
      <c r="E529" t="str">
        <f t="shared" si="40"/>
        <v>HUGRP</v>
      </c>
      <c r="F529" t="str">
        <f t="shared" si="43"/>
        <v>L</v>
      </c>
      <c r="G529" t="s">
        <v>671</v>
      </c>
      <c r="H529">
        <v>1</v>
      </c>
      <c r="I529">
        <v>0.06</v>
      </c>
      <c r="J529" t="str">
        <f t="shared" si="44"/>
        <v>HUL000GRPLR0HULFER</v>
      </c>
      <c r="K529">
        <f>_xlfn.IFNA(IF(F529="H",VLOOKUP(E529,Fertiliser_data!$E$7:$L$267,8,FALSE),VLOOKUP(E529,Fertiliser_data!$E$7:$L$267,8,FALSE)*0.65),IF(F529="H",0.038,(0.038*0.65)))</f>
        <v>9.3163432835820913E-3</v>
      </c>
      <c r="L529">
        <f>IF($C529="IE",$K529*CF_231025!$E$16,$K529/VLOOKUP($C529,CF_231025!$A$2:$E$28,5,FALSE))</f>
        <v>3.4879307671910223E-3</v>
      </c>
    </row>
    <row r="530" spans="1:12" x14ac:dyDescent="0.25">
      <c r="A530" t="s">
        <v>136</v>
      </c>
      <c r="B530" t="s">
        <v>679</v>
      </c>
      <c r="C530" t="str">
        <f t="shared" si="41"/>
        <v>HU</v>
      </c>
      <c r="D530" t="str">
        <f t="shared" si="42"/>
        <v>MAI</v>
      </c>
      <c r="E530" t="str">
        <f t="shared" si="40"/>
        <v>HUMAI</v>
      </c>
      <c r="F530" t="str">
        <f t="shared" si="43"/>
        <v>H</v>
      </c>
      <c r="G530" t="s">
        <v>671</v>
      </c>
      <c r="H530">
        <v>1</v>
      </c>
      <c r="I530">
        <v>0.16</v>
      </c>
      <c r="J530" t="str">
        <f t="shared" si="44"/>
        <v>HUL000MAIHI0HULFER</v>
      </c>
      <c r="K530">
        <f>_xlfn.IFNA(IF(F530="H",VLOOKUP(E530,Fertiliser_data!$E$7:$L$267,8,FALSE),VLOOKUP(E530,Fertiliser_data!$E$7:$L$267,8,FALSE)*0.65),IF(F530="H",0.038,(0.038*0.65)))</f>
        <v>5.3991044776119407E-2</v>
      </c>
      <c r="L530">
        <f>IF($C530="IE",$K530*CF_231025!$E$16,$K530/VLOOKUP($C530,CF_231025!$A$2:$E$28,5,FALSE))</f>
        <v>2.0213620354595601E-2</v>
      </c>
    </row>
    <row r="531" spans="1:12" x14ac:dyDescent="0.25">
      <c r="A531" t="s">
        <v>136</v>
      </c>
      <c r="B531" t="s">
        <v>680</v>
      </c>
      <c r="C531" t="str">
        <f t="shared" si="41"/>
        <v>HU</v>
      </c>
      <c r="D531" t="str">
        <f t="shared" si="42"/>
        <v>MAI</v>
      </c>
      <c r="E531" t="str">
        <f t="shared" si="40"/>
        <v>HUMAI</v>
      </c>
      <c r="F531" t="str">
        <f t="shared" si="43"/>
        <v>H</v>
      </c>
      <c r="G531" t="s">
        <v>671</v>
      </c>
      <c r="H531">
        <v>1</v>
      </c>
      <c r="I531">
        <v>0.16</v>
      </c>
      <c r="J531" t="str">
        <f t="shared" si="44"/>
        <v>HUL000MAIHR0HULFER</v>
      </c>
      <c r="K531">
        <f>_xlfn.IFNA(IF(F531="H",VLOOKUP(E531,Fertiliser_data!$E$7:$L$267,8,FALSE),VLOOKUP(E531,Fertiliser_data!$E$7:$L$267,8,FALSE)*0.65),IF(F531="H",0.038,(0.038*0.65)))</f>
        <v>5.3991044776119407E-2</v>
      </c>
      <c r="L531">
        <f>IF($C531="IE",$K531*CF_231025!$E$16,$K531/VLOOKUP($C531,CF_231025!$A$2:$E$28,5,FALSE))</f>
        <v>2.0213620354595601E-2</v>
      </c>
    </row>
    <row r="532" spans="1:12" x14ac:dyDescent="0.25">
      <c r="A532" t="s">
        <v>136</v>
      </c>
      <c r="B532" t="s">
        <v>681</v>
      </c>
      <c r="C532" t="str">
        <f t="shared" si="41"/>
        <v>HU</v>
      </c>
      <c r="D532" t="str">
        <f t="shared" si="42"/>
        <v>MAI</v>
      </c>
      <c r="E532" t="str">
        <f t="shared" si="40"/>
        <v>HUMAI</v>
      </c>
      <c r="F532" t="str">
        <f t="shared" si="43"/>
        <v>L</v>
      </c>
      <c r="G532" t="s">
        <v>671</v>
      </c>
      <c r="H532">
        <v>1</v>
      </c>
      <c r="I532">
        <v>0.06</v>
      </c>
      <c r="J532" t="str">
        <f t="shared" si="44"/>
        <v>HUL000MAILI0HULFER</v>
      </c>
      <c r="K532">
        <f>_xlfn.IFNA(IF(F532="H",VLOOKUP(E532,Fertiliser_data!$E$7:$L$267,8,FALSE),VLOOKUP(E532,Fertiliser_data!$E$7:$L$267,8,FALSE)*0.65),IF(F532="H",0.038,(0.038*0.65)))</f>
        <v>3.5094179104477617E-2</v>
      </c>
      <c r="L532">
        <f>IF($C532="IE",$K532*CF_231025!$E$16,$K532/VLOOKUP($C532,CF_231025!$A$2:$E$28,5,FALSE))</f>
        <v>1.3138853230487142E-2</v>
      </c>
    </row>
    <row r="533" spans="1:12" x14ac:dyDescent="0.25">
      <c r="A533" t="s">
        <v>136</v>
      </c>
      <c r="B533" t="s">
        <v>682</v>
      </c>
      <c r="C533" t="str">
        <f t="shared" si="41"/>
        <v>HU</v>
      </c>
      <c r="D533" t="str">
        <f t="shared" si="42"/>
        <v>MAI</v>
      </c>
      <c r="E533" t="str">
        <f t="shared" si="40"/>
        <v>HUMAI</v>
      </c>
      <c r="F533" t="str">
        <f t="shared" si="43"/>
        <v>L</v>
      </c>
      <c r="G533" t="s">
        <v>671</v>
      </c>
      <c r="H533">
        <v>1</v>
      </c>
      <c r="I533">
        <v>0.06</v>
      </c>
      <c r="J533" t="str">
        <f t="shared" si="44"/>
        <v>HUL000MAILR0HULFER</v>
      </c>
      <c r="K533">
        <f>_xlfn.IFNA(IF(F533="H",VLOOKUP(E533,Fertiliser_data!$E$7:$L$267,8,FALSE),VLOOKUP(E533,Fertiliser_data!$E$7:$L$267,8,FALSE)*0.65),IF(F533="H",0.038,(0.038*0.65)))</f>
        <v>3.5094179104477617E-2</v>
      </c>
      <c r="L533">
        <f>IF($C533="IE",$K533*CF_231025!$E$16,$K533/VLOOKUP($C533,CF_231025!$A$2:$E$28,5,FALSE))</f>
        <v>1.3138853230487142E-2</v>
      </c>
    </row>
    <row r="534" spans="1:12" x14ac:dyDescent="0.25">
      <c r="A534" t="s">
        <v>136</v>
      </c>
      <c r="B534" t="s">
        <v>683</v>
      </c>
      <c r="C534" t="str">
        <f t="shared" si="41"/>
        <v>HU</v>
      </c>
      <c r="D534" t="str">
        <f t="shared" si="42"/>
        <v>SOY</v>
      </c>
      <c r="E534" t="str">
        <f t="shared" si="40"/>
        <v>HUSOY</v>
      </c>
      <c r="F534" t="str">
        <f t="shared" si="43"/>
        <v>H</v>
      </c>
      <c r="G534" t="s">
        <v>671</v>
      </c>
      <c r="H534">
        <v>1</v>
      </c>
      <c r="I534">
        <v>0.17</v>
      </c>
      <c r="J534" t="str">
        <f t="shared" si="44"/>
        <v>HUL000SOYHI0HULFER</v>
      </c>
      <c r="K534">
        <f>_xlfn.IFNA(IF(F534="H",VLOOKUP(E534,Fertiliser_data!$E$7:$L$267,8,FALSE),VLOOKUP(E534,Fertiliser_data!$E$7:$L$267,8,FALSE)*0.65),IF(F534="H",0.038,(0.038*0.65)))</f>
        <v>1.6422388059701493E-2</v>
      </c>
      <c r="L534">
        <f>IF($C534="IE",$K534*CF_231025!$E$16,$K534/VLOOKUP($C534,CF_231025!$A$2:$E$28,5,FALSE))</f>
        <v>6.1483514336710182E-3</v>
      </c>
    </row>
    <row r="535" spans="1:12" x14ac:dyDescent="0.25">
      <c r="A535" t="s">
        <v>136</v>
      </c>
      <c r="B535" t="s">
        <v>684</v>
      </c>
      <c r="C535" t="str">
        <f t="shared" si="41"/>
        <v>HU</v>
      </c>
      <c r="D535" t="str">
        <f t="shared" si="42"/>
        <v>SOY</v>
      </c>
      <c r="E535" t="str">
        <f t="shared" si="40"/>
        <v>HUSOY</v>
      </c>
      <c r="F535" t="str">
        <f t="shared" si="43"/>
        <v>H</v>
      </c>
      <c r="G535" t="s">
        <v>671</v>
      </c>
      <c r="H535">
        <v>1</v>
      </c>
      <c r="I535">
        <v>0.17</v>
      </c>
      <c r="J535" t="str">
        <f t="shared" si="44"/>
        <v>HUL000SOYHR0HULFER</v>
      </c>
      <c r="K535">
        <f>_xlfn.IFNA(IF(F535="H",VLOOKUP(E535,Fertiliser_data!$E$7:$L$267,8,FALSE),VLOOKUP(E535,Fertiliser_data!$E$7:$L$267,8,FALSE)*0.65),IF(F535="H",0.038,(0.038*0.65)))</f>
        <v>1.6422388059701493E-2</v>
      </c>
      <c r="L535">
        <f>IF($C535="IE",$K535*CF_231025!$E$16,$K535/VLOOKUP($C535,CF_231025!$A$2:$E$28,5,FALSE))</f>
        <v>6.1483514336710182E-3</v>
      </c>
    </row>
    <row r="536" spans="1:12" x14ac:dyDescent="0.25">
      <c r="A536" t="s">
        <v>136</v>
      </c>
      <c r="B536" t="s">
        <v>685</v>
      </c>
      <c r="C536" t="str">
        <f t="shared" si="41"/>
        <v>HU</v>
      </c>
      <c r="D536" t="str">
        <f t="shared" si="42"/>
        <v>SOY</v>
      </c>
      <c r="E536" t="str">
        <f t="shared" si="40"/>
        <v>HUSOY</v>
      </c>
      <c r="F536" t="str">
        <f t="shared" si="43"/>
        <v>L</v>
      </c>
      <c r="G536" t="s">
        <v>671</v>
      </c>
      <c r="H536">
        <v>1</v>
      </c>
      <c r="I536">
        <v>0.06</v>
      </c>
      <c r="J536" t="str">
        <f t="shared" si="44"/>
        <v>HUL000SOYLI0HULFER</v>
      </c>
      <c r="K536">
        <f>_xlfn.IFNA(IF(F536="H",VLOOKUP(E536,Fertiliser_data!$E$7:$L$267,8,FALSE),VLOOKUP(E536,Fertiliser_data!$E$7:$L$267,8,FALSE)*0.65),IF(F536="H",0.038,(0.038*0.65)))</f>
        <v>1.0674552238805972E-2</v>
      </c>
      <c r="L536">
        <f>IF($C536="IE",$K536*CF_231025!$E$16,$K536/VLOOKUP($C536,CF_231025!$A$2:$E$28,5,FALSE))</f>
        <v>3.996428431886162E-3</v>
      </c>
    </row>
    <row r="537" spans="1:12" x14ac:dyDescent="0.25">
      <c r="A537" t="s">
        <v>136</v>
      </c>
      <c r="B537" t="s">
        <v>686</v>
      </c>
      <c r="C537" t="str">
        <f t="shared" si="41"/>
        <v>HU</v>
      </c>
      <c r="D537" t="str">
        <f t="shared" si="42"/>
        <v>SOY</v>
      </c>
      <c r="E537" t="str">
        <f t="shared" si="40"/>
        <v>HUSOY</v>
      </c>
      <c r="F537" t="str">
        <f t="shared" si="43"/>
        <v>L</v>
      </c>
      <c r="G537" t="s">
        <v>671</v>
      </c>
      <c r="H537">
        <v>1</v>
      </c>
      <c r="I537">
        <v>0.06</v>
      </c>
      <c r="J537" t="str">
        <f t="shared" si="44"/>
        <v>HUL000SOYLR0HULFER</v>
      </c>
      <c r="K537">
        <f>_xlfn.IFNA(IF(F537="H",VLOOKUP(E537,Fertiliser_data!$E$7:$L$267,8,FALSE),VLOOKUP(E537,Fertiliser_data!$E$7:$L$267,8,FALSE)*0.65),IF(F537="H",0.038,(0.038*0.65)))</f>
        <v>1.0674552238805972E-2</v>
      </c>
      <c r="L537">
        <f>IF($C537="IE",$K537*CF_231025!$E$16,$K537/VLOOKUP($C537,CF_231025!$A$2:$E$28,5,FALSE))</f>
        <v>3.996428431886162E-3</v>
      </c>
    </row>
    <row r="538" spans="1:12" x14ac:dyDescent="0.25">
      <c r="A538" t="s">
        <v>136</v>
      </c>
      <c r="B538" t="s">
        <v>687</v>
      </c>
      <c r="C538" t="str">
        <f t="shared" si="41"/>
        <v>HU</v>
      </c>
      <c r="D538" t="str">
        <f t="shared" si="42"/>
        <v>APP</v>
      </c>
      <c r="E538" t="str">
        <f t="shared" si="40"/>
        <v>HUAPP</v>
      </c>
      <c r="F538" t="str">
        <f t="shared" si="43"/>
        <v>H</v>
      </c>
      <c r="G538" t="s">
        <v>671</v>
      </c>
      <c r="H538">
        <v>1</v>
      </c>
      <c r="I538">
        <v>0.17</v>
      </c>
      <c r="J538" t="str">
        <f t="shared" si="44"/>
        <v>HUL000APPHI0HULFER</v>
      </c>
      <c r="K538">
        <f>_xlfn.IFNA(IF(F538="H",VLOOKUP(E538,Fertiliser_data!$E$7:$L$267,8,FALSE),VLOOKUP(E538,Fertiliser_data!$E$7:$L$267,8,FALSE)*0.65),IF(F538="H",0.038,(0.038*0.65)))</f>
        <v>1.4332835820895524E-2</v>
      </c>
      <c r="L538">
        <f>IF($C538="IE",$K538*CF_231025!$E$16,$K538/VLOOKUP($C538,CF_231025!$A$2:$E$28,5,FALSE))</f>
        <v>5.3660473341400339E-3</v>
      </c>
    </row>
    <row r="539" spans="1:12" x14ac:dyDescent="0.25">
      <c r="A539" t="s">
        <v>136</v>
      </c>
      <c r="B539" t="s">
        <v>688</v>
      </c>
      <c r="C539" t="str">
        <f t="shared" si="41"/>
        <v>HU</v>
      </c>
      <c r="D539" t="str">
        <f t="shared" si="42"/>
        <v>APP</v>
      </c>
      <c r="E539" t="str">
        <f t="shared" si="40"/>
        <v>HUAPP</v>
      </c>
      <c r="F539" t="str">
        <f t="shared" si="43"/>
        <v>H</v>
      </c>
      <c r="G539" t="s">
        <v>671</v>
      </c>
      <c r="H539">
        <v>1</v>
      </c>
      <c r="I539">
        <v>0.17</v>
      </c>
      <c r="J539" t="str">
        <f t="shared" si="44"/>
        <v>HUL000APPHR0HULFER</v>
      </c>
      <c r="K539">
        <f>_xlfn.IFNA(IF(F539="H",VLOOKUP(E539,Fertiliser_data!$E$7:$L$267,8,FALSE),VLOOKUP(E539,Fertiliser_data!$E$7:$L$267,8,FALSE)*0.65),IF(F539="H",0.038,(0.038*0.65)))</f>
        <v>1.4332835820895524E-2</v>
      </c>
      <c r="L539">
        <f>IF($C539="IE",$K539*CF_231025!$E$16,$K539/VLOOKUP($C539,CF_231025!$A$2:$E$28,5,FALSE))</f>
        <v>5.3660473341400339E-3</v>
      </c>
    </row>
    <row r="540" spans="1:12" x14ac:dyDescent="0.25">
      <c r="A540" t="s">
        <v>136</v>
      </c>
      <c r="B540" t="s">
        <v>689</v>
      </c>
      <c r="C540" t="str">
        <f t="shared" si="41"/>
        <v>HU</v>
      </c>
      <c r="D540" t="str">
        <f t="shared" si="42"/>
        <v>APP</v>
      </c>
      <c r="E540" t="str">
        <f t="shared" si="40"/>
        <v>HUAPP</v>
      </c>
      <c r="F540" t="str">
        <f t="shared" si="43"/>
        <v>L</v>
      </c>
      <c r="G540" t="s">
        <v>671</v>
      </c>
      <c r="H540">
        <v>1</v>
      </c>
      <c r="I540">
        <v>0.06</v>
      </c>
      <c r="J540" t="str">
        <f t="shared" si="44"/>
        <v>HUL000APPLI0HULFER</v>
      </c>
      <c r="K540">
        <f>_xlfn.IFNA(IF(F540="H",VLOOKUP(E540,Fertiliser_data!$E$7:$L$267,8,FALSE),VLOOKUP(E540,Fertiliser_data!$E$7:$L$267,8,FALSE)*0.65),IF(F540="H",0.038,(0.038*0.65)))</f>
        <v>9.3163432835820913E-3</v>
      </c>
      <c r="L540">
        <f>IF($C540="IE",$K540*CF_231025!$E$16,$K540/VLOOKUP($C540,CF_231025!$A$2:$E$28,5,FALSE))</f>
        <v>3.4879307671910223E-3</v>
      </c>
    </row>
    <row r="541" spans="1:12" x14ac:dyDescent="0.25">
      <c r="A541" t="s">
        <v>136</v>
      </c>
      <c r="B541" t="s">
        <v>690</v>
      </c>
      <c r="C541" t="str">
        <f t="shared" si="41"/>
        <v>HU</v>
      </c>
      <c r="D541" t="str">
        <f t="shared" si="42"/>
        <v>APP</v>
      </c>
      <c r="E541" t="str">
        <f t="shared" si="40"/>
        <v>HUAPP</v>
      </c>
      <c r="F541" t="str">
        <f t="shared" si="43"/>
        <v>L</v>
      </c>
      <c r="G541" t="s">
        <v>671</v>
      </c>
      <c r="H541">
        <v>1</v>
      </c>
      <c r="I541">
        <v>0.06</v>
      </c>
      <c r="J541" t="str">
        <f t="shared" si="44"/>
        <v>HUL000APPLR0HULFER</v>
      </c>
      <c r="K541">
        <f>_xlfn.IFNA(IF(F541="H",VLOOKUP(E541,Fertiliser_data!$E$7:$L$267,8,FALSE),VLOOKUP(E541,Fertiliser_data!$E$7:$L$267,8,FALSE)*0.65),IF(F541="H",0.038,(0.038*0.65)))</f>
        <v>9.3163432835820913E-3</v>
      </c>
      <c r="L541">
        <f>IF($C541="IE",$K541*CF_231025!$E$16,$K541/VLOOKUP($C541,CF_231025!$A$2:$E$28,5,FALSE))</f>
        <v>3.4879307671910223E-3</v>
      </c>
    </row>
    <row r="542" spans="1:12" x14ac:dyDescent="0.25">
      <c r="A542" t="s">
        <v>136</v>
      </c>
      <c r="B542" t="s">
        <v>691</v>
      </c>
      <c r="C542" t="str">
        <f t="shared" si="41"/>
        <v>HU</v>
      </c>
      <c r="D542" t="str">
        <f t="shared" si="42"/>
        <v>OTH</v>
      </c>
      <c r="E542" t="str">
        <f t="shared" si="40"/>
        <v>HUOTH</v>
      </c>
      <c r="F542" t="str">
        <f t="shared" si="43"/>
        <v>H</v>
      </c>
      <c r="G542" t="s">
        <v>671</v>
      </c>
      <c r="H542">
        <v>1</v>
      </c>
      <c r="I542">
        <v>0.17</v>
      </c>
      <c r="J542" t="str">
        <f t="shared" si="44"/>
        <v>HUL000OTHHI0HULFER</v>
      </c>
      <c r="K542">
        <f>_xlfn.IFNA(IF(F542="H",VLOOKUP(E542,Fertiliser_data!$E$7:$L$267,8,FALSE),VLOOKUP(E542,Fertiliser_data!$E$7:$L$267,8,FALSE)*0.65),IF(F542="H",0.038,(0.038*0.65)))</f>
        <v>3.7999999999999999E-2</v>
      </c>
      <c r="L542">
        <f>IF($C542="IE",$K542*CF_231025!$E$16,$K542/VLOOKUP($C542,CF_231025!$A$2:$E$28,5,FALSE))</f>
        <v>1.4226758838613478E-2</v>
      </c>
    </row>
    <row r="543" spans="1:12" x14ac:dyDescent="0.25">
      <c r="A543" t="s">
        <v>136</v>
      </c>
      <c r="B543" t="s">
        <v>692</v>
      </c>
      <c r="C543" t="str">
        <f t="shared" si="41"/>
        <v>HU</v>
      </c>
      <c r="D543" t="str">
        <f t="shared" si="42"/>
        <v>OTH</v>
      </c>
      <c r="E543" t="str">
        <f t="shared" si="40"/>
        <v>HUOTH</v>
      </c>
      <c r="F543" t="str">
        <f t="shared" si="43"/>
        <v>H</v>
      </c>
      <c r="G543" t="s">
        <v>671</v>
      </c>
      <c r="H543">
        <v>1</v>
      </c>
      <c r="I543">
        <v>0.17</v>
      </c>
      <c r="J543" t="str">
        <f t="shared" si="44"/>
        <v>HUL000OTHHR0HULFER</v>
      </c>
      <c r="K543">
        <f>_xlfn.IFNA(IF(F543="H",VLOOKUP(E543,Fertiliser_data!$E$7:$L$267,8,FALSE),VLOOKUP(E543,Fertiliser_data!$E$7:$L$267,8,FALSE)*0.65),IF(F543="H",0.038,(0.038*0.65)))</f>
        <v>3.7999999999999999E-2</v>
      </c>
      <c r="L543">
        <f>IF($C543="IE",$K543*CF_231025!$E$16,$K543/VLOOKUP($C543,CF_231025!$A$2:$E$28,5,FALSE))</f>
        <v>1.4226758838613478E-2</v>
      </c>
    </row>
    <row r="544" spans="1:12" x14ac:dyDescent="0.25">
      <c r="A544" t="s">
        <v>136</v>
      </c>
      <c r="B544" t="s">
        <v>693</v>
      </c>
      <c r="C544" t="str">
        <f t="shared" si="41"/>
        <v>HU</v>
      </c>
      <c r="D544" t="str">
        <f t="shared" si="42"/>
        <v>OTH</v>
      </c>
      <c r="E544" t="str">
        <f t="shared" si="40"/>
        <v>HUOTH</v>
      </c>
      <c r="F544" t="str">
        <f t="shared" si="43"/>
        <v>L</v>
      </c>
      <c r="G544" t="s">
        <v>671</v>
      </c>
      <c r="H544">
        <v>1</v>
      </c>
      <c r="I544">
        <v>0.06</v>
      </c>
      <c r="J544" t="str">
        <f t="shared" si="44"/>
        <v>HUL000OTHLI0HULFER</v>
      </c>
      <c r="K544">
        <f>_xlfn.IFNA(IF(F544="H",VLOOKUP(E544,Fertiliser_data!$E$7:$L$267,8,FALSE),VLOOKUP(E544,Fertiliser_data!$E$7:$L$267,8,FALSE)*0.65),IF(F544="H",0.038,(0.038*0.65)))</f>
        <v>2.47E-2</v>
      </c>
      <c r="L544">
        <f>IF($C544="IE",$K544*CF_231025!$E$16,$K544/VLOOKUP($C544,CF_231025!$A$2:$E$28,5,FALSE))</f>
        <v>9.2473932450987621E-3</v>
      </c>
    </row>
    <row r="545" spans="1:12" x14ac:dyDescent="0.25">
      <c r="A545" t="s">
        <v>136</v>
      </c>
      <c r="B545" t="s">
        <v>694</v>
      </c>
      <c r="C545" t="str">
        <f t="shared" si="41"/>
        <v>HU</v>
      </c>
      <c r="D545" t="str">
        <f t="shared" si="42"/>
        <v>OTH</v>
      </c>
      <c r="E545" t="str">
        <f t="shared" si="40"/>
        <v>HUOTH</v>
      </c>
      <c r="F545" t="str">
        <f t="shared" si="43"/>
        <v>L</v>
      </c>
      <c r="G545" t="s">
        <v>671</v>
      </c>
      <c r="H545">
        <v>1</v>
      </c>
      <c r="I545">
        <v>0.06</v>
      </c>
      <c r="J545" t="str">
        <f t="shared" si="44"/>
        <v>HUL000OTHLR0HULFER</v>
      </c>
      <c r="K545">
        <f>_xlfn.IFNA(IF(F545="H",VLOOKUP(E545,Fertiliser_data!$E$7:$L$267,8,FALSE),VLOOKUP(E545,Fertiliser_data!$E$7:$L$267,8,FALSE)*0.65),IF(F545="H",0.038,(0.038*0.65)))</f>
        <v>2.47E-2</v>
      </c>
      <c r="L545">
        <f>IF($C545="IE",$K545*CF_231025!$E$16,$K545/VLOOKUP($C545,CF_231025!$A$2:$E$28,5,FALSE))</f>
        <v>9.2473932450987621E-3</v>
      </c>
    </row>
    <row r="546" spans="1:12" x14ac:dyDescent="0.25">
      <c r="A546" t="s">
        <v>136</v>
      </c>
      <c r="B546" t="s">
        <v>695</v>
      </c>
      <c r="C546" t="str">
        <f t="shared" si="41"/>
        <v>HU</v>
      </c>
      <c r="D546" t="str">
        <f t="shared" si="42"/>
        <v>RAP</v>
      </c>
      <c r="E546" t="str">
        <f t="shared" si="40"/>
        <v>HURAP</v>
      </c>
      <c r="F546" t="str">
        <f t="shared" si="43"/>
        <v>H</v>
      </c>
      <c r="G546" t="s">
        <v>671</v>
      </c>
      <c r="H546">
        <v>1</v>
      </c>
      <c r="I546">
        <v>0.26</v>
      </c>
      <c r="J546" t="str">
        <f t="shared" si="44"/>
        <v>HUL000RAPHI0HULFER</v>
      </c>
      <c r="K546">
        <f>_xlfn.IFNA(IF(F546="H",VLOOKUP(E546,Fertiliser_data!$E$7:$L$267,8,FALSE),VLOOKUP(E546,Fertiliser_data!$E$7:$L$267,8,FALSE)*0.65),IF(F546="H",0.038,(0.038*0.65)))</f>
        <v>6.1177611940298506E-2</v>
      </c>
      <c r="L546">
        <f>IF($C546="IE",$K546*CF_231025!$E$16,$K546/VLOOKUP($C546,CF_231025!$A$2:$E$28,5,FALSE))</f>
        <v>2.2904187668339664E-2</v>
      </c>
    </row>
    <row r="547" spans="1:12" x14ac:dyDescent="0.25">
      <c r="A547" t="s">
        <v>136</v>
      </c>
      <c r="B547" t="s">
        <v>696</v>
      </c>
      <c r="C547" t="str">
        <f t="shared" si="41"/>
        <v>HU</v>
      </c>
      <c r="D547" t="str">
        <f t="shared" si="42"/>
        <v>RAP</v>
      </c>
      <c r="E547" t="str">
        <f t="shared" si="40"/>
        <v>HURAP</v>
      </c>
      <c r="F547" t="str">
        <f t="shared" si="43"/>
        <v>H</v>
      </c>
      <c r="G547" t="s">
        <v>671</v>
      </c>
      <c r="H547">
        <v>1</v>
      </c>
      <c r="I547">
        <v>0.26</v>
      </c>
      <c r="J547" t="str">
        <f t="shared" si="44"/>
        <v>HUL000RAPHR0HULFER</v>
      </c>
      <c r="K547">
        <f>_xlfn.IFNA(IF(F547="H",VLOOKUP(E547,Fertiliser_data!$E$7:$L$267,8,FALSE),VLOOKUP(E547,Fertiliser_data!$E$7:$L$267,8,FALSE)*0.65),IF(F547="H",0.038,(0.038*0.65)))</f>
        <v>6.1177611940298506E-2</v>
      </c>
      <c r="L547">
        <f>IF($C547="IE",$K547*CF_231025!$E$16,$K547/VLOOKUP($C547,CF_231025!$A$2:$E$28,5,FALSE))</f>
        <v>2.2904187668339664E-2</v>
      </c>
    </row>
    <row r="548" spans="1:12" x14ac:dyDescent="0.25">
      <c r="A548" t="s">
        <v>136</v>
      </c>
      <c r="B548" t="s">
        <v>697</v>
      </c>
      <c r="C548" t="str">
        <f t="shared" si="41"/>
        <v>HU</v>
      </c>
      <c r="D548" t="str">
        <f t="shared" si="42"/>
        <v>RAP</v>
      </c>
      <c r="E548" t="str">
        <f t="shared" si="40"/>
        <v>HURAP</v>
      </c>
      <c r="F548" t="str">
        <f t="shared" si="43"/>
        <v>L</v>
      </c>
      <c r="G548" t="s">
        <v>671</v>
      </c>
      <c r="H548">
        <v>1</v>
      </c>
      <c r="I548">
        <v>0.1</v>
      </c>
      <c r="J548" t="str">
        <f t="shared" si="44"/>
        <v>HUL000RAPLI0HULFER</v>
      </c>
      <c r="K548">
        <f>_xlfn.IFNA(IF(F548="H",VLOOKUP(E548,Fertiliser_data!$E$7:$L$267,8,FALSE),VLOOKUP(E548,Fertiliser_data!$E$7:$L$267,8,FALSE)*0.65),IF(F548="H",0.038,(0.038*0.65)))</f>
        <v>3.9765447761194027E-2</v>
      </c>
      <c r="L548">
        <f>IF($C548="IE",$K548*CF_231025!$E$16,$K548/VLOOKUP($C548,CF_231025!$A$2:$E$28,5,FALSE))</f>
        <v>1.4887721984420782E-2</v>
      </c>
    </row>
    <row r="549" spans="1:12" x14ac:dyDescent="0.25">
      <c r="A549" t="s">
        <v>136</v>
      </c>
      <c r="B549" t="s">
        <v>698</v>
      </c>
      <c r="C549" t="str">
        <f t="shared" si="41"/>
        <v>HU</v>
      </c>
      <c r="D549" t="str">
        <f t="shared" si="42"/>
        <v>RAP</v>
      </c>
      <c r="E549" t="str">
        <f t="shared" si="40"/>
        <v>HURAP</v>
      </c>
      <c r="F549" t="str">
        <f t="shared" si="43"/>
        <v>L</v>
      </c>
      <c r="G549" t="s">
        <v>671</v>
      </c>
      <c r="H549">
        <v>1</v>
      </c>
      <c r="I549">
        <v>0.1</v>
      </c>
      <c r="J549" t="str">
        <f t="shared" si="44"/>
        <v>HUL000RAPLR0HULFER</v>
      </c>
      <c r="K549">
        <f>_xlfn.IFNA(IF(F549="H",VLOOKUP(E549,Fertiliser_data!$E$7:$L$267,8,FALSE),VLOOKUP(E549,Fertiliser_data!$E$7:$L$267,8,FALSE)*0.65),IF(F549="H",0.038,(0.038*0.65)))</f>
        <v>3.9765447761194027E-2</v>
      </c>
      <c r="L549">
        <f>IF($C549="IE",$K549*CF_231025!$E$16,$K549/VLOOKUP($C549,CF_231025!$A$2:$E$28,5,FALSE))</f>
        <v>1.4887721984420782E-2</v>
      </c>
    </row>
    <row r="550" spans="1:12" x14ac:dyDescent="0.25">
      <c r="A550" t="s">
        <v>136</v>
      </c>
      <c r="B550" t="s">
        <v>699</v>
      </c>
      <c r="C550" t="str">
        <f t="shared" si="41"/>
        <v>HU</v>
      </c>
      <c r="D550" t="str">
        <f t="shared" si="42"/>
        <v>RYE</v>
      </c>
      <c r="E550" t="str">
        <f t="shared" si="40"/>
        <v>HURYE</v>
      </c>
      <c r="F550" t="str">
        <f t="shared" si="43"/>
        <v>H</v>
      </c>
      <c r="G550" t="s">
        <v>671</v>
      </c>
      <c r="H550">
        <v>1</v>
      </c>
      <c r="I550">
        <v>0.11</v>
      </c>
      <c r="J550" t="str">
        <f t="shared" si="44"/>
        <v>HUL000RYEHI0HULFER</v>
      </c>
      <c r="K550">
        <f>_xlfn.IFNA(IF(F550="H",VLOOKUP(E550,Fertiliser_data!$E$7:$L$267,8,FALSE),VLOOKUP(E550,Fertiliser_data!$E$7:$L$267,8,FALSE)*0.65),IF(F550="H",0.038,(0.038*0.65)))</f>
        <v>1.1049253731343285E-2</v>
      </c>
      <c r="L550">
        <f>IF($C550="IE",$K550*CF_231025!$E$16,$K550/VLOOKUP($C550,CF_231025!$A$2:$E$28,5,FALSE))</f>
        <v>4.1367123205913433E-3</v>
      </c>
    </row>
    <row r="551" spans="1:12" x14ac:dyDescent="0.25">
      <c r="A551" t="s">
        <v>136</v>
      </c>
      <c r="B551" t="s">
        <v>700</v>
      </c>
      <c r="C551" t="str">
        <f t="shared" si="41"/>
        <v>HU</v>
      </c>
      <c r="D551" t="str">
        <f t="shared" si="42"/>
        <v>RYE</v>
      </c>
      <c r="E551" t="str">
        <f t="shared" si="40"/>
        <v>HURYE</v>
      </c>
      <c r="F551" t="str">
        <f t="shared" si="43"/>
        <v>H</v>
      </c>
      <c r="G551" t="s">
        <v>671</v>
      </c>
      <c r="H551">
        <v>1</v>
      </c>
      <c r="I551">
        <v>0.11</v>
      </c>
      <c r="J551" t="str">
        <f t="shared" si="44"/>
        <v>HUL000RYEHR0HULFER</v>
      </c>
      <c r="K551">
        <f>_xlfn.IFNA(IF(F551="H",VLOOKUP(E551,Fertiliser_data!$E$7:$L$267,8,FALSE),VLOOKUP(E551,Fertiliser_data!$E$7:$L$267,8,FALSE)*0.65),IF(F551="H",0.038,(0.038*0.65)))</f>
        <v>1.1049253731343285E-2</v>
      </c>
      <c r="L551">
        <f>IF($C551="IE",$K551*CF_231025!$E$16,$K551/VLOOKUP($C551,CF_231025!$A$2:$E$28,5,FALSE))</f>
        <v>4.1367123205913433E-3</v>
      </c>
    </row>
    <row r="552" spans="1:12" x14ac:dyDescent="0.25">
      <c r="A552" t="s">
        <v>136</v>
      </c>
      <c r="B552" t="s">
        <v>701</v>
      </c>
      <c r="C552" t="str">
        <f t="shared" si="41"/>
        <v>HU</v>
      </c>
      <c r="D552" t="str">
        <f t="shared" si="42"/>
        <v>RYE</v>
      </c>
      <c r="E552" t="str">
        <f t="shared" si="40"/>
        <v>HURYE</v>
      </c>
      <c r="F552" t="str">
        <f t="shared" si="43"/>
        <v>L</v>
      </c>
      <c r="G552" t="s">
        <v>671</v>
      </c>
      <c r="H552">
        <v>1</v>
      </c>
      <c r="I552">
        <v>0.04</v>
      </c>
      <c r="J552" t="str">
        <f t="shared" si="44"/>
        <v>HUL000RYELI0HULFER</v>
      </c>
      <c r="K552">
        <f>_xlfn.IFNA(IF(F552="H",VLOOKUP(E552,Fertiliser_data!$E$7:$L$267,8,FALSE),VLOOKUP(E552,Fertiliser_data!$E$7:$L$267,8,FALSE)*0.65),IF(F552="H",0.038,(0.038*0.65)))</f>
        <v>7.1820149253731353E-3</v>
      </c>
      <c r="L552">
        <f>IF($C552="IE",$K552*CF_231025!$E$16,$K552/VLOOKUP($C552,CF_231025!$A$2:$E$28,5,FALSE))</f>
        <v>2.6888630083843732E-3</v>
      </c>
    </row>
    <row r="553" spans="1:12" x14ac:dyDescent="0.25">
      <c r="A553" t="s">
        <v>136</v>
      </c>
      <c r="B553" t="s">
        <v>702</v>
      </c>
      <c r="C553" t="str">
        <f t="shared" si="41"/>
        <v>HU</v>
      </c>
      <c r="D553" t="str">
        <f t="shared" si="42"/>
        <v>RYE</v>
      </c>
      <c r="E553" t="str">
        <f t="shared" si="40"/>
        <v>HURYE</v>
      </c>
      <c r="F553" t="str">
        <f t="shared" si="43"/>
        <v>L</v>
      </c>
      <c r="G553" t="s">
        <v>671</v>
      </c>
      <c r="H553">
        <v>1</v>
      </c>
      <c r="I553">
        <v>0.04</v>
      </c>
      <c r="J553" t="str">
        <f t="shared" si="44"/>
        <v>HUL000RYELR0HULFER</v>
      </c>
      <c r="K553">
        <f>_xlfn.IFNA(IF(F553="H",VLOOKUP(E553,Fertiliser_data!$E$7:$L$267,8,FALSE),VLOOKUP(E553,Fertiliser_data!$E$7:$L$267,8,FALSE)*0.65),IF(F553="H",0.038,(0.038*0.65)))</f>
        <v>7.1820149253731353E-3</v>
      </c>
      <c r="L553">
        <f>IF($C553="IE",$K553*CF_231025!$E$16,$K553/VLOOKUP($C553,CF_231025!$A$2:$E$28,5,FALSE))</f>
        <v>2.6888630083843732E-3</v>
      </c>
    </row>
    <row r="554" spans="1:12" x14ac:dyDescent="0.25">
      <c r="A554" t="s">
        <v>136</v>
      </c>
      <c r="B554" t="s">
        <v>703</v>
      </c>
      <c r="C554" t="str">
        <f t="shared" si="41"/>
        <v>HU</v>
      </c>
      <c r="D554" t="str">
        <f t="shared" si="42"/>
        <v>SUN</v>
      </c>
      <c r="E554" t="str">
        <f t="shared" si="40"/>
        <v>HUSUN</v>
      </c>
      <c r="F554" t="str">
        <f t="shared" si="43"/>
        <v>H</v>
      </c>
      <c r="G554" t="s">
        <v>671</v>
      </c>
      <c r="H554">
        <v>1</v>
      </c>
      <c r="I554">
        <v>0.19</v>
      </c>
      <c r="J554" t="str">
        <f t="shared" si="44"/>
        <v>HUL000SUNHI0HULFER</v>
      </c>
      <c r="K554">
        <f>_xlfn.IFNA(IF(F554="H",VLOOKUP(E554,Fertiliser_data!$E$7:$L$267,8,FALSE),VLOOKUP(E554,Fertiliser_data!$E$7:$L$267,8,FALSE)*0.65),IF(F554="H",0.038,(0.038*0.65)))</f>
        <v>1.6422388059701493E-2</v>
      </c>
      <c r="L554">
        <f>IF($C554="IE",$K554*CF_231025!$E$16,$K554/VLOOKUP($C554,CF_231025!$A$2:$E$28,5,FALSE))</f>
        <v>6.1483514336710182E-3</v>
      </c>
    </row>
    <row r="555" spans="1:12" x14ac:dyDescent="0.25">
      <c r="A555" t="s">
        <v>136</v>
      </c>
      <c r="B555" t="s">
        <v>704</v>
      </c>
      <c r="C555" t="str">
        <f t="shared" si="41"/>
        <v>HU</v>
      </c>
      <c r="D555" t="str">
        <f t="shared" si="42"/>
        <v>SUN</v>
      </c>
      <c r="E555" t="str">
        <f t="shared" si="40"/>
        <v>HUSUN</v>
      </c>
      <c r="F555" t="str">
        <f t="shared" si="43"/>
        <v>H</v>
      </c>
      <c r="G555" t="s">
        <v>671</v>
      </c>
      <c r="H555">
        <v>1</v>
      </c>
      <c r="I555">
        <v>0.19</v>
      </c>
      <c r="J555" t="str">
        <f t="shared" si="44"/>
        <v>HUL000SUNHR0HULFER</v>
      </c>
      <c r="K555">
        <f>_xlfn.IFNA(IF(F555="H",VLOOKUP(E555,Fertiliser_data!$E$7:$L$267,8,FALSE),VLOOKUP(E555,Fertiliser_data!$E$7:$L$267,8,FALSE)*0.65),IF(F555="H",0.038,(0.038*0.65)))</f>
        <v>1.6422388059701493E-2</v>
      </c>
      <c r="L555">
        <f>IF($C555="IE",$K555*CF_231025!$E$16,$K555/VLOOKUP($C555,CF_231025!$A$2:$E$28,5,FALSE))</f>
        <v>6.1483514336710182E-3</v>
      </c>
    </row>
    <row r="556" spans="1:12" x14ac:dyDescent="0.25">
      <c r="A556" t="s">
        <v>136</v>
      </c>
      <c r="B556" t="s">
        <v>705</v>
      </c>
      <c r="C556" t="str">
        <f t="shared" si="41"/>
        <v>HU</v>
      </c>
      <c r="D556" t="str">
        <f t="shared" si="42"/>
        <v>SUN</v>
      </c>
      <c r="E556" t="str">
        <f t="shared" si="40"/>
        <v>HUSUN</v>
      </c>
      <c r="F556" t="str">
        <f t="shared" si="43"/>
        <v>L</v>
      </c>
      <c r="G556" t="s">
        <v>671</v>
      </c>
      <c r="H556">
        <v>1</v>
      </c>
      <c r="I556">
        <v>7.0000000000000007E-2</v>
      </c>
      <c r="J556" t="str">
        <f t="shared" si="44"/>
        <v>HUL000SUNLI0HULFER</v>
      </c>
      <c r="K556">
        <f>_xlfn.IFNA(IF(F556="H",VLOOKUP(E556,Fertiliser_data!$E$7:$L$267,8,FALSE),VLOOKUP(E556,Fertiliser_data!$E$7:$L$267,8,FALSE)*0.65),IF(F556="H",0.038,(0.038*0.65)))</f>
        <v>1.0674552238805972E-2</v>
      </c>
      <c r="L556">
        <f>IF($C556="IE",$K556*CF_231025!$E$16,$K556/VLOOKUP($C556,CF_231025!$A$2:$E$28,5,FALSE))</f>
        <v>3.996428431886162E-3</v>
      </c>
    </row>
    <row r="557" spans="1:12" x14ac:dyDescent="0.25">
      <c r="A557" t="s">
        <v>136</v>
      </c>
      <c r="B557" t="s">
        <v>706</v>
      </c>
      <c r="C557" t="str">
        <f t="shared" si="41"/>
        <v>HU</v>
      </c>
      <c r="D557" t="str">
        <f t="shared" si="42"/>
        <v>SUN</v>
      </c>
      <c r="E557" t="str">
        <f t="shared" si="40"/>
        <v>HUSUN</v>
      </c>
      <c r="F557" t="str">
        <f t="shared" si="43"/>
        <v>L</v>
      </c>
      <c r="G557" t="s">
        <v>671</v>
      </c>
      <c r="H557">
        <v>1</v>
      </c>
      <c r="I557">
        <v>7.0000000000000007E-2</v>
      </c>
      <c r="J557" t="str">
        <f t="shared" si="44"/>
        <v>HUL000SUNLR0HULFER</v>
      </c>
      <c r="K557">
        <f>_xlfn.IFNA(IF(F557="H",VLOOKUP(E557,Fertiliser_data!$E$7:$L$267,8,FALSE),VLOOKUP(E557,Fertiliser_data!$E$7:$L$267,8,FALSE)*0.65),IF(F557="H",0.038,(0.038*0.65)))</f>
        <v>1.0674552238805972E-2</v>
      </c>
      <c r="L557">
        <f>IF($C557="IE",$K557*CF_231025!$E$16,$K557/VLOOKUP($C557,CF_231025!$A$2:$E$28,5,FALSE))</f>
        <v>3.996428431886162E-3</v>
      </c>
    </row>
    <row r="558" spans="1:12" x14ac:dyDescent="0.25">
      <c r="A558" t="s">
        <v>136</v>
      </c>
      <c r="B558" t="s">
        <v>707</v>
      </c>
      <c r="C558" t="str">
        <f t="shared" si="41"/>
        <v>HU</v>
      </c>
      <c r="D558" t="str">
        <f t="shared" si="42"/>
        <v>WHE</v>
      </c>
      <c r="E558" t="str">
        <f t="shared" si="40"/>
        <v>HUWHE</v>
      </c>
      <c r="F558" t="str">
        <f t="shared" si="43"/>
        <v>H</v>
      </c>
      <c r="G558" t="s">
        <v>671</v>
      </c>
      <c r="H558">
        <v>1</v>
      </c>
      <c r="I558">
        <v>0.2</v>
      </c>
      <c r="J558" t="str">
        <f t="shared" si="44"/>
        <v>HUL000WHEHI0HULFER</v>
      </c>
      <c r="K558">
        <f>_xlfn.IFNA(IF(F558="H",VLOOKUP(E558,Fertiliser_data!$E$7:$L$267,8,FALSE),VLOOKUP(E558,Fertiliser_data!$E$7:$L$267,8,FALSE)*0.65),IF(F558="H",0.038,(0.038*0.65)))</f>
        <v>5.0294029850746269E-2</v>
      </c>
      <c r="L558">
        <f>IF($C558="IE",$K558*CF_231025!$E$16,$K558/VLOOKUP($C558,CF_231025!$A$2:$E$28,5,FALSE))</f>
        <v>1.8829500887068279E-2</v>
      </c>
    </row>
    <row r="559" spans="1:12" x14ac:dyDescent="0.25">
      <c r="A559" t="s">
        <v>136</v>
      </c>
      <c r="B559" t="s">
        <v>708</v>
      </c>
      <c r="C559" t="str">
        <f t="shared" si="41"/>
        <v>HU</v>
      </c>
      <c r="D559" t="str">
        <f t="shared" si="42"/>
        <v>WHE</v>
      </c>
      <c r="E559" t="str">
        <f t="shared" si="40"/>
        <v>HUWHE</v>
      </c>
      <c r="F559" t="str">
        <f t="shared" si="43"/>
        <v>H</v>
      </c>
      <c r="G559" t="s">
        <v>671</v>
      </c>
      <c r="H559">
        <v>1</v>
      </c>
      <c r="I559">
        <v>0.2</v>
      </c>
      <c r="J559" t="str">
        <f t="shared" si="44"/>
        <v>HUL000WHEHR0HULFER</v>
      </c>
      <c r="K559">
        <f>_xlfn.IFNA(IF(F559="H",VLOOKUP(E559,Fertiliser_data!$E$7:$L$267,8,FALSE),VLOOKUP(E559,Fertiliser_data!$E$7:$L$267,8,FALSE)*0.65),IF(F559="H",0.038,(0.038*0.65)))</f>
        <v>5.0294029850746269E-2</v>
      </c>
      <c r="L559">
        <f>IF($C559="IE",$K559*CF_231025!$E$16,$K559/VLOOKUP($C559,CF_231025!$A$2:$E$28,5,FALSE))</f>
        <v>1.8829500887068279E-2</v>
      </c>
    </row>
    <row r="560" spans="1:12" x14ac:dyDescent="0.25">
      <c r="A560" t="s">
        <v>136</v>
      </c>
      <c r="B560" t="s">
        <v>709</v>
      </c>
      <c r="C560" t="str">
        <f t="shared" si="41"/>
        <v>HU</v>
      </c>
      <c r="D560" t="str">
        <f t="shared" si="42"/>
        <v>WHE</v>
      </c>
      <c r="E560" t="str">
        <f t="shared" si="40"/>
        <v>HUWHE</v>
      </c>
      <c r="F560" t="str">
        <f t="shared" si="43"/>
        <v>L</v>
      </c>
      <c r="G560" t="s">
        <v>671</v>
      </c>
      <c r="H560">
        <v>1</v>
      </c>
      <c r="I560">
        <v>7.0000000000000007E-2</v>
      </c>
      <c r="J560" t="str">
        <f t="shared" si="44"/>
        <v>HUL000WHELI0HULFER</v>
      </c>
      <c r="K560">
        <f>_xlfn.IFNA(IF(F560="H",VLOOKUP(E560,Fertiliser_data!$E$7:$L$267,8,FALSE),VLOOKUP(E560,Fertiliser_data!$E$7:$L$267,8,FALSE)*0.65),IF(F560="H",0.038,(0.038*0.65)))</f>
        <v>3.2691119402985074E-2</v>
      </c>
      <c r="L560">
        <f>IF($C560="IE",$K560*CF_231025!$E$16,$K560/VLOOKUP($C560,CF_231025!$A$2:$E$28,5,FALSE))</f>
        <v>1.2239175576594381E-2</v>
      </c>
    </row>
    <row r="561" spans="1:12" x14ac:dyDescent="0.25">
      <c r="A561" t="s">
        <v>136</v>
      </c>
      <c r="B561" t="s">
        <v>710</v>
      </c>
      <c r="C561" t="str">
        <f t="shared" si="41"/>
        <v>HU</v>
      </c>
      <c r="D561" t="str">
        <f t="shared" si="42"/>
        <v>WHE</v>
      </c>
      <c r="E561" t="str">
        <f t="shared" si="40"/>
        <v>HUWHE</v>
      </c>
      <c r="F561" t="str">
        <f t="shared" si="43"/>
        <v>L</v>
      </c>
      <c r="G561" t="s">
        <v>671</v>
      </c>
      <c r="H561">
        <v>1</v>
      </c>
      <c r="I561">
        <v>7.0000000000000007E-2</v>
      </c>
      <c r="J561" t="str">
        <f t="shared" si="44"/>
        <v>HUL000WHELR0HULFER</v>
      </c>
      <c r="K561">
        <f>_xlfn.IFNA(IF(F561="H",VLOOKUP(E561,Fertiliser_data!$E$7:$L$267,8,FALSE),VLOOKUP(E561,Fertiliser_data!$E$7:$L$267,8,FALSE)*0.65),IF(F561="H",0.038,(0.038*0.65)))</f>
        <v>3.2691119402985074E-2</v>
      </c>
      <c r="L561">
        <f>IF($C561="IE",$K561*CF_231025!$E$16,$K561/VLOOKUP($C561,CF_231025!$A$2:$E$28,5,FALSE))</f>
        <v>1.2239175576594381E-2</v>
      </c>
    </row>
    <row r="562" spans="1:12" x14ac:dyDescent="0.25">
      <c r="A562" t="s">
        <v>136</v>
      </c>
      <c r="B562" t="s">
        <v>711</v>
      </c>
      <c r="C562" t="str">
        <f t="shared" si="41"/>
        <v>IE</v>
      </c>
      <c r="D562" t="str">
        <f t="shared" si="42"/>
        <v>WHE</v>
      </c>
      <c r="E562" t="str">
        <f t="shared" si="40"/>
        <v>IEWHE</v>
      </c>
      <c r="F562" t="str">
        <f t="shared" si="43"/>
        <v>H</v>
      </c>
      <c r="G562" t="s">
        <v>712</v>
      </c>
      <c r="H562">
        <v>1</v>
      </c>
      <c r="I562">
        <v>0.2</v>
      </c>
      <c r="J562" t="str">
        <f t="shared" si="44"/>
        <v>IEL000WHEHI0IELFER</v>
      </c>
      <c r="K562">
        <f>_xlfn.IFNA(IF(F562="H",VLOOKUP(E562,Fertiliser_data!$E$7:$L$267,8,FALSE),VLOOKUP(E562,Fertiliser_data!$E$7:$L$267,8,FALSE)*0.65),IF(F562="H",0.038,(0.038*0.65)))</f>
        <v>8.8813432835820896E-2</v>
      </c>
      <c r="L562">
        <f>IF($C562="IE",$K562*CF_231025!$E$16,$K562/VLOOKUP($C562,CF_231025!$A$2:$E$28,5,FALSE))</f>
        <v>0.18508503312416061</v>
      </c>
    </row>
    <row r="563" spans="1:12" x14ac:dyDescent="0.25">
      <c r="A563" t="s">
        <v>136</v>
      </c>
      <c r="B563" t="s">
        <v>713</v>
      </c>
      <c r="C563" t="str">
        <f t="shared" si="41"/>
        <v>IE</v>
      </c>
      <c r="D563" t="str">
        <f t="shared" si="42"/>
        <v>WHE</v>
      </c>
      <c r="E563" t="str">
        <f t="shared" si="40"/>
        <v>IEWHE</v>
      </c>
      <c r="F563" t="str">
        <f t="shared" si="43"/>
        <v>H</v>
      </c>
      <c r="G563" t="s">
        <v>712</v>
      </c>
      <c r="H563">
        <v>1</v>
      </c>
      <c r="I563">
        <v>0.2</v>
      </c>
      <c r="J563" t="str">
        <f t="shared" si="44"/>
        <v>IEL000WHEHR0IELFER</v>
      </c>
      <c r="K563">
        <f>_xlfn.IFNA(IF(F563="H",VLOOKUP(E563,Fertiliser_data!$E$7:$L$267,8,FALSE),VLOOKUP(E563,Fertiliser_data!$E$7:$L$267,8,FALSE)*0.65),IF(F563="H",0.038,(0.038*0.65)))</f>
        <v>8.8813432835820896E-2</v>
      </c>
      <c r="L563">
        <f>IF($C563="IE",$K563*CF_231025!$E$16,$K563/VLOOKUP($C563,CF_231025!$A$2:$E$28,5,FALSE))</f>
        <v>0.18508503312416061</v>
      </c>
    </row>
    <row r="564" spans="1:12" x14ac:dyDescent="0.25">
      <c r="A564" t="s">
        <v>136</v>
      </c>
      <c r="B564" t="s">
        <v>714</v>
      </c>
      <c r="C564" t="str">
        <f t="shared" si="41"/>
        <v>IE</v>
      </c>
      <c r="D564" t="str">
        <f t="shared" si="42"/>
        <v>WHE</v>
      </c>
      <c r="E564" t="str">
        <f t="shared" si="40"/>
        <v>IEWHE</v>
      </c>
      <c r="F564" t="str">
        <f t="shared" si="43"/>
        <v>L</v>
      </c>
      <c r="G564" t="s">
        <v>712</v>
      </c>
      <c r="H564">
        <v>1</v>
      </c>
      <c r="I564">
        <v>7.0000000000000007E-2</v>
      </c>
      <c r="J564" t="str">
        <f t="shared" si="44"/>
        <v>IEL000WHELI0IELFER</v>
      </c>
      <c r="K564">
        <f>_xlfn.IFNA(IF(F564="H",VLOOKUP(E564,Fertiliser_data!$E$7:$L$267,8,FALSE),VLOOKUP(E564,Fertiliser_data!$E$7:$L$267,8,FALSE)*0.65),IF(F564="H",0.038,(0.038*0.65)))</f>
        <v>5.7728731343283587E-2</v>
      </c>
      <c r="L564">
        <f>IF($C564="IE",$K564*CF_231025!$E$16,$K564/VLOOKUP($C564,CF_231025!$A$2:$E$28,5,FALSE))</f>
        <v>0.12030527153070442</v>
      </c>
    </row>
    <row r="565" spans="1:12" x14ac:dyDescent="0.25">
      <c r="A565" t="s">
        <v>136</v>
      </c>
      <c r="B565" t="s">
        <v>715</v>
      </c>
      <c r="C565" t="str">
        <f t="shared" si="41"/>
        <v>IE</v>
      </c>
      <c r="D565" t="str">
        <f t="shared" si="42"/>
        <v>WHE</v>
      </c>
      <c r="E565" t="str">
        <f t="shared" si="40"/>
        <v>IEWHE</v>
      </c>
      <c r="F565" t="str">
        <f t="shared" si="43"/>
        <v>L</v>
      </c>
      <c r="G565" t="s">
        <v>712</v>
      </c>
      <c r="H565">
        <v>1</v>
      </c>
      <c r="I565">
        <v>7.0000000000000007E-2</v>
      </c>
      <c r="J565" t="str">
        <f t="shared" si="44"/>
        <v>IEL000WHELR0IELFER</v>
      </c>
      <c r="K565">
        <f>_xlfn.IFNA(IF(F565="H",VLOOKUP(E565,Fertiliser_data!$E$7:$L$267,8,FALSE),VLOOKUP(E565,Fertiliser_data!$E$7:$L$267,8,FALSE)*0.65),IF(F565="H",0.038,(0.038*0.65)))</f>
        <v>5.7728731343283587E-2</v>
      </c>
      <c r="L565">
        <f>IF($C565="IE",$K565*CF_231025!$E$16,$K565/VLOOKUP($C565,CF_231025!$A$2:$E$28,5,FALSE))</f>
        <v>0.12030527153070442</v>
      </c>
    </row>
    <row r="566" spans="1:12" x14ac:dyDescent="0.25">
      <c r="A566" t="s">
        <v>136</v>
      </c>
      <c r="B566" t="s">
        <v>716</v>
      </c>
      <c r="C566" t="str">
        <f t="shared" si="41"/>
        <v>IE</v>
      </c>
      <c r="D566" t="str">
        <f t="shared" si="42"/>
        <v>CAU</v>
      </c>
      <c r="E566" t="str">
        <f t="shared" si="40"/>
        <v>IECAU</v>
      </c>
      <c r="F566" t="str">
        <f t="shared" si="43"/>
        <v>H</v>
      </c>
      <c r="G566" t="s">
        <v>712</v>
      </c>
      <c r="H566">
        <v>1</v>
      </c>
      <c r="I566">
        <v>0.17</v>
      </c>
      <c r="J566" t="str">
        <f t="shared" si="44"/>
        <v>IEL000CAUHI0IELFER</v>
      </c>
      <c r="K566">
        <f>_xlfn.IFNA(IF(F566="H",VLOOKUP(E566,Fertiliser_data!$E$7:$L$267,8,FALSE),VLOOKUP(E566,Fertiliser_data!$E$7:$L$267,8,FALSE)*0.65),IF(F566="H",0.038,(0.038*0.65)))</f>
        <v>9.2049253731343289E-2</v>
      </c>
      <c r="L566">
        <f>IF($C566="IE",$K566*CF_231025!$E$16,$K566/VLOOKUP($C566,CF_231025!$A$2:$E$28,5,FALSE))</f>
        <v>0.19182840514017913</v>
      </c>
    </row>
    <row r="567" spans="1:12" x14ac:dyDescent="0.25">
      <c r="A567" t="s">
        <v>136</v>
      </c>
      <c r="B567" t="s">
        <v>717</v>
      </c>
      <c r="C567" t="str">
        <f t="shared" si="41"/>
        <v>IE</v>
      </c>
      <c r="D567" t="str">
        <f t="shared" si="42"/>
        <v>CAU</v>
      </c>
      <c r="E567" t="str">
        <f t="shared" si="40"/>
        <v>IECAU</v>
      </c>
      <c r="F567" t="str">
        <f t="shared" si="43"/>
        <v>H</v>
      </c>
      <c r="G567" t="s">
        <v>712</v>
      </c>
      <c r="H567">
        <v>1</v>
      </c>
      <c r="I567">
        <v>0.17</v>
      </c>
      <c r="J567" t="str">
        <f t="shared" si="44"/>
        <v>IEL000CAUHR0IELFER</v>
      </c>
      <c r="K567">
        <f>_xlfn.IFNA(IF(F567="H",VLOOKUP(E567,Fertiliser_data!$E$7:$L$267,8,FALSE),VLOOKUP(E567,Fertiliser_data!$E$7:$L$267,8,FALSE)*0.65),IF(F567="H",0.038,(0.038*0.65)))</f>
        <v>9.2049253731343289E-2</v>
      </c>
      <c r="L567">
        <f>IF($C567="IE",$K567*CF_231025!$E$16,$K567/VLOOKUP($C567,CF_231025!$A$2:$E$28,5,FALSE))</f>
        <v>0.19182840514017913</v>
      </c>
    </row>
    <row r="568" spans="1:12" x14ac:dyDescent="0.25">
      <c r="A568" t="s">
        <v>136</v>
      </c>
      <c r="B568" t="s">
        <v>718</v>
      </c>
      <c r="C568" t="str">
        <f t="shared" si="41"/>
        <v>IE</v>
      </c>
      <c r="D568" t="str">
        <f t="shared" si="42"/>
        <v>CAU</v>
      </c>
      <c r="E568" t="str">
        <f t="shared" si="40"/>
        <v>IECAU</v>
      </c>
      <c r="F568" t="str">
        <f t="shared" si="43"/>
        <v>L</v>
      </c>
      <c r="G568" t="s">
        <v>712</v>
      </c>
      <c r="H568">
        <v>1</v>
      </c>
      <c r="I568">
        <v>0.06</v>
      </c>
      <c r="J568" t="str">
        <f t="shared" si="44"/>
        <v>IEL000CAULI0IELFER</v>
      </c>
      <c r="K568">
        <f>_xlfn.IFNA(IF(F568="H",VLOOKUP(E568,Fertiliser_data!$E$7:$L$267,8,FALSE),VLOOKUP(E568,Fertiliser_data!$E$7:$L$267,8,FALSE)*0.65),IF(F568="H",0.038,(0.038*0.65)))</f>
        <v>5.9832014925373142E-2</v>
      </c>
      <c r="L568">
        <f>IF($C568="IE",$K568*CF_231025!$E$16,$K568/VLOOKUP($C568,CF_231025!$A$2:$E$28,5,FALSE))</f>
        <v>0.12468846334111644</v>
      </c>
    </row>
    <row r="569" spans="1:12" x14ac:dyDescent="0.25">
      <c r="A569" t="s">
        <v>136</v>
      </c>
      <c r="B569" t="s">
        <v>719</v>
      </c>
      <c r="C569" t="str">
        <f t="shared" si="41"/>
        <v>IE</v>
      </c>
      <c r="D569" t="str">
        <f t="shared" si="42"/>
        <v>CAU</v>
      </c>
      <c r="E569" t="str">
        <f t="shared" si="40"/>
        <v>IECAU</v>
      </c>
      <c r="F569" t="str">
        <f t="shared" si="43"/>
        <v>L</v>
      </c>
      <c r="G569" t="s">
        <v>712</v>
      </c>
      <c r="H569">
        <v>1</v>
      </c>
      <c r="I569">
        <v>0.06</v>
      </c>
      <c r="J569" t="str">
        <f t="shared" si="44"/>
        <v>IEL000CAULR0IELFER</v>
      </c>
      <c r="K569">
        <f>_xlfn.IFNA(IF(F569="H",VLOOKUP(E569,Fertiliser_data!$E$7:$L$267,8,FALSE),VLOOKUP(E569,Fertiliser_data!$E$7:$L$267,8,FALSE)*0.65),IF(F569="H",0.038,(0.038*0.65)))</f>
        <v>5.9832014925373142E-2</v>
      </c>
      <c r="L569">
        <f>IF($C569="IE",$K569*CF_231025!$E$16,$K569/VLOOKUP($C569,CF_231025!$A$2:$E$28,5,FALSE))</f>
        <v>0.12468846334111644</v>
      </c>
    </row>
    <row r="570" spans="1:12" x14ac:dyDescent="0.25">
      <c r="A570" t="s">
        <v>136</v>
      </c>
      <c r="B570" t="s">
        <v>720</v>
      </c>
      <c r="C570" t="str">
        <f t="shared" si="41"/>
        <v>IE</v>
      </c>
      <c r="D570" t="str">
        <f t="shared" si="42"/>
        <v>BRO</v>
      </c>
      <c r="E570" t="str">
        <f t="shared" si="40"/>
        <v>IEBRO</v>
      </c>
      <c r="F570" t="str">
        <f t="shared" si="43"/>
        <v>H</v>
      </c>
      <c r="G570" t="s">
        <v>712</v>
      </c>
      <c r="H570">
        <v>1</v>
      </c>
      <c r="I570">
        <v>0.17</v>
      </c>
      <c r="J570" t="str">
        <f t="shared" si="44"/>
        <v>IEL000BROHI0IELFER</v>
      </c>
      <c r="K570">
        <f>_xlfn.IFNA(IF(F570="H",VLOOKUP(E570,Fertiliser_data!$E$7:$L$267,8,FALSE),VLOOKUP(E570,Fertiliser_data!$E$7:$L$267,8,FALSE)*0.65),IF(F570="H",0.038,(0.038*0.65)))</f>
        <v>2.0286567164179106E-2</v>
      </c>
      <c r="L570">
        <f>IF($C570="IE",$K570*CF_231025!$E$16,$K570/VLOOKUP($C570,CF_231025!$A$2:$E$28,5,FALSE))</f>
        <v>4.2276712380868685E-2</v>
      </c>
    </row>
    <row r="571" spans="1:12" x14ac:dyDescent="0.25">
      <c r="A571" t="s">
        <v>136</v>
      </c>
      <c r="B571" t="s">
        <v>721</v>
      </c>
      <c r="C571" t="str">
        <f t="shared" si="41"/>
        <v>IE</v>
      </c>
      <c r="D571" t="str">
        <f t="shared" si="42"/>
        <v>BRO</v>
      </c>
      <c r="E571" t="str">
        <f t="shared" si="40"/>
        <v>IEBRO</v>
      </c>
      <c r="F571" t="str">
        <f t="shared" si="43"/>
        <v>H</v>
      </c>
      <c r="G571" t="s">
        <v>712</v>
      </c>
      <c r="H571">
        <v>1</v>
      </c>
      <c r="I571">
        <v>0.17</v>
      </c>
      <c r="J571" t="str">
        <f t="shared" si="44"/>
        <v>IEL000BROHR0IELFER</v>
      </c>
      <c r="K571">
        <f>_xlfn.IFNA(IF(F571="H",VLOOKUP(E571,Fertiliser_data!$E$7:$L$267,8,FALSE),VLOOKUP(E571,Fertiliser_data!$E$7:$L$267,8,FALSE)*0.65),IF(F571="H",0.038,(0.038*0.65)))</f>
        <v>2.0286567164179106E-2</v>
      </c>
      <c r="L571">
        <f>IF($C571="IE",$K571*CF_231025!$E$16,$K571/VLOOKUP($C571,CF_231025!$A$2:$E$28,5,FALSE))</f>
        <v>4.2276712380868685E-2</v>
      </c>
    </row>
    <row r="572" spans="1:12" x14ac:dyDescent="0.25">
      <c r="A572" t="s">
        <v>136</v>
      </c>
      <c r="B572" t="s">
        <v>722</v>
      </c>
      <c r="C572" t="str">
        <f t="shared" si="41"/>
        <v>IE</v>
      </c>
      <c r="D572" t="str">
        <f t="shared" si="42"/>
        <v>BRO</v>
      </c>
      <c r="E572" t="str">
        <f t="shared" si="40"/>
        <v>IEBRO</v>
      </c>
      <c r="F572" t="str">
        <f t="shared" si="43"/>
        <v>L</v>
      </c>
      <c r="G572" t="s">
        <v>712</v>
      </c>
      <c r="H572">
        <v>1</v>
      </c>
      <c r="I572">
        <v>0.06</v>
      </c>
      <c r="J572" t="str">
        <f t="shared" si="44"/>
        <v>IEL000BROLI0IELFER</v>
      </c>
      <c r="K572">
        <f>_xlfn.IFNA(IF(F572="H",VLOOKUP(E572,Fertiliser_data!$E$7:$L$267,8,FALSE),VLOOKUP(E572,Fertiliser_data!$E$7:$L$267,8,FALSE)*0.65),IF(F572="H",0.038,(0.038*0.65)))</f>
        <v>1.318626865671642E-2</v>
      </c>
      <c r="L572">
        <f>IF($C572="IE",$K572*CF_231025!$E$16,$K572/VLOOKUP($C572,CF_231025!$A$2:$E$28,5,FALSE))</f>
        <v>2.747986304756465E-2</v>
      </c>
    </row>
    <row r="573" spans="1:12" x14ac:dyDescent="0.25">
      <c r="A573" t="s">
        <v>136</v>
      </c>
      <c r="B573" t="s">
        <v>723</v>
      </c>
      <c r="C573" t="str">
        <f t="shared" si="41"/>
        <v>IE</v>
      </c>
      <c r="D573" t="str">
        <f t="shared" si="42"/>
        <v>BRO</v>
      </c>
      <c r="E573" t="str">
        <f t="shared" si="40"/>
        <v>IEBRO</v>
      </c>
      <c r="F573" t="str">
        <f t="shared" si="43"/>
        <v>L</v>
      </c>
      <c r="G573" t="s">
        <v>712</v>
      </c>
      <c r="H573">
        <v>1</v>
      </c>
      <c r="I573">
        <v>0.06</v>
      </c>
      <c r="J573" t="str">
        <f t="shared" si="44"/>
        <v>IEL000BROLR0IELFER</v>
      </c>
      <c r="K573">
        <f>_xlfn.IFNA(IF(F573="H",VLOOKUP(E573,Fertiliser_data!$E$7:$L$267,8,FALSE),VLOOKUP(E573,Fertiliser_data!$E$7:$L$267,8,FALSE)*0.65),IF(F573="H",0.038,(0.038*0.65)))</f>
        <v>1.318626865671642E-2</v>
      </c>
      <c r="L573">
        <f>IF($C573="IE",$K573*CF_231025!$E$16,$K573/VLOOKUP($C573,CF_231025!$A$2:$E$28,5,FALSE))</f>
        <v>2.747986304756465E-2</v>
      </c>
    </row>
    <row r="574" spans="1:12" x14ac:dyDescent="0.25">
      <c r="A574" t="s">
        <v>136</v>
      </c>
      <c r="B574" t="s">
        <v>724</v>
      </c>
      <c r="C574" t="str">
        <f t="shared" si="41"/>
        <v>IE</v>
      </c>
      <c r="D574" t="str">
        <f t="shared" si="42"/>
        <v>CAR</v>
      </c>
      <c r="E574" t="str">
        <f t="shared" si="40"/>
        <v>IECAR</v>
      </c>
      <c r="F574" t="str">
        <f t="shared" si="43"/>
        <v>H</v>
      </c>
      <c r="G574" t="s">
        <v>712</v>
      </c>
      <c r="H574">
        <v>1</v>
      </c>
      <c r="I574">
        <v>0.17</v>
      </c>
      <c r="J574" t="str">
        <f t="shared" si="44"/>
        <v>IEL000CARHI0IELFER</v>
      </c>
      <c r="K574">
        <f>_xlfn.IFNA(IF(F574="H",VLOOKUP(E574,Fertiliser_data!$E$7:$L$267,8,FALSE),VLOOKUP(E574,Fertiliser_data!$E$7:$L$267,8,FALSE)*0.65),IF(F574="H",0.038,(0.038*0.65)))</f>
        <v>9.0552238805970159E-2</v>
      </c>
      <c r="L574">
        <f>IF($C574="IE",$K574*CF_231025!$E$16,$K574/VLOOKUP($C574,CF_231025!$A$2:$E$28,5,FALSE))</f>
        <v>0.18870866245933662</v>
      </c>
    </row>
    <row r="575" spans="1:12" x14ac:dyDescent="0.25">
      <c r="A575" t="s">
        <v>136</v>
      </c>
      <c r="B575" t="s">
        <v>725</v>
      </c>
      <c r="C575" t="str">
        <f t="shared" si="41"/>
        <v>IE</v>
      </c>
      <c r="D575" t="str">
        <f t="shared" si="42"/>
        <v>CAR</v>
      </c>
      <c r="E575" t="str">
        <f t="shared" si="40"/>
        <v>IECAR</v>
      </c>
      <c r="F575" t="str">
        <f t="shared" si="43"/>
        <v>H</v>
      </c>
      <c r="G575" t="s">
        <v>712</v>
      </c>
      <c r="H575">
        <v>1</v>
      </c>
      <c r="I575">
        <v>0.17</v>
      </c>
      <c r="J575" t="str">
        <f t="shared" si="44"/>
        <v>IEL000CARHR0IELFER</v>
      </c>
      <c r="K575">
        <f>_xlfn.IFNA(IF(F575="H",VLOOKUP(E575,Fertiliser_data!$E$7:$L$267,8,FALSE),VLOOKUP(E575,Fertiliser_data!$E$7:$L$267,8,FALSE)*0.65),IF(F575="H",0.038,(0.038*0.65)))</f>
        <v>9.0552238805970159E-2</v>
      </c>
      <c r="L575">
        <f>IF($C575="IE",$K575*CF_231025!$E$16,$K575/VLOOKUP($C575,CF_231025!$A$2:$E$28,5,FALSE))</f>
        <v>0.18870866245933662</v>
      </c>
    </row>
    <row r="576" spans="1:12" x14ac:dyDescent="0.25">
      <c r="A576" t="s">
        <v>136</v>
      </c>
      <c r="B576" t="s">
        <v>726</v>
      </c>
      <c r="C576" t="str">
        <f t="shared" si="41"/>
        <v>IE</v>
      </c>
      <c r="D576" t="str">
        <f t="shared" si="42"/>
        <v>CAR</v>
      </c>
      <c r="E576" t="str">
        <f t="shared" si="40"/>
        <v>IECAR</v>
      </c>
      <c r="F576" t="str">
        <f t="shared" si="43"/>
        <v>L</v>
      </c>
      <c r="G576" t="s">
        <v>712</v>
      </c>
      <c r="H576">
        <v>1</v>
      </c>
      <c r="I576">
        <v>0.06</v>
      </c>
      <c r="J576" t="str">
        <f t="shared" si="44"/>
        <v>IEL000CARLI0IELFER</v>
      </c>
      <c r="K576">
        <f>_xlfn.IFNA(IF(F576="H",VLOOKUP(E576,Fertiliser_data!$E$7:$L$267,8,FALSE),VLOOKUP(E576,Fertiliser_data!$E$7:$L$267,8,FALSE)*0.65),IF(F576="H",0.038,(0.038*0.65)))</f>
        <v>5.8858955223880606E-2</v>
      </c>
      <c r="L576">
        <f>IF($C576="IE",$K576*CF_231025!$E$16,$K576/VLOOKUP($C576,CF_231025!$A$2:$E$28,5,FALSE))</f>
        <v>0.12266063059856881</v>
      </c>
    </row>
    <row r="577" spans="1:12" x14ac:dyDescent="0.25">
      <c r="A577" t="s">
        <v>136</v>
      </c>
      <c r="B577" t="s">
        <v>727</v>
      </c>
      <c r="C577" t="str">
        <f t="shared" si="41"/>
        <v>IE</v>
      </c>
      <c r="D577" t="str">
        <f t="shared" si="42"/>
        <v>CAR</v>
      </c>
      <c r="E577" t="str">
        <f t="shared" si="40"/>
        <v>IECAR</v>
      </c>
      <c r="F577" t="str">
        <f t="shared" si="43"/>
        <v>L</v>
      </c>
      <c r="G577" t="s">
        <v>712</v>
      </c>
      <c r="H577">
        <v>1</v>
      </c>
      <c r="I577">
        <v>0.06</v>
      </c>
      <c r="J577" t="str">
        <f t="shared" si="44"/>
        <v>IEL000CARLR0IELFER</v>
      </c>
      <c r="K577">
        <f>_xlfn.IFNA(IF(F577="H",VLOOKUP(E577,Fertiliser_data!$E$7:$L$267,8,FALSE),VLOOKUP(E577,Fertiliser_data!$E$7:$L$267,8,FALSE)*0.65),IF(F577="H",0.038,(0.038*0.65)))</f>
        <v>5.8858955223880606E-2</v>
      </c>
      <c r="L577">
        <f>IF($C577="IE",$K577*CF_231025!$E$16,$K577/VLOOKUP($C577,CF_231025!$A$2:$E$28,5,FALSE))</f>
        <v>0.12266063059856881</v>
      </c>
    </row>
    <row r="578" spans="1:12" x14ac:dyDescent="0.25">
      <c r="A578" t="s">
        <v>136</v>
      </c>
      <c r="B578" t="s">
        <v>728</v>
      </c>
      <c r="C578" t="str">
        <f t="shared" si="41"/>
        <v>IE</v>
      </c>
      <c r="D578" t="str">
        <f t="shared" si="42"/>
        <v>OTH</v>
      </c>
      <c r="E578" t="str">
        <f t="shared" ref="E578:E641" si="45">C578&amp;D578</f>
        <v>IEOTH</v>
      </c>
      <c r="F578" t="str">
        <f t="shared" si="43"/>
        <v>H</v>
      </c>
      <c r="G578" t="s">
        <v>712</v>
      </c>
      <c r="H578">
        <v>1</v>
      </c>
      <c r="I578">
        <v>0.17</v>
      </c>
      <c r="J578" t="str">
        <f t="shared" si="44"/>
        <v>IEL000OTHHI0IELFER</v>
      </c>
      <c r="K578">
        <f>_xlfn.IFNA(IF(F578="H",VLOOKUP(E578,Fertiliser_data!$E$7:$L$267,8,FALSE),VLOOKUP(E578,Fertiliser_data!$E$7:$L$267,8,FALSE)*0.65),IF(F578="H",0.038,(0.038*0.65)))</f>
        <v>3.7999999999999999E-2</v>
      </c>
      <c r="L578">
        <f>IF($C578="IE",$K578*CF_231025!$E$16,$K578/VLOOKUP($C578,CF_231025!$A$2:$E$28,5,FALSE))</f>
        <v>7.9191075427966204E-2</v>
      </c>
    </row>
    <row r="579" spans="1:12" x14ac:dyDescent="0.25">
      <c r="A579" t="s">
        <v>136</v>
      </c>
      <c r="B579" t="s">
        <v>729</v>
      </c>
      <c r="C579" t="str">
        <f t="shared" ref="C579:C642" si="46">LEFT(B579,2)</f>
        <v>IE</v>
      </c>
      <c r="D579" t="str">
        <f t="shared" ref="D579:D642" si="47">MID(B579,7,3)</f>
        <v>OTH</v>
      </c>
      <c r="E579" t="str">
        <f t="shared" si="45"/>
        <v>IEOTH</v>
      </c>
      <c r="F579" t="str">
        <f t="shared" ref="F579:F642" si="48">MID(B579,10,1)</f>
        <v>H</v>
      </c>
      <c r="G579" t="s">
        <v>712</v>
      </c>
      <c r="H579">
        <v>1</v>
      </c>
      <c r="I579">
        <v>0.17</v>
      </c>
      <c r="J579" t="str">
        <f t="shared" ref="J579:J642" si="49">B579&amp;G579</f>
        <v>IEL000OTHHR0IELFER</v>
      </c>
      <c r="K579">
        <f>_xlfn.IFNA(IF(F579="H",VLOOKUP(E579,Fertiliser_data!$E$7:$L$267,8,FALSE),VLOOKUP(E579,Fertiliser_data!$E$7:$L$267,8,FALSE)*0.65),IF(F579="H",0.038,(0.038*0.65)))</f>
        <v>3.7999999999999999E-2</v>
      </c>
      <c r="L579">
        <f>IF($C579="IE",$K579*CF_231025!$E$16,$K579/VLOOKUP($C579,CF_231025!$A$2:$E$28,5,FALSE))</f>
        <v>7.9191075427966204E-2</v>
      </c>
    </row>
    <row r="580" spans="1:12" x14ac:dyDescent="0.25">
      <c r="A580" t="s">
        <v>136</v>
      </c>
      <c r="B580" t="s">
        <v>730</v>
      </c>
      <c r="C580" t="str">
        <f t="shared" si="46"/>
        <v>IE</v>
      </c>
      <c r="D580" t="str">
        <f t="shared" si="47"/>
        <v>OTH</v>
      </c>
      <c r="E580" t="str">
        <f t="shared" si="45"/>
        <v>IEOTH</v>
      </c>
      <c r="F580" t="str">
        <f t="shared" si="48"/>
        <v>L</v>
      </c>
      <c r="G580" t="s">
        <v>712</v>
      </c>
      <c r="H580">
        <v>1</v>
      </c>
      <c r="I580">
        <v>0.06</v>
      </c>
      <c r="J580" t="str">
        <f t="shared" si="49"/>
        <v>IEL000OTHLI0IELFER</v>
      </c>
      <c r="K580">
        <f>_xlfn.IFNA(IF(F580="H",VLOOKUP(E580,Fertiliser_data!$E$7:$L$267,8,FALSE),VLOOKUP(E580,Fertiliser_data!$E$7:$L$267,8,FALSE)*0.65),IF(F580="H",0.038,(0.038*0.65)))</f>
        <v>2.47E-2</v>
      </c>
      <c r="L580">
        <f>IF($C580="IE",$K580*CF_231025!$E$16,$K580/VLOOKUP($C580,CF_231025!$A$2:$E$28,5,FALSE))</f>
        <v>5.1474199028178035E-2</v>
      </c>
    </row>
    <row r="581" spans="1:12" x14ac:dyDescent="0.25">
      <c r="A581" t="s">
        <v>136</v>
      </c>
      <c r="B581" t="s">
        <v>731</v>
      </c>
      <c r="C581" t="str">
        <f t="shared" si="46"/>
        <v>IE</v>
      </c>
      <c r="D581" t="str">
        <f t="shared" si="47"/>
        <v>OTH</v>
      </c>
      <c r="E581" t="str">
        <f t="shared" si="45"/>
        <v>IEOTH</v>
      </c>
      <c r="F581" t="str">
        <f t="shared" si="48"/>
        <v>L</v>
      </c>
      <c r="G581" t="s">
        <v>712</v>
      </c>
      <c r="H581">
        <v>1</v>
      </c>
      <c r="I581">
        <v>0.06</v>
      </c>
      <c r="J581" t="str">
        <f t="shared" si="49"/>
        <v>IEL000OTHLR0IELFER</v>
      </c>
      <c r="K581">
        <f>_xlfn.IFNA(IF(F581="H",VLOOKUP(E581,Fertiliser_data!$E$7:$L$267,8,FALSE),VLOOKUP(E581,Fertiliser_data!$E$7:$L$267,8,FALSE)*0.65),IF(F581="H",0.038,(0.038*0.65)))</f>
        <v>2.47E-2</v>
      </c>
      <c r="L581">
        <f>IF($C581="IE",$K581*CF_231025!$E$16,$K581/VLOOKUP($C581,CF_231025!$A$2:$E$28,5,FALSE))</f>
        <v>5.1474199028178035E-2</v>
      </c>
    </row>
    <row r="582" spans="1:12" x14ac:dyDescent="0.25">
      <c r="A582" t="s">
        <v>136</v>
      </c>
      <c r="B582" t="s">
        <v>732</v>
      </c>
      <c r="C582" t="str">
        <f t="shared" si="46"/>
        <v>IE</v>
      </c>
      <c r="D582" t="str">
        <f t="shared" si="47"/>
        <v>CAB</v>
      </c>
      <c r="E582" t="str">
        <f t="shared" si="45"/>
        <v>IECAB</v>
      </c>
      <c r="F582" t="str">
        <f t="shared" si="48"/>
        <v>H</v>
      </c>
      <c r="G582" t="s">
        <v>712</v>
      </c>
      <c r="H582">
        <v>1</v>
      </c>
      <c r="I582">
        <v>0.17</v>
      </c>
      <c r="J582" t="str">
        <f t="shared" si="49"/>
        <v>IEL000CABHI0IELFER</v>
      </c>
      <c r="K582">
        <f>_xlfn.IFNA(IF(F582="H",VLOOKUP(E582,Fertiliser_data!$E$7:$L$267,8,FALSE),VLOOKUP(E582,Fertiliser_data!$E$7:$L$267,8,FALSE)*0.65),IF(F582="H",0.038,(0.038*0.65)))</f>
        <v>9.3644776119402987E-2</v>
      </c>
      <c r="L582">
        <f>IF($C582="IE",$K582*CF_231025!$E$16,$K582/VLOOKUP($C582,CF_231025!$A$2:$E$28,5,FALSE))</f>
        <v>0.19515343497649082</v>
      </c>
    </row>
    <row r="583" spans="1:12" x14ac:dyDescent="0.25">
      <c r="A583" t="s">
        <v>136</v>
      </c>
      <c r="B583" t="s">
        <v>733</v>
      </c>
      <c r="C583" t="str">
        <f t="shared" si="46"/>
        <v>IE</v>
      </c>
      <c r="D583" t="str">
        <f t="shared" si="47"/>
        <v>CAB</v>
      </c>
      <c r="E583" t="str">
        <f t="shared" si="45"/>
        <v>IECAB</v>
      </c>
      <c r="F583" t="str">
        <f t="shared" si="48"/>
        <v>H</v>
      </c>
      <c r="G583" t="s">
        <v>712</v>
      </c>
      <c r="H583">
        <v>1</v>
      </c>
      <c r="I583">
        <v>0.17</v>
      </c>
      <c r="J583" t="str">
        <f t="shared" si="49"/>
        <v>IEL000CABHR0IELFER</v>
      </c>
      <c r="K583">
        <f>_xlfn.IFNA(IF(F583="H",VLOOKUP(E583,Fertiliser_data!$E$7:$L$267,8,FALSE),VLOOKUP(E583,Fertiliser_data!$E$7:$L$267,8,FALSE)*0.65),IF(F583="H",0.038,(0.038*0.65)))</f>
        <v>9.3644776119402987E-2</v>
      </c>
      <c r="L583">
        <f>IF($C583="IE",$K583*CF_231025!$E$16,$K583/VLOOKUP($C583,CF_231025!$A$2:$E$28,5,FALSE))</f>
        <v>0.19515343497649082</v>
      </c>
    </row>
    <row r="584" spans="1:12" x14ac:dyDescent="0.25">
      <c r="A584" t="s">
        <v>136</v>
      </c>
      <c r="B584" t="s">
        <v>734</v>
      </c>
      <c r="C584" t="str">
        <f t="shared" si="46"/>
        <v>IE</v>
      </c>
      <c r="D584" t="str">
        <f t="shared" si="47"/>
        <v>CAB</v>
      </c>
      <c r="E584" t="str">
        <f t="shared" si="45"/>
        <v>IECAB</v>
      </c>
      <c r="F584" t="str">
        <f t="shared" si="48"/>
        <v>L</v>
      </c>
      <c r="G584" t="s">
        <v>712</v>
      </c>
      <c r="H584">
        <v>1</v>
      </c>
      <c r="I584">
        <v>0.06</v>
      </c>
      <c r="J584" t="str">
        <f t="shared" si="49"/>
        <v>IEL000CABLI0IELFER</v>
      </c>
      <c r="K584">
        <f>_xlfn.IFNA(IF(F584="H",VLOOKUP(E584,Fertiliser_data!$E$7:$L$267,8,FALSE),VLOOKUP(E584,Fertiliser_data!$E$7:$L$267,8,FALSE)*0.65),IF(F584="H",0.038,(0.038*0.65)))</f>
        <v>6.0869104477611943E-2</v>
      </c>
      <c r="L584">
        <f>IF($C584="IE",$K584*CF_231025!$E$16,$K584/VLOOKUP($C584,CF_231025!$A$2:$E$28,5,FALSE))</f>
        <v>0.12684973273471903</v>
      </c>
    </row>
    <row r="585" spans="1:12" x14ac:dyDescent="0.25">
      <c r="A585" t="s">
        <v>136</v>
      </c>
      <c r="B585" t="s">
        <v>735</v>
      </c>
      <c r="C585" t="str">
        <f t="shared" si="46"/>
        <v>IE</v>
      </c>
      <c r="D585" t="str">
        <f t="shared" si="47"/>
        <v>CAB</v>
      </c>
      <c r="E585" t="str">
        <f t="shared" si="45"/>
        <v>IECAB</v>
      </c>
      <c r="F585" t="str">
        <f t="shared" si="48"/>
        <v>L</v>
      </c>
      <c r="G585" t="s">
        <v>712</v>
      </c>
      <c r="H585">
        <v>1</v>
      </c>
      <c r="I585">
        <v>0.06</v>
      </c>
      <c r="J585" t="str">
        <f t="shared" si="49"/>
        <v>IEL000CABLR0IELFER</v>
      </c>
      <c r="K585">
        <f>_xlfn.IFNA(IF(F585="H",VLOOKUP(E585,Fertiliser_data!$E$7:$L$267,8,FALSE),VLOOKUP(E585,Fertiliser_data!$E$7:$L$267,8,FALSE)*0.65),IF(F585="H",0.038,(0.038*0.65)))</f>
        <v>6.0869104477611943E-2</v>
      </c>
      <c r="L585">
        <f>IF($C585="IE",$K585*CF_231025!$E$16,$K585/VLOOKUP($C585,CF_231025!$A$2:$E$28,5,FALSE))</f>
        <v>0.12684973273471903</v>
      </c>
    </row>
    <row r="586" spans="1:12" x14ac:dyDescent="0.25">
      <c r="A586" t="s">
        <v>136</v>
      </c>
      <c r="B586" t="s">
        <v>736</v>
      </c>
      <c r="C586" t="str">
        <f t="shared" si="46"/>
        <v>IE</v>
      </c>
      <c r="D586" t="str">
        <f t="shared" si="47"/>
        <v>OAT</v>
      </c>
      <c r="E586" t="str">
        <f t="shared" si="45"/>
        <v>IEOAT</v>
      </c>
      <c r="F586" t="str">
        <f t="shared" si="48"/>
        <v>H</v>
      </c>
      <c r="G586" t="s">
        <v>712</v>
      </c>
      <c r="H586">
        <v>1</v>
      </c>
      <c r="I586">
        <v>0.11</v>
      </c>
      <c r="J586" t="str">
        <f t="shared" si="49"/>
        <v>IEL000OATHI0IELFER</v>
      </c>
      <c r="K586">
        <f>_xlfn.IFNA(IF(F586="H",VLOOKUP(E586,Fertiliser_data!$E$7:$L$267,8,FALSE),VLOOKUP(E586,Fertiliser_data!$E$7:$L$267,8,FALSE)*0.65),IF(F586="H",0.038,(0.038*0.65)))</f>
        <v>6.8513432835820898E-2</v>
      </c>
      <c r="L586">
        <f>IF($C586="IE",$K586*CF_231025!$E$16,$K586/VLOOKUP($C586,CF_231025!$A$2:$E$28,5,FALSE))</f>
        <v>0.14278032704027341</v>
      </c>
    </row>
    <row r="587" spans="1:12" x14ac:dyDescent="0.25">
      <c r="A587" t="s">
        <v>136</v>
      </c>
      <c r="B587" t="s">
        <v>737</v>
      </c>
      <c r="C587" t="str">
        <f t="shared" si="46"/>
        <v>IE</v>
      </c>
      <c r="D587" t="str">
        <f t="shared" si="47"/>
        <v>OAT</v>
      </c>
      <c r="E587" t="str">
        <f t="shared" si="45"/>
        <v>IEOAT</v>
      </c>
      <c r="F587" t="str">
        <f t="shared" si="48"/>
        <v>H</v>
      </c>
      <c r="G587" t="s">
        <v>712</v>
      </c>
      <c r="H587">
        <v>1</v>
      </c>
      <c r="I587">
        <v>0.11</v>
      </c>
      <c r="J587" t="str">
        <f t="shared" si="49"/>
        <v>IEL000OATHR0IELFER</v>
      </c>
      <c r="K587">
        <f>_xlfn.IFNA(IF(F587="H",VLOOKUP(E587,Fertiliser_data!$E$7:$L$267,8,FALSE),VLOOKUP(E587,Fertiliser_data!$E$7:$L$267,8,FALSE)*0.65),IF(F587="H",0.038,(0.038*0.65)))</f>
        <v>6.8513432835820898E-2</v>
      </c>
      <c r="L587">
        <f>IF($C587="IE",$K587*CF_231025!$E$16,$K587/VLOOKUP($C587,CF_231025!$A$2:$E$28,5,FALSE))</f>
        <v>0.14278032704027341</v>
      </c>
    </row>
    <row r="588" spans="1:12" x14ac:dyDescent="0.25">
      <c r="A588" t="s">
        <v>136</v>
      </c>
      <c r="B588" t="s">
        <v>738</v>
      </c>
      <c r="C588" t="str">
        <f t="shared" si="46"/>
        <v>IE</v>
      </c>
      <c r="D588" t="str">
        <f t="shared" si="47"/>
        <v>OAT</v>
      </c>
      <c r="E588" t="str">
        <f t="shared" si="45"/>
        <v>IEOAT</v>
      </c>
      <c r="F588" t="str">
        <f t="shared" si="48"/>
        <v>L</v>
      </c>
      <c r="G588" t="s">
        <v>712</v>
      </c>
      <c r="H588">
        <v>1</v>
      </c>
      <c r="I588">
        <v>0.04</v>
      </c>
      <c r="J588" t="str">
        <f t="shared" si="49"/>
        <v>IEL000OATLI0IELFER</v>
      </c>
      <c r="K588">
        <f>_xlfn.IFNA(IF(F588="H",VLOOKUP(E588,Fertiliser_data!$E$7:$L$267,8,FALSE),VLOOKUP(E588,Fertiliser_data!$E$7:$L$267,8,FALSE)*0.65),IF(F588="H",0.038,(0.038*0.65)))</f>
        <v>4.4533731343283582E-2</v>
      </c>
      <c r="L588">
        <f>IF($C588="IE",$K588*CF_231025!$E$16,$K588/VLOOKUP($C588,CF_231025!$A$2:$E$28,5,FALSE))</f>
        <v>9.2807212576177717E-2</v>
      </c>
    </row>
    <row r="589" spans="1:12" x14ac:dyDescent="0.25">
      <c r="A589" t="s">
        <v>136</v>
      </c>
      <c r="B589" t="s">
        <v>739</v>
      </c>
      <c r="C589" t="str">
        <f t="shared" si="46"/>
        <v>IE</v>
      </c>
      <c r="D589" t="str">
        <f t="shared" si="47"/>
        <v>OAT</v>
      </c>
      <c r="E589" t="str">
        <f t="shared" si="45"/>
        <v>IEOAT</v>
      </c>
      <c r="F589" t="str">
        <f t="shared" si="48"/>
        <v>L</v>
      </c>
      <c r="G589" t="s">
        <v>712</v>
      </c>
      <c r="H589">
        <v>1</v>
      </c>
      <c r="I589">
        <v>0.04</v>
      </c>
      <c r="J589" t="str">
        <f t="shared" si="49"/>
        <v>IEL000OATLR0IELFER</v>
      </c>
      <c r="K589">
        <f>_xlfn.IFNA(IF(F589="H",VLOOKUP(E589,Fertiliser_data!$E$7:$L$267,8,FALSE),VLOOKUP(E589,Fertiliser_data!$E$7:$L$267,8,FALSE)*0.65),IF(F589="H",0.038,(0.038*0.65)))</f>
        <v>4.4533731343283582E-2</v>
      </c>
      <c r="L589">
        <f>IF($C589="IE",$K589*CF_231025!$E$16,$K589/VLOOKUP($C589,CF_231025!$A$2:$E$28,5,FALSE))</f>
        <v>9.2807212576177717E-2</v>
      </c>
    </row>
    <row r="590" spans="1:12" x14ac:dyDescent="0.25">
      <c r="A590" t="s">
        <v>136</v>
      </c>
      <c r="B590" t="s">
        <v>740</v>
      </c>
      <c r="C590" t="str">
        <f t="shared" si="46"/>
        <v>IE</v>
      </c>
      <c r="D590" t="str">
        <f t="shared" si="47"/>
        <v>RAP</v>
      </c>
      <c r="E590" t="str">
        <f t="shared" si="45"/>
        <v>IERAP</v>
      </c>
      <c r="F590" t="str">
        <f t="shared" si="48"/>
        <v>H</v>
      </c>
      <c r="G590" t="s">
        <v>712</v>
      </c>
      <c r="H590">
        <v>1</v>
      </c>
      <c r="I590">
        <v>0.26</v>
      </c>
      <c r="J590" t="str">
        <f t="shared" si="49"/>
        <v>IEL000RAPHI0IELFER</v>
      </c>
      <c r="K590">
        <f>_xlfn.IFNA(IF(F590="H",VLOOKUP(E590,Fertiliser_data!$E$7:$L$267,8,FALSE),VLOOKUP(E590,Fertiliser_data!$E$7:$L$267,8,FALSE)*0.65),IF(F590="H",0.038,(0.038*0.65)))</f>
        <v>7.3841791044776117E-2</v>
      </c>
      <c r="L590">
        <f>IF($C590="IE",$K590*CF_231025!$E$16,$K590/VLOOKUP($C590,CF_231025!$A$2:$E$28,5,FALSE))</f>
        <v>0.1538844959042891</v>
      </c>
    </row>
    <row r="591" spans="1:12" x14ac:dyDescent="0.25">
      <c r="A591" t="s">
        <v>136</v>
      </c>
      <c r="B591" t="s">
        <v>741</v>
      </c>
      <c r="C591" t="str">
        <f t="shared" si="46"/>
        <v>IE</v>
      </c>
      <c r="D591" t="str">
        <f t="shared" si="47"/>
        <v>RAP</v>
      </c>
      <c r="E591" t="str">
        <f t="shared" si="45"/>
        <v>IERAP</v>
      </c>
      <c r="F591" t="str">
        <f t="shared" si="48"/>
        <v>H</v>
      </c>
      <c r="G591" t="s">
        <v>712</v>
      </c>
      <c r="H591">
        <v>1</v>
      </c>
      <c r="I591">
        <v>0.26</v>
      </c>
      <c r="J591" t="str">
        <f t="shared" si="49"/>
        <v>IEL000RAPHR0IELFER</v>
      </c>
      <c r="K591">
        <f>_xlfn.IFNA(IF(F591="H",VLOOKUP(E591,Fertiliser_data!$E$7:$L$267,8,FALSE),VLOOKUP(E591,Fertiliser_data!$E$7:$L$267,8,FALSE)*0.65),IF(F591="H",0.038,(0.038*0.65)))</f>
        <v>7.3841791044776117E-2</v>
      </c>
      <c r="L591">
        <f>IF($C591="IE",$K591*CF_231025!$E$16,$K591/VLOOKUP($C591,CF_231025!$A$2:$E$28,5,FALSE))</f>
        <v>0.1538844959042891</v>
      </c>
    </row>
    <row r="592" spans="1:12" x14ac:dyDescent="0.25">
      <c r="A592" t="s">
        <v>136</v>
      </c>
      <c r="B592" t="s">
        <v>742</v>
      </c>
      <c r="C592" t="str">
        <f t="shared" si="46"/>
        <v>IE</v>
      </c>
      <c r="D592" t="str">
        <f t="shared" si="47"/>
        <v>RAP</v>
      </c>
      <c r="E592" t="str">
        <f t="shared" si="45"/>
        <v>IERAP</v>
      </c>
      <c r="F592" t="str">
        <f t="shared" si="48"/>
        <v>L</v>
      </c>
      <c r="G592" t="s">
        <v>712</v>
      </c>
      <c r="H592">
        <v>1</v>
      </c>
      <c r="I592">
        <v>0.1</v>
      </c>
      <c r="J592" t="str">
        <f t="shared" si="49"/>
        <v>IEL000RAPLI0IELFER</v>
      </c>
      <c r="K592">
        <f>_xlfn.IFNA(IF(F592="H",VLOOKUP(E592,Fertiliser_data!$E$7:$L$267,8,FALSE),VLOOKUP(E592,Fertiliser_data!$E$7:$L$267,8,FALSE)*0.65),IF(F592="H",0.038,(0.038*0.65)))</f>
        <v>4.7997164179104476E-2</v>
      </c>
      <c r="L592">
        <f>IF($C592="IE",$K592*CF_231025!$E$16,$K592/VLOOKUP($C592,CF_231025!$A$2:$E$28,5,FALSE))</f>
        <v>0.10002492233778791</v>
      </c>
    </row>
    <row r="593" spans="1:12" x14ac:dyDescent="0.25">
      <c r="A593" t="s">
        <v>136</v>
      </c>
      <c r="B593" t="s">
        <v>743</v>
      </c>
      <c r="C593" t="str">
        <f t="shared" si="46"/>
        <v>IE</v>
      </c>
      <c r="D593" t="str">
        <f t="shared" si="47"/>
        <v>RAP</v>
      </c>
      <c r="E593" t="str">
        <f t="shared" si="45"/>
        <v>IERAP</v>
      </c>
      <c r="F593" t="str">
        <f t="shared" si="48"/>
        <v>L</v>
      </c>
      <c r="G593" t="s">
        <v>712</v>
      </c>
      <c r="H593">
        <v>1</v>
      </c>
      <c r="I593">
        <v>0.1</v>
      </c>
      <c r="J593" t="str">
        <f t="shared" si="49"/>
        <v>IEL000RAPLR0IELFER</v>
      </c>
      <c r="K593">
        <f>_xlfn.IFNA(IF(F593="H",VLOOKUP(E593,Fertiliser_data!$E$7:$L$267,8,FALSE),VLOOKUP(E593,Fertiliser_data!$E$7:$L$267,8,FALSE)*0.65),IF(F593="H",0.038,(0.038*0.65)))</f>
        <v>4.7997164179104476E-2</v>
      </c>
      <c r="L593">
        <f>IF($C593="IE",$K593*CF_231025!$E$16,$K593/VLOOKUP($C593,CF_231025!$A$2:$E$28,5,FALSE))</f>
        <v>0.10002492233778791</v>
      </c>
    </row>
    <row r="594" spans="1:12" x14ac:dyDescent="0.25">
      <c r="A594" t="s">
        <v>136</v>
      </c>
      <c r="B594" t="s">
        <v>744</v>
      </c>
      <c r="C594" t="str">
        <f t="shared" si="46"/>
        <v>IE</v>
      </c>
      <c r="D594" t="str">
        <f t="shared" si="47"/>
        <v>POT</v>
      </c>
      <c r="E594" t="str">
        <f t="shared" si="45"/>
        <v>IEPOT</v>
      </c>
      <c r="F594" t="str">
        <f t="shared" si="48"/>
        <v>H</v>
      </c>
      <c r="G594" t="s">
        <v>712</v>
      </c>
      <c r="H594">
        <v>1</v>
      </c>
      <c r="I594">
        <v>0.17</v>
      </c>
      <c r="J594" t="str">
        <f t="shared" si="49"/>
        <v>IEL000POTHI0IELFER</v>
      </c>
      <c r="K594">
        <f>_xlfn.IFNA(IF(F594="H",VLOOKUP(E594,Fertiliser_data!$E$7:$L$267,8,FALSE),VLOOKUP(E594,Fertiliser_data!$E$7:$L$267,8,FALSE)*0.65),IF(F594="H",0.038,(0.038*0.65)))</f>
        <v>0.1389223880597015</v>
      </c>
      <c r="L594">
        <f>IF($C594="IE",$K594*CF_231025!$E$16,$K594/VLOOKUP($C594,CF_231025!$A$2:$E$28,5,FALSE))</f>
        <v>0.28951087661760561</v>
      </c>
    </row>
    <row r="595" spans="1:12" x14ac:dyDescent="0.25">
      <c r="A595" t="s">
        <v>136</v>
      </c>
      <c r="B595" t="s">
        <v>745</v>
      </c>
      <c r="C595" t="str">
        <f t="shared" si="46"/>
        <v>IE</v>
      </c>
      <c r="D595" t="str">
        <f t="shared" si="47"/>
        <v>POT</v>
      </c>
      <c r="E595" t="str">
        <f t="shared" si="45"/>
        <v>IEPOT</v>
      </c>
      <c r="F595" t="str">
        <f t="shared" si="48"/>
        <v>H</v>
      </c>
      <c r="G595" t="s">
        <v>712</v>
      </c>
      <c r="H595">
        <v>1</v>
      </c>
      <c r="I595">
        <v>0.17</v>
      </c>
      <c r="J595" t="str">
        <f t="shared" si="49"/>
        <v>IEL000POTHR0IELFER</v>
      </c>
      <c r="K595">
        <f>_xlfn.IFNA(IF(F595="H",VLOOKUP(E595,Fertiliser_data!$E$7:$L$267,8,FALSE),VLOOKUP(E595,Fertiliser_data!$E$7:$L$267,8,FALSE)*0.65),IF(F595="H",0.038,(0.038*0.65)))</f>
        <v>0.1389223880597015</v>
      </c>
      <c r="L595">
        <f>IF($C595="IE",$K595*CF_231025!$E$16,$K595/VLOOKUP($C595,CF_231025!$A$2:$E$28,5,FALSE))</f>
        <v>0.28951087661760561</v>
      </c>
    </row>
    <row r="596" spans="1:12" x14ac:dyDescent="0.25">
      <c r="A596" t="s">
        <v>136</v>
      </c>
      <c r="B596" t="s">
        <v>746</v>
      </c>
      <c r="C596" t="str">
        <f t="shared" si="46"/>
        <v>IE</v>
      </c>
      <c r="D596" t="str">
        <f t="shared" si="47"/>
        <v>POT</v>
      </c>
      <c r="E596" t="str">
        <f t="shared" si="45"/>
        <v>IEPOT</v>
      </c>
      <c r="F596" t="str">
        <f t="shared" si="48"/>
        <v>L</v>
      </c>
      <c r="G596" t="s">
        <v>712</v>
      </c>
      <c r="H596">
        <v>1</v>
      </c>
      <c r="I596">
        <v>0.06</v>
      </c>
      <c r="J596" t="str">
        <f t="shared" si="49"/>
        <v>IEL000POTLI0IELFER</v>
      </c>
      <c r="K596">
        <f>_xlfn.IFNA(IF(F596="H",VLOOKUP(E596,Fertiliser_data!$E$7:$L$267,8,FALSE),VLOOKUP(E596,Fertiliser_data!$E$7:$L$267,8,FALSE)*0.65),IF(F596="H",0.038,(0.038*0.65)))</f>
        <v>9.029955223880598E-2</v>
      </c>
      <c r="L596">
        <f>IF($C596="IE",$K596*CF_231025!$E$16,$K596/VLOOKUP($C596,CF_231025!$A$2:$E$28,5,FALSE))</f>
        <v>0.18818206980144367</v>
      </c>
    </row>
    <row r="597" spans="1:12" x14ac:dyDescent="0.25">
      <c r="A597" t="s">
        <v>136</v>
      </c>
      <c r="B597" t="s">
        <v>747</v>
      </c>
      <c r="C597" t="str">
        <f t="shared" si="46"/>
        <v>IE</v>
      </c>
      <c r="D597" t="str">
        <f t="shared" si="47"/>
        <v>POT</v>
      </c>
      <c r="E597" t="str">
        <f t="shared" si="45"/>
        <v>IEPOT</v>
      </c>
      <c r="F597" t="str">
        <f t="shared" si="48"/>
        <v>L</v>
      </c>
      <c r="G597" t="s">
        <v>712</v>
      </c>
      <c r="H597">
        <v>1</v>
      </c>
      <c r="I597">
        <v>0.06</v>
      </c>
      <c r="J597" t="str">
        <f t="shared" si="49"/>
        <v>IEL000POTLR0IELFER</v>
      </c>
      <c r="K597">
        <f>_xlfn.IFNA(IF(F597="H",VLOOKUP(E597,Fertiliser_data!$E$7:$L$267,8,FALSE),VLOOKUP(E597,Fertiliser_data!$E$7:$L$267,8,FALSE)*0.65),IF(F597="H",0.038,(0.038*0.65)))</f>
        <v>9.029955223880598E-2</v>
      </c>
      <c r="L597">
        <f>IF($C597="IE",$K597*CF_231025!$E$16,$K597/VLOOKUP($C597,CF_231025!$A$2:$E$28,5,FALSE))</f>
        <v>0.18818206980144367</v>
      </c>
    </row>
    <row r="598" spans="1:12" x14ac:dyDescent="0.25">
      <c r="A598" t="s">
        <v>136</v>
      </c>
      <c r="B598" t="s">
        <v>748</v>
      </c>
      <c r="C598" t="str">
        <f t="shared" si="46"/>
        <v>IE</v>
      </c>
      <c r="D598" t="str">
        <f t="shared" si="47"/>
        <v>BRL</v>
      </c>
      <c r="E598" t="str">
        <f t="shared" si="45"/>
        <v>IEBRL</v>
      </c>
      <c r="F598" t="str">
        <f t="shared" si="48"/>
        <v>H</v>
      </c>
      <c r="G598" t="s">
        <v>712</v>
      </c>
      <c r="H598">
        <v>1</v>
      </c>
      <c r="I598">
        <v>0.15</v>
      </c>
      <c r="J598" t="str">
        <f t="shared" si="49"/>
        <v>IEL000BRLHI0IELFER</v>
      </c>
      <c r="K598">
        <f>_xlfn.IFNA(IF(F598="H",VLOOKUP(E598,Fertiliser_data!$E$7:$L$267,8,FALSE),VLOOKUP(E598,Fertiliser_data!$E$7:$L$267,8,FALSE)*0.65),IF(F598="H",0.038,(0.038*0.65)))</f>
        <v>6.9608955223880595E-2</v>
      </c>
      <c r="L598">
        <f>IF($C598="IE",$K598*CF_231025!$E$16,$K598/VLOOKUP($C598,CF_231025!$A$2:$E$28,5,FALSE))</f>
        <v>0.14506336904200659</v>
      </c>
    </row>
    <row r="599" spans="1:12" x14ac:dyDescent="0.25">
      <c r="A599" t="s">
        <v>136</v>
      </c>
      <c r="B599" t="s">
        <v>749</v>
      </c>
      <c r="C599" t="str">
        <f t="shared" si="46"/>
        <v>IE</v>
      </c>
      <c r="D599" t="str">
        <f t="shared" si="47"/>
        <v>BRL</v>
      </c>
      <c r="E599" t="str">
        <f t="shared" si="45"/>
        <v>IEBRL</v>
      </c>
      <c r="F599" t="str">
        <f t="shared" si="48"/>
        <v>H</v>
      </c>
      <c r="G599" t="s">
        <v>712</v>
      </c>
      <c r="H599">
        <v>1</v>
      </c>
      <c r="I599">
        <v>0.15</v>
      </c>
      <c r="J599" t="str">
        <f t="shared" si="49"/>
        <v>IEL000BRLHR0IELFER</v>
      </c>
      <c r="K599">
        <f>_xlfn.IFNA(IF(F599="H",VLOOKUP(E599,Fertiliser_data!$E$7:$L$267,8,FALSE),VLOOKUP(E599,Fertiliser_data!$E$7:$L$267,8,FALSE)*0.65),IF(F599="H",0.038,(0.038*0.65)))</f>
        <v>6.9608955223880595E-2</v>
      </c>
      <c r="L599">
        <f>IF($C599="IE",$K599*CF_231025!$E$16,$K599/VLOOKUP($C599,CF_231025!$A$2:$E$28,5,FALSE))</f>
        <v>0.14506336904200659</v>
      </c>
    </row>
    <row r="600" spans="1:12" x14ac:dyDescent="0.25">
      <c r="A600" t="s">
        <v>136</v>
      </c>
      <c r="B600" t="s">
        <v>750</v>
      </c>
      <c r="C600" t="str">
        <f t="shared" si="46"/>
        <v>IE</v>
      </c>
      <c r="D600" t="str">
        <f t="shared" si="47"/>
        <v>BRL</v>
      </c>
      <c r="E600" t="str">
        <f t="shared" si="45"/>
        <v>IEBRL</v>
      </c>
      <c r="F600" t="str">
        <f t="shared" si="48"/>
        <v>L</v>
      </c>
      <c r="G600" t="s">
        <v>712</v>
      </c>
      <c r="H600">
        <v>1</v>
      </c>
      <c r="I600">
        <v>0.06</v>
      </c>
      <c r="J600" t="str">
        <f t="shared" si="49"/>
        <v>IEL000BRLLI0IELFER</v>
      </c>
      <c r="K600">
        <f>_xlfn.IFNA(IF(F600="H",VLOOKUP(E600,Fertiliser_data!$E$7:$L$267,8,FALSE),VLOOKUP(E600,Fertiliser_data!$E$7:$L$267,8,FALSE)*0.65),IF(F600="H",0.038,(0.038*0.65)))</f>
        <v>4.5245820895522391E-2</v>
      </c>
      <c r="L600">
        <f>IF($C600="IE",$K600*CF_231025!$E$16,$K600/VLOOKUP($C600,CF_231025!$A$2:$E$28,5,FALSE))</f>
        <v>9.4291189877304296E-2</v>
      </c>
    </row>
    <row r="601" spans="1:12" x14ac:dyDescent="0.25">
      <c r="A601" t="s">
        <v>136</v>
      </c>
      <c r="B601" t="s">
        <v>751</v>
      </c>
      <c r="C601" t="str">
        <f t="shared" si="46"/>
        <v>IE</v>
      </c>
      <c r="D601" t="str">
        <f t="shared" si="47"/>
        <v>BRL</v>
      </c>
      <c r="E601" t="str">
        <f t="shared" si="45"/>
        <v>IEBRL</v>
      </c>
      <c r="F601" t="str">
        <f t="shared" si="48"/>
        <v>L</v>
      </c>
      <c r="G601" t="s">
        <v>712</v>
      </c>
      <c r="H601">
        <v>1</v>
      </c>
      <c r="I601">
        <v>0.06</v>
      </c>
      <c r="J601" t="str">
        <f t="shared" si="49"/>
        <v>IEL000BRLLR0IELFER</v>
      </c>
      <c r="K601">
        <f>_xlfn.IFNA(IF(F601="H",VLOOKUP(E601,Fertiliser_data!$E$7:$L$267,8,FALSE),VLOOKUP(E601,Fertiliser_data!$E$7:$L$267,8,FALSE)*0.65),IF(F601="H",0.038,(0.038*0.65)))</f>
        <v>4.5245820895522391E-2</v>
      </c>
      <c r="L601">
        <f>IF($C601="IE",$K601*CF_231025!$E$16,$K601/VLOOKUP($C601,CF_231025!$A$2:$E$28,5,FALSE))</f>
        <v>9.4291189877304296E-2</v>
      </c>
    </row>
    <row r="602" spans="1:12" x14ac:dyDescent="0.25">
      <c r="A602" t="s">
        <v>136</v>
      </c>
      <c r="B602" t="s">
        <v>752</v>
      </c>
      <c r="C602" t="str">
        <f t="shared" si="46"/>
        <v>IT</v>
      </c>
      <c r="D602" t="str">
        <f t="shared" si="47"/>
        <v>OLI</v>
      </c>
      <c r="E602" t="str">
        <f t="shared" si="45"/>
        <v>ITOLI</v>
      </c>
      <c r="F602" t="str">
        <f t="shared" si="48"/>
        <v>H</v>
      </c>
      <c r="G602" t="s">
        <v>753</v>
      </c>
      <c r="H602">
        <v>1</v>
      </c>
      <c r="I602">
        <v>0.17</v>
      </c>
      <c r="J602" t="str">
        <f t="shared" si="49"/>
        <v>ITL000OLIHI0ITLFER</v>
      </c>
      <c r="K602">
        <f>_xlfn.IFNA(IF(F602="H",VLOOKUP(E602,Fertiliser_data!$E$7:$L$267,8,FALSE),VLOOKUP(E602,Fertiliser_data!$E$7:$L$267,8,FALSE)*0.65),IF(F602="H",0.038,(0.038*0.65)))</f>
        <v>1.872686567164179E-2</v>
      </c>
      <c r="L602">
        <f>IF($C602="IE",$K602*CF_231025!$E$16,$K602/VLOOKUP($C602,CF_231025!$A$2:$E$28,5,FALSE))</f>
        <v>4.2070664032343771E-3</v>
      </c>
    </row>
    <row r="603" spans="1:12" x14ac:dyDescent="0.25">
      <c r="A603" t="s">
        <v>136</v>
      </c>
      <c r="B603" t="s">
        <v>754</v>
      </c>
      <c r="C603" t="str">
        <f t="shared" si="46"/>
        <v>IT</v>
      </c>
      <c r="D603" t="str">
        <f t="shared" si="47"/>
        <v>OLI</v>
      </c>
      <c r="E603" t="str">
        <f t="shared" si="45"/>
        <v>ITOLI</v>
      </c>
      <c r="F603" t="str">
        <f t="shared" si="48"/>
        <v>H</v>
      </c>
      <c r="G603" t="s">
        <v>753</v>
      </c>
      <c r="H603">
        <v>1</v>
      </c>
      <c r="I603">
        <v>0.17</v>
      </c>
      <c r="J603" t="str">
        <f t="shared" si="49"/>
        <v>ITL000OLIHR0ITLFER</v>
      </c>
      <c r="K603">
        <f>_xlfn.IFNA(IF(F603="H",VLOOKUP(E603,Fertiliser_data!$E$7:$L$267,8,FALSE),VLOOKUP(E603,Fertiliser_data!$E$7:$L$267,8,FALSE)*0.65),IF(F603="H",0.038,(0.038*0.65)))</f>
        <v>1.872686567164179E-2</v>
      </c>
      <c r="L603">
        <f>IF($C603="IE",$K603*CF_231025!$E$16,$K603/VLOOKUP($C603,CF_231025!$A$2:$E$28,5,FALSE))</f>
        <v>4.2070664032343771E-3</v>
      </c>
    </row>
    <row r="604" spans="1:12" x14ac:dyDescent="0.25">
      <c r="A604" t="s">
        <v>136</v>
      </c>
      <c r="B604" t="s">
        <v>755</v>
      </c>
      <c r="C604" t="str">
        <f t="shared" si="46"/>
        <v>IT</v>
      </c>
      <c r="D604" t="str">
        <f t="shared" si="47"/>
        <v>OLI</v>
      </c>
      <c r="E604" t="str">
        <f t="shared" si="45"/>
        <v>ITOLI</v>
      </c>
      <c r="F604" t="str">
        <f t="shared" si="48"/>
        <v>L</v>
      </c>
      <c r="G604" t="s">
        <v>753</v>
      </c>
      <c r="H604">
        <v>1</v>
      </c>
      <c r="I604">
        <v>0.06</v>
      </c>
      <c r="J604" t="str">
        <f t="shared" si="49"/>
        <v>ITL000OLILI0ITLFER</v>
      </c>
      <c r="K604">
        <f>_xlfn.IFNA(IF(F604="H",VLOOKUP(E604,Fertiliser_data!$E$7:$L$267,8,FALSE),VLOOKUP(E604,Fertiliser_data!$E$7:$L$267,8,FALSE)*0.65),IF(F604="H",0.038,(0.038*0.65)))</f>
        <v>1.2172462686567164E-2</v>
      </c>
      <c r="L604">
        <f>IF($C604="IE",$K604*CF_231025!$E$16,$K604/VLOOKUP($C604,CF_231025!$A$2:$E$28,5,FALSE))</f>
        <v>2.734593162102345E-3</v>
      </c>
    </row>
    <row r="605" spans="1:12" x14ac:dyDescent="0.25">
      <c r="A605" t="s">
        <v>136</v>
      </c>
      <c r="B605" t="s">
        <v>756</v>
      </c>
      <c r="C605" t="str">
        <f t="shared" si="46"/>
        <v>IT</v>
      </c>
      <c r="D605" t="str">
        <f t="shared" si="47"/>
        <v>OLI</v>
      </c>
      <c r="E605" t="str">
        <f t="shared" si="45"/>
        <v>ITOLI</v>
      </c>
      <c r="F605" t="str">
        <f t="shared" si="48"/>
        <v>L</v>
      </c>
      <c r="G605" t="s">
        <v>753</v>
      </c>
      <c r="H605">
        <v>1</v>
      </c>
      <c r="I605">
        <v>0.06</v>
      </c>
      <c r="J605" t="str">
        <f t="shared" si="49"/>
        <v>ITL000OLILR0ITLFER</v>
      </c>
      <c r="K605">
        <f>_xlfn.IFNA(IF(F605="H",VLOOKUP(E605,Fertiliser_data!$E$7:$L$267,8,FALSE),VLOOKUP(E605,Fertiliser_data!$E$7:$L$267,8,FALSE)*0.65),IF(F605="H",0.038,(0.038*0.65)))</f>
        <v>1.2172462686567164E-2</v>
      </c>
      <c r="L605">
        <f>IF($C605="IE",$K605*CF_231025!$E$16,$K605/VLOOKUP($C605,CF_231025!$A$2:$E$28,5,FALSE))</f>
        <v>2.734593162102345E-3</v>
      </c>
    </row>
    <row r="606" spans="1:12" x14ac:dyDescent="0.25">
      <c r="A606" t="s">
        <v>136</v>
      </c>
      <c r="B606" t="s">
        <v>757</v>
      </c>
      <c r="C606" t="str">
        <f t="shared" si="46"/>
        <v>IT</v>
      </c>
      <c r="D606" t="str">
        <f t="shared" si="47"/>
        <v>OAT</v>
      </c>
      <c r="E606" t="str">
        <f t="shared" si="45"/>
        <v>ITOAT</v>
      </c>
      <c r="F606" t="str">
        <f t="shared" si="48"/>
        <v>H</v>
      </c>
      <c r="G606" t="s">
        <v>753</v>
      </c>
      <c r="H606">
        <v>1</v>
      </c>
      <c r="I606">
        <v>0.11</v>
      </c>
      <c r="J606" t="str">
        <f t="shared" si="49"/>
        <v>ITL000OATHI0ITLFER</v>
      </c>
      <c r="K606">
        <f>_xlfn.IFNA(IF(F606="H",VLOOKUP(E606,Fertiliser_data!$E$7:$L$267,8,FALSE),VLOOKUP(E606,Fertiliser_data!$E$7:$L$267,8,FALSE)*0.65),IF(F606="H",0.038,(0.038*0.65)))</f>
        <v>3.5361194029850745E-2</v>
      </c>
      <c r="L606">
        <f>IF($C606="IE",$K606*CF_231025!$E$16,$K606/VLOOKUP($C606,CF_231025!$A$2:$E$28,5,FALSE))</f>
        <v>7.944035803413475E-3</v>
      </c>
    </row>
    <row r="607" spans="1:12" x14ac:dyDescent="0.25">
      <c r="A607" t="s">
        <v>136</v>
      </c>
      <c r="B607" t="s">
        <v>758</v>
      </c>
      <c r="C607" t="str">
        <f t="shared" si="46"/>
        <v>IT</v>
      </c>
      <c r="D607" t="str">
        <f t="shared" si="47"/>
        <v>OAT</v>
      </c>
      <c r="E607" t="str">
        <f t="shared" si="45"/>
        <v>ITOAT</v>
      </c>
      <c r="F607" t="str">
        <f t="shared" si="48"/>
        <v>H</v>
      </c>
      <c r="G607" t="s">
        <v>753</v>
      </c>
      <c r="H607">
        <v>1</v>
      </c>
      <c r="I607">
        <v>0.11</v>
      </c>
      <c r="J607" t="str">
        <f t="shared" si="49"/>
        <v>ITL000OATHR0ITLFER</v>
      </c>
      <c r="K607">
        <f>_xlfn.IFNA(IF(F607="H",VLOOKUP(E607,Fertiliser_data!$E$7:$L$267,8,FALSE),VLOOKUP(E607,Fertiliser_data!$E$7:$L$267,8,FALSE)*0.65),IF(F607="H",0.038,(0.038*0.65)))</f>
        <v>3.5361194029850745E-2</v>
      </c>
      <c r="L607">
        <f>IF($C607="IE",$K607*CF_231025!$E$16,$K607/VLOOKUP($C607,CF_231025!$A$2:$E$28,5,FALSE))</f>
        <v>7.944035803413475E-3</v>
      </c>
    </row>
    <row r="608" spans="1:12" x14ac:dyDescent="0.25">
      <c r="A608" t="s">
        <v>136</v>
      </c>
      <c r="B608" t="s">
        <v>759</v>
      </c>
      <c r="C608" t="str">
        <f t="shared" si="46"/>
        <v>IT</v>
      </c>
      <c r="D608" t="str">
        <f t="shared" si="47"/>
        <v>OAT</v>
      </c>
      <c r="E608" t="str">
        <f t="shared" si="45"/>
        <v>ITOAT</v>
      </c>
      <c r="F608" t="str">
        <f t="shared" si="48"/>
        <v>L</v>
      </c>
      <c r="G608" t="s">
        <v>753</v>
      </c>
      <c r="H608">
        <v>1</v>
      </c>
      <c r="I608">
        <v>0.04</v>
      </c>
      <c r="J608" t="str">
        <f t="shared" si="49"/>
        <v>ITL000OATLI0ITLFER</v>
      </c>
      <c r="K608">
        <f>_xlfn.IFNA(IF(F608="H",VLOOKUP(E608,Fertiliser_data!$E$7:$L$267,8,FALSE),VLOOKUP(E608,Fertiliser_data!$E$7:$L$267,8,FALSE)*0.65),IF(F608="H",0.038,(0.038*0.65)))</f>
        <v>2.2984776119402986E-2</v>
      </c>
      <c r="L608">
        <f>IF($C608="IE",$K608*CF_231025!$E$16,$K608/VLOOKUP($C608,CF_231025!$A$2:$E$28,5,FALSE))</f>
        <v>5.1636232722187588E-3</v>
      </c>
    </row>
    <row r="609" spans="1:12" x14ac:dyDescent="0.25">
      <c r="A609" t="s">
        <v>136</v>
      </c>
      <c r="B609" t="s">
        <v>760</v>
      </c>
      <c r="C609" t="str">
        <f t="shared" si="46"/>
        <v>IT</v>
      </c>
      <c r="D609" t="str">
        <f t="shared" si="47"/>
        <v>OAT</v>
      </c>
      <c r="E609" t="str">
        <f t="shared" si="45"/>
        <v>ITOAT</v>
      </c>
      <c r="F609" t="str">
        <f t="shared" si="48"/>
        <v>L</v>
      </c>
      <c r="G609" t="s">
        <v>753</v>
      </c>
      <c r="H609">
        <v>1</v>
      </c>
      <c r="I609">
        <v>0.04</v>
      </c>
      <c r="J609" t="str">
        <f t="shared" si="49"/>
        <v>ITL000OATLR0ITLFER</v>
      </c>
      <c r="K609">
        <f>_xlfn.IFNA(IF(F609="H",VLOOKUP(E609,Fertiliser_data!$E$7:$L$267,8,FALSE),VLOOKUP(E609,Fertiliser_data!$E$7:$L$267,8,FALSE)*0.65),IF(F609="H",0.038,(0.038*0.65)))</f>
        <v>2.2984776119402986E-2</v>
      </c>
      <c r="L609">
        <f>IF($C609="IE",$K609*CF_231025!$E$16,$K609/VLOOKUP($C609,CF_231025!$A$2:$E$28,5,FALSE))</f>
        <v>5.1636232722187588E-3</v>
      </c>
    </row>
    <row r="610" spans="1:12" x14ac:dyDescent="0.25">
      <c r="A610" t="s">
        <v>136</v>
      </c>
      <c r="B610" t="s">
        <v>761</v>
      </c>
      <c r="C610" t="str">
        <f t="shared" si="46"/>
        <v>IT</v>
      </c>
      <c r="D610" t="str">
        <f t="shared" si="47"/>
        <v>SOY</v>
      </c>
      <c r="E610" t="str">
        <f t="shared" si="45"/>
        <v>ITSOY</v>
      </c>
      <c r="F610" t="str">
        <f t="shared" si="48"/>
        <v>H</v>
      </c>
      <c r="G610" t="s">
        <v>753</v>
      </c>
      <c r="H610">
        <v>1</v>
      </c>
      <c r="I610">
        <v>0.17</v>
      </c>
      <c r="J610" t="str">
        <f t="shared" si="49"/>
        <v>ITL000SOYHI0ITLFER</v>
      </c>
      <c r="K610">
        <f>_xlfn.IFNA(IF(F610="H",VLOOKUP(E610,Fertiliser_data!$E$7:$L$267,8,FALSE),VLOOKUP(E610,Fertiliser_data!$E$7:$L$267,8,FALSE)*0.65),IF(F610="H",0.038,(0.038*0.65)))</f>
        <v>1.872686567164179E-2</v>
      </c>
      <c r="L610">
        <f>IF($C610="IE",$K610*CF_231025!$E$16,$K610/VLOOKUP($C610,CF_231025!$A$2:$E$28,5,FALSE))</f>
        <v>4.2070664032343771E-3</v>
      </c>
    </row>
    <row r="611" spans="1:12" x14ac:dyDescent="0.25">
      <c r="A611" t="s">
        <v>136</v>
      </c>
      <c r="B611" t="s">
        <v>762</v>
      </c>
      <c r="C611" t="str">
        <f t="shared" si="46"/>
        <v>IT</v>
      </c>
      <c r="D611" t="str">
        <f t="shared" si="47"/>
        <v>SOY</v>
      </c>
      <c r="E611" t="str">
        <f t="shared" si="45"/>
        <v>ITSOY</v>
      </c>
      <c r="F611" t="str">
        <f t="shared" si="48"/>
        <v>H</v>
      </c>
      <c r="G611" t="s">
        <v>753</v>
      </c>
      <c r="H611">
        <v>1</v>
      </c>
      <c r="I611">
        <v>0.17</v>
      </c>
      <c r="J611" t="str">
        <f t="shared" si="49"/>
        <v>ITL000SOYHR0ITLFER</v>
      </c>
      <c r="K611">
        <f>_xlfn.IFNA(IF(F611="H",VLOOKUP(E611,Fertiliser_data!$E$7:$L$267,8,FALSE),VLOOKUP(E611,Fertiliser_data!$E$7:$L$267,8,FALSE)*0.65),IF(F611="H",0.038,(0.038*0.65)))</f>
        <v>1.872686567164179E-2</v>
      </c>
      <c r="L611">
        <f>IF($C611="IE",$K611*CF_231025!$E$16,$K611/VLOOKUP($C611,CF_231025!$A$2:$E$28,5,FALSE))</f>
        <v>4.2070664032343771E-3</v>
      </c>
    </row>
    <row r="612" spans="1:12" x14ac:dyDescent="0.25">
      <c r="A612" t="s">
        <v>136</v>
      </c>
      <c r="B612" t="s">
        <v>763</v>
      </c>
      <c r="C612" t="str">
        <f t="shared" si="46"/>
        <v>IT</v>
      </c>
      <c r="D612" t="str">
        <f t="shared" si="47"/>
        <v>SOY</v>
      </c>
      <c r="E612" t="str">
        <f t="shared" si="45"/>
        <v>ITSOY</v>
      </c>
      <c r="F612" t="str">
        <f t="shared" si="48"/>
        <v>L</v>
      </c>
      <c r="G612" t="s">
        <v>753</v>
      </c>
      <c r="H612">
        <v>1</v>
      </c>
      <c r="I612">
        <v>0.06</v>
      </c>
      <c r="J612" t="str">
        <f t="shared" si="49"/>
        <v>ITL000SOYLI0ITLFER</v>
      </c>
      <c r="K612">
        <f>_xlfn.IFNA(IF(F612="H",VLOOKUP(E612,Fertiliser_data!$E$7:$L$267,8,FALSE),VLOOKUP(E612,Fertiliser_data!$E$7:$L$267,8,FALSE)*0.65),IF(F612="H",0.038,(0.038*0.65)))</f>
        <v>1.2172462686567164E-2</v>
      </c>
      <c r="L612">
        <f>IF($C612="IE",$K612*CF_231025!$E$16,$K612/VLOOKUP($C612,CF_231025!$A$2:$E$28,5,FALSE))</f>
        <v>2.734593162102345E-3</v>
      </c>
    </row>
    <row r="613" spans="1:12" x14ac:dyDescent="0.25">
      <c r="A613" t="s">
        <v>136</v>
      </c>
      <c r="B613" t="s">
        <v>764</v>
      </c>
      <c r="C613" t="str">
        <f t="shared" si="46"/>
        <v>IT</v>
      </c>
      <c r="D613" t="str">
        <f t="shared" si="47"/>
        <v>SOY</v>
      </c>
      <c r="E613" t="str">
        <f t="shared" si="45"/>
        <v>ITSOY</v>
      </c>
      <c r="F613" t="str">
        <f t="shared" si="48"/>
        <v>L</v>
      </c>
      <c r="G613" t="s">
        <v>753</v>
      </c>
      <c r="H613">
        <v>1</v>
      </c>
      <c r="I613">
        <v>0.06</v>
      </c>
      <c r="J613" t="str">
        <f t="shared" si="49"/>
        <v>ITL000SOYLR0ITLFER</v>
      </c>
      <c r="K613">
        <f>_xlfn.IFNA(IF(F613="H",VLOOKUP(E613,Fertiliser_data!$E$7:$L$267,8,FALSE),VLOOKUP(E613,Fertiliser_data!$E$7:$L$267,8,FALSE)*0.65),IF(F613="H",0.038,(0.038*0.65)))</f>
        <v>1.2172462686567164E-2</v>
      </c>
      <c r="L613">
        <f>IF($C613="IE",$K613*CF_231025!$E$16,$K613/VLOOKUP($C613,CF_231025!$A$2:$E$28,5,FALSE))</f>
        <v>2.734593162102345E-3</v>
      </c>
    </row>
    <row r="614" spans="1:12" x14ac:dyDescent="0.25">
      <c r="A614" t="s">
        <v>136</v>
      </c>
      <c r="B614" t="s">
        <v>765</v>
      </c>
      <c r="C614" t="str">
        <f t="shared" si="46"/>
        <v>IT</v>
      </c>
      <c r="D614" t="str">
        <f t="shared" si="47"/>
        <v>SUN</v>
      </c>
      <c r="E614" t="str">
        <f t="shared" si="45"/>
        <v>ITSUN</v>
      </c>
      <c r="F614" t="str">
        <f t="shared" si="48"/>
        <v>H</v>
      </c>
      <c r="G614" t="s">
        <v>753</v>
      </c>
      <c r="H614">
        <v>1</v>
      </c>
      <c r="I614">
        <v>0.19</v>
      </c>
      <c r="J614" t="str">
        <f t="shared" si="49"/>
        <v>ITL000SUNHI0ITLFER</v>
      </c>
      <c r="K614">
        <f>_xlfn.IFNA(IF(F614="H",VLOOKUP(E614,Fertiliser_data!$E$7:$L$267,8,FALSE),VLOOKUP(E614,Fertiliser_data!$E$7:$L$267,8,FALSE)*0.65),IF(F614="H",0.038,(0.038*0.65)))</f>
        <v>1.8428358208955224E-2</v>
      </c>
      <c r="L614">
        <f>IF($C614="IE",$K614*CF_231025!$E$16,$K614/VLOOKUP($C614,CF_231025!$A$2:$E$28,5,FALSE))</f>
        <v>4.1400054898170762E-3</v>
      </c>
    </row>
    <row r="615" spans="1:12" x14ac:dyDescent="0.25">
      <c r="A615" t="s">
        <v>136</v>
      </c>
      <c r="B615" t="s">
        <v>766</v>
      </c>
      <c r="C615" t="str">
        <f t="shared" si="46"/>
        <v>IT</v>
      </c>
      <c r="D615" t="str">
        <f t="shared" si="47"/>
        <v>SUN</v>
      </c>
      <c r="E615" t="str">
        <f t="shared" si="45"/>
        <v>ITSUN</v>
      </c>
      <c r="F615" t="str">
        <f t="shared" si="48"/>
        <v>H</v>
      </c>
      <c r="G615" t="s">
        <v>753</v>
      </c>
      <c r="H615">
        <v>1</v>
      </c>
      <c r="I615">
        <v>0.19</v>
      </c>
      <c r="J615" t="str">
        <f t="shared" si="49"/>
        <v>ITL000SUNHR0ITLFER</v>
      </c>
      <c r="K615">
        <f>_xlfn.IFNA(IF(F615="H",VLOOKUP(E615,Fertiliser_data!$E$7:$L$267,8,FALSE),VLOOKUP(E615,Fertiliser_data!$E$7:$L$267,8,FALSE)*0.65),IF(F615="H",0.038,(0.038*0.65)))</f>
        <v>1.8428358208955224E-2</v>
      </c>
      <c r="L615">
        <f>IF($C615="IE",$K615*CF_231025!$E$16,$K615/VLOOKUP($C615,CF_231025!$A$2:$E$28,5,FALSE))</f>
        <v>4.1400054898170762E-3</v>
      </c>
    </row>
    <row r="616" spans="1:12" x14ac:dyDescent="0.25">
      <c r="A616" t="s">
        <v>136</v>
      </c>
      <c r="B616" t="s">
        <v>767</v>
      </c>
      <c r="C616" t="str">
        <f t="shared" si="46"/>
        <v>IT</v>
      </c>
      <c r="D616" t="str">
        <f t="shared" si="47"/>
        <v>SUN</v>
      </c>
      <c r="E616" t="str">
        <f t="shared" si="45"/>
        <v>ITSUN</v>
      </c>
      <c r="F616" t="str">
        <f t="shared" si="48"/>
        <v>L</v>
      </c>
      <c r="G616" t="s">
        <v>753</v>
      </c>
      <c r="H616">
        <v>1</v>
      </c>
      <c r="I616">
        <v>7.0000000000000007E-2</v>
      </c>
      <c r="J616" t="str">
        <f t="shared" si="49"/>
        <v>ITL000SUNLI0ITLFER</v>
      </c>
      <c r="K616">
        <f>_xlfn.IFNA(IF(F616="H",VLOOKUP(E616,Fertiliser_data!$E$7:$L$267,8,FALSE),VLOOKUP(E616,Fertiliser_data!$E$7:$L$267,8,FALSE)*0.65),IF(F616="H",0.038,(0.038*0.65)))</f>
        <v>1.1978432835820896E-2</v>
      </c>
      <c r="L616">
        <f>IF($C616="IE",$K616*CF_231025!$E$16,$K616/VLOOKUP($C616,CF_231025!$A$2:$E$28,5,FALSE))</f>
        <v>2.6910035683810995E-3</v>
      </c>
    </row>
    <row r="617" spans="1:12" x14ac:dyDescent="0.25">
      <c r="A617" t="s">
        <v>136</v>
      </c>
      <c r="B617" t="s">
        <v>768</v>
      </c>
      <c r="C617" t="str">
        <f t="shared" si="46"/>
        <v>IT</v>
      </c>
      <c r="D617" t="str">
        <f t="shared" si="47"/>
        <v>SUN</v>
      </c>
      <c r="E617" t="str">
        <f t="shared" si="45"/>
        <v>ITSUN</v>
      </c>
      <c r="F617" t="str">
        <f t="shared" si="48"/>
        <v>L</v>
      </c>
      <c r="G617" t="s">
        <v>753</v>
      </c>
      <c r="H617">
        <v>1</v>
      </c>
      <c r="I617">
        <v>7.0000000000000007E-2</v>
      </c>
      <c r="J617" t="str">
        <f t="shared" si="49"/>
        <v>ITL000SUNLR0ITLFER</v>
      </c>
      <c r="K617">
        <f>_xlfn.IFNA(IF(F617="H",VLOOKUP(E617,Fertiliser_data!$E$7:$L$267,8,FALSE),VLOOKUP(E617,Fertiliser_data!$E$7:$L$267,8,FALSE)*0.65),IF(F617="H",0.038,(0.038*0.65)))</f>
        <v>1.1978432835820896E-2</v>
      </c>
      <c r="L617">
        <f>IF($C617="IE",$K617*CF_231025!$E$16,$K617/VLOOKUP($C617,CF_231025!$A$2:$E$28,5,FALSE))</f>
        <v>2.6910035683810995E-3</v>
      </c>
    </row>
    <row r="618" spans="1:12" x14ac:dyDescent="0.25">
      <c r="A618" t="s">
        <v>136</v>
      </c>
      <c r="B618" t="s">
        <v>769</v>
      </c>
      <c r="C618" t="str">
        <f t="shared" si="46"/>
        <v>IT</v>
      </c>
      <c r="D618" t="str">
        <f t="shared" si="47"/>
        <v>OTH</v>
      </c>
      <c r="E618" t="str">
        <f t="shared" si="45"/>
        <v>ITOTH</v>
      </c>
      <c r="F618" t="str">
        <f t="shared" si="48"/>
        <v>H</v>
      </c>
      <c r="G618" t="s">
        <v>753</v>
      </c>
      <c r="H618">
        <v>1</v>
      </c>
      <c r="I618">
        <v>0.17</v>
      </c>
      <c r="J618" t="str">
        <f t="shared" si="49"/>
        <v>ITL000OTHHI0ITLFER</v>
      </c>
      <c r="K618">
        <f>_xlfn.IFNA(IF(F618="H",VLOOKUP(E618,Fertiliser_data!$E$7:$L$267,8,FALSE),VLOOKUP(E618,Fertiliser_data!$E$7:$L$267,8,FALSE)*0.65),IF(F618="H",0.038,(0.038*0.65)))</f>
        <v>3.7999999999999999E-2</v>
      </c>
      <c r="L618">
        <f>IF($C618="IE",$K618*CF_231025!$E$16,$K618/VLOOKUP($C618,CF_231025!$A$2:$E$28,5,FALSE))</f>
        <v>8.5368542780224141E-3</v>
      </c>
    </row>
    <row r="619" spans="1:12" x14ac:dyDescent="0.25">
      <c r="A619" t="s">
        <v>136</v>
      </c>
      <c r="B619" t="s">
        <v>770</v>
      </c>
      <c r="C619" t="str">
        <f t="shared" si="46"/>
        <v>IT</v>
      </c>
      <c r="D619" t="str">
        <f t="shared" si="47"/>
        <v>OTH</v>
      </c>
      <c r="E619" t="str">
        <f t="shared" si="45"/>
        <v>ITOTH</v>
      </c>
      <c r="F619" t="str">
        <f t="shared" si="48"/>
        <v>H</v>
      </c>
      <c r="G619" t="s">
        <v>753</v>
      </c>
      <c r="H619">
        <v>1</v>
      </c>
      <c r="I619">
        <v>0.17</v>
      </c>
      <c r="J619" t="str">
        <f t="shared" si="49"/>
        <v>ITL000OTHHR0ITLFER</v>
      </c>
      <c r="K619">
        <f>_xlfn.IFNA(IF(F619="H",VLOOKUP(E619,Fertiliser_data!$E$7:$L$267,8,FALSE),VLOOKUP(E619,Fertiliser_data!$E$7:$L$267,8,FALSE)*0.65),IF(F619="H",0.038,(0.038*0.65)))</f>
        <v>3.7999999999999999E-2</v>
      </c>
      <c r="L619">
        <f>IF($C619="IE",$K619*CF_231025!$E$16,$K619/VLOOKUP($C619,CF_231025!$A$2:$E$28,5,FALSE))</f>
        <v>8.5368542780224141E-3</v>
      </c>
    </row>
    <row r="620" spans="1:12" x14ac:dyDescent="0.25">
      <c r="A620" t="s">
        <v>136</v>
      </c>
      <c r="B620" t="s">
        <v>771</v>
      </c>
      <c r="C620" t="str">
        <f t="shared" si="46"/>
        <v>IT</v>
      </c>
      <c r="D620" t="str">
        <f t="shared" si="47"/>
        <v>OTH</v>
      </c>
      <c r="E620" t="str">
        <f t="shared" si="45"/>
        <v>ITOTH</v>
      </c>
      <c r="F620" t="str">
        <f t="shared" si="48"/>
        <v>L</v>
      </c>
      <c r="G620" t="s">
        <v>753</v>
      </c>
      <c r="H620">
        <v>1</v>
      </c>
      <c r="I620">
        <v>0.06</v>
      </c>
      <c r="J620" t="str">
        <f t="shared" si="49"/>
        <v>ITL000OTHLI0ITLFER</v>
      </c>
      <c r="K620">
        <f>_xlfn.IFNA(IF(F620="H",VLOOKUP(E620,Fertiliser_data!$E$7:$L$267,8,FALSE),VLOOKUP(E620,Fertiliser_data!$E$7:$L$267,8,FALSE)*0.65),IF(F620="H",0.038,(0.038*0.65)))</f>
        <v>2.47E-2</v>
      </c>
      <c r="L620">
        <f>IF($C620="IE",$K620*CF_231025!$E$16,$K620/VLOOKUP($C620,CF_231025!$A$2:$E$28,5,FALSE))</f>
        <v>5.54895528071457E-3</v>
      </c>
    </row>
    <row r="621" spans="1:12" x14ac:dyDescent="0.25">
      <c r="A621" t="s">
        <v>136</v>
      </c>
      <c r="B621" t="s">
        <v>772</v>
      </c>
      <c r="C621" t="str">
        <f t="shared" si="46"/>
        <v>IT</v>
      </c>
      <c r="D621" t="str">
        <f t="shared" si="47"/>
        <v>OTH</v>
      </c>
      <c r="E621" t="str">
        <f t="shared" si="45"/>
        <v>ITOTH</v>
      </c>
      <c r="F621" t="str">
        <f t="shared" si="48"/>
        <v>L</v>
      </c>
      <c r="G621" t="s">
        <v>753</v>
      </c>
      <c r="H621">
        <v>1</v>
      </c>
      <c r="I621">
        <v>0.06</v>
      </c>
      <c r="J621" t="str">
        <f t="shared" si="49"/>
        <v>ITL000OTHLR0ITLFER</v>
      </c>
      <c r="K621">
        <f>_xlfn.IFNA(IF(F621="H",VLOOKUP(E621,Fertiliser_data!$E$7:$L$267,8,FALSE),VLOOKUP(E621,Fertiliser_data!$E$7:$L$267,8,FALSE)*0.65),IF(F621="H",0.038,(0.038*0.65)))</f>
        <v>2.47E-2</v>
      </c>
      <c r="L621">
        <f>IF($C621="IE",$K621*CF_231025!$E$16,$K621/VLOOKUP($C621,CF_231025!$A$2:$E$28,5,FALSE))</f>
        <v>5.54895528071457E-3</v>
      </c>
    </row>
    <row r="622" spans="1:12" x14ac:dyDescent="0.25">
      <c r="A622" t="s">
        <v>136</v>
      </c>
      <c r="B622" t="s">
        <v>773</v>
      </c>
      <c r="C622" t="str">
        <f t="shared" si="46"/>
        <v>IT</v>
      </c>
      <c r="D622" t="str">
        <f t="shared" si="47"/>
        <v>RIC</v>
      </c>
      <c r="E622" t="str">
        <f t="shared" si="45"/>
        <v>ITRIC</v>
      </c>
      <c r="F622" t="str">
        <f t="shared" si="48"/>
        <v>H</v>
      </c>
      <c r="G622" t="s">
        <v>753</v>
      </c>
      <c r="H622">
        <v>1</v>
      </c>
      <c r="I622">
        <v>0.17</v>
      </c>
      <c r="J622" t="str">
        <f t="shared" si="49"/>
        <v>ITL000RICHI0ITLFER</v>
      </c>
      <c r="K622">
        <f>_xlfn.IFNA(IF(F622="H",VLOOKUP(E622,Fertiliser_data!$E$7:$L$267,8,FALSE),VLOOKUP(E622,Fertiliser_data!$E$7:$L$267,8,FALSE)*0.65),IF(F622="H",0.038,(0.038*0.65)))</f>
        <v>3.5361194029850745E-2</v>
      </c>
      <c r="L622">
        <f>IF($C622="IE",$K622*CF_231025!$E$16,$K622/VLOOKUP($C622,CF_231025!$A$2:$E$28,5,FALSE))</f>
        <v>7.944035803413475E-3</v>
      </c>
    </row>
    <row r="623" spans="1:12" x14ac:dyDescent="0.25">
      <c r="A623" t="s">
        <v>136</v>
      </c>
      <c r="B623" t="s">
        <v>774</v>
      </c>
      <c r="C623" t="str">
        <f t="shared" si="46"/>
        <v>IT</v>
      </c>
      <c r="D623" t="str">
        <f t="shared" si="47"/>
        <v>RIC</v>
      </c>
      <c r="E623" t="str">
        <f t="shared" si="45"/>
        <v>ITRIC</v>
      </c>
      <c r="F623" t="str">
        <f t="shared" si="48"/>
        <v>H</v>
      </c>
      <c r="G623" t="s">
        <v>753</v>
      </c>
      <c r="H623">
        <v>1</v>
      </c>
      <c r="I623">
        <v>0.17</v>
      </c>
      <c r="J623" t="str">
        <f t="shared" si="49"/>
        <v>ITL000RICHR0ITLFER</v>
      </c>
      <c r="K623">
        <f>_xlfn.IFNA(IF(F623="H",VLOOKUP(E623,Fertiliser_data!$E$7:$L$267,8,FALSE),VLOOKUP(E623,Fertiliser_data!$E$7:$L$267,8,FALSE)*0.65),IF(F623="H",0.038,(0.038*0.65)))</f>
        <v>3.5361194029850745E-2</v>
      </c>
      <c r="L623">
        <f>IF($C623="IE",$K623*CF_231025!$E$16,$K623/VLOOKUP($C623,CF_231025!$A$2:$E$28,5,FALSE))</f>
        <v>7.944035803413475E-3</v>
      </c>
    </row>
    <row r="624" spans="1:12" x14ac:dyDescent="0.25">
      <c r="A624" t="s">
        <v>136</v>
      </c>
      <c r="B624" t="s">
        <v>775</v>
      </c>
      <c r="C624" t="str">
        <f t="shared" si="46"/>
        <v>IT</v>
      </c>
      <c r="D624" t="str">
        <f t="shared" si="47"/>
        <v>RIC</v>
      </c>
      <c r="E624" t="str">
        <f t="shared" si="45"/>
        <v>ITRIC</v>
      </c>
      <c r="F624" t="str">
        <f t="shared" si="48"/>
        <v>L</v>
      </c>
      <c r="G624" t="s">
        <v>753</v>
      </c>
      <c r="H624">
        <v>1</v>
      </c>
      <c r="I624">
        <v>0.06</v>
      </c>
      <c r="J624" t="str">
        <f t="shared" si="49"/>
        <v>ITL000RICLI0ITLFER</v>
      </c>
      <c r="K624">
        <f>_xlfn.IFNA(IF(F624="H",VLOOKUP(E624,Fertiliser_data!$E$7:$L$267,8,FALSE),VLOOKUP(E624,Fertiliser_data!$E$7:$L$267,8,FALSE)*0.65),IF(F624="H",0.038,(0.038*0.65)))</f>
        <v>2.2984776119402986E-2</v>
      </c>
      <c r="L624">
        <f>IF($C624="IE",$K624*CF_231025!$E$16,$K624/VLOOKUP($C624,CF_231025!$A$2:$E$28,5,FALSE))</f>
        <v>5.1636232722187588E-3</v>
      </c>
    </row>
    <row r="625" spans="1:12" x14ac:dyDescent="0.25">
      <c r="A625" t="s">
        <v>136</v>
      </c>
      <c r="B625" t="s">
        <v>776</v>
      </c>
      <c r="C625" t="str">
        <f t="shared" si="46"/>
        <v>IT</v>
      </c>
      <c r="D625" t="str">
        <f t="shared" si="47"/>
        <v>RIC</v>
      </c>
      <c r="E625" t="str">
        <f t="shared" si="45"/>
        <v>ITRIC</v>
      </c>
      <c r="F625" t="str">
        <f t="shared" si="48"/>
        <v>L</v>
      </c>
      <c r="G625" t="s">
        <v>753</v>
      </c>
      <c r="H625">
        <v>1</v>
      </c>
      <c r="I625">
        <v>0.06</v>
      </c>
      <c r="J625" t="str">
        <f t="shared" si="49"/>
        <v>ITL000RICLR0ITLFER</v>
      </c>
      <c r="K625">
        <f>_xlfn.IFNA(IF(F625="H",VLOOKUP(E625,Fertiliser_data!$E$7:$L$267,8,FALSE),VLOOKUP(E625,Fertiliser_data!$E$7:$L$267,8,FALSE)*0.65),IF(F625="H",0.038,(0.038*0.65)))</f>
        <v>2.2984776119402986E-2</v>
      </c>
      <c r="L625">
        <f>IF($C625="IE",$K625*CF_231025!$E$16,$K625/VLOOKUP($C625,CF_231025!$A$2:$E$28,5,FALSE))</f>
        <v>5.1636232722187588E-3</v>
      </c>
    </row>
    <row r="626" spans="1:12" x14ac:dyDescent="0.25">
      <c r="A626" t="s">
        <v>136</v>
      </c>
      <c r="B626" t="s">
        <v>777</v>
      </c>
      <c r="C626" t="str">
        <f t="shared" si="46"/>
        <v>IT</v>
      </c>
      <c r="D626" t="str">
        <f t="shared" si="47"/>
        <v>GRP</v>
      </c>
      <c r="E626" t="str">
        <f t="shared" si="45"/>
        <v>ITGRP</v>
      </c>
      <c r="F626" t="str">
        <f t="shared" si="48"/>
        <v>H</v>
      </c>
      <c r="G626" t="s">
        <v>753</v>
      </c>
      <c r="H626">
        <v>1</v>
      </c>
      <c r="I626">
        <v>0.17</v>
      </c>
      <c r="J626" t="str">
        <f t="shared" si="49"/>
        <v>ITL000GRPHI0ITLFER</v>
      </c>
      <c r="K626">
        <f>_xlfn.IFNA(IF(F626="H",VLOOKUP(E626,Fertiliser_data!$E$7:$L$267,8,FALSE),VLOOKUP(E626,Fertiliser_data!$E$7:$L$267,8,FALSE)*0.65),IF(F626="H",0.038,(0.038*0.65)))</f>
        <v>2.4614925373134328E-2</v>
      </c>
      <c r="L626">
        <f>IF($C626="IE",$K626*CF_231025!$E$16,$K626/VLOOKUP($C626,CF_231025!$A$2:$E$28,5,FALSE))</f>
        <v>5.5298429203906388E-3</v>
      </c>
    </row>
    <row r="627" spans="1:12" x14ac:dyDescent="0.25">
      <c r="A627" t="s">
        <v>136</v>
      </c>
      <c r="B627" t="s">
        <v>778</v>
      </c>
      <c r="C627" t="str">
        <f t="shared" si="46"/>
        <v>IT</v>
      </c>
      <c r="D627" t="str">
        <f t="shared" si="47"/>
        <v>GRP</v>
      </c>
      <c r="E627" t="str">
        <f t="shared" si="45"/>
        <v>ITGRP</v>
      </c>
      <c r="F627" t="str">
        <f t="shared" si="48"/>
        <v>H</v>
      </c>
      <c r="G627" t="s">
        <v>753</v>
      </c>
      <c r="H627">
        <v>1</v>
      </c>
      <c r="I627">
        <v>0.17</v>
      </c>
      <c r="J627" t="str">
        <f t="shared" si="49"/>
        <v>ITL000GRPHR0ITLFER</v>
      </c>
      <c r="K627">
        <f>_xlfn.IFNA(IF(F627="H",VLOOKUP(E627,Fertiliser_data!$E$7:$L$267,8,FALSE),VLOOKUP(E627,Fertiliser_data!$E$7:$L$267,8,FALSE)*0.65),IF(F627="H",0.038,(0.038*0.65)))</f>
        <v>2.4614925373134328E-2</v>
      </c>
      <c r="L627">
        <f>IF($C627="IE",$K627*CF_231025!$E$16,$K627/VLOOKUP($C627,CF_231025!$A$2:$E$28,5,FALSE))</f>
        <v>5.5298429203906388E-3</v>
      </c>
    </row>
    <row r="628" spans="1:12" x14ac:dyDescent="0.25">
      <c r="A628" t="s">
        <v>136</v>
      </c>
      <c r="B628" t="s">
        <v>779</v>
      </c>
      <c r="C628" t="str">
        <f t="shared" si="46"/>
        <v>IT</v>
      </c>
      <c r="D628" t="str">
        <f t="shared" si="47"/>
        <v>GRP</v>
      </c>
      <c r="E628" t="str">
        <f t="shared" si="45"/>
        <v>ITGRP</v>
      </c>
      <c r="F628" t="str">
        <f t="shared" si="48"/>
        <v>L</v>
      </c>
      <c r="G628" t="s">
        <v>753</v>
      </c>
      <c r="H628">
        <v>1</v>
      </c>
      <c r="I628">
        <v>0.06</v>
      </c>
      <c r="J628" t="str">
        <f t="shared" si="49"/>
        <v>ITL000GRPLI0ITLFER</v>
      </c>
      <c r="K628">
        <f>_xlfn.IFNA(IF(F628="H",VLOOKUP(E628,Fertiliser_data!$E$7:$L$267,8,FALSE),VLOOKUP(E628,Fertiliser_data!$E$7:$L$267,8,FALSE)*0.65),IF(F628="H",0.038,(0.038*0.65)))</f>
        <v>1.5999701492537315E-2</v>
      </c>
      <c r="L628">
        <f>IF($C628="IE",$K628*CF_231025!$E$16,$K628/VLOOKUP($C628,CF_231025!$A$2:$E$28,5,FALSE))</f>
        <v>3.5943978982539157E-3</v>
      </c>
    </row>
    <row r="629" spans="1:12" x14ac:dyDescent="0.25">
      <c r="A629" t="s">
        <v>136</v>
      </c>
      <c r="B629" t="s">
        <v>780</v>
      </c>
      <c r="C629" t="str">
        <f t="shared" si="46"/>
        <v>IT</v>
      </c>
      <c r="D629" t="str">
        <f t="shared" si="47"/>
        <v>GRP</v>
      </c>
      <c r="E629" t="str">
        <f t="shared" si="45"/>
        <v>ITGRP</v>
      </c>
      <c r="F629" t="str">
        <f t="shared" si="48"/>
        <v>L</v>
      </c>
      <c r="G629" t="s">
        <v>753</v>
      </c>
      <c r="H629">
        <v>1</v>
      </c>
      <c r="I629">
        <v>0.06</v>
      </c>
      <c r="J629" t="str">
        <f t="shared" si="49"/>
        <v>ITL000GRPLR0ITLFER</v>
      </c>
      <c r="K629">
        <f>_xlfn.IFNA(IF(F629="H",VLOOKUP(E629,Fertiliser_data!$E$7:$L$267,8,FALSE),VLOOKUP(E629,Fertiliser_data!$E$7:$L$267,8,FALSE)*0.65),IF(F629="H",0.038,(0.038*0.65)))</f>
        <v>1.5999701492537315E-2</v>
      </c>
      <c r="L629">
        <f>IF($C629="IE",$K629*CF_231025!$E$16,$K629/VLOOKUP($C629,CF_231025!$A$2:$E$28,5,FALSE))</f>
        <v>3.5943978982539157E-3</v>
      </c>
    </row>
    <row r="630" spans="1:12" x14ac:dyDescent="0.25">
      <c r="A630" t="s">
        <v>136</v>
      </c>
      <c r="B630" t="s">
        <v>781</v>
      </c>
      <c r="C630" t="str">
        <f t="shared" si="46"/>
        <v>IT</v>
      </c>
      <c r="D630" t="str">
        <f t="shared" si="47"/>
        <v>MAI</v>
      </c>
      <c r="E630" t="str">
        <f t="shared" si="45"/>
        <v>ITMAI</v>
      </c>
      <c r="F630" t="str">
        <f t="shared" si="48"/>
        <v>H</v>
      </c>
      <c r="G630" t="s">
        <v>753</v>
      </c>
      <c r="H630">
        <v>1</v>
      </c>
      <c r="I630">
        <v>0.16</v>
      </c>
      <c r="J630" t="str">
        <f t="shared" si="49"/>
        <v>ITL000MAIHI0ITLFER</v>
      </c>
      <c r="K630">
        <f>_xlfn.IFNA(IF(F630="H",VLOOKUP(E630,Fertiliser_data!$E$7:$L$267,8,FALSE),VLOOKUP(E630,Fertiliser_data!$E$7:$L$267,8,FALSE)*0.65),IF(F630="H",0.038,(0.038*0.65)))</f>
        <v>8.5088059701492538E-2</v>
      </c>
      <c r="L630">
        <f>IF($C630="IE",$K630*CF_231025!$E$16,$K630/VLOOKUP($C630,CF_231025!$A$2:$E$28,5,FALSE))</f>
        <v>1.911537806503456E-2</v>
      </c>
    </row>
    <row r="631" spans="1:12" x14ac:dyDescent="0.25">
      <c r="A631" t="s">
        <v>136</v>
      </c>
      <c r="B631" t="s">
        <v>782</v>
      </c>
      <c r="C631" t="str">
        <f t="shared" si="46"/>
        <v>IT</v>
      </c>
      <c r="D631" t="str">
        <f t="shared" si="47"/>
        <v>MAI</v>
      </c>
      <c r="E631" t="str">
        <f t="shared" si="45"/>
        <v>ITMAI</v>
      </c>
      <c r="F631" t="str">
        <f t="shared" si="48"/>
        <v>H</v>
      </c>
      <c r="G631" t="s">
        <v>753</v>
      </c>
      <c r="H631">
        <v>1</v>
      </c>
      <c r="I631">
        <v>0.16</v>
      </c>
      <c r="J631" t="str">
        <f t="shared" si="49"/>
        <v>ITL000MAIHR0ITLFER</v>
      </c>
      <c r="K631">
        <f>_xlfn.IFNA(IF(F631="H",VLOOKUP(E631,Fertiliser_data!$E$7:$L$267,8,FALSE),VLOOKUP(E631,Fertiliser_data!$E$7:$L$267,8,FALSE)*0.65),IF(F631="H",0.038,(0.038*0.65)))</f>
        <v>8.5088059701492538E-2</v>
      </c>
      <c r="L631">
        <f>IF($C631="IE",$K631*CF_231025!$E$16,$K631/VLOOKUP($C631,CF_231025!$A$2:$E$28,5,FALSE))</f>
        <v>1.911537806503456E-2</v>
      </c>
    </row>
    <row r="632" spans="1:12" x14ac:dyDescent="0.25">
      <c r="A632" t="s">
        <v>136</v>
      </c>
      <c r="B632" t="s">
        <v>783</v>
      </c>
      <c r="C632" t="str">
        <f t="shared" si="46"/>
        <v>IT</v>
      </c>
      <c r="D632" t="str">
        <f t="shared" si="47"/>
        <v>MAI</v>
      </c>
      <c r="E632" t="str">
        <f t="shared" si="45"/>
        <v>ITMAI</v>
      </c>
      <c r="F632" t="str">
        <f t="shared" si="48"/>
        <v>L</v>
      </c>
      <c r="G632" t="s">
        <v>753</v>
      </c>
      <c r="H632">
        <v>1</v>
      </c>
      <c r="I632">
        <v>0.06</v>
      </c>
      <c r="J632" t="str">
        <f t="shared" si="49"/>
        <v>ITL000MAILI0ITLFER</v>
      </c>
      <c r="K632">
        <f>_xlfn.IFNA(IF(F632="H",VLOOKUP(E632,Fertiliser_data!$E$7:$L$267,8,FALSE),VLOOKUP(E632,Fertiliser_data!$E$7:$L$267,8,FALSE)*0.65),IF(F632="H",0.038,(0.038*0.65)))</f>
        <v>5.5307238805970153E-2</v>
      </c>
      <c r="L632">
        <f>IF($C632="IE",$K632*CF_231025!$E$16,$K632/VLOOKUP($C632,CF_231025!$A$2:$E$28,5,FALSE))</f>
        <v>1.2424995742272463E-2</v>
      </c>
    </row>
    <row r="633" spans="1:12" x14ac:dyDescent="0.25">
      <c r="A633" t="s">
        <v>136</v>
      </c>
      <c r="B633" t="s">
        <v>784</v>
      </c>
      <c r="C633" t="str">
        <f t="shared" si="46"/>
        <v>IT</v>
      </c>
      <c r="D633" t="str">
        <f t="shared" si="47"/>
        <v>MAI</v>
      </c>
      <c r="E633" t="str">
        <f t="shared" si="45"/>
        <v>ITMAI</v>
      </c>
      <c r="F633" t="str">
        <f t="shared" si="48"/>
        <v>L</v>
      </c>
      <c r="G633" t="s">
        <v>753</v>
      </c>
      <c r="H633">
        <v>1</v>
      </c>
      <c r="I633">
        <v>0.06</v>
      </c>
      <c r="J633" t="str">
        <f t="shared" si="49"/>
        <v>ITL000MAILR0ITLFER</v>
      </c>
      <c r="K633">
        <f>_xlfn.IFNA(IF(F633="H",VLOOKUP(E633,Fertiliser_data!$E$7:$L$267,8,FALSE),VLOOKUP(E633,Fertiliser_data!$E$7:$L$267,8,FALSE)*0.65),IF(F633="H",0.038,(0.038*0.65)))</f>
        <v>5.5307238805970153E-2</v>
      </c>
      <c r="L633">
        <f>IF($C633="IE",$K633*CF_231025!$E$16,$K633/VLOOKUP($C633,CF_231025!$A$2:$E$28,5,FALSE))</f>
        <v>1.2424995742272463E-2</v>
      </c>
    </row>
    <row r="634" spans="1:12" x14ac:dyDescent="0.25">
      <c r="A634" t="s">
        <v>136</v>
      </c>
      <c r="B634" t="s">
        <v>785</v>
      </c>
      <c r="C634" t="str">
        <f t="shared" si="46"/>
        <v>IT</v>
      </c>
      <c r="D634" t="str">
        <f t="shared" si="47"/>
        <v>BRL</v>
      </c>
      <c r="E634" t="str">
        <f t="shared" si="45"/>
        <v>ITBRL</v>
      </c>
      <c r="F634" t="str">
        <f t="shared" si="48"/>
        <v>H</v>
      </c>
      <c r="G634" t="s">
        <v>753</v>
      </c>
      <c r="H634">
        <v>1</v>
      </c>
      <c r="I634">
        <v>0.15</v>
      </c>
      <c r="J634" t="str">
        <f t="shared" si="49"/>
        <v>ITL000BRLHI0ITLFER</v>
      </c>
      <c r="K634">
        <f>_xlfn.IFNA(IF(F634="H",VLOOKUP(E634,Fertiliser_data!$E$7:$L$267,8,FALSE),VLOOKUP(E634,Fertiliser_data!$E$7:$L$267,8,FALSE)*0.65),IF(F634="H",0.038,(0.038*0.65)))</f>
        <v>3.5361194029850745E-2</v>
      </c>
      <c r="L634">
        <f>IF($C634="IE",$K634*CF_231025!$E$16,$K634/VLOOKUP($C634,CF_231025!$A$2:$E$28,5,FALSE))</f>
        <v>7.944035803413475E-3</v>
      </c>
    </row>
    <row r="635" spans="1:12" x14ac:dyDescent="0.25">
      <c r="A635" t="s">
        <v>136</v>
      </c>
      <c r="B635" t="s">
        <v>786</v>
      </c>
      <c r="C635" t="str">
        <f t="shared" si="46"/>
        <v>IT</v>
      </c>
      <c r="D635" t="str">
        <f t="shared" si="47"/>
        <v>BRL</v>
      </c>
      <c r="E635" t="str">
        <f t="shared" si="45"/>
        <v>ITBRL</v>
      </c>
      <c r="F635" t="str">
        <f t="shared" si="48"/>
        <v>H</v>
      </c>
      <c r="G635" t="s">
        <v>753</v>
      </c>
      <c r="H635">
        <v>1</v>
      </c>
      <c r="I635">
        <v>0.15</v>
      </c>
      <c r="J635" t="str">
        <f t="shared" si="49"/>
        <v>ITL000BRLHR0ITLFER</v>
      </c>
      <c r="K635">
        <f>_xlfn.IFNA(IF(F635="H",VLOOKUP(E635,Fertiliser_data!$E$7:$L$267,8,FALSE),VLOOKUP(E635,Fertiliser_data!$E$7:$L$267,8,FALSE)*0.65),IF(F635="H",0.038,(0.038*0.65)))</f>
        <v>3.5361194029850745E-2</v>
      </c>
      <c r="L635">
        <f>IF($C635="IE",$K635*CF_231025!$E$16,$K635/VLOOKUP($C635,CF_231025!$A$2:$E$28,5,FALSE))</f>
        <v>7.944035803413475E-3</v>
      </c>
    </row>
    <row r="636" spans="1:12" x14ac:dyDescent="0.25">
      <c r="A636" t="s">
        <v>136</v>
      </c>
      <c r="B636" t="s">
        <v>787</v>
      </c>
      <c r="C636" t="str">
        <f t="shared" si="46"/>
        <v>IT</v>
      </c>
      <c r="D636" t="str">
        <f t="shared" si="47"/>
        <v>BRL</v>
      </c>
      <c r="E636" t="str">
        <f t="shared" si="45"/>
        <v>ITBRL</v>
      </c>
      <c r="F636" t="str">
        <f t="shared" si="48"/>
        <v>L</v>
      </c>
      <c r="G636" t="s">
        <v>753</v>
      </c>
      <c r="H636">
        <v>1</v>
      </c>
      <c r="I636">
        <v>0.06</v>
      </c>
      <c r="J636" t="str">
        <f t="shared" si="49"/>
        <v>ITL000BRLLI0ITLFER</v>
      </c>
      <c r="K636">
        <f>_xlfn.IFNA(IF(F636="H",VLOOKUP(E636,Fertiliser_data!$E$7:$L$267,8,FALSE),VLOOKUP(E636,Fertiliser_data!$E$7:$L$267,8,FALSE)*0.65),IF(F636="H",0.038,(0.038*0.65)))</f>
        <v>2.2984776119402986E-2</v>
      </c>
      <c r="L636">
        <f>IF($C636="IE",$K636*CF_231025!$E$16,$K636/VLOOKUP($C636,CF_231025!$A$2:$E$28,5,FALSE))</f>
        <v>5.1636232722187588E-3</v>
      </c>
    </row>
    <row r="637" spans="1:12" x14ac:dyDescent="0.25">
      <c r="A637" t="s">
        <v>136</v>
      </c>
      <c r="B637" t="s">
        <v>788</v>
      </c>
      <c r="C637" t="str">
        <f t="shared" si="46"/>
        <v>IT</v>
      </c>
      <c r="D637" t="str">
        <f t="shared" si="47"/>
        <v>BRL</v>
      </c>
      <c r="E637" t="str">
        <f t="shared" si="45"/>
        <v>ITBRL</v>
      </c>
      <c r="F637" t="str">
        <f t="shared" si="48"/>
        <v>L</v>
      </c>
      <c r="G637" t="s">
        <v>753</v>
      </c>
      <c r="H637">
        <v>1</v>
      </c>
      <c r="I637">
        <v>0.06</v>
      </c>
      <c r="J637" t="str">
        <f t="shared" si="49"/>
        <v>ITL000BRLLR0ITLFER</v>
      </c>
      <c r="K637">
        <f>_xlfn.IFNA(IF(F637="H",VLOOKUP(E637,Fertiliser_data!$E$7:$L$267,8,FALSE),VLOOKUP(E637,Fertiliser_data!$E$7:$L$267,8,FALSE)*0.65),IF(F637="H",0.038,(0.038*0.65)))</f>
        <v>2.2984776119402986E-2</v>
      </c>
      <c r="L637">
        <f>IF($C637="IE",$K637*CF_231025!$E$16,$K637/VLOOKUP($C637,CF_231025!$A$2:$E$28,5,FALSE))</f>
        <v>5.1636232722187588E-3</v>
      </c>
    </row>
    <row r="638" spans="1:12" x14ac:dyDescent="0.25">
      <c r="A638" t="s">
        <v>136</v>
      </c>
      <c r="B638" t="s">
        <v>789</v>
      </c>
      <c r="C638" t="str">
        <f t="shared" si="46"/>
        <v>IT</v>
      </c>
      <c r="D638" t="str">
        <f t="shared" si="47"/>
        <v>WHE</v>
      </c>
      <c r="E638" t="str">
        <f t="shared" si="45"/>
        <v>ITWHE</v>
      </c>
      <c r="F638" t="str">
        <f t="shared" si="48"/>
        <v>H</v>
      </c>
      <c r="G638" t="s">
        <v>753</v>
      </c>
      <c r="H638">
        <v>1</v>
      </c>
      <c r="I638">
        <v>0.2</v>
      </c>
      <c r="J638" t="str">
        <f t="shared" si="49"/>
        <v>ITL000WHEHI0ITLFER</v>
      </c>
      <c r="K638">
        <f>_xlfn.IFNA(IF(F638="H",VLOOKUP(E638,Fertiliser_data!$E$7:$L$267,8,FALSE),VLOOKUP(E638,Fertiliser_data!$E$7:$L$267,8,FALSE)*0.65),IF(F638="H",0.038,(0.038*0.65)))</f>
        <v>4.0332835820895523E-2</v>
      </c>
      <c r="L638">
        <f>IF($C638="IE",$K638*CF_231025!$E$16,$K638/VLOOKUP($C638,CF_231025!$A$2:$E$28,5,FALSE))</f>
        <v>9.0609353163786221E-3</v>
      </c>
    </row>
    <row r="639" spans="1:12" x14ac:dyDescent="0.25">
      <c r="A639" t="s">
        <v>136</v>
      </c>
      <c r="B639" t="s">
        <v>790</v>
      </c>
      <c r="C639" t="str">
        <f t="shared" si="46"/>
        <v>IT</v>
      </c>
      <c r="D639" t="str">
        <f t="shared" si="47"/>
        <v>WHE</v>
      </c>
      <c r="E639" t="str">
        <f t="shared" si="45"/>
        <v>ITWHE</v>
      </c>
      <c r="F639" t="str">
        <f t="shared" si="48"/>
        <v>H</v>
      </c>
      <c r="G639" t="s">
        <v>753</v>
      </c>
      <c r="H639">
        <v>1</v>
      </c>
      <c r="I639">
        <v>0.2</v>
      </c>
      <c r="J639" t="str">
        <f t="shared" si="49"/>
        <v>ITL000WHEHR0ITLFER</v>
      </c>
      <c r="K639">
        <f>_xlfn.IFNA(IF(F639="H",VLOOKUP(E639,Fertiliser_data!$E$7:$L$267,8,FALSE),VLOOKUP(E639,Fertiliser_data!$E$7:$L$267,8,FALSE)*0.65),IF(F639="H",0.038,(0.038*0.65)))</f>
        <v>4.0332835820895523E-2</v>
      </c>
      <c r="L639">
        <f>IF($C639="IE",$K639*CF_231025!$E$16,$K639/VLOOKUP($C639,CF_231025!$A$2:$E$28,5,FALSE))</f>
        <v>9.0609353163786221E-3</v>
      </c>
    </row>
    <row r="640" spans="1:12" x14ac:dyDescent="0.25">
      <c r="A640" t="s">
        <v>136</v>
      </c>
      <c r="B640" t="s">
        <v>791</v>
      </c>
      <c r="C640" t="str">
        <f t="shared" si="46"/>
        <v>IT</v>
      </c>
      <c r="D640" t="str">
        <f t="shared" si="47"/>
        <v>WHE</v>
      </c>
      <c r="E640" t="str">
        <f t="shared" si="45"/>
        <v>ITWHE</v>
      </c>
      <c r="F640" t="str">
        <f t="shared" si="48"/>
        <v>L</v>
      </c>
      <c r="G640" t="s">
        <v>753</v>
      </c>
      <c r="H640">
        <v>1</v>
      </c>
      <c r="I640">
        <v>7.0000000000000007E-2</v>
      </c>
      <c r="J640" t="str">
        <f t="shared" si="49"/>
        <v>ITL000WHELI0ITLFER</v>
      </c>
      <c r="K640">
        <f>_xlfn.IFNA(IF(F640="H",VLOOKUP(E640,Fertiliser_data!$E$7:$L$267,8,FALSE),VLOOKUP(E640,Fertiliser_data!$E$7:$L$267,8,FALSE)*0.65),IF(F640="H",0.038,(0.038*0.65)))</f>
        <v>2.6216343283582091E-2</v>
      </c>
      <c r="L640">
        <f>IF($C640="IE",$K640*CF_231025!$E$16,$K640/VLOOKUP($C640,CF_231025!$A$2:$E$28,5,FALSE))</f>
        <v>5.8896079556461046E-3</v>
      </c>
    </row>
    <row r="641" spans="1:12" x14ac:dyDescent="0.25">
      <c r="A641" t="s">
        <v>136</v>
      </c>
      <c r="B641" t="s">
        <v>792</v>
      </c>
      <c r="C641" t="str">
        <f t="shared" si="46"/>
        <v>IT</v>
      </c>
      <c r="D641" t="str">
        <f t="shared" si="47"/>
        <v>WHE</v>
      </c>
      <c r="E641" t="str">
        <f t="shared" si="45"/>
        <v>ITWHE</v>
      </c>
      <c r="F641" t="str">
        <f t="shared" si="48"/>
        <v>L</v>
      </c>
      <c r="G641" t="s">
        <v>753</v>
      </c>
      <c r="H641">
        <v>1</v>
      </c>
      <c r="I641">
        <v>7.0000000000000007E-2</v>
      </c>
      <c r="J641" t="str">
        <f t="shared" si="49"/>
        <v>ITL000WHELR0ITLFER</v>
      </c>
      <c r="K641">
        <f>_xlfn.IFNA(IF(F641="H",VLOOKUP(E641,Fertiliser_data!$E$7:$L$267,8,FALSE),VLOOKUP(E641,Fertiliser_data!$E$7:$L$267,8,FALSE)*0.65),IF(F641="H",0.038,(0.038*0.65)))</f>
        <v>2.6216343283582091E-2</v>
      </c>
      <c r="L641">
        <f>IF($C641="IE",$K641*CF_231025!$E$16,$K641/VLOOKUP($C641,CF_231025!$A$2:$E$28,5,FALSE))</f>
        <v>5.8896079556461046E-3</v>
      </c>
    </row>
    <row r="642" spans="1:12" x14ac:dyDescent="0.25">
      <c r="A642" t="s">
        <v>136</v>
      </c>
      <c r="B642" t="s">
        <v>793</v>
      </c>
      <c r="C642" t="str">
        <f t="shared" si="46"/>
        <v>LT</v>
      </c>
      <c r="D642" t="str">
        <f t="shared" si="47"/>
        <v>RAP</v>
      </c>
      <c r="E642" t="str">
        <f t="shared" ref="E642:E705" si="50">C642&amp;D642</f>
        <v>LTRAP</v>
      </c>
      <c r="F642" t="str">
        <f t="shared" si="48"/>
        <v>H</v>
      </c>
      <c r="G642" t="s">
        <v>794</v>
      </c>
      <c r="H642">
        <v>1</v>
      </c>
      <c r="I642">
        <v>0.26</v>
      </c>
      <c r="J642" t="str">
        <f t="shared" si="49"/>
        <v>LTL000RAPHI0LTLFER</v>
      </c>
      <c r="K642">
        <f>_xlfn.IFNA(IF(F642="H",VLOOKUP(E642,Fertiliser_data!$E$7:$L$267,8,FALSE),VLOOKUP(E642,Fertiliser_data!$E$7:$L$267,8,FALSE)*0.65),IF(F642="H",0.038,(0.038*0.65)))</f>
        <v>4.2646268656716418E-2</v>
      </c>
      <c r="L642">
        <f>IF($C642="IE",$K642*CF_231025!$E$16,$K642/VLOOKUP($C642,CF_231025!$A$2:$E$28,5,FALSE))</f>
        <v>1.5241648207392001E-2</v>
      </c>
    </row>
    <row r="643" spans="1:12" x14ac:dyDescent="0.25">
      <c r="A643" t="s">
        <v>136</v>
      </c>
      <c r="B643" t="s">
        <v>795</v>
      </c>
      <c r="C643" t="str">
        <f t="shared" ref="C643:C706" si="51">LEFT(B643,2)</f>
        <v>LT</v>
      </c>
      <c r="D643" t="str">
        <f t="shared" ref="D643:D706" si="52">MID(B643,7,3)</f>
        <v>RAP</v>
      </c>
      <c r="E643" t="str">
        <f t="shared" si="50"/>
        <v>LTRAP</v>
      </c>
      <c r="F643" t="str">
        <f t="shared" ref="F643:F706" si="53">MID(B643,10,1)</f>
        <v>H</v>
      </c>
      <c r="G643" t="s">
        <v>794</v>
      </c>
      <c r="H643">
        <v>1</v>
      </c>
      <c r="I643">
        <v>0.26</v>
      </c>
      <c r="J643" t="str">
        <f t="shared" ref="J643:J706" si="54">B643&amp;G643</f>
        <v>LTL000RAPHR0LTLFER</v>
      </c>
      <c r="K643">
        <f>_xlfn.IFNA(IF(F643="H",VLOOKUP(E643,Fertiliser_data!$E$7:$L$267,8,FALSE),VLOOKUP(E643,Fertiliser_data!$E$7:$L$267,8,FALSE)*0.65),IF(F643="H",0.038,(0.038*0.65)))</f>
        <v>4.2646268656716418E-2</v>
      </c>
      <c r="L643">
        <f>IF($C643="IE",$K643*CF_231025!$E$16,$K643/VLOOKUP($C643,CF_231025!$A$2:$E$28,5,FALSE))</f>
        <v>1.5241648207392001E-2</v>
      </c>
    </row>
    <row r="644" spans="1:12" x14ac:dyDescent="0.25">
      <c r="A644" t="s">
        <v>136</v>
      </c>
      <c r="B644" t="s">
        <v>796</v>
      </c>
      <c r="C644" t="str">
        <f t="shared" si="51"/>
        <v>LT</v>
      </c>
      <c r="D644" t="str">
        <f t="shared" si="52"/>
        <v>RAP</v>
      </c>
      <c r="E644" t="str">
        <f t="shared" si="50"/>
        <v>LTRAP</v>
      </c>
      <c r="F644" t="str">
        <f t="shared" si="53"/>
        <v>L</v>
      </c>
      <c r="G644" t="s">
        <v>794</v>
      </c>
      <c r="H644">
        <v>1</v>
      </c>
      <c r="I644">
        <v>0.1</v>
      </c>
      <c r="J644" t="str">
        <f t="shared" si="54"/>
        <v>LTL000RAPLI0LTLFER</v>
      </c>
      <c r="K644">
        <f>_xlfn.IFNA(IF(F644="H",VLOOKUP(E644,Fertiliser_data!$E$7:$L$267,8,FALSE),VLOOKUP(E644,Fertiliser_data!$E$7:$L$267,8,FALSE)*0.65),IF(F644="H",0.038,(0.038*0.65)))</f>
        <v>2.7720074626865671E-2</v>
      </c>
      <c r="L644">
        <f>IF($C644="IE",$K644*CF_231025!$E$16,$K644/VLOOKUP($C644,CF_231025!$A$2:$E$28,5,FALSE))</f>
        <v>9.9070713348048001E-3</v>
      </c>
    </row>
    <row r="645" spans="1:12" x14ac:dyDescent="0.25">
      <c r="A645" t="s">
        <v>136</v>
      </c>
      <c r="B645" t="s">
        <v>797</v>
      </c>
      <c r="C645" t="str">
        <f t="shared" si="51"/>
        <v>LT</v>
      </c>
      <c r="D645" t="str">
        <f t="shared" si="52"/>
        <v>RAP</v>
      </c>
      <c r="E645" t="str">
        <f t="shared" si="50"/>
        <v>LTRAP</v>
      </c>
      <c r="F645" t="str">
        <f t="shared" si="53"/>
        <v>L</v>
      </c>
      <c r="G645" t="s">
        <v>794</v>
      </c>
      <c r="H645">
        <v>1</v>
      </c>
      <c r="I645">
        <v>0.1</v>
      </c>
      <c r="J645" t="str">
        <f t="shared" si="54"/>
        <v>LTL000RAPLR0LTLFER</v>
      </c>
      <c r="K645">
        <f>_xlfn.IFNA(IF(F645="H",VLOOKUP(E645,Fertiliser_data!$E$7:$L$267,8,FALSE),VLOOKUP(E645,Fertiliser_data!$E$7:$L$267,8,FALSE)*0.65),IF(F645="H",0.038,(0.038*0.65)))</f>
        <v>2.7720074626865671E-2</v>
      </c>
      <c r="L645">
        <f>IF($C645="IE",$K645*CF_231025!$E$16,$K645/VLOOKUP($C645,CF_231025!$A$2:$E$28,5,FALSE))</f>
        <v>9.9070713348048001E-3</v>
      </c>
    </row>
    <row r="646" spans="1:12" x14ac:dyDescent="0.25">
      <c r="A646" t="s">
        <v>136</v>
      </c>
      <c r="B646" t="s">
        <v>798</v>
      </c>
      <c r="C646" t="str">
        <f t="shared" si="51"/>
        <v>LT</v>
      </c>
      <c r="D646" t="str">
        <f t="shared" si="52"/>
        <v>POT</v>
      </c>
      <c r="E646" t="str">
        <f t="shared" si="50"/>
        <v>LTPOT</v>
      </c>
      <c r="F646" t="str">
        <f t="shared" si="53"/>
        <v>H</v>
      </c>
      <c r="G646" t="s">
        <v>794</v>
      </c>
      <c r="H646">
        <v>1</v>
      </c>
      <c r="I646">
        <v>0.17</v>
      </c>
      <c r="J646" t="str">
        <f t="shared" si="54"/>
        <v>LTL000POTHI0LTLFER</v>
      </c>
      <c r="K646">
        <f>_xlfn.IFNA(IF(F646="H",VLOOKUP(E646,Fertiliser_data!$E$7:$L$267,8,FALSE),VLOOKUP(E646,Fertiliser_data!$E$7:$L$267,8,FALSE)*0.65),IF(F646="H",0.038,(0.038*0.65)))</f>
        <v>3.7999999999999999E-2</v>
      </c>
      <c r="L646">
        <f>IF($C646="IE",$K646*CF_231025!$E$16,$K646/VLOOKUP($C646,CF_231025!$A$2:$E$28,5,FALSE))</f>
        <v>1.3581085757890327E-2</v>
      </c>
    </row>
    <row r="647" spans="1:12" x14ac:dyDescent="0.25">
      <c r="A647" t="s">
        <v>136</v>
      </c>
      <c r="B647" t="s">
        <v>799</v>
      </c>
      <c r="C647" t="str">
        <f t="shared" si="51"/>
        <v>LT</v>
      </c>
      <c r="D647" t="str">
        <f t="shared" si="52"/>
        <v>POT</v>
      </c>
      <c r="E647" t="str">
        <f t="shared" si="50"/>
        <v>LTPOT</v>
      </c>
      <c r="F647" t="str">
        <f t="shared" si="53"/>
        <v>H</v>
      </c>
      <c r="G647" t="s">
        <v>794</v>
      </c>
      <c r="H647">
        <v>1</v>
      </c>
      <c r="I647">
        <v>0.17</v>
      </c>
      <c r="J647" t="str">
        <f t="shared" si="54"/>
        <v>LTL000POTHR0LTLFER</v>
      </c>
      <c r="K647">
        <f>_xlfn.IFNA(IF(F647="H",VLOOKUP(E647,Fertiliser_data!$E$7:$L$267,8,FALSE),VLOOKUP(E647,Fertiliser_data!$E$7:$L$267,8,FALSE)*0.65),IF(F647="H",0.038,(0.038*0.65)))</f>
        <v>3.7999999999999999E-2</v>
      </c>
      <c r="L647">
        <f>IF($C647="IE",$K647*CF_231025!$E$16,$K647/VLOOKUP($C647,CF_231025!$A$2:$E$28,5,FALSE))</f>
        <v>1.3581085757890327E-2</v>
      </c>
    </row>
    <row r="648" spans="1:12" x14ac:dyDescent="0.25">
      <c r="A648" t="s">
        <v>136</v>
      </c>
      <c r="B648" t="s">
        <v>800</v>
      </c>
      <c r="C648" t="str">
        <f t="shared" si="51"/>
        <v>LT</v>
      </c>
      <c r="D648" t="str">
        <f t="shared" si="52"/>
        <v>POT</v>
      </c>
      <c r="E648" t="str">
        <f t="shared" si="50"/>
        <v>LTPOT</v>
      </c>
      <c r="F648" t="str">
        <f t="shared" si="53"/>
        <v>L</v>
      </c>
      <c r="G648" t="s">
        <v>794</v>
      </c>
      <c r="H648">
        <v>1</v>
      </c>
      <c r="I648">
        <v>0.06</v>
      </c>
      <c r="J648" t="str">
        <f t="shared" si="54"/>
        <v>LTL000POTLI0LTLFER</v>
      </c>
      <c r="K648">
        <f>_xlfn.IFNA(IF(F648="H",VLOOKUP(E648,Fertiliser_data!$E$7:$L$267,8,FALSE),VLOOKUP(E648,Fertiliser_data!$E$7:$L$267,8,FALSE)*0.65),IF(F648="H",0.038,(0.038*0.65)))</f>
        <v>2.47E-2</v>
      </c>
      <c r="L648">
        <f>IF($C648="IE",$K648*CF_231025!$E$16,$K648/VLOOKUP($C648,CF_231025!$A$2:$E$28,5,FALSE))</f>
        <v>8.8277057426287137E-3</v>
      </c>
    </row>
    <row r="649" spans="1:12" x14ac:dyDescent="0.25">
      <c r="A649" t="s">
        <v>136</v>
      </c>
      <c r="B649" t="s">
        <v>801</v>
      </c>
      <c r="C649" t="str">
        <f t="shared" si="51"/>
        <v>LT</v>
      </c>
      <c r="D649" t="str">
        <f t="shared" si="52"/>
        <v>POT</v>
      </c>
      <c r="E649" t="str">
        <f t="shared" si="50"/>
        <v>LTPOT</v>
      </c>
      <c r="F649" t="str">
        <f t="shared" si="53"/>
        <v>L</v>
      </c>
      <c r="G649" t="s">
        <v>794</v>
      </c>
      <c r="H649">
        <v>1</v>
      </c>
      <c r="I649">
        <v>0.06</v>
      </c>
      <c r="J649" t="str">
        <f t="shared" si="54"/>
        <v>LTL000POTLR0LTLFER</v>
      </c>
      <c r="K649">
        <f>_xlfn.IFNA(IF(F649="H",VLOOKUP(E649,Fertiliser_data!$E$7:$L$267,8,FALSE),VLOOKUP(E649,Fertiliser_data!$E$7:$L$267,8,FALSE)*0.65),IF(F649="H",0.038,(0.038*0.65)))</f>
        <v>2.47E-2</v>
      </c>
      <c r="L649">
        <f>IF($C649="IE",$K649*CF_231025!$E$16,$K649/VLOOKUP($C649,CF_231025!$A$2:$E$28,5,FALSE))</f>
        <v>8.8277057426287137E-3</v>
      </c>
    </row>
    <row r="650" spans="1:12" x14ac:dyDescent="0.25">
      <c r="A650" t="s">
        <v>136</v>
      </c>
      <c r="B650" t="s">
        <v>802</v>
      </c>
      <c r="C650" t="str">
        <f t="shared" si="51"/>
        <v>LT</v>
      </c>
      <c r="D650" t="str">
        <f t="shared" si="52"/>
        <v>OAT</v>
      </c>
      <c r="E650" t="str">
        <f t="shared" si="50"/>
        <v>LTOAT</v>
      </c>
      <c r="F650" t="str">
        <f t="shared" si="53"/>
        <v>H</v>
      </c>
      <c r="G650" t="s">
        <v>794</v>
      </c>
      <c r="H650">
        <v>1</v>
      </c>
      <c r="I650">
        <v>0.11</v>
      </c>
      <c r="J650" t="str">
        <f t="shared" si="54"/>
        <v>LTL000OATHI0LTLFER</v>
      </c>
      <c r="K650">
        <f>_xlfn.IFNA(IF(F650="H",VLOOKUP(E650,Fertiliser_data!$E$7:$L$267,8,FALSE),VLOOKUP(E650,Fertiliser_data!$E$7:$L$267,8,FALSE)*0.65),IF(F650="H",0.038,(0.038*0.65)))</f>
        <v>1.4862686567164178E-2</v>
      </c>
      <c r="L650">
        <f>IF($C650="IE",$K650*CF_231025!$E$16,$K650/VLOOKUP($C650,CF_231025!$A$2:$E$28,5,FALSE))</f>
        <v>5.3118794963500342E-3</v>
      </c>
    </row>
    <row r="651" spans="1:12" x14ac:dyDescent="0.25">
      <c r="A651" t="s">
        <v>136</v>
      </c>
      <c r="B651" t="s">
        <v>803</v>
      </c>
      <c r="C651" t="str">
        <f t="shared" si="51"/>
        <v>LT</v>
      </c>
      <c r="D651" t="str">
        <f t="shared" si="52"/>
        <v>OAT</v>
      </c>
      <c r="E651" t="str">
        <f t="shared" si="50"/>
        <v>LTOAT</v>
      </c>
      <c r="F651" t="str">
        <f t="shared" si="53"/>
        <v>H</v>
      </c>
      <c r="G651" t="s">
        <v>794</v>
      </c>
      <c r="H651">
        <v>1</v>
      </c>
      <c r="I651">
        <v>0.11</v>
      </c>
      <c r="J651" t="str">
        <f t="shared" si="54"/>
        <v>LTL000OATHR0LTLFER</v>
      </c>
      <c r="K651">
        <f>_xlfn.IFNA(IF(F651="H",VLOOKUP(E651,Fertiliser_data!$E$7:$L$267,8,FALSE),VLOOKUP(E651,Fertiliser_data!$E$7:$L$267,8,FALSE)*0.65),IF(F651="H",0.038,(0.038*0.65)))</f>
        <v>1.4862686567164178E-2</v>
      </c>
      <c r="L651">
        <f>IF($C651="IE",$K651*CF_231025!$E$16,$K651/VLOOKUP($C651,CF_231025!$A$2:$E$28,5,FALSE))</f>
        <v>5.3118794963500342E-3</v>
      </c>
    </row>
    <row r="652" spans="1:12" x14ac:dyDescent="0.25">
      <c r="A652" t="s">
        <v>136</v>
      </c>
      <c r="B652" t="s">
        <v>804</v>
      </c>
      <c r="C652" t="str">
        <f t="shared" si="51"/>
        <v>LT</v>
      </c>
      <c r="D652" t="str">
        <f t="shared" si="52"/>
        <v>OAT</v>
      </c>
      <c r="E652" t="str">
        <f t="shared" si="50"/>
        <v>LTOAT</v>
      </c>
      <c r="F652" t="str">
        <f t="shared" si="53"/>
        <v>L</v>
      </c>
      <c r="G652" t="s">
        <v>794</v>
      </c>
      <c r="H652">
        <v>1</v>
      </c>
      <c r="I652">
        <v>0.04</v>
      </c>
      <c r="J652" t="str">
        <f t="shared" si="54"/>
        <v>LTL000OATLI0LTLFER</v>
      </c>
      <c r="K652">
        <f>_xlfn.IFNA(IF(F652="H",VLOOKUP(E652,Fertiliser_data!$E$7:$L$267,8,FALSE),VLOOKUP(E652,Fertiliser_data!$E$7:$L$267,8,FALSE)*0.65),IF(F652="H",0.038,(0.038*0.65)))</f>
        <v>9.6607462686567162E-3</v>
      </c>
      <c r="L652">
        <f>IF($C652="IE",$K652*CF_231025!$E$16,$K652/VLOOKUP($C652,CF_231025!$A$2:$E$28,5,FALSE))</f>
        <v>3.4527216726275224E-3</v>
      </c>
    </row>
    <row r="653" spans="1:12" x14ac:dyDescent="0.25">
      <c r="A653" t="s">
        <v>136</v>
      </c>
      <c r="B653" t="s">
        <v>805</v>
      </c>
      <c r="C653" t="str">
        <f t="shared" si="51"/>
        <v>LT</v>
      </c>
      <c r="D653" t="str">
        <f t="shared" si="52"/>
        <v>OAT</v>
      </c>
      <c r="E653" t="str">
        <f t="shared" si="50"/>
        <v>LTOAT</v>
      </c>
      <c r="F653" t="str">
        <f t="shared" si="53"/>
        <v>L</v>
      </c>
      <c r="G653" t="s">
        <v>794</v>
      </c>
      <c r="H653">
        <v>1</v>
      </c>
      <c r="I653">
        <v>0.04</v>
      </c>
      <c r="J653" t="str">
        <f t="shared" si="54"/>
        <v>LTL000OATLR0LTLFER</v>
      </c>
      <c r="K653">
        <f>_xlfn.IFNA(IF(F653="H",VLOOKUP(E653,Fertiliser_data!$E$7:$L$267,8,FALSE),VLOOKUP(E653,Fertiliser_data!$E$7:$L$267,8,FALSE)*0.65),IF(F653="H",0.038,(0.038*0.65)))</f>
        <v>9.6607462686567162E-3</v>
      </c>
      <c r="L653">
        <f>IF($C653="IE",$K653*CF_231025!$E$16,$K653/VLOOKUP($C653,CF_231025!$A$2:$E$28,5,FALSE))</f>
        <v>3.4527216726275224E-3</v>
      </c>
    </row>
    <row r="654" spans="1:12" x14ac:dyDescent="0.25">
      <c r="A654" t="s">
        <v>136</v>
      </c>
      <c r="B654" t="s">
        <v>806</v>
      </c>
      <c r="C654" t="str">
        <f t="shared" si="51"/>
        <v>LT</v>
      </c>
      <c r="D654" t="str">
        <f t="shared" si="52"/>
        <v>CER</v>
      </c>
      <c r="E654" t="str">
        <f t="shared" si="50"/>
        <v>LTCER</v>
      </c>
      <c r="F654" t="str">
        <f t="shared" si="53"/>
        <v>H</v>
      </c>
      <c r="G654" t="s">
        <v>794</v>
      </c>
      <c r="H654">
        <v>1</v>
      </c>
      <c r="I654">
        <v>0.17</v>
      </c>
      <c r="J654" t="str">
        <f t="shared" si="54"/>
        <v>LTL000CERHI0LTLFER</v>
      </c>
      <c r="K654">
        <f>_xlfn.IFNA(IF(F654="H",VLOOKUP(E654,Fertiliser_data!$E$7:$L$267,8,FALSE),VLOOKUP(E654,Fertiliser_data!$E$7:$L$267,8,FALSE)*0.65),IF(F654="H",0.038,(0.038*0.65)))</f>
        <v>2.9797014925373136E-2</v>
      </c>
      <c r="L654">
        <f>IF($C654="IE",$K654*CF_231025!$E$16,$K654/VLOOKUP($C654,CF_231025!$A$2:$E$28,5,FALSE))</f>
        <v>1.0649363553437648E-2</v>
      </c>
    </row>
    <row r="655" spans="1:12" x14ac:dyDescent="0.25">
      <c r="A655" t="s">
        <v>136</v>
      </c>
      <c r="B655" t="s">
        <v>807</v>
      </c>
      <c r="C655" t="str">
        <f t="shared" si="51"/>
        <v>LT</v>
      </c>
      <c r="D655" t="str">
        <f t="shared" si="52"/>
        <v>CER</v>
      </c>
      <c r="E655" t="str">
        <f t="shared" si="50"/>
        <v>LTCER</v>
      </c>
      <c r="F655" t="str">
        <f t="shared" si="53"/>
        <v>H</v>
      </c>
      <c r="G655" t="s">
        <v>794</v>
      </c>
      <c r="H655">
        <v>1</v>
      </c>
      <c r="I655">
        <v>0.17</v>
      </c>
      <c r="J655" t="str">
        <f t="shared" si="54"/>
        <v>LTL000CERHR0LTLFER</v>
      </c>
      <c r="K655">
        <f>_xlfn.IFNA(IF(F655="H",VLOOKUP(E655,Fertiliser_data!$E$7:$L$267,8,FALSE),VLOOKUP(E655,Fertiliser_data!$E$7:$L$267,8,FALSE)*0.65),IF(F655="H",0.038,(0.038*0.65)))</f>
        <v>2.9797014925373136E-2</v>
      </c>
      <c r="L655">
        <f>IF($C655="IE",$K655*CF_231025!$E$16,$K655/VLOOKUP($C655,CF_231025!$A$2:$E$28,5,FALSE))</f>
        <v>1.0649363553437648E-2</v>
      </c>
    </row>
    <row r="656" spans="1:12" x14ac:dyDescent="0.25">
      <c r="A656" t="s">
        <v>136</v>
      </c>
      <c r="B656" t="s">
        <v>808</v>
      </c>
      <c r="C656" t="str">
        <f t="shared" si="51"/>
        <v>LT</v>
      </c>
      <c r="D656" t="str">
        <f t="shared" si="52"/>
        <v>CER</v>
      </c>
      <c r="E656" t="str">
        <f t="shared" si="50"/>
        <v>LTCER</v>
      </c>
      <c r="F656" t="str">
        <f t="shared" si="53"/>
        <v>L</v>
      </c>
      <c r="G656" t="s">
        <v>794</v>
      </c>
      <c r="H656">
        <v>1</v>
      </c>
      <c r="I656">
        <v>0.06</v>
      </c>
      <c r="J656" t="str">
        <f t="shared" si="54"/>
        <v>LTL000CERLI0LTLFER</v>
      </c>
      <c r="K656">
        <f>_xlfn.IFNA(IF(F656="H",VLOOKUP(E656,Fertiliser_data!$E$7:$L$267,8,FALSE),VLOOKUP(E656,Fertiliser_data!$E$7:$L$267,8,FALSE)*0.65),IF(F656="H",0.038,(0.038*0.65)))</f>
        <v>1.9368059701492538E-2</v>
      </c>
      <c r="L656">
        <f>IF($C656="IE",$K656*CF_231025!$E$16,$K656/VLOOKUP($C656,CF_231025!$A$2:$E$28,5,FALSE))</f>
        <v>6.9220863097344707E-3</v>
      </c>
    </row>
    <row r="657" spans="1:12" x14ac:dyDescent="0.25">
      <c r="A657" t="s">
        <v>136</v>
      </c>
      <c r="B657" t="s">
        <v>809</v>
      </c>
      <c r="C657" t="str">
        <f t="shared" si="51"/>
        <v>LT</v>
      </c>
      <c r="D657" t="str">
        <f t="shared" si="52"/>
        <v>CER</v>
      </c>
      <c r="E657" t="str">
        <f t="shared" si="50"/>
        <v>LTCER</v>
      </c>
      <c r="F657" t="str">
        <f t="shared" si="53"/>
        <v>L</v>
      </c>
      <c r="G657" t="s">
        <v>794</v>
      </c>
      <c r="H657">
        <v>1</v>
      </c>
      <c r="I657">
        <v>0.06</v>
      </c>
      <c r="J657" t="str">
        <f t="shared" si="54"/>
        <v>LTL000CERLR0LTLFER</v>
      </c>
      <c r="K657">
        <f>_xlfn.IFNA(IF(F657="H",VLOOKUP(E657,Fertiliser_data!$E$7:$L$267,8,FALSE),VLOOKUP(E657,Fertiliser_data!$E$7:$L$267,8,FALSE)*0.65),IF(F657="H",0.038,(0.038*0.65)))</f>
        <v>1.9368059701492538E-2</v>
      </c>
      <c r="L657">
        <f>IF($C657="IE",$K657*CF_231025!$E$16,$K657/VLOOKUP($C657,CF_231025!$A$2:$E$28,5,FALSE))</f>
        <v>6.9220863097344707E-3</v>
      </c>
    </row>
    <row r="658" spans="1:12" x14ac:dyDescent="0.25">
      <c r="A658" t="s">
        <v>136</v>
      </c>
      <c r="B658" t="s">
        <v>810</v>
      </c>
      <c r="C658" t="str">
        <f t="shared" si="51"/>
        <v>LT</v>
      </c>
      <c r="D658" t="str">
        <f t="shared" si="52"/>
        <v>OTH</v>
      </c>
      <c r="E658" t="str">
        <f t="shared" si="50"/>
        <v>LTOTH</v>
      </c>
      <c r="F658" t="str">
        <f t="shared" si="53"/>
        <v>H</v>
      </c>
      <c r="G658" t="s">
        <v>794</v>
      </c>
      <c r="H658">
        <v>1</v>
      </c>
      <c r="I658">
        <v>0.17</v>
      </c>
      <c r="J658" t="str">
        <f t="shared" si="54"/>
        <v>LTL000OTHHI0LTLFER</v>
      </c>
      <c r="K658">
        <f>_xlfn.IFNA(IF(F658="H",VLOOKUP(E658,Fertiliser_data!$E$7:$L$267,8,FALSE),VLOOKUP(E658,Fertiliser_data!$E$7:$L$267,8,FALSE)*0.65),IF(F658="H",0.038,(0.038*0.65)))</f>
        <v>3.7999999999999999E-2</v>
      </c>
      <c r="L658">
        <f>IF($C658="IE",$K658*CF_231025!$E$16,$K658/VLOOKUP($C658,CF_231025!$A$2:$E$28,5,FALSE))</f>
        <v>1.3581085757890327E-2</v>
      </c>
    </row>
    <row r="659" spans="1:12" x14ac:dyDescent="0.25">
      <c r="A659" t="s">
        <v>136</v>
      </c>
      <c r="B659" t="s">
        <v>811</v>
      </c>
      <c r="C659" t="str">
        <f t="shared" si="51"/>
        <v>LT</v>
      </c>
      <c r="D659" t="str">
        <f t="shared" si="52"/>
        <v>OTH</v>
      </c>
      <c r="E659" t="str">
        <f t="shared" si="50"/>
        <v>LTOTH</v>
      </c>
      <c r="F659" t="str">
        <f t="shared" si="53"/>
        <v>H</v>
      </c>
      <c r="G659" t="s">
        <v>794</v>
      </c>
      <c r="H659">
        <v>1</v>
      </c>
      <c r="I659">
        <v>0.17</v>
      </c>
      <c r="J659" t="str">
        <f t="shared" si="54"/>
        <v>LTL000OTHHR0LTLFER</v>
      </c>
      <c r="K659">
        <f>_xlfn.IFNA(IF(F659="H",VLOOKUP(E659,Fertiliser_data!$E$7:$L$267,8,FALSE),VLOOKUP(E659,Fertiliser_data!$E$7:$L$267,8,FALSE)*0.65),IF(F659="H",0.038,(0.038*0.65)))</f>
        <v>3.7999999999999999E-2</v>
      </c>
      <c r="L659">
        <f>IF($C659="IE",$K659*CF_231025!$E$16,$K659/VLOOKUP($C659,CF_231025!$A$2:$E$28,5,FALSE))</f>
        <v>1.3581085757890327E-2</v>
      </c>
    </row>
    <row r="660" spans="1:12" x14ac:dyDescent="0.25">
      <c r="A660" t="s">
        <v>136</v>
      </c>
      <c r="B660" t="s">
        <v>812</v>
      </c>
      <c r="C660" t="str">
        <f t="shared" si="51"/>
        <v>LT</v>
      </c>
      <c r="D660" t="str">
        <f t="shared" si="52"/>
        <v>OTH</v>
      </c>
      <c r="E660" t="str">
        <f t="shared" si="50"/>
        <v>LTOTH</v>
      </c>
      <c r="F660" t="str">
        <f t="shared" si="53"/>
        <v>L</v>
      </c>
      <c r="G660" t="s">
        <v>794</v>
      </c>
      <c r="H660">
        <v>1</v>
      </c>
      <c r="I660">
        <v>0.06</v>
      </c>
      <c r="J660" t="str">
        <f t="shared" si="54"/>
        <v>LTL000OTHLI0LTLFER</v>
      </c>
      <c r="K660">
        <f>_xlfn.IFNA(IF(F660="H",VLOOKUP(E660,Fertiliser_data!$E$7:$L$267,8,FALSE),VLOOKUP(E660,Fertiliser_data!$E$7:$L$267,8,FALSE)*0.65),IF(F660="H",0.038,(0.038*0.65)))</f>
        <v>2.47E-2</v>
      </c>
      <c r="L660">
        <f>IF($C660="IE",$K660*CF_231025!$E$16,$K660/VLOOKUP($C660,CF_231025!$A$2:$E$28,5,FALSE))</f>
        <v>8.8277057426287137E-3</v>
      </c>
    </row>
    <row r="661" spans="1:12" x14ac:dyDescent="0.25">
      <c r="A661" t="s">
        <v>136</v>
      </c>
      <c r="B661" t="s">
        <v>813</v>
      </c>
      <c r="C661" t="str">
        <f t="shared" si="51"/>
        <v>LT</v>
      </c>
      <c r="D661" t="str">
        <f t="shared" si="52"/>
        <v>OTH</v>
      </c>
      <c r="E661" t="str">
        <f t="shared" si="50"/>
        <v>LTOTH</v>
      </c>
      <c r="F661" t="str">
        <f t="shared" si="53"/>
        <v>L</v>
      </c>
      <c r="G661" t="s">
        <v>794</v>
      </c>
      <c r="H661">
        <v>1</v>
      </c>
      <c r="I661">
        <v>0.06</v>
      </c>
      <c r="J661" t="str">
        <f t="shared" si="54"/>
        <v>LTL000OTHLR0LTLFER</v>
      </c>
      <c r="K661">
        <f>_xlfn.IFNA(IF(F661="H",VLOOKUP(E661,Fertiliser_data!$E$7:$L$267,8,FALSE),VLOOKUP(E661,Fertiliser_data!$E$7:$L$267,8,FALSE)*0.65),IF(F661="H",0.038,(0.038*0.65)))</f>
        <v>2.47E-2</v>
      </c>
      <c r="L661">
        <f>IF($C661="IE",$K661*CF_231025!$E$16,$K661/VLOOKUP($C661,CF_231025!$A$2:$E$28,5,FALSE))</f>
        <v>8.8277057426287137E-3</v>
      </c>
    </row>
    <row r="662" spans="1:12" x14ac:dyDescent="0.25">
      <c r="A662" t="s">
        <v>136</v>
      </c>
      <c r="B662" t="s">
        <v>814</v>
      </c>
      <c r="C662" t="str">
        <f t="shared" si="51"/>
        <v>LT</v>
      </c>
      <c r="D662" t="str">
        <f t="shared" si="52"/>
        <v>BRO</v>
      </c>
      <c r="E662" t="str">
        <f t="shared" si="50"/>
        <v>LTBRO</v>
      </c>
      <c r="F662" t="str">
        <f t="shared" si="53"/>
        <v>H</v>
      </c>
      <c r="G662" t="s">
        <v>794</v>
      </c>
      <c r="H662">
        <v>1</v>
      </c>
      <c r="I662">
        <v>0.17</v>
      </c>
      <c r="J662" t="str">
        <f t="shared" si="54"/>
        <v>LTL000BROHI0LTLFER</v>
      </c>
      <c r="K662">
        <f>_xlfn.IFNA(IF(F662="H",VLOOKUP(E662,Fertiliser_data!$E$7:$L$267,8,FALSE),VLOOKUP(E662,Fertiliser_data!$E$7:$L$267,8,FALSE)*0.65),IF(F662="H",0.038,(0.038*0.65)))</f>
        <v>8.592537313432836E-3</v>
      </c>
      <c r="L662">
        <f>IF($C662="IE",$K662*CF_231025!$E$16,$K662/VLOOKUP($C662,CF_231025!$A$2:$E$28,5,FALSE))</f>
        <v>3.0709470034632606E-3</v>
      </c>
    </row>
    <row r="663" spans="1:12" x14ac:dyDescent="0.25">
      <c r="A663" t="s">
        <v>136</v>
      </c>
      <c r="B663" t="s">
        <v>815</v>
      </c>
      <c r="C663" t="str">
        <f t="shared" si="51"/>
        <v>LT</v>
      </c>
      <c r="D663" t="str">
        <f t="shared" si="52"/>
        <v>BRO</v>
      </c>
      <c r="E663" t="str">
        <f t="shared" si="50"/>
        <v>LTBRO</v>
      </c>
      <c r="F663" t="str">
        <f t="shared" si="53"/>
        <v>H</v>
      </c>
      <c r="G663" t="s">
        <v>794</v>
      </c>
      <c r="H663">
        <v>1</v>
      </c>
      <c r="I663">
        <v>0.17</v>
      </c>
      <c r="J663" t="str">
        <f t="shared" si="54"/>
        <v>LTL000BROHR0LTLFER</v>
      </c>
      <c r="K663">
        <f>_xlfn.IFNA(IF(F663="H",VLOOKUP(E663,Fertiliser_data!$E$7:$L$267,8,FALSE),VLOOKUP(E663,Fertiliser_data!$E$7:$L$267,8,FALSE)*0.65),IF(F663="H",0.038,(0.038*0.65)))</f>
        <v>8.592537313432836E-3</v>
      </c>
      <c r="L663">
        <f>IF($C663="IE",$K663*CF_231025!$E$16,$K663/VLOOKUP($C663,CF_231025!$A$2:$E$28,5,FALSE))</f>
        <v>3.0709470034632606E-3</v>
      </c>
    </row>
    <row r="664" spans="1:12" x14ac:dyDescent="0.25">
      <c r="A664" t="s">
        <v>136</v>
      </c>
      <c r="B664" t="s">
        <v>816</v>
      </c>
      <c r="C664" t="str">
        <f t="shared" si="51"/>
        <v>LT</v>
      </c>
      <c r="D664" t="str">
        <f t="shared" si="52"/>
        <v>BRO</v>
      </c>
      <c r="E664" t="str">
        <f t="shared" si="50"/>
        <v>LTBRO</v>
      </c>
      <c r="F664" t="str">
        <f t="shared" si="53"/>
        <v>L</v>
      </c>
      <c r="G664" t="s">
        <v>794</v>
      </c>
      <c r="H664">
        <v>1</v>
      </c>
      <c r="I664">
        <v>0.06</v>
      </c>
      <c r="J664" t="str">
        <f t="shared" si="54"/>
        <v>LTL000BROLI0LTLFER</v>
      </c>
      <c r="K664">
        <f>_xlfn.IFNA(IF(F664="H",VLOOKUP(E664,Fertiliser_data!$E$7:$L$267,8,FALSE),VLOOKUP(E664,Fertiliser_data!$E$7:$L$267,8,FALSE)*0.65),IF(F664="H",0.038,(0.038*0.65)))</f>
        <v>5.5851492537313434E-3</v>
      </c>
      <c r="L664">
        <f>IF($C664="IE",$K664*CF_231025!$E$16,$K664/VLOOKUP($C664,CF_231025!$A$2:$E$28,5,FALSE))</f>
        <v>1.9961155522511195E-3</v>
      </c>
    </row>
    <row r="665" spans="1:12" x14ac:dyDescent="0.25">
      <c r="A665" t="s">
        <v>136</v>
      </c>
      <c r="B665" t="s">
        <v>817</v>
      </c>
      <c r="C665" t="str">
        <f t="shared" si="51"/>
        <v>LT</v>
      </c>
      <c r="D665" t="str">
        <f t="shared" si="52"/>
        <v>BRO</v>
      </c>
      <c r="E665" t="str">
        <f t="shared" si="50"/>
        <v>LTBRO</v>
      </c>
      <c r="F665" t="str">
        <f t="shared" si="53"/>
        <v>L</v>
      </c>
      <c r="G665" t="s">
        <v>794</v>
      </c>
      <c r="H665">
        <v>1</v>
      </c>
      <c r="I665">
        <v>0.06</v>
      </c>
      <c r="J665" t="str">
        <f t="shared" si="54"/>
        <v>LTL000BROLR0LTLFER</v>
      </c>
      <c r="K665">
        <f>_xlfn.IFNA(IF(F665="H",VLOOKUP(E665,Fertiliser_data!$E$7:$L$267,8,FALSE),VLOOKUP(E665,Fertiliser_data!$E$7:$L$267,8,FALSE)*0.65),IF(F665="H",0.038,(0.038*0.65)))</f>
        <v>5.5851492537313434E-3</v>
      </c>
      <c r="L665">
        <f>IF($C665="IE",$K665*CF_231025!$E$16,$K665/VLOOKUP($C665,CF_231025!$A$2:$E$28,5,FALSE))</f>
        <v>1.9961155522511195E-3</v>
      </c>
    </row>
    <row r="666" spans="1:12" x14ac:dyDescent="0.25">
      <c r="A666" t="s">
        <v>136</v>
      </c>
      <c r="B666" t="s">
        <v>818</v>
      </c>
      <c r="C666" t="str">
        <f t="shared" si="51"/>
        <v>LT</v>
      </c>
      <c r="D666" t="str">
        <f t="shared" si="52"/>
        <v>BRL</v>
      </c>
      <c r="E666" t="str">
        <f t="shared" si="50"/>
        <v>LTBRL</v>
      </c>
      <c r="F666" t="str">
        <f t="shared" si="53"/>
        <v>H</v>
      </c>
      <c r="G666" t="s">
        <v>794</v>
      </c>
      <c r="H666">
        <v>1</v>
      </c>
      <c r="I666">
        <v>0.15</v>
      </c>
      <c r="J666" t="str">
        <f t="shared" si="54"/>
        <v>LTL000BRLHI0LTLFER</v>
      </c>
      <c r="K666">
        <f>_xlfn.IFNA(IF(F666="H",VLOOKUP(E666,Fertiliser_data!$E$7:$L$267,8,FALSE),VLOOKUP(E666,Fertiliser_data!$E$7:$L$267,8,FALSE)*0.65),IF(F666="H",0.038,(0.038*0.65)))</f>
        <v>1.6159701492537312E-2</v>
      </c>
      <c r="L666">
        <f>IF($C666="IE",$K666*CF_231025!$E$16,$K666/VLOOKUP($C666,CF_231025!$A$2:$E$28,5,FALSE))</f>
        <v>5.775428731369936E-3</v>
      </c>
    </row>
    <row r="667" spans="1:12" x14ac:dyDescent="0.25">
      <c r="A667" t="s">
        <v>136</v>
      </c>
      <c r="B667" t="s">
        <v>819</v>
      </c>
      <c r="C667" t="str">
        <f t="shared" si="51"/>
        <v>LT</v>
      </c>
      <c r="D667" t="str">
        <f t="shared" si="52"/>
        <v>BRL</v>
      </c>
      <c r="E667" t="str">
        <f t="shared" si="50"/>
        <v>LTBRL</v>
      </c>
      <c r="F667" t="str">
        <f t="shared" si="53"/>
        <v>H</v>
      </c>
      <c r="G667" t="s">
        <v>794</v>
      </c>
      <c r="H667">
        <v>1</v>
      </c>
      <c r="I667">
        <v>0.15</v>
      </c>
      <c r="J667" t="str">
        <f t="shared" si="54"/>
        <v>LTL000BRLHR0LTLFER</v>
      </c>
      <c r="K667">
        <f>_xlfn.IFNA(IF(F667="H",VLOOKUP(E667,Fertiliser_data!$E$7:$L$267,8,FALSE),VLOOKUP(E667,Fertiliser_data!$E$7:$L$267,8,FALSE)*0.65),IF(F667="H",0.038,(0.038*0.65)))</f>
        <v>1.6159701492537312E-2</v>
      </c>
      <c r="L667">
        <f>IF($C667="IE",$K667*CF_231025!$E$16,$K667/VLOOKUP($C667,CF_231025!$A$2:$E$28,5,FALSE))</f>
        <v>5.775428731369936E-3</v>
      </c>
    </row>
    <row r="668" spans="1:12" x14ac:dyDescent="0.25">
      <c r="A668" t="s">
        <v>136</v>
      </c>
      <c r="B668" t="s">
        <v>820</v>
      </c>
      <c r="C668" t="str">
        <f t="shared" si="51"/>
        <v>LT</v>
      </c>
      <c r="D668" t="str">
        <f t="shared" si="52"/>
        <v>BRL</v>
      </c>
      <c r="E668" t="str">
        <f t="shared" si="50"/>
        <v>LTBRL</v>
      </c>
      <c r="F668" t="str">
        <f t="shared" si="53"/>
        <v>L</v>
      </c>
      <c r="G668" t="s">
        <v>794</v>
      </c>
      <c r="H668">
        <v>1</v>
      </c>
      <c r="I668">
        <v>0.06</v>
      </c>
      <c r="J668" t="str">
        <f t="shared" si="54"/>
        <v>LTL000BRLLI0LTLFER</v>
      </c>
      <c r="K668">
        <f>_xlfn.IFNA(IF(F668="H",VLOOKUP(E668,Fertiliser_data!$E$7:$L$267,8,FALSE),VLOOKUP(E668,Fertiliser_data!$E$7:$L$267,8,FALSE)*0.65),IF(F668="H",0.038,(0.038*0.65)))</f>
        <v>1.0503805970149252E-2</v>
      </c>
      <c r="L668">
        <f>IF($C668="IE",$K668*CF_231025!$E$16,$K668/VLOOKUP($C668,CF_231025!$A$2:$E$28,5,FALSE))</f>
        <v>3.7540286753904579E-3</v>
      </c>
    </row>
    <row r="669" spans="1:12" x14ac:dyDescent="0.25">
      <c r="A669" t="s">
        <v>136</v>
      </c>
      <c r="B669" t="s">
        <v>821</v>
      </c>
      <c r="C669" t="str">
        <f t="shared" si="51"/>
        <v>LT</v>
      </c>
      <c r="D669" t="str">
        <f t="shared" si="52"/>
        <v>BRL</v>
      </c>
      <c r="E669" t="str">
        <f t="shared" si="50"/>
        <v>LTBRL</v>
      </c>
      <c r="F669" t="str">
        <f t="shared" si="53"/>
        <v>L</v>
      </c>
      <c r="G669" t="s">
        <v>794</v>
      </c>
      <c r="H669">
        <v>1</v>
      </c>
      <c r="I669">
        <v>0.06</v>
      </c>
      <c r="J669" t="str">
        <f t="shared" si="54"/>
        <v>LTL000BRLLR0LTLFER</v>
      </c>
      <c r="K669">
        <f>_xlfn.IFNA(IF(F669="H",VLOOKUP(E669,Fertiliser_data!$E$7:$L$267,8,FALSE),VLOOKUP(E669,Fertiliser_data!$E$7:$L$267,8,FALSE)*0.65),IF(F669="H",0.038,(0.038*0.65)))</f>
        <v>1.0503805970149252E-2</v>
      </c>
      <c r="L669">
        <f>IF($C669="IE",$K669*CF_231025!$E$16,$K669/VLOOKUP($C669,CF_231025!$A$2:$E$28,5,FALSE))</f>
        <v>3.7540286753904579E-3</v>
      </c>
    </row>
    <row r="670" spans="1:12" x14ac:dyDescent="0.25">
      <c r="A670" t="s">
        <v>136</v>
      </c>
      <c r="B670" t="s">
        <v>822</v>
      </c>
      <c r="C670" t="str">
        <f t="shared" si="51"/>
        <v>LT</v>
      </c>
      <c r="D670" t="str">
        <f t="shared" si="52"/>
        <v>RYE</v>
      </c>
      <c r="E670" t="str">
        <f t="shared" si="50"/>
        <v>LTRYE</v>
      </c>
      <c r="F670" t="str">
        <f t="shared" si="53"/>
        <v>H</v>
      </c>
      <c r="G670" t="s">
        <v>794</v>
      </c>
      <c r="H670">
        <v>1</v>
      </c>
      <c r="I670">
        <v>0.11</v>
      </c>
      <c r="J670" t="str">
        <f t="shared" si="54"/>
        <v>LTL000RYEHI0LTLFER</v>
      </c>
      <c r="K670">
        <f>_xlfn.IFNA(IF(F670="H",VLOOKUP(E670,Fertiliser_data!$E$7:$L$267,8,FALSE),VLOOKUP(E670,Fertiliser_data!$E$7:$L$267,8,FALSE)*0.65),IF(F670="H",0.038,(0.038*0.65)))</f>
        <v>1.3767164179104478E-2</v>
      </c>
      <c r="L670">
        <f>IF($C670="IE",$K670*CF_231025!$E$16,$K670/VLOOKUP($C670,CF_231025!$A$2:$E$28,5,FALSE))</f>
        <v>4.9203430884045716E-3</v>
      </c>
    </row>
    <row r="671" spans="1:12" x14ac:dyDescent="0.25">
      <c r="A671" t="s">
        <v>136</v>
      </c>
      <c r="B671" t="s">
        <v>823</v>
      </c>
      <c r="C671" t="str">
        <f t="shared" si="51"/>
        <v>LT</v>
      </c>
      <c r="D671" t="str">
        <f t="shared" si="52"/>
        <v>RYE</v>
      </c>
      <c r="E671" t="str">
        <f t="shared" si="50"/>
        <v>LTRYE</v>
      </c>
      <c r="F671" t="str">
        <f t="shared" si="53"/>
        <v>H</v>
      </c>
      <c r="G671" t="s">
        <v>794</v>
      </c>
      <c r="H671">
        <v>1</v>
      </c>
      <c r="I671">
        <v>0.11</v>
      </c>
      <c r="J671" t="str">
        <f t="shared" si="54"/>
        <v>LTL000RYEHR0LTLFER</v>
      </c>
      <c r="K671">
        <f>_xlfn.IFNA(IF(F671="H",VLOOKUP(E671,Fertiliser_data!$E$7:$L$267,8,FALSE),VLOOKUP(E671,Fertiliser_data!$E$7:$L$267,8,FALSE)*0.65),IF(F671="H",0.038,(0.038*0.65)))</f>
        <v>1.3767164179104478E-2</v>
      </c>
      <c r="L671">
        <f>IF($C671="IE",$K671*CF_231025!$E$16,$K671/VLOOKUP($C671,CF_231025!$A$2:$E$28,5,FALSE))</f>
        <v>4.9203430884045716E-3</v>
      </c>
    </row>
    <row r="672" spans="1:12" x14ac:dyDescent="0.25">
      <c r="A672" t="s">
        <v>136</v>
      </c>
      <c r="B672" t="s">
        <v>824</v>
      </c>
      <c r="C672" t="str">
        <f t="shared" si="51"/>
        <v>LT</v>
      </c>
      <c r="D672" t="str">
        <f t="shared" si="52"/>
        <v>RYE</v>
      </c>
      <c r="E672" t="str">
        <f t="shared" si="50"/>
        <v>LTRYE</v>
      </c>
      <c r="F672" t="str">
        <f t="shared" si="53"/>
        <v>L</v>
      </c>
      <c r="G672" t="s">
        <v>794</v>
      </c>
      <c r="H672">
        <v>1</v>
      </c>
      <c r="I672">
        <v>0.04</v>
      </c>
      <c r="J672" t="str">
        <f t="shared" si="54"/>
        <v>LTL000RYELI0LTLFER</v>
      </c>
      <c r="K672">
        <f>_xlfn.IFNA(IF(F672="H",VLOOKUP(E672,Fertiliser_data!$E$7:$L$267,8,FALSE),VLOOKUP(E672,Fertiliser_data!$E$7:$L$267,8,FALSE)*0.65),IF(F672="H",0.038,(0.038*0.65)))</f>
        <v>8.9486567164179104E-3</v>
      </c>
      <c r="L672">
        <f>IF($C672="IE",$K672*CF_231025!$E$16,$K672/VLOOKUP($C672,CF_231025!$A$2:$E$28,5,FALSE))</f>
        <v>3.1982230074629713E-3</v>
      </c>
    </row>
    <row r="673" spans="1:12" x14ac:dyDescent="0.25">
      <c r="A673" t="s">
        <v>136</v>
      </c>
      <c r="B673" t="s">
        <v>825</v>
      </c>
      <c r="C673" t="str">
        <f t="shared" si="51"/>
        <v>LT</v>
      </c>
      <c r="D673" t="str">
        <f t="shared" si="52"/>
        <v>RYE</v>
      </c>
      <c r="E673" t="str">
        <f t="shared" si="50"/>
        <v>LTRYE</v>
      </c>
      <c r="F673" t="str">
        <f t="shared" si="53"/>
        <v>L</v>
      </c>
      <c r="G673" t="s">
        <v>794</v>
      </c>
      <c r="H673">
        <v>1</v>
      </c>
      <c r="I673">
        <v>0.04</v>
      </c>
      <c r="J673" t="str">
        <f t="shared" si="54"/>
        <v>LTL000RYELR0LTLFER</v>
      </c>
      <c r="K673">
        <f>_xlfn.IFNA(IF(F673="H",VLOOKUP(E673,Fertiliser_data!$E$7:$L$267,8,FALSE),VLOOKUP(E673,Fertiliser_data!$E$7:$L$267,8,FALSE)*0.65),IF(F673="H",0.038,(0.038*0.65)))</f>
        <v>8.9486567164179104E-3</v>
      </c>
      <c r="L673">
        <f>IF($C673="IE",$K673*CF_231025!$E$16,$K673/VLOOKUP($C673,CF_231025!$A$2:$E$28,5,FALSE))</f>
        <v>3.1982230074629713E-3</v>
      </c>
    </row>
    <row r="674" spans="1:12" x14ac:dyDescent="0.25">
      <c r="A674" t="s">
        <v>136</v>
      </c>
      <c r="B674" t="s">
        <v>826</v>
      </c>
      <c r="C674" t="str">
        <f t="shared" si="51"/>
        <v>LT</v>
      </c>
      <c r="D674" t="str">
        <f t="shared" si="52"/>
        <v>PEA</v>
      </c>
      <c r="E674" t="str">
        <f t="shared" si="50"/>
        <v>LTPEA</v>
      </c>
      <c r="F674" t="str">
        <f t="shared" si="53"/>
        <v>H</v>
      </c>
      <c r="G674" t="s">
        <v>794</v>
      </c>
      <c r="H674">
        <v>1</v>
      </c>
      <c r="I674">
        <v>0.17</v>
      </c>
      <c r="J674" t="str">
        <f t="shared" si="54"/>
        <v>LTL000PEAHI0LTLFER</v>
      </c>
      <c r="K674">
        <f>_xlfn.IFNA(IF(F674="H",VLOOKUP(E674,Fertiliser_data!$E$7:$L$267,8,FALSE),VLOOKUP(E674,Fertiliser_data!$E$7:$L$267,8,FALSE)*0.65),IF(F674="H",0.038,(0.038*0.65)))</f>
        <v>8.592537313432836E-3</v>
      </c>
      <c r="L674">
        <f>IF($C674="IE",$K674*CF_231025!$E$16,$K674/VLOOKUP($C674,CF_231025!$A$2:$E$28,5,FALSE))</f>
        <v>3.0709470034632606E-3</v>
      </c>
    </row>
    <row r="675" spans="1:12" x14ac:dyDescent="0.25">
      <c r="A675" t="s">
        <v>136</v>
      </c>
      <c r="B675" t="s">
        <v>827</v>
      </c>
      <c r="C675" t="str">
        <f t="shared" si="51"/>
        <v>LT</v>
      </c>
      <c r="D675" t="str">
        <f t="shared" si="52"/>
        <v>PEA</v>
      </c>
      <c r="E675" t="str">
        <f t="shared" si="50"/>
        <v>LTPEA</v>
      </c>
      <c r="F675" t="str">
        <f t="shared" si="53"/>
        <v>H</v>
      </c>
      <c r="G675" t="s">
        <v>794</v>
      </c>
      <c r="H675">
        <v>1</v>
      </c>
      <c r="I675">
        <v>0.17</v>
      </c>
      <c r="J675" t="str">
        <f t="shared" si="54"/>
        <v>LTL000PEAHR0LTLFER</v>
      </c>
      <c r="K675">
        <f>_xlfn.IFNA(IF(F675="H",VLOOKUP(E675,Fertiliser_data!$E$7:$L$267,8,FALSE),VLOOKUP(E675,Fertiliser_data!$E$7:$L$267,8,FALSE)*0.65),IF(F675="H",0.038,(0.038*0.65)))</f>
        <v>8.592537313432836E-3</v>
      </c>
      <c r="L675">
        <f>IF($C675="IE",$K675*CF_231025!$E$16,$K675/VLOOKUP($C675,CF_231025!$A$2:$E$28,5,FALSE))</f>
        <v>3.0709470034632606E-3</v>
      </c>
    </row>
    <row r="676" spans="1:12" x14ac:dyDescent="0.25">
      <c r="A676" t="s">
        <v>136</v>
      </c>
      <c r="B676" t="s">
        <v>828</v>
      </c>
      <c r="C676" t="str">
        <f t="shared" si="51"/>
        <v>LT</v>
      </c>
      <c r="D676" t="str">
        <f t="shared" si="52"/>
        <v>PEA</v>
      </c>
      <c r="E676" t="str">
        <f t="shared" si="50"/>
        <v>LTPEA</v>
      </c>
      <c r="F676" t="str">
        <f t="shared" si="53"/>
        <v>L</v>
      </c>
      <c r="G676" t="s">
        <v>794</v>
      </c>
      <c r="H676">
        <v>1</v>
      </c>
      <c r="I676">
        <v>0.06</v>
      </c>
      <c r="J676" t="str">
        <f t="shared" si="54"/>
        <v>LTL000PEALI0LTLFER</v>
      </c>
      <c r="K676">
        <f>_xlfn.IFNA(IF(F676="H",VLOOKUP(E676,Fertiliser_data!$E$7:$L$267,8,FALSE),VLOOKUP(E676,Fertiliser_data!$E$7:$L$267,8,FALSE)*0.65),IF(F676="H",0.038,(0.038*0.65)))</f>
        <v>5.5851492537313434E-3</v>
      </c>
      <c r="L676">
        <f>IF($C676="IE",$K676*CF_231025!$E$16,$K676/VLOOKUP($C676,CF_231025!$A$2:$E$28,5,FALSE))</f>
        <v>1.9961155522511195E-3</v>
      </c>
    </row>
    <row r="677" spans="1:12" x14ac:dyDescent="0.25">
      <c r="A677" t="s">
        <v>136</v>
      </c>
      <c r="B677" t="s">
        <v>829</v>
      </c>
      <c r="C677" t="str">
        <f t="shared" si="51"/>
        <v>LT</v>
      </c>
      <c r="D677" t="str">
        <f t="shared" si="52"/>
        <v>PEA</v>
      </c>
      <c r="E677" t="str">
        <f t="shared" si="50"/>
        <v>LTPEA</v>
      </c>
      <c r="F677" t="str">
        <f t="shared" si="53"/>
        <v>L</v>
      </c>
      <c r="G677" t="s">
        <v>794</v>
      </c>
      <c r="H677">
        <v>1</v>
      </c>
      <c r="I677">
        <v>0.06</v>
      </c>
      <c r="J677" t="str">
        <f t="shared" si="54"/>
        <v>LTL000PEALR0LTLFER</v>
      </c>
      <c r="K677">
        <f>_xlfn.IFNA(IF(F677="H",VLOOKUP(E677,Fertiliser_data!$E$7:$L$267,8,FALSE),VLOOKUP(E677,Fertiliser_data!$E$7:$L$267,8,FALSE)*0.65),IF(F677="H",0.038,(0.038*0.65)))</f>
        <v>5.5851492537313434E-3</v>
      </c>
      <c r="L677">
        <f>IF($C677="IE",$K677*CF_231025!$E$16,$K677/VLOOKUP($C677,CF_231025!$A$2:$E$28,5,FALSE))</f>
        <v>1.9961155522511195E-3</v>
      </c>
    </row>
    <row r="678" spans="1:12" x14ac:dyDescent="0.25">
      <c r="A678" t="s">
        <v>136</v>
      </c>
      <c r="B678" t="s">
        <v>830</v>
      </c>
      <c r="C678" t="str">
        <f t="shared" si="51"/>
        <v>LT</v>
      </c>
      <c r="D678" t="str">
        <f t="shared" si="52"/>
        <v>WHE</v>
      </c>
      <c r="E678" t="str">
        <f t="shared" si="50"/>
        <v>LTWHE</v>
      </c>
      <c r="F678" t="str">
        <f t="shared" si="53"/>
        <v>H</v>
      </c>
      <c r="G678" t="s">
        <v>794</v>
      </c>
      <c r="H678">
        <v>1</v>
      </c>
      <c r="I678">
        <v>0.2</v>
      </c>
      <c r="J678" t="str">
        <f t="shared" si="54"/>
        <v>LTL000WHEHI0LTLFER</v>
      </c>
      <c r="K678">
        <f>_xlfn.IFNA(IF(F678="H",VLOOKUP(E678,Fertiliser_data!$E$7:$L$267,8,FALSE),VLOOKUP(E678,Fertiliser_data!$E$7:$L$267,8,FALSE)*0.65),IF(F678="H",0.038,(0.038*0.65)))</f>
        <v>3.9652238805970151E-2</v>
      </c>
      <c r="L678">
        <f>IF($C678="IE",$K678*CF_231025!$E$16,$K678/VLOOKUP($C678,CF_231025!$A$2:$E$28,5,FALSE))</f>
        <v>1.4171590939900721E-2</v>
      </c>
    </row>
    <row r="679" spans="1:12" x14ac:dyDescent="0.25">
      <c r="A679" t="s">
        <v>136</v>
      </c>
      <c r="B679" t="s">
        <v>831</v>
      </c>
      <c r="C679" t="str">
        <f t="shared" si="51"/>
        <v>LT</v>
      </c>
      <c r="D679" t="str">
        <f t="shared" si="52"/>
        <v>WHE</v>
      </c>
      <c r="E679" t="str">
        <f t="shared" si="50"/>
        <v>LTWHE</v>
      </c>
      <c r="F679" t="str">
        <f t="shared" si="53"/>
        <v>H</v>
      </c>
      <c r="G679" t="s">
        <v>794</v>
      </c>
      <c r="H679">
        <v>1</v>
      </c>
      <c r="I679">
        <v>0.2</v>
      </c>
      <c r="J679" t="str">
        <f t="shared" si="54"/>
        <v>LTL000WHEHR0LTLFER</v>
      </c>
      <c r="K679">
        <f>_xlfn.IFNA(IF(F679="H",VLOOKUP(E679,Fertiliser_data!$E$7:$L$267,8,FALSE),VLOOKUP(E679,Fertiliser_data!$E$7:$L$267,8,FALSE)*0.65),IF(F679="H",0.038,(0.038*0.65)))</f>
        <v>3.9652238805970151E-2</v>
      </c>
      <c r="L679">
        <f>IF($C679="IE",$K679*CF_231025!$E$16,$K679/VLOOKUP($C679,CF_231025!$A$2:$E$28,5,FALSE))</f>
        <v>1.4171590939900721E-2</v>
      </c>
    </row>
    <row r="680" spans="1:12" x14ac:dyDescent="0.25">
      <c r="A680" t="s">
        <v>136</v>
      </c>
      <c r="B680" t="s">
        <v>832</v>
      </c>
      <c r="C680" t="str">
        <f t="shared" si="51"/>
        <v>LT</v>
      </c>
      <c r="D680" t="str">
        <f t="shared" si="52"/>
        <v>WHE</v>
      </c>
      <c r="E680" t="str">
        <f t="shared" si="50"/>
        <v>LTWHE</v>
      </c>
      <c r="F680" t="str">
        <f t="shared" si="53"/>
        <v>L</v>
      </c>
      <c r="G680" t="s">
        <v>794</v>
      </c>
      <c r="H680">
        <v>1</v>
      </c>
      <c r="I680">
        <v>7.0000000000000007E-2</v>
      </c>
      <c r="J680" t="str">
        <f t="shared" si="54"/>
        <v>LTL000WHELI0LTLFER</v>
      </c>
      <c r="K680">
        <f>_xlfn.IFNA(IF(F680="H",VLOOKUP(E680,Fertiliser_data!$E$7:$L$267,8,FALSE),VLOOKUP(E680,Fertiliser_data!$E$7:$L$267,8,FALSE)*0.65),IF(F680="H",0.038,(0.038*0.65)))</f>
        <v>2.5773955223880599E-2</v>
      </c>
      <c r="L680">
        <f>IF($C680="IE",$K680*CF_231025!$E$16,$K680/VLOOKUP($C680,CF_231025!$A$2:$E$28,5,FALSE))</f>
        <v>9.2115341109354695E-3</v>
      </c>
    </row>
    <row r="681" spans="1:12" x14ac:dyDescent="0.25">
      <c r="A681" t="s">
        <v>136</v>
      </c>
      <c r="B681" t="s">
        <v>833</v>
      </c>
      <c r="C681" t="str">
        <f t="shared" si="51"/>
        <v>LT</v>
      </c>
      <c r="D681" t="str">
        <f t="shared" si="52"/>
        <v>WHE</v>
      </c>
      <c r="E681" t="str">
        <f t="shared" si="50"/>
        <v>LTWHE</v>
      </c>
      <c r="F681" t="str">
        <f t="shared" si="53"/>
        <v>L</v>
      </c>
      <c r="G681" t="s">
        <v>794</v>
      </c>
      <c r="H681">
        <v>1</v>
      </c>
      <c r="I681">
        <v>7.0000000000000007E-2</v>
      </c>
      <c r="J681" t="str">
        <f t="shared" si="54"/>
        <v>LTL000WHELR0LTLFER</v>
      </c>
      <c r="K681">
        <f>_xlfn.IFNA(IF(F681="H",VLOOKUP(E681,Fertiliser_data!$E$7:$L$267,8,FALSE),VLOOKUP(E681,Fertiliser_data!$E$7:$L$267,8,FALSE)*0.65),IF(F681="H",0.038,(0.038*0.65)))</f>
        <v>2.5773955223880599E-2</v>
      </c>
      <c r="L681">
        <f>IF($C681="IE",$K681*CF_231025!$E$16,$K681/VLOOKUP($C681,CF_231025!$A$2:$E$28,5,FALSE))</f>
        <v>9.2115341109354695E-3</v>
      </c>
    </row>
    <row r="682" spans="1:12" x14ac:dyDescent="0.25">
      <c r="A682" t="s">
        <v>136</v>
      </c>
      <c r="B682" t="s">
        <v>834</v>
      </c>
      <c r="C682" t="str">
        <f t="shared" si="51"/>
        <v>LU</v>
      </c>
      <c r="D682" t="str">
        <f t="shared" si="52"/>
        <v>RYE</v>
      </c>
      <c r="E682" t="str">
        <f t="shared" si="50"/>
        <v>LURYE</v>
      </c>
      <c r="F682" t="str">
        <f t="shared" si="53"/>
        <v>H</v>
      </c>
      <c r="G682" t="s">
        <v>835</v>
      </c>
      <c r="H682">
        <v>1</v>
      </c>
      <c r="I682">
        <v>0.112</v>
      </c>
      <c r="J682" t="str">
        <f t="shared" si="54"/>
        <v>LUL000RYEHI0LULFER</v>
      </c>
      <c r="K682">
        <f>_xlfn.IFNA(IF(F682="H",VLOOKUP(E682,Fertiliser_data!$E$7:$L$267,8,FALSE),VLOOKUP(E682,Fertiliser_data!$E$7:$L$267,8,FALSE)*0.65),IF(F682="H",0.038,(0.038*0.65)))</f>
        <v>7.4370149253731338E-2</v>
      </c>
      <c r="L682">
        <f>IF($C682="IE",$K682*CF_231025!$E$16,$K682/VLOOKUP($C682,CF_231025!$A$2:$E$28,5,FALSE))</f>
        <v>4.5669677757464826E-2</v>
      </c>
    </row>
    <row r="683" spans="1:12" x14ac:dyDescent="0.25">
      <c r="A683" t="s">
        <v>136</v>
      </c>
      <c r="B683" t="s">
        <v>836</v>
      </c>
      <c r="C683" t="str">
        <f t="shared" si="51"/>
        <v>LU</v>
      </c>
      <c r="D683" t="str">
        <f t="shared" si="52"/>
        <v>RYE</v>
      </c>
      <c r="E683" t="str">
        <f t="shared" si="50"/>
        <v>LURYE</v>
      </c>
      <c r="F683" t="str">
        <f t="shared" si="53"/>
        <v>H</v>
      </c>
      <c r="G683" t="s">
        <v>835</v>
      </c>
      <c r="H683">
        <v>1</v>
      </c>
      <c r="I683">
        <v>0.112</v>
      </c>
      <c r="J683" t="str">
        <f t="shared" si="54"/>
        <v>LUL000RYEHR0LULFER</v>
      </c>
      <c r="K683">
        <f>_xlfn.IFNA(IF(F683="H",VLOOKUP(E683,Fertiliser_data!$E$7:$L$267,8,FALSE),VLOOKUP(E683,Fertiliser_data!$E$7:$L$267,8,FALSE)*0.65),IF(F683="H",0.038,(0.038*0.65)))</f>
        <v>7.4370149253731338E-2</v>
      </c>
      <c r="L683">
        <f>IF($C683="IE",$K683*CF_231025!$E$16,$K683/VLOOKUP($C683,CF_231025!$A$2:$E$28,5,FALSE))</f>
        <v>4.5669677757464826E-2</v>
      </c>
    </row>
    <row r="684" spans="1:12" x14ac:dyDescent="0.25">
      <c r="A684" t="s">
        <v>136</v>
      </c>
      <c r="B684" t="s">
        <v>837</v>
      </c>
      <c r="C684" t="str">
        <f t="shared" si="51"/>
        <v>LU</v>
      </c>
      <c r="D684" t="str">
        <f t="shared" si="52"/>
        <v>RYE</v>
      </c>
      <c r="E684" t="str">
        <f t="shared" si="50"/>
        <v>LURYE</v>
      </c>
      <c r="F684" t="str">
        <f t="shared" si="53"/>
        <v>L</v>
      </c>
      <c r="G684" t="s">
        <v>835</v>
      </c>
      <c r="H684">
        <v>1</v>
      </c>
      <c r="I684">
        <v>4.1599999999999998E-2</v>
      </c>
      <c r="J684" t="str">
        <f t="shared" si="54"/>
        <v>LUL000RYELI0LULFER</v>
      </c>
      <c r="K684">
        <f>_xlfn.IFNA(IF(F684="H",VLOOKUP(E684,Fertiliser_data!$E$7:$L$267,8,FALSE),VLOOKUP(E684,Fertiliser_data!$E$7:$L$267,8,FALSE)*0.65),IF(F684="H",0.038,(0.038*0.65)))</f>
        <v>4.8340597014925372E-2</v>
      </c>
      <c r="L684">
        <f>IF($C684="IE",$K684*CF_231025!$E$16,$K684/VLOOKUP($C684,CF_231025!$A$2:$E$28,5,FALSE))</f>
        <v>2.9685290542352138E-2</v>
      </c>
    </row>
    <row r="685" spans="1:12" x14ac:dyDescent="0.25">
      <c r="A685" t="s">
        <v>136</v>
      </c>
      <c r="B685" t="s">
        <v>838</v>
      </c>
      <c r="C685" t="str">
        <f t="shared" si="51"/>
        <v>LU</v>
      </c>
      <c r="D685" t="str">
        <f t="shared" si="52"/>
        <v>RYE</v>
      </c>
      <c r="E685" t="str">
        <f t="shared" si="50"/>
        <v>LURYE</v>
      </c>
      <c r="F685" t="str">
        <f t="shared" si="53"/>
        <v>L</v>
      </c>
      <c r="G685" t="s">
        <v>835</v>
      </c>
      <c r="H685">
        <v>1</v>
      </c>
      <c r="I685">
        <v>4.1599999999999998E-2</v>
      </c>
      <c r="J685" t="str">
        <f t="shared" si="54"/>
        <v>LUL000RYELR0LULFER</v>
      </c>
      <c r="K685">
        <f>_xlfn.IFNA(IF(F685="H",VLOOKUP(E685,Fertiliser_data!$E$7:$L$267,8,FALSE),VLOOKUP(E685,Fertiliser_data!$E$7:$L$267,8,FALSE)*0.65),IF(F685="H",0.038,(0.038*0.65)))</f>
        <v>4.8340597014925372E-2</v>
      </c>
      <c r="L685">
        <f>IF($C685="IE",$K685*CF_231025!$E$16,$K685/VLOOKUP($C685,CF_231025!$A$2:$E$28,5,FALSE))</f>
        <v>2.9685290542352138E-2</v>
      </c>
    </row>
    <row r="686" spans="1:12" x14ac:dyDescent="0.25">
      <c r="A686" t="s">
        <v>136</v>
      </c>
      <c r="B686" t="s">
        <v>839</v>
      </c>
      <c r="C686" t="str">
        <f t="shared" si="51"/>
        <v>LU</v>
      </c>
      <c r="D686" t="str">
        <f t="shared" si="52"/>
        <v>SUN</v>
      </c>
      <c r="E686" t="str">
        <f t="shared" si="50"/>
        <v>LUSUN</v>
      </c>
      <c r="F686" t="str">
        <f t="shared" si="53"/>
        <v>H</v>
      </c>
      <c r="G686" t="s">
        <v>835</v>
      </c>
      <c r="H686">
        <v>1</v>
      </c>
      <c r="I686">
        <v>0.1925</v>
      </c>
      <c r="J686" t="str">
        <f t="shared" si="54"/>
        <v>LUL000SUNHI0LULFER</v>
      </c>
      <c r="K686">
        <f>_xlfn.IFNA(IF(F686="H",VLOOKUP(E686,Fertiliser_data!$E$7:$L$267,8,FALSE),VLOOKUP(E686,Fertiliser_data!$E$7:$L$267,8,FALSE)*0.65),IF(F686="H",0.038,(0.038*0.65)))</f>
        <v>3.7999999999999999E-2</v>
      </c>
      <c r="L686">
        <f>IF($C686="IE",$K686*CF_231025!$E$16,$K686/VLOOKUP($C686,CF_231025!$A$2:$E$28,5,FALSE))</f>
        <v>2.3335273254095176E-2</v>
      </c>
    </row>
    <row r="687" spans="1:12" x14ac:dyDescent="0.25">
      <c r="A687" t="s">
        <v>136</v>
      </c>
      <c r="B687" t="s">
        <v>840</v>
      </c>
      <c r="C687" t="str">
        <f t="shared" si="51"/>
        <v>LU</v>
      </c>
      <c r="D687" t="str">
        <f t="shared" si="52"/>
        <v>SUN</v>
      </c>
      <c r="E687" t="str">
        <f t="shared" si="50"/>
        <v>LUSUN</v>
      </c>
      <c r="F687" t="str">
        <f t="shared" si="53"/>
        <v>H</v>
      </c>
      <c r="G687" t="s">
        <v>835</v>
      </c>
      <c r="H687">
        <v>1</v>
      </c>
      <c r="I687">
        <v>0.1925</v>
      </c>
      <c r="J687" t="str">
        <f t="shared" si="54"/>
        <v>LUL000SUNHR0LULFER</v>
      </c>
      <c r="K687">
        <f>_xlfn.IFNA(IF(F687="H",VLOOKUP(E687,Fertiliser_data!$E$7:$L$267,8,FALSE),VLOOKUP(E687,Fertiliser_data!$E$7:$L$267,8,FALSE)*0.65),IF(F687="H",0.038,(0.038*0.65)))</f>
        <v>3.7999999999999999E-2</v>
      </c>
      <c r="L687">
        <f>IF($C687="IE",$K687*CF_231025!$E$16,$K687/VLOOKUP($C687,CF_231025!$A$2:$E$28,5,FALSE))</f>
        <v>2.3335273254095176E-2</v>
      </c>
    </row>
    <row r="688" spans="1:12" x14ac:dyDescent="0.25">
      <c r="A688" t="s">
        <v>136</v>
      </c>
      <c r="B688" t="s">
        <v>841</v>
      </c>
      <c r="C688" t="str">
        <f t="shared" si="51"/>
        <v>LU</v>
      </c>
      <c r="D688" t="str">
        <f t="shared" si="52"/>
        <v>SUN</v>
      </c>
      <c r="E688" t="str">
        <f t="shared" si="50"/>
        <v>LUSUN</v>
      </c>
      <c r="F688" t="str">
        <f t="shared" si="53"/>
        <v>L</v>
      </c>
      <c r="G688" t="s">
        <v>835</v>
      </c>
      <c r="H688">
        <v>1</v>
      </c>
      <c r="I688">
        <v>7.1499999999999994E-2</v>
      </c>
      <c r="J688" t="str">
        <f t="shared" si="54"/>
        <v>LUL000SUNLI0LULFER</v>
      </c>
      <c r="K688">
        <f>_xlfn.IFNA(IF(F688="H",VLOOKUP(E688,Fertiliser_data!$E$7:$L$267,8,FALSE),VLOOKUP(E688,Fertiliser_data!$E$7:$L$267,8,FALSE)*0.65),IF(F688="H",0.038,(0.038*0.65)))</f>
        <v>2.47E-2</v>
      </c>
      <c r="L688">
        <f>IF($C688="IE",$K688*CF_231025!$E$16,$K688/VLOOKUP($C688,CF_231025!$A$2:$E$28,5,FALSE))</f>
        <v>1.5167927615161865E-2</v>
      </c>
    </row>
    <row r="689" spans="1:12" x14ac:dyDescent="0.25">
      <c r="A689" t="s">
        <v>136</v>
      </c>
      <c r="B689" t="s">
        <v>842</v>
      </c>
      <c r="C689" t="str">
        <f t="shared" si="51"/>
        <v>LU</v>
      </c>
      <c r="D689" t="str">
        <f t="shared" si="52"/>
        <v>SUN</v>
      </c>
      <c r="E689" t="str">
        <f t="shared" si="50"/>
        <v>LUSUN</v>
      </c>
      <c r="F689" t="str">
        <f t="shared" si="53"/>
        <v>L</v>
      </c>
      <c r="G689" t="s">
        <v>835</v>
      </c>
      <c r="H689">
        <v>1</v>
      </c>
      <c r="I689">
        <v>7.1499999999999994E-2</v>
      </c>
      <c r="J689" t="str">
        <f t="shared" si="54"/>
        <v>LUL000SUNLR0LULFER</v>
      </c>
      <c r="K689">
        <f>_xlfn.IFNA(IF(F689="H",VLOOKUP(E689,Fertiliser_data!$E$7:$L$267,8,FALSE),VLOOKUP(E689,Fertiliser_data!$E$7:$L$267,8,FALSE)*0.65),IF(F689="H",0.038,(0.038*0.65)))</f>
        <v>2.47E-2</v>
      </c>
      <c r="L689">
        <f>IF($C689="IE",$K689*CF_231025!$E$16,$K689/VLOOKUP($C689,CF_231025!$A$2:$E$28,5,FALSE))</f>
        <v>1.5167927615161865E-2</v>
      </c>
    </row>
    <row r="690" spans="1:12" x14ac:dyDescent="0.25">
      <c r="A690" t="s">
        <v>136</v>
      </c>
      <c r="B690" t="s">
        <v>843</v>
      </c>
      <c r="C690" t="str">
        <f t="shared" si="51"/>
        <v>LU</v>
      </c>
      <c r="D690" t="str">
        <f t="shared" si="52"/>
        <v>OAT</v>
      </c>
      <c r="E690" t="str">
        <f t="shared" si="50"/>
        <v>LUOAT</v>
      </c>
      <c r="F690" t="str">
        <f t="shared" si="53"/>
        <v>H</v>
      </c>
      <c r="G690" t="s">
        <v>835</v>
      </c>
      <c r="H690">
        <v>1</v>
      </c>
      <c r="I690">
        <v>0.112</v>
      </c>
      <c r="J690" t="str">
        <f t="shared" si="54"/>
        <v>LUL000OATHI0LULFER</v>
      </c>
      <c r="K690">
        <f>_xlfn.IFNA(IF(F690="H",VLOOKUP(E690,Fertiliser_data!$E$7:$L$267,8,FALSE),VLOOKUP(E690,Fertiliser_data!$E$7:$L$267,8,FALSE)*0.65),IF(F690="H",0.038,(0.038*0.65)))</f>
        <v>3.8131343283582093E-2</v>
      </c>
      <c r="L690">
        <f>IF($C690="IE",$K690*CF_231025!$E$16,$K690/VLOOKUP($C690,CF_231025!$A$2:$E$28,5,FALSE))</f>
        <v>2.3415929343897236E-2</v>
      </c>
    </row>
    <row r="691" spans="1:12" x14ac:dyDescent="0.25">
      <c r="A691" t="s">
        <v>136</v>
      </c>
      <c r="B691" t="s">
        <v>844</v>
      </c>
      <c r="C691" t="str">
        <f t="shared" si="51"/>
        <v>LU</v>
      </c>
      <c r="D691" t="str">
        <f t="shared" si="52"/>
        <v>OAT</v>
      </c>
      <c r="E691" t="str">
        <f t="shared" si="50"/>
        <v>LUOAT</v>
      </c>
      <c r="F691" t="str">
        <f t="shared" si="53"/>
        <v>H</v>
      </c>
      <c r="G691" t="s">
        <v>835</v>
      </c>
      <c r="H691">
        <v>1</v>
      </c>
      <c r="I691">
        <v>0.112</v>
      </c>
      <c r="J691" t="str">
        <f t="shared" si="54"/>
        <v>LUL000OATHR0LULFER</v>
      </c>
      <c r="K691">
        <f>_xlfn.IFNA(IF(F691="H",VLOOKUP(E691,Fertiliser_data!$E$7:$L$267,8,FALSE),VLOOKUP(E691,Fertiliser_data!$E$7:$L$267,8,FALSE)*0.65),IF(F691="H",0.038,(0.038*0.65)))</f>
        <v>3.8131343283582093E-2</v>
      </c>
      <c r="L691">
        <f>IF($C691="IE",$K691*CF_231025!$E$16,$K691/VLOOKUP($C691,CF_231025!$A$2:$E$28,5,FALSE))</f>
        <v>2.3415929343897236E-2</v>
      </c>
    </row>
    <row r="692" spans="1:12" x14ac:dyDescent="0.25">
      <c r="A692" t="s">
        <v>136</v>
      </c>
      <c r="B692" t="s">
        <v>845</v>
      </c>
      <c r="C692" t="str">
        <f t="shared" si="51"/>
        <v>LU</v>
      </c>
      <c r="D692" t="str">
        <f t="shared" si="52"/>
        <v>OAT</v>
      </c>
      <c r="E692" t="str">
        <f t="shared" si="50"/>
        <v>LUOAT</v>
      </c>
      <c r="F692" t="str">
        <f t="shared" si="53"/>
        <v>L</v>
      </c>
      <c r="G692" t="s">
        <v>835</v>
      </c>
      <c r="H692">
        <v>1</v>
      </c>
      <c r="I692">
        <v>4.1599999999999998E-2</v>
      </c>
      <c r="J692" t="str">
        <f t="shared" si="54"/>
        <v>LUL000OATLI0LULFER</v>
      </c>
      <c r="K692">
        <f>_xlfn.IFNA(IF(F692="H",VLOOKUP(E692,Fertiliser_data!$E$7:$L$267,8,FALSE),VLOOKUP(E692,Fertiliser_data!$E$7:$L$267,8,FALSE)*0.65),IF(F692="H",0.038,(0.038*0.65)))</f>
        <v>2.478537313432836E-2</v>
      </c>
      <c r="L692">
        <f>IF($C692="IE",$K692*CF_231025!$E$16,$K692/VLOOKUP($C692,CF_231025!$A$2:$E$28,5,FALSE))</f>
        <v>1.5220354073533204E-2</v>
      </c>
    </row>
    <row r="693" spans="1:12" x14ac:dyDescent="0.25">
      <c r="A693" t="s">
        <v>136</v>
      </c>
      <c r="B693" t="s">
        <v>846</v>
      </c>
      <c r="C693" t="str">
        <f t="shared" si="51"/>
        <v>LU</v>
      </c>
      <c r="D693" t="str">
        <f t="shared" si="52"/>
        <v>OAT</v>
      </c>
      <c r="E693" t="str">
        <f t="shared" si="50"/>
        <v>LUOAT</v>
      </c>
      <c r="F693" t="str">
        <f t="shared" si="53"/>
        <v>L</v>
      </c>
      <c r="G693" t="s">
        <v>835</v>
      </c>
      <c r="H693">
        <v>1</v>
      </c>
      <c r="I693">
        <v>4.1599999999999998E-2</v>
      </c>
      <c r="J693" t="str">
        <f t="shared" si="54"/>
        <v>LUL000OATLR0LULFER</v>
      </c>
      <c r="K693">
        <f>_xlfn.IFNA(IF(F693="H",VLOOKUP(E693,Fertiliser_data!$E$7:$L$267,8,FALSE),VLOOKUP(E693,Fertiliser_data!$E$7:$L$267,8,FALSE)*0.65),IF(F693="H",0.038,(0.038*0.65)))</f>
        <v>2.478537313432836E-2</v>
      </c>
      <c r="L693">
        <f>IF($C693="IE",$K693*CF_231025!$E$16,$K693/VLOOKUP($C693,CF_231025!$A$2:$E$28,5,FALSE))</f>
        <v>1.5220354073533204E-2</v>
      </c>
    </row>
    <row r="694" spans="1:12" x14ac:dyDescent="0.25">
      <c r="A694" t="s">
        <v>136</v>
      </c>
      <c r="B694" t="s">
        <v>847</v>
      </c>
      <c r="C694" t="str">
        <f t="shared" si="51"/>
        <v>LU</v>
      </c>
      <c r="D694" t="str">
        <f t="shared" si="52"/>
        <v>PEA</v>
      </c>
      <c r="E694" t="str">
        <f t="shared" si="50"/>
        <v>LUPEA</v>
      </c>
      <c r="F694" t="str">
        <f t="shared" si="53"/>
        <v>H</v>
      </c>
      <c r="G694" t="s">
        <v>835</v>
      </c>
      <c r="H694">
        <v>1</v>
      </c>
      <c r="I694">
        <v>0.16980000000000001</v>
      </c>
      <c r="J694" t="str">
        <f t="shared" si="54"/>
        <v>LUL000PEAHI0LULFER</v>
      </c>
      <c r="K694">
        <f>_xlfn.IFNA(IF(F694="H",VLOOKUP(E694,Fertiliser_data!$E$7:$L$267,8,FALSE),VLOOKUP(E694,Fertiliser_data!$E$7:$L$267,8,FALSE)*0.65),IF(F694="H",0.038,(0.038*0.65)))</f>
        <v>1.1676119402985075E-2</v>
      </c>
      <c r="L694">
        <f>IF($C694="IE",$K694*CF_231025!$E$16,$K694/VLOOKUP($C694,CF_231025!$A$2:$E$28,5,FALSE))</f>
        <v>7.1701430741078782E-3</v>
      </c>
    </row>
    <row r="695" spans="1:12" x14ac:dyDescent="0.25">
      <c r="A695" t="s">
        <v>136</v>
      </c>
      <c r="B695" t="s">
        <v>848</v>
      </c>
      <c r="C695" t="str">
        <f t="shared" si="51"/>
        <v>LU</v>
      </c>
      <c r="D695" t="str">
        <f t="shared" si="52"/>
        <v>PEA</v>
      </c>
      <c r="E695" t="str">
        <f t="shared" si="50"/>
        <v>LUPEA</v>
      </c>
      <c r="F695" t="str">
        <f t="shared" si="53"/>
        <v>H</v>
      </c>
      <c r="G695" t="s">
        <v>835</v>
      </c>
      <c r="H695">
        <v>1</v>
      </c>
      <c r="I695">
        <v>0.16980000000000001</v>
      </c>
      <c r="J695" t="str">
        <f t="shared" si="54"/>
        <v>LUL000PEAHR0LULFER</v>
      </c>
      <c r="K695">
        <f>_xlfn.IFNA(IF(F695="H",VLOOKUP(E695,Fertiliser_data!$E$7:$L$267,8,FALSE),VLOOKUP(E695,Fertiliser_data!$E$7:$L$267,8,FALSE)*0.65),IF(F695="H",0.038,(0.038*0.65)))</f>
        <v>1.1676119402985075E-2</v>
      </c>
      <c r="L695">
        <f>IF($C695="IE",$K695*CF_231025!$E$16,$K695/VLOOKUP($C695,CF_231025!$A$2:$E$28,5,FALSE))</f>
        <v>7.1701430741078782E-3</v>
      </c>
    </row>
    <row r="696" spans="1:12" x14ac:dyDescent="0.25">
      <c r="A696" t="s">
        <v>136</v>
      </c>
      <c r="B696" t="s">
        <v>849</v>
      </c>
      <c r="C696" t="str">
        <f t="shared" si="51"/>
        <v>LU</v>
      </c>
      <c r="D696" t="str">
        <f t="shared" si="52"/>
        <v>PEA</v>
      </c>
      <c r="E696" t="str">
        <f t="shared" si="50"/>
        <v>LUPEA</v>
      </c>
      <c r="F696" t="str">
        <f t="shared" si="53"/>
        <v>L</v>
      </c>
      <c r="G696" t="s">
        <v>835</v>
      </c>
      <c r="H696">
        <v>1</v>
      </c>
      <c r="I696">
        <v>6.3100000000000003E-2</v>
      </c>
      <c r="J696" t="str">
        <f t="shared" si="54"/>
        <v>LUL000PEALI0LULFER</v>
      </c>
      <c r="K696">
        <f>_xlfn.IFNA(IF(F696="H",VLOOKUP(E696,Fertiliser_data!$E$7:$L$267,8,FALSE),VLOOKUP(E696,Fertiliser_data!$E$7:$L$267,8,FALSE)*0.65),IF(F696="H",0.038,(0.038*0.65)))</f>
        <v>7.5894776119402986E-3</v>
      </c>
      <c r="L696">
        <f>IF($C696="IE",$K696*CF_231025!$E$16,$K696/VLOOKUP($C696,CF_231025!$A$2:$E$28,5,FALSE))</f>
        <v>4.6605929981701211E-3</v>
      </c>
    </row>
    <row r="697" spans="1:12" x14ac:dyDescent="0.25">
      <c r="A697" t="s">
        <v>136</v>
      </c>
      <c r="B697" t="s">
        <v>850</v>
      </c>
      <c r="C697" t="str">
        <f t="shared" si="51"/>
        <v>LU</v>
      </c>
      <c r="D697" t="str">
        <f t="shared" si="52"/>
        <v>PEA</v>
      </c>
      <c r="E697" t="str">
        <f t="shared" si="50"/>
        <v>LUPEA</v>
      </c>
      <c r="F697" t="str">
        <f t="shared" si="53"/>
        <v>L</v>
      </c>
      <c r="G697" t="s">
        <v>835</v>
      </c>
      <c r="H697">
        <v>1</v>
      </c>
      <c r="I697">
        <v>6.3100000000000003E-2</v>
      </c>
      <c r="J697" t="str">
        <f t="shared" si="54"/>
        <v>LUL000PEALR0LULFER</v>
      </c>
      <c r="K697">
        <f>_xlfn.IFNA(IF(F697="H",VLOOKUP(E697,Fertiliser_data!$E$7:$L$267,8,FALSE),VLOOKUP(E697,Fertiliser_data!$E$7:$L$267,8,FALSE)*0.65),IF(F697="H",0.038,(0.038*0.65)))</f>
        <v>7.5894776119402986E-3</v>
      </c>
      <c r="L697">
        <f>IF($C697="IE",$K697*CF_231025!$E$16,$K697/VLOOKUP($C697,CF_231025!$A$2:$E$28,5,FALSE))</f>
        <v>4.6605929981701211E-3</v>
      </c>
    </row>
    <row r="698" spans="1:12" x14ac:dyDescent="0.25">
      <c r="A698" t="s">
        <v>136</v>
      </c>
      <c r="B698" t="s">
        <v>851</v>
      </c>
      <c r="C698" t="str">
        <f t="shared" si="51"/>
        <v>LU</v>
      </c>
      <c r="D698" t="str">
        <f t="shared" si="52"/>
        <v>OTH</v>
      </c>
      <c r="E698" t="str">
        <f t="shared" si="50"/>
        <v>LUOTH</v>
      </c>
      <c r="F698" t="str">
        <f t="shared" si="53"/>
        <v>H</v>
      </c>
      <c r="G698" t="s">
        <v>835</v>
      </c>
      <c r="H698">
        <v>1</v>
      </c>
      <c r="I698">
        <v>0.16980000000000001</v>
      </c>
      <c r="J698" t="str">
        <f t="shared" si="54"/>
        <v>LUL000OTHHI0LULFER</v>
      </c>
      <c r="K698">
        <f>_xlfn.IFNA(IF(F698="H",VLOOKUP(E698,Fertiliser_data!$E$7:$L$267,8,FALSE),VLOOKUP(E698,Fertiliser_data!$E$7:$L$267,8,FALSE)*0.65),IF(F698="H",0.038,(0.038*0.65)))</f>
        <v>3.7999999999999999E-2</v>
      </c>
      <c r="L698">
        <f>IF($C698="IE",$K698*CF_231025!$E$16,$K698/VLOOKUP($C698,CF_231025!$A$2:$E$28,5,FALSE))</f>
        <v>2.3335273254095176E-2</v>
      </c>
    </row>
    <row r="699" spans="1:12" x14ac:dyDescent="0.25">
      <c r="A699" t="s">
        <v>136</v>
      </c>
      <c r="B699" t="s">
        <v>852</v>
      </c>
      <c r="C699" t="str">
        <f t="shared" si="51"/>
        <v>LU</v>
      </c>
      <c r="D699" t="str">
        <f t="shared" si="52"/>
        <v>OTH</v>
      </c>
      <c r="E699" t="str">
        <f t="shared" si="50"/>
        <v>LUOTH</v>
      </c>
      <c r="F699" t="str">
        <f t="shared" si="53"/>
        <v>H</v>
      </c>
      <c r="G699" t="s">
        <v>835</v>
      </c>
      <c r="H699">
        <v>1</v>
      </c>
      <c r="I699">
        <v>0.16980000000000001</v>
      </c>
      <c r="J699" t="str">
        <f t="shared" si="54"/>
        <v>LUL000OTHHR0LULFER</v>
      </c>
      <c r="K699">
        <f>_xlfn.IFNA(IF(F699="H",VLOOKUP(E699,Fertiliser_data!$E$7:$L$267,8,FALSE),VLOOKUP(E699,Fertiliser_data!$E$7:$L$267,8,FALSE)*0.65),IF(F699="H",0.038,(0.038*0.65)))</f>
        <v>3.7999999999999999E-2</v>
      </c>
      <c r="L699">
        <f>IF($C699="IE",$K699*CF_231025!$E$16,$K699/VLOOKUP($C699,CF_231025!$A$2:$E$28,5,FALSE))</f>
        <v>2.3335273254095176E-2</v>
      </c>
    </row>
    <row r="700" spans="1:12" x14ac:dyDescent="0.25">
      <c r="A700" t="s">
        <v>136</v>
      </c>
      <c r="B700" t="s">
        <v>853</v>
      </c>
      <c r="C700" t="str">
        <f t="shared" si="51"/>
        <v>LU</v>
      </c>
      <c r="D700" t="str">
        <f t="shared" si="52"/>
        <v>OTH</v>
      </c>
      <c r="E700" t="str">
        <f t="shared" si="50"/>
        <v>LUOTH</v>
      </c>
      <c r="F700" t="str">
        <f t="shared" si="53"/>
        <v>L</v>
      </c>
      <c r="G700" t="s">
        <v>835</v>
      </c>
      <c r="H700">
        <v>1</v>
      </c>
      <c r="I700">
        <v>6.3100000000000003E-2</v>
      </c>
      <c r="J700" t="str">
        <f t="shared" si="54"/>
        <v>LUL000OTHLI0LULFER</v>
      </c>
      <c r="K700">
        <f>_xlfn.IFNA(IF(F700="H",VLOOKUP(E700,Fertiliser_data!$E$7:$L$267,8,FALSE),VLOOKUP(E700,Fertiliser_data!$E$7:$L$267,8,FALSE)*0.65),IF(F700="H",0.038,(0.038*0.65)))</f>
        <v>2.47E-2</v>
      </c>
      <c r="L700">
        <f>IF($C700="IE",$K700*CF_231025!$E$16,$K700/VLOOKUP($C700,CF_231025!$A$2:$E$28,5,FALSE))</f>
        <v>1.5167927615161865E-2</v>
      </c>
    </row>
    <row r="701" spans="1:12" x14ac:dyDescent="0.25">
      <c r="A701" t="s">
        <v>136</v>
      </c>
      <c r="B701" t="s">
        <v>854</v>
      </c>
      <c r="C701" t="str">
        <f t="shared" si="51"/>
        <v>LU</v>
      </c>
      <c r="D701" t="str">
        <f t="shared" si="52"/>
        <v>OTH</v>
      </c>
      <c r="E701" t="str">
        <f t="shared" si="50"/>
        <v>LUOTH</v>
      </c>
      <c r="F701" t="str">
        <f t="shared" si="53"/>
        <v>L</v>
      </c>
      <c r="G701" t="s">
        <v>835</v>
      </c>
      <c r="H701">
        <v>1</v>
      </c>
      <c r="I701">
        <v>6.3100000000000003E-2</v>
      </c>
      <c r="J701" t="str">
        <f t="shared" si="54"/>
        <v>LUL000OTHLR0LULFER</v>
      </c>
      <c r="K701">
        <f>_xlfn.IFNA(IF(F701="H",VLOOKUP(E701,Fertiliser_data!$E$7:$L$267,8,FALSE),VLOOKUP(E701,Fertiliser_data!$E$7:$L$267,8,FALSE)*0.65),IF(F701="H",0.038,(0.038*0.65)))</f>
        <v>2.47E-2</v>
      </c>
      <c r="L701">
        <f>IF($C701="IE",$K701*CF_231025!$E$16,$K701/VLOOKUP($C701,CF_231025!$A$2:$E$28,5,FALSE))</f>
        <v>1.5167927615161865E-2</v>
      </c>
    </row>
    <row r="702" spans="1:12" x14ac:dyDescent="0.25">
      <c r="A702" t="s">
        <v>136</v>
      </c>
      <c r="B702" t="s">
        <v>855</v>
      </c>
      <c r="C702" t="str">
        <f t="shared" si="51"/>
        <v>LU</v>
      </c>
      <c r="D702" t="str">
        <f t="shared" si="52"/>
        <v>POT</v>
      </c>
      <c r="E702" t="str">
        <f t="shared" si="50"/>
        <v>LUPOT</v>
      </c>
      <c r="F702" t="str">
        <f t="shared" si="53"/>
        <v>H</v>
      </c>
      <c r="G702" t="s">
        <v>835</v>
      </c>
      <c r="H702">
        <v>1</v>
      </c>
      <c r="I702">
        <v>0.16980000000000001</v>
      </c>
      <c r="J702" t="str">
        <f t="shared" si="54"/>
        <v>LUL000POTHI0LULFER</v>
      </c>
      <c r="K702">
        <f>_xlfn.IFNA(IF(F702="H",VLOOKUP(E702,Fertiliser_data!$E$7:$L$267,8,FALSE),VLOOKUP(E702,Fertiliser_data!$E$7:$L$267,8,FALSE)*0.65),IF(F702="H",0.038,(0.038*0.65)))</f>
        <v>9.3450746268656723E-2</v>
      </c>
      <c r="L702">
        <f>IF($C702="IE",$K702*CF_231025!$E$16,$K702/VLOOKUP($C702,CF_231025!$A$2:$E$28,5,FALSE))</f>
        <v>5.7386807894163679E-2</v>
      </c>
    </row>
    <row r="703" spans="1:12" x14ac:dyDescent="0.25">
      <c r="A703" t="s">
        <v>136</v>
      </c>
      <c r="B703" t="s">
        <v>856</v>
      </c>
      <c r="C703" t="str">
        <f t="shared" si="51"/>
        <v>LU</v>
      </c>
      <c r="D703" t="str">
        <f t="shared" si="52"/>
        <v>POT</v>
      </c>
      <c r="E703" t="str">
        <f t="shared" si="50"/>
        <v>LUPOT</v>
      </c>
      <c r="F703" t="str">
        <f t="shared" si="53"/>
        <v>H</v>
      </c>
      <c r="G703" t="s">
        <v>835</v>
      </c>
      <c r="H703">
        <v>1</v>
      </c>
      <c r="I703">
        <v>0.16980000000000001</v>
      </c>
      <c r="J703" t="str">
        <f t="shared" si="54"/>
        <v>LUL000POTHR0LULFER</v>
      </c>
      <c r="K703">
        <f>_xlfn.IFNA(IF(F703="H",VLOOKUP(E703,Fertiliser_data!$E$7:$L$267,8,FALSE),VLOOKUP(E703,Fertiliser_data!$E$7:$L$267,8,FALSE)*0.65),IF(F703="H",0.038,(0.038*0.65)))</f>
        <v>9.3450746268656723E-2</v>
      </c>
      <c r="L703">
        <f>IF($C703="IE",$K703*CF_231025!$E$16,$K703/VLOOKUP($C703,CF_231025!$A$2:$E$28,5,FALSE))</f>
        <v>5.7386807894163679E-2</v>
      </c>
    </row>
    <row r="704" spans="1:12" x14ac:dyDescent="0.25">
      <c r="A704" t="s">
        <v>136</v>
      </c>
      <c r="B704" t="s">
        <v>857</v>
      </c>
      <c r="C704" t="str">
        <f t="shared" si="51"/>
        <v>LU</v>
      </c>
      <c r="D704" t="str">
        <f t="shared" si="52"/>
        <v>POT</v>
      </c>
      <c r="E704" t="str">
        <f t="shared" si="50"/>
        <v>LUPOT</v>
      </c>
      <c r="F704" t="str">
        <f t="shared" si="53"/>
        <v>L</v>
      </c>
      <c r="G704" t="s">
        <v>835</v>
      </c>
      <c r="H704">
        <v>1</v>
      </c>
      <c r="I704">
        <v>6.3100000000000003E-2</v>
      </c>
      <c r="J704" t="str">
        <f t="shared" si="54"/>
        <v>LUL000POTLI0LULFER</v>
      </c>
      <c r="K704">
        <f>_xlfn.IFNA(IF(F704="H",VLOOKUP(E704,Fertiliser_data!$E$7:$L$267,8,FALSE),VLOOKUP(E704,Fertiliser_data!$E$7:$L$267,8,FALSE)*0.65),IF(F704="H",0.038,(0.038*0.65)))</f>
        <v>6.0742985074626873E-2</v>
      </c>
      <c r="L704">
        <f>IF($C704="IE",$K704*CF_231025!$E$16,$K704/VLOOKUP($C704,CF_231025!$A$2:$E$28,5,FALSE))</f>
        <v>3.7301425131206392E-2</v>
      </c>
    </row>
    <row r="705" spans="1:12" x14ac:dyDescent="0.25">
      <c r="A705" t="s">
        <v>136</v>
      </c>
      <c r="B705" t="s">
        <v>858</v>
      </c>
      <c r="C705" t="str">
        <f t="shared" si="51"/>
        <v>LU</v>
      </c>
      <c r="D705" t="str">
        <f t="shared" si="52"/>
        <v>POT</v>
      </c>
      <c r="E705" t="str">
        <f t="shared" si="50"/>
        <v>LUPOT</v>
      </c>
      <c r="F705" t="str">
        <f t="shared" si="53"/>
        <v>L</v>
      </c>
      <c r="G705" t="s">
        <v>835</v>
      </c>
      <c r="H705">
        <v>1</v>
      </c>
      <c r="I705">
        <v>6.3100000000000003E-2</v>
      </c>
      <c r="J705" t="str">
        <f t="shared" si="54"/>
        <v>LUL000POTLR0LULFER</v>
      </c>
      <c r="K705">
        <f>_xlfn.IFNA(IF(F705="H",VLOOKUP(E705,Fertiliser_data!$E$7:$L$267,8,FALSE),VLOOKUP(E705,Fertiliser_data!$E$7:$L$267,8,FALSE)*0.65),IF(F705="H",0.038,(0.038*0.65)))</f>
        <v>6.0742985074626873E-2</v>
      </c>
      <c r="L705">
        <f>IF($C705="IE",$K705*CF_231025!$E$16,$K705/VLOOKUP($C705,CF_231025!$A$2:$E$28,5,FALSE))</f>
        <v>3.7301425131206392E-2</v>
      </c>
    </row>
    <row r="706" spans="1:12" x14ac:dyDescent="0.25">
      <c r="A706" t="s">
        <v>136</v>
      </c>
      <c r="B706" t="s">
        <v>859</v>
      </c>
      <c r="C706" t="str">
        <f t="shared" si="51"/>
        <v>LU</v>
      </c>
      <c r="D706" t="str">
        <f t="shared" si="52"/>
        <v>BRL</v>
      </c>
      <c r="E706" t="str">
        <f t="shared" ref="E706:E769" si="55">C706&amp;D706</f>
        <v>LUBRL</v>
      </c>
      <c r="F706" t="str">
        <f t="shared" si="53"/>
        <v>H</v>
      </c>
      <c r="G706" t="s">
        <v>835</v>
      </c>
      <c r="H706">
        <v>1</v>
      </c>
      <c r="I706">
        <v>0.154</v>
      </c>
      <c r="J706" t="str">
        <f t="shared" si="54"/>
        <v>LUL000BRLHI0LULFER</v>
      </c>
      <c r="K706">
        <f>_xlfn.IFNA(IF(F706="H",VLOOKUP(E706,Fertiliser_data!$E$7:$L$267,8,FALSE),VLOOKUP(E706,Fertiliser_data!$E$7:$L$267,8,FALSE)*0.65),IF(F706="H",0.038,(0.038*0.65)))</f>
        <v>4.3205970149253731E-2</v>
      </c>
      <c r="L706">
        <f>IF($C706="IE",$K706*CF_231025!$E$16,$K706/VLOOKUP($C706,CF_231025!$A$2:$E$28,5,FALSE))</f>
        <v>2.6532187358976715E-2</v>
      </c>
    </row>
    <row r="707" spans="1:12" x14ac:dyDescent="0.25">
      <c r="A707" t="s">
        <v>136</v>
      </c>
      <c r="B707" t="s">
        <v>860</v>
      </c>
      <c r="C707" t="str">
        <f t="shared" ref="C707:C770" si="56">LEFT(B707,2)</f>
        <v>LU</v>
      </c>
      <c r="D707" t="str">
        <f t="shared" ref="D707:D770" si="57">MID(B707,7,3)</f>
        <v>BRL</v>
      </c>
      <c r="E707" t="str">
        <f t="shared" si="55"/>
        <v>LUBRL</v>
      </c>
      <c r="F707" t="str">
        <f t="shared" ref="F707:F770" si="58">MID(B707,10,1)</f>
        <v>H</v>
      </c>
      <c r="G707" t="s">
        <v>835</v>
      </c>
      <c r="H707">
        <v>1</v>
      </c>
      <c r="I707">
        <v>0.154</v>
      </c>
      <c r="J707" t="str">
        <f t="shared" ref="J707:J770" si="59">B707&amp;G707</f>
        <v>LUL000BRLHR0LULFER</v>
      </c>
      <c r="K707">
        <f>_xlfn.IFNA(IF(F707="H",VLOOKUP(E707,Fertiliser_data!$E$7:$L$267,8,FALSE),VLOOKUP(E707,Fertiliser_data!$E$7:$L$267,8,FALSE)*0.65),IF(F707="H",0.038,(0.038*0.65)))</f>
        <v>4.3205970149253731E-2</v>
      </c>
      <c r="L707">
        <f>IF($C707="IE",$K707*CF_231025!$E$16,$K707/VLOOKUP($C707,CF_231025!$A$2:$E$28,5,FALSE))</f>
        <v>2.6532187358976715E-2</v>
      </c>
    </row>
    <row r="708" spans="1:12" x14ac:dyDescent="0.25">
      <c r="A708" t="s">
        <v>136</v>
      </c>
      <c r="B708" t="s">
        <v>861</v>
      </c>
      <c r="C708" t="str">
        <f t="shared" si="56"/>
        <v>LU</v>
      </c>
      <c r="D708" t="str">
        <f t="shared" si="57"/>
        <v>BRL</v>
      </c>
      <c r="E708" t="str">
        <f t="shared" si="55"/>
        <v>LUBRL</v>
      </c>
      <c r="F708" t="str">
        <f t="shared" si="58"/>
        <v>L</v>
      </c>
      <c r="G708" t="s">
        <v>835</v>
      </c>
      <c r="H708">
        <v>1</v>
      </c>
      <c r="I708">
        <v>5.7200000000000001E-2</v>
      </c>
      <c r="J708" t="str">
        <f t="shared" si="59"/>
        <v>LUL000BRLLI0LULFER</v>
      </c>
      <c r="K708">
        <f>_xlfn.IFNA(IF(F708="H",VLOOKUP(E708,Fertiliser_data!$E$7:$L$267,8,FALSE),VLOOKUP(E708,Fertiliser_data!$E$7:$L$267,8,FALSE)*0.65),IF(F708="H",0.038,(0.038*0.65)))</f>
        <v>2.8083880597014926E-2</v>
      </c>
      <c r="L708">
        <f>IF($C708="IE",$K708*CF_231025!$E$16,$K708/VLOOKUP($C708,CF_231025!$A$2:$E$28,5,FALSE))</f>
        <v>1.7245921783334867E-2</v>
      </c>
    </row>
    <row r="709" spans="1:12" x14ac:dyDescent="0.25">
      <c r="A709" t="s">
        <v>136</v>
      </c>
      <c r="B709" t="s">
        <v>862</v>
      </c>
      <c r="C709" t="str">
        <f t="shared" si="56"/>
        <v>LU</v>
      </c>
      <c r="D709" t="str">
        <f t="shared" si="57"/>
        <v>BRL</v>
      </c>
      <c r="E709" t="str">
        <f t="shared" si="55"/>
        <v>LUBRL</v>
      </c>
      <c r="F709" t="str">
        <f t="shared" si="58"/>
        <v>L</v>
      </c>
      <c r="G709" t="s">
        <v>835</v>
      </c>
      <c r="H709">
        <v>1</v>
      </c>
      <c r="I709">
        <v>5.7200000000000001E-2</v>
      </c>
      <c r="J709" t="str">
        <f t="shared" si="59"/>
        <v>LUL000BRLLR0LULFER</v>
      </c>
      <c r="K709">
        <f>_xlfn.IFNA(IF(F709="H",VLOOKUP(E709,Fertiliser_data!$E$7:$L$267,8,FALSE),VLOOKUP(E709,Fertiliser_data!$E$7:$L$267,8,FALSE)*0.65),IF(F709="H",0.038,(0.038*0.65)))</f>
        <v>2.8083880597014926E-2</v>
      </c>
      <c r="L709">
        <f>IF($C709="IE",$K709*CF_231025!$E$16,$K709/VLOOKUP($C709,CF_231025!$A$2:$E$28,5,FALSE))</f>
        <v>1.7245921783334867E-2</v>
      </c>
    </row>
    <row r="710" spans="1:12" x14ac:dyDescent="0.25">
      <c r="A710" t="s">
        <v>136</v>
      </c>
      <c r="B710" t="s">
        <v>863</v>
      </c>
      <c r="C710" t="str">
        <f t="shared" si="56"/>
        <v>LU</v>
      </c>
      <c r="D710" t="str">
        <f t="shared" si="57"/>
        <v>RAP</v>
      </c>
      <c r="E710" t="str">
        <f t="shared" si="55"/>
        <v>LURAP</v>
      </c>
      <c r="F710" t="str">
        <f t="shared" si="58"/>
        <v>H</v>
      </c>
      <c r="G710" t="s">
        <v>835</v>
      </c>
      <c r="H710">
        <v>1</v>
      </c>
      <c r="I710">
        <v>0.25900000000000001</v>
      </c>
      <c r="J710" t="str">
        <f t="shared" si="59"/>
        <v>LUL000RAPHI0LULFER</v>
      </c>
      <c r="K710">
        <f>_xlfn.IFNA(IF(F710="H",VLOOKUP(E710,Fertiliser_data!$E$7:$L$267,8,FALSE),VLOOKUP(E710,Fertiliser_data!$E$7:$L$267,8,FALSE)*0.65),IF(F710="H",0.038,(0.038*0.65)))</f>
        <v>8.7813432835820895E-2</v>
      </c>
      <c r="L710">
        <f>IF($C710="IE",$K710*CF_231025!$E$16,$K710/VLOOKUP($C710,CF_231025!$A$2:$E$28,5,FALSE))</f>
        <v>5.3925011858000381E-2</v>
      </c>
    </row>
    <row r="711" spans="1:12" x14ac:dyDescent="0.25">
      <c r="A711" t="s">
        <v>136</v>
      </c>
      <c r="B711" t="s">
        <v>864</v>
      </c>
      <c r="C711" t="str">
        <f t="shared" si="56"/>
        <v>LU</v>
      </c>
      <c r="D711" t="str">
        <f t="shared" si="57"/>
        <v>RAP</v>
      </c>
      <c r="E711" t="str">
        <f t="shared" si="55"/>
        <v>LURAP</v>
      </c>
      <c r="F711" t="str">
        <f t="shared" si="58"/>
        <v>H</v>
      </c>
      <c r="G711" t="s">
        <v>835</v>
      </c>
      <c r="H711">
        <v>1</v>
      </c>
      <c r="I711">
        <v>0.25900000000000001</v>
      </c>
      <c r="J711" t="str">
        <f t="shared" si="59"/>
        <v>LUL000RAPHR0LULFER</v>
      </c>
      <c r="K711">
        <f>_xlfn.IFNA(IF(F711="H",VLOOKUP(E711,Fertiliser_data!$E$7:$L$267,8,FALSE),VLOOKUP(E711,Fertiliser_data!$E$7:$L$267,8,FALSE)*0.65),IF(F711="H",0.038,(0.038*0.65)))</f>
        <v>8.7813432835820895E-2</v>
      </c>
      <c r="L711">
        <f>IF($C711="IE",$K711*CF_231025!$E$16,$K711/VLOOKUP($C711,CF_231025!$A$2:$E$28,5,FALSE))</f>
        <v>5.3925011858000381E-2</v>
      </c>
    </row>
    <row r="712" spans="1:12" x14ac:dyDescent="0.25">
      <c r="A712" t="s">
        <v>136</v>
      </c>
      <c r="B712" t="s">
        <v>865</v>
      </c>
      <c r="C712" t="str">
        <f t="shared" si="56"/>
        <v>LU</v>
      </c>
      <c r="D712" t="str">
        <f t="shared" si="57"/>
        <v>RAP</v>
      </c>
      <c r="E712" t="str">
        <f t="shared" si="55"/>
        <v>LURAP</v>
      </c>
      <c r="F712" t="str">
        <f t="shared" si="58"/>
        <v>L</v>
      </c>
      <c r="G712" t="s">
        <v>835</v>
      </c>
      <c r="H712">
        <v>1</v>
      </c>
      <c r="I712">
        <v>9.6199999999999994E-2</v>
      </c>
      <c r="J712" t="str">
        <f t="shared" si="59"/>
        <v>LUL000RAPLI0LULFER</v>
      </c>
      <c r="K712">
        <f>_xlfn.IFNA(IF(F712="H",VLOOKUP(E712,Fertiliser_data!$E$7:$L$267,8,FALSE),VLOOKUP(E712,Fertiliser_data!$E$7:$L$267,8,FALSE)*0.65),IF(F712="H",0.038,(0.038*0.65)))</f>
        <v>5.7078731343283583E-2</v>
      </c>
      <c r="L712">
        <f>IF($C712="IE",$K712*CF_231025!$E$16,$K712/VLOOKUP($C712,CF_231025!$A$2:$E$28,5,FALSE))</f>
        <v>3.5051257707700248E-2</v>
      </c>
    </row>
    <row r="713" spans="1:12" x14ac:dyDescent="0.25">
      <c r="A713" t="s">
        <v>136</v>
      </c>
      <c r="B713" t="s">
        <v>866</v>
      </c>
      <c r="C713" t="str">
        <f t="shared" si="56"/>
        <v>LU</v>
      </c>
      <c r="D713" t="str">
        <f t="shared" si="57"/>
        <v>RAP</v>
      </c>
      <c r="E713" t="str">
        <f t="shared" si="55"/>
        <v>LURAP</v>
      </c>
      <c r="F713" t="str">
        <f t="shared" si="58"/>
        <v>L</v>
      </c>
      <c r="G713" t="s">
        <v>835</v>
      </c>
      <c r="H713">
        <v>1</v>
      </c>
      <c r="I713">
        <v>9.6199999999999994E-2</v>
      </c>
      <c r="J713" t="str">
        <f t="shared" si="59"/>
        <v>LUL000RAPLR0LULFER</v>
      </c>
      <c r="K713">
        <f>_xlfn.IFNA(IF(F713="H",VLOOKUP(E713,Fertiliser_data!$E$7:$L$267,8,FALSE),VLOOKUP(E713,Fertiliser_data!$E$7:$L$267,8,FALSE)*0.65),IF(F713="H",0.038,(0.038*0.65)))</f>
        <v>5.7078731343283583E-2</v>
      </c>
      <c r="L713">
        <f>IF($C713="IE",$K713*CF_231025!$E$16,$K713/VLOOKUP($C713,CF_231025!$A$2:$E$28,5,FALSE))</f>
        <v>3.5051257707700248E-2</v>
      </c>
    </row>
    <row r="714" spans="1:12" x14ac:dyDescent="0.25">
      <c r="A714" t="s">
        <v>136</v>
      </c>
      <c r="B714" t="s">
        <v>867</v>
      </c>
      <c r="C714" t="str">
        <f t="shared" si="56"/>
        <v>LU</v>
      </c>
      <c r="D714" t="str">
        <f t="shared" si="57"/>
        <v>GRP</v>
      </c>
      <c r="E714" t="str">
        <f t="shared" si="55"/>
        <v>LUGRP</v>
      </c>
      <c r="F714" t="str">
        <f t="shared" si="58"/>
        <v>H</v>
      </c>
      <c r="G714" t="s">
        <v>835</v>
      </c>
      <c r="H714">
        <v>1</v>
      </c>
      <c r="I714">
        <v>0.16980000000000001</v>
      </c>
      <c r="J714" t="str">
        <f t="shared" si="59"/>
        <v>LUL000GRPHI0LULFER</v>
      </c>
      <c r="K714">
        <f>_xlfn.IFNA(IF(F714="H",VLOOKUP(E714,Fertiliser_data!$E$7:$L$267,8,FALSE),VLOOKUP(E714,Fertiliser_data!$E$7:$L$267,8,FALSE)*0.65),IF(F714="H",0.038,(0.038*0.65)))</f>
        <v>3.6458208955223885E-2</v>
      </c>
      <c r="L714">
        <f>IF($C714="IE",$K714*CF_231025!$E$16,$K714/VLOOKUP($C714,CF_231025!$A$2:$E$28,5,FALSE))</f>
        <v>2.2388480745396032E-2</v>
      </c>
    </row>
    <row r="715" spans="1:12" x14ac:dyDescent="0.25">
      <c r="A715" t="s">
        <v>136</v>
      </c>
      <c r="B715" t="s">
        <v>868</v>
      </c>
      <c r="C715" t="str">
        <f t="shared" si="56"/>
        <v>LU</v>
      </c>
      <c r="D715" t="str">
        <f t="shared" si="57"/>
        <v>GRP</v>
      </c>
      <c r="E715" t="str">
        <f t="shared" si="55"/>
        <v>LUGRP</v>
      </c>
      <c r="F715" t="str">
        <f t="shared" si="58"/>
        <v>H</v>
      </c>
      <c r="G715" t="s">
        <v>835</v>
      </c>
      <c r="H715">
        <v>1</v>
      </c>
      <c r="I715">
        <v>0.16980000000000001</v>
      </c>
      <c r="J715" t="str">
        <f t="shared" si="59"/>
        <v>LUL000GRPHR0LULFER</v>
      </c>
      <c r="K715">
        <f>_xlfn.IFNA(IF(F715="H",VLOOKUP(E715,Fertiliser_data!$E$7:$L$267,8,FALSE),VLOOKUP(E715,Fertiliser_data!$E$7:$L$267,8,FALSE)*0.65),IF(F715="H",0.038,(0.038*0.65)))</f>
        <v>3.6458208955223885E-2</v>
      </c>
      <c r="L715">
        <f>IF($C715="IE",$K715*CF_231025!$E$16,$K715/VLOOKUP($C715,CF_231025!$A$2:$E$28,5,FALSE))</f>
        <v>2.2388480745396032E-2</v>
      </c>
    </row>
    <row r="716" spans="1:12" x14ac:dyDescent="0.25">
      <c r="A716" t="s">
        <v>136</v>
      </c>
      <c r="B716" t="s">
        <v>869</v>
      </c>
      <c r="C716" t="str">
        <f t="shared" si="56"/>
        <v>LU</v>
      </c>
      <c r="D716" t="str">
        <f t="shared" si="57"/>
        <v>GRP</v>
      </c>
      <c r="E716" t="str">
        <f t="shared" si="55"/>
        <v>LUGRP</v>
      </c>
      <c r="F716" t="str">
        <f t="shared" si="58"/>
        <v>L</v>
      </c>
      <c r="G716" t="s">
        <v>835</v>
      </c>
      <c r="H716">
        <v>1</v>
      </c>
      <c r="I716">
        <v>6.3100000000000003E-2</v>
      </c>
      <c r="J716" t="str">
        <f t="shared" si="59"/>
        <v>LUL000GRPLI0LULFER</v>
      </c>
      <c r="K716">
        <f>_xlfn.IFNA(IF(F716="H",VLOOKUP(E716,Fertiliser_data!$E$7:$L$267,8,FALSE),VLOOKUP(E716,Fertiliser_data!$E$7:$L$267,8,FALSE)*0.65),IF(F716="H",0.038,(0.038*0.65)))</f>
        <v>2.3697835820895526E-2</v>
      </c>
      <c r="L716">
        <f>IF($C716="IE",$K716*CF_231025!$E$16,$K716/VLOOKUP($C716,CF_231025!$A$2:$E$28,5,FALSE))</f>
        <v>1.455251248450742E-2</v>
      </c>
    </row>
    <row r="717" spans="1:12" x14ac:dyDescent="0.25">
      <c r="A717" t="s">
        <v>136</v>
      </c>
      <c r="B717" t="s">
        <v>870</v>
      </c>
      <c r="C717" t="str">
        <f t="shared" si="56"/>
        <v>LU</v>
      </c>
      <c r="D717" t="str">
        <f t="shared" si="57"/>
        <v>GRP</v>
      </c>
      <c r="E717" t="str">
        <f t="shared" si="55"/>
        <v>LUGRP</v>
      </c>
      <c r="F717" t="str">
        <f t="shared" si="58"/>
        <v>L</v>
      </c>
      <c r="G717" t="s">
        <v>835</v>
      </c>
      <c r="H717">
        <v>1</v>
      </c>
      <c r="I717">
        <v>6.3100000000000003E-2</v>
      </c>
      <c r="J717" t="str">
        <f t="shared" si="59"/>
        <v>LUL000GRPLR0LULFER</v>
      </c>
      <c r="K717">
        <f>_xlfn.IFNA(IF(F717="H",VLOOKUP(E717,Fertiliser_data!$E$7:$L$267,8,FALSE),VLOOKUP(E717,Fertiliser_data!$E$7:$L$267,8,FALSE)*0.65),IF(F717="H",0.038,(0.038*0.65)))</f>
        <v>2.3697835820895526E-2</v>
      </c>
      <c r="L717">
        <f>IF($C717="IE",$K717*CF_231025!$E$16,$K717/VLOOKUP($C717,CF_231025!$A$2:$E$28,5,FALSE))</f>
        <v>1.455251248450742E-2</v>
      </c>
    </row>
    <row r="718" spans="1:12" x14ac:dyDescent="0.25">
      <c r="A718" t="s">
        <v>136</v>
      </c>
      <c r="B718" t="s">
        <v>871</v>
      </c>
      <c r="C718" t="str">
        <f t="shared" si="56"/>
        <v>LU</v>
      </c>
      <c r="D718" t="str">
        <f t="shared" si="57"/>
        <v>WHE</v>
      </c>
      <c r="E718" t="str">
        <f t="shared" si="55"/>
        <v>LUWHE</v>
      </c>
      <c r="F718" t="str">
        <f t="shared" si="58"/>
        <v>H</v>
      </c>
      <c r="G718" t="s">
        <v>835</v>
      </c>
      <c r="H718">
        <v>1</v>
      </c>
      <c r="I718">
        <v>0.1978</v>
      </c>
      <c r="J718" t="str">
        <f t="shared" si="59"/>
        <v>LUL000WHEHI0LULFER</v>
      </c>
      <c r="K718">
        <f>_xlfn.IFNA(IF(F718="H",VLOOKUP(E718,Fertiliser_data!$E$7:$L$267,8,FALSE),VLOOKUP(E718,Fertiliser_data!$E$7:$L$267,8,FALSE)*0.65),IF(F718="H",0.038,(0.038*0.65)))</f>
        <v>8.1214925373134336E-2</v>
      </c>
      <c r="L718">
        <f>IF($C718="IE",$K718*CF_231025!$E$16,$K718/VLOOKUP($C718,CF_231025!$A$2:$E$28,5,FALSE))</f>
        <v>4.9872959891922038E-2</v>
      </c>
    </row>
    <row r="719" spans="1:12" x14ac:dyDescent="0.25">
      <c r="A719" t="s">
        <v>136</v>
      </c>
      <c r="B719" t="s">
        <v>872</v>
      </c>
      <c r="C719" t="str">
        <f t="shared" si="56"/>
        <v>LU</v>
      </c>
      <c r="D719" t="str">
        <f t="shared" si="57"/>
        <v>WHE</v>
      </c>
      <c r="E719" t="str">
        <f t="shared" si="55"/>
        <v>LUWHE</v>
      </c>
      <c r="F719" t="str">
        <f t="shared" si="58"/>
        <v>H</v>
      </c>
      <c r="G719" t="s">
        <v>835</v>
      </c>
      <c r="H719">
        <v>1</v>
      </c>
      <c r="I719">
        <v>0.1978</v>
      </c>
      <c r="J719" t="str">
        <f t="shared" si="59"/>
        <v>LUL000WHEHR0LULFER</v>
      </c>
      <c r="K719">
        <f>_xlfn.IFNA(IF(F719="H",VLOOKUP(E719,Fertiliser_data!$E$7:$L$267,8,FALSE),VLOOKUP(E719,Fertiliser_data!$E$7:$L$267,8,FALSE)*0.65),IF(F719="H",0.038,(0.038*0.65)))</f>
        <v>8.1214925373134336E-2</v>
      </c>
      <c r="L719">
        <f>IF($C719="IE",$K719*CF_231025!$E$16,$K719/VLOOKUP($C719,CF_231025!$A$2:$E$28,5,FALSE))</f>
        <v>4.9872959891922038E-2</v>
      </c>
    </row>
    <row r="720" spans="1:12" x14ac:dyDescent="0.25">
      <c r="A720" t="s">
        <v>136</v>
      </c>
      <c r="B720" t="s">
        <v>873</v>
      </c>
      <c r="C720" t="str">
        <f t="shared" si="56"/>
        <v>LU</v>
      </c>
      <c r="D720" t="str">
        <f t="shared" si="57"/>
        <v>WHE</v>
      </c>
      <c r="E720" t="str">
        <f t="shared" si="55"/>
        <v>LUWHE</v>
      </c>
      <c r="F720" t="str">
        <f t="shared" si="58"/>
        <v>L</v>
      </c>
      <c r="G720" t="s">
        <v>835</v>
      </c>
      <c r="H720">
        <v>1</v>
      </c>
      <c r="I720">
        <v>7.3499999999999996E-2</v>
      </c>
      <c r="J720" t="str">
        <f t="shared" si="59"/>
        <v>LUL000WHELI0LULFER</v>
      </c>
      <c r="K720">
        <f>_xlfn.IFNA(IF(F720="H",VLOOKUP(E720,Fertiliser_data!$E$7:$L$267,8,FALSE),VLOOKUP(E720,Fertiliser_data!$E$7:$L$267,8,FALSE)*0.65),IF(F720="H",0.038,(0.038*0.65)))</f>
        <v>5.2789701492537318E-2</v>
      </c>
      <c r="L720">
        <f>IF($C720="IE",$K720*CF_231025!$E$16,$K720/VLOOKUP($C720,CF_231025!$A$2:$E$28,5,FALSE))</f>
        <v>3.2417423929749327E-2</v>
      </c>
    </row>
    <row r="721" spans="1:12" x14ac:dyDescent="0.25">
      <c r="A721" t="s">
        <v>136</v>
      </c>
      <c r="B721" t="s">
        <v>874</v>
      </c>
      <c r="C721" t="str">
        <f t="shared" si="56"/>
        <v>LU</v>
      </c>
      <c r="D721" t="str">
        <f t="shared" si="57"/>
        <v>WHE</v>
      </c>
      <c r="E721" t="str">
        <f t="shared" si="55"/>
        <v>LUWHE</v>
      </c>
      <c r="F721" t="str">
        <f t="shared" si="58"/>
        <v>L</v>
      </c>
      <c r="G721" t="s">
        <v>835</v>
      </c>
      <c r="H721">
        <v>1</v>
      </c>
      <c r="I721">
        <v>7.3499999999999996E-2</v>
      </c>
      <c r="J721" t="str">
        <f t="shared" si="59"/>
        <v>LUL000WHELR0LULFER</v>
      </c>
      <c r="K721">
        <f>_xlfn.IFNA(IF(F721="H",VLOOKUP(E721,Fertiliser_data!$E$7:$L$267,8,FALSE),VLOOKUP(E721,Fertiliser_data!$E$7:$L$267,8,FALSE)*0.65),IF(F721="H",0.038,(0.038*0.65)))</f>
        <v>5.2789701492537318E-2</v>
      </c>
      <c r="L721">
        <f>IF($C721="IE",$K721*CF_231025!$E$16,$K721/VLOOKUP($C721,CF_231025!$A$2:$E$28,5,FALSE))</f>
        <v>3.2417423929749327E-2</v>
      </c>
    </row>
    <row r="722" spans="1:12" x14ac:dyDescent="0.25">
      <c r="A722" t="s">
        <v>136</v>
      </c>
      <c r="B722" t="s">
        <v>875</v>
      </c>
      <c r="C722" t="str">
        <f t="shared" si="56"/>
        <v>LV</v>
      </c>
      <c r="D722" t="str">
        <f t="shared" si="57"/>
        <v>RAP</v>
      </c>
      <c r="E722" t="str">
        <f t="shared" si="55"/>
        <v>LVRAP</v>
      </c>
      <c r="F722" t="str">
        <f t="shared" si="58"/>
        <v>H</v>
      </c>
      <c r="G722" t="s">
        <v>876</v>
      </c>
      <c r="H722">
        <v>1</v>
      </c>
      <c r="I722">
        <v>0.26</v>
      </c>
      <c r="J722" t="str">
        <f t="shared" si="59"/>
        <v>LVL000RAPHI0LVLFER</v>
      </c>
      <c r="K722">
        <f>_xlfn.IFNA(IF(F722="H",VLOOKUP(E722,Fertiliser_data!$E$7:$L$267,8,FALSE),VLOOKUP(E722,Fertiliser_data!$E$7:$L$267,8,FALSE)*0.65),IF(F722="H",0.038,(0.038*0.65)))</f>
        <v>4.4044776119402988E-2</v>
      </c>
      <c r="L722">
        <f>IF($C722="IE",$K722*CF_231025!$E$16,$K722/VLOOKUP($C722,CF_231025!$A$2:$E$28,5,FALSE))</f>
        <v>1.4239730640522519E-2</v>
      </c>
    </row>
    <row r="723" spans="1:12" x14ac:dyDescent="0.25">
      <c r="A723" t="s">
        <v>136</v>
      </c>
      <c r="B723" t="s">
        <v>877</v>
      </c>
      <c r="C723" t="str">
        <f t="shared" si="56"/>
        <v>LV</v>
      </c>
      <c r="D723" t="str">
        <f t="shared" si="57"/>
        <v>RAP</v>
      </c>
      <c r="E723" t="str">
        <f t="shared" si="55"/>
        <v>LVRAP</v>
      </c>
      <c r="F723" t="str">
        <f t="shared" si="58"/>
        <v>H</v>
      </c>
      <c r="G723" t="s">
        <v>876</v>
      </c>
      <c r="H723">
        <v>1</v>
      </c>
      <c r="I723">
        <v>0.26</v>
      </c>
      <c r="J723" t="str">
        <f t="shared" si="59"/>
        <v>LVL000RAPHR0LVLFER</v>
      </c>
      <c r="K723">
        <f>_xlfn.IFNA(IF(F723="H",VLOOKUP(E723,Fertiliser_data!$E$7:$L$267,8,FALSE),VLOOKUP(E723,Fertiliser_data!$E$7:$L$267,8,FALSE)*0.65),IF(F723="H",0.038,(0.038*0.65)))</f>
        <v>4.4044776119402988E-2</v>
      </c>
      <c r="L723">
        <f>IF($C723="IE",$K723*CF_231025!$E$16,$K723/VLOOKUP($C723,CF_231025!$A$2:$E$28,5,FALSE))</f>
        <v>1.4239730640522519E-2</v>
      </c>
    </row>
    <row r="724" spans="1:12" x14ac:dyDescent="0.25">
      <c r="A724" t="s">
        <v>136</v>
      </c>
      <c r="B724" t="s">
        <v>878</v>
      </c>
      <c r="C724" t="str">
        <f t="shared" si="56"/>
        <v>LV</v>
      </c>
      <c r="D724" t="str">
        <f t="shared" si="57"/>
        <v>RAP</v>
      </c>
      <c r="E724" t="str">
        <f t="shared" si="55"/>
        <v>LVRAP</v>
      </c>
      <c r="F724" t="str">
        <f t="shared" si="58"/>
        <v>L</v>
      </c>
      <c r="G724" t="s">
        <v>876</v>
      </c>
      <c r="H724">
        <v>1</v>
      </c>
      <c r="I724">
        <v>0.1</v>
      </c>
      <c r="J724" t="str">
        <f t="shared" si="59"/>
        <v>LVL000RAPLI0LVLFER</v>
      </c>
      <c r="K724">
        <f>_xlfn.IFNA(IF(F724="H",VLOOKUP(E724,Fertiliser_data!$E$7:$L$267,8,FALSE),VLOOKUP(E724,Fertiliser_data!$E$7:$L$267,8,FALSE)*0.65),IF(F724="H",0.038,(0.038*0.65)))</f>
        <v>2.8629104477611942E-2</v>
      </c>
      <c r="L724">
        <f>IF($C724="IE",$K724*CF_231025!$E$16,$K724/VLOOKUP($C724,CF_231025!$A$2:$E$28,5,FALSE))</f>
        <v>9.2558249163396372E-3</v>
      </c>
    </row>
    <row r="725" spans="1:12" x14ac:dyDescent="0.25">
      <c r="A725" t="s">
        <v>136</v>
      </c>
      <c r="B725" t="s">
        <v>879</v>
      </c>
      <c r="C725" t="str">
        <f t="shared" si="56"/>
        <v>LV</v>
      </c>
      <c r="D725" t="str">
        <f t="shared" si="57"/>
        <v>RAP</v>
      </c>
      <c r="E725" t="str">
        <f t="shared" si="55"/>
        <v>LVRAP</v>
      </c>
      <c r="F725" t="str">
        <f t="shared" si="58"/>
        <v>L</v>
      </c>
      <c r="G725" t="s">
        <v>876</v>
      </c>
      <c r="H725">
        <v>1</v>
      </c>
      <c r="I725">
        <v>0.1</v>
      </c>
      <c r="J725" t="str">
        <f t="shared" si="59"/>
        <v>LVL000RAPLR0LVLFER</v>
      </c>
      <c r="K725">
        <f>_xlfn.IFNA(IF(F725="H",VLOOKUP(E725,Fertiliser_data!$E$7:$L$267,8,FALSE),VLOOKUP(E725,Fertiliser_data!$E$7:$L$267,8,FALSE)*0.65),IF(F725="H",0.038,(0.038*0.65)))</f>
        <v>2.8629104477611942E-2</v>
      </c>
      <c r="L725">
        <f>IF($C725="IE",$K725*CF_231025!$E$16,$K725/VLOOKUP($C725,CF_231025!$A$2:$E$28,5,FALSE))</f>
        <v>9.2558249163396372E-3</v>
      </c>
    </row>
    <row r="726" spans="1:12" x14ac:dyDescent="0.25">
      <c r="A726" t="s">
        <v>136</v>
      </c>
      <c r="B726" t="s">
        <v>880</v>
      </c>
      <c r="C726" t="str">
        <f t="shared" si="56"/>
        <v>LV</v>
      </c>
      <c r="D726" t="str">
        <f t="shared" si="57"/>
        <v>POT</v>
      </c>
      <c r="E726" t="str">
        <f t="shared" si="55"/>
        <v>LVPOT</v>
      </c>
      <c r="F726" t="str">
        <f t="shared" si="58"/>
        <v>H</v>
      </c>
      <c r="G726" t="s">
        <v>876</v>
      </c>
      <c r="H726">
        <v>1</v>
      </c>
      <c r="I726">
        <v>0.17</v>
      </c>
      <c r="J726" t="str">
        <f t="shared" si="59"/>
        <v>LVL000POTHI0LVLFER</v>
      </c>
      <c r="K726">
        <f>_xlfn.IFNA(IF(F726="H",VLOOKUP(E726,Fertiliser_data!$E$7:$L$267,8,FALSE),VLOOKUP(E726,Fertiliser_data!$E$7:$L$267,8,FALSE)*0.65),IF(F726="H",0.038,(0.038*0.65)))</f>
        <v>2.3267164179104478E-2</v>
      </c>
      <c r="L726">
        <f>IF($C726="IE",$K726*CF_231025!$E$16,$K726/VLOOKUP($C726,CF_231025!$A$2:$E$28,5,FALSE))</f>
        <v>7.5223029805186565E-3</v>
      </c>
    </row>
    <row r="727" spans="1:12" x14ac:dyDescent="0.25">
      <c r="A727" t="s">
        <v>136</v>
      </c>
      <c r="B727" t="s">
        <v>881</v>
      </c>
      <c r="C727" t="str">
        <f t="shared" si="56"/>
        <v>LV</v>
      </c>
      <c r="D727" t="str">
        <f t="shared" si="57"/>
        <v>POT</v>
      </c>
      <c r="E727" t="str">
        <f t="shared" si="55"/>
        <v>LVPOT</v>
      </c>
      <c r="F727" t="str">
        <f t="shared" si="58"/>
        <v>H</v>
      </c>
      <c r="G727" t="s">
        <v>876</v>
      </c>
      <c r="H727">
        <v>1</v>
      </c>
      <c r="I727">
        <v>0.17</v>
      </c>
      <c r="J727" t="str">
        <f t="shared" si="59"/>
        <v>LVL000POTHR0LVLFER</v>
      </c>
      <c r="K727">
        <f>_xlfn.IFNA(IF(F727="H",VLOOKUP(E727,Fertiliser_data!$E$7:$L$267,8,FALSE),VLOOKUP(E727,Fertiliser_data!$E$7:$L$267,8,FALSE)*0.65),IF(F727="H",0.038,(0.038*0.65)))</f>
        <v>2.3267164179104478E-2</v>
      </c>
      <c r="L727">
        <f>IF($C727="IE",$K727*CF_231025!$E$16,$K727/VLOOKUP($C727,CF_231025!$A$2:$E$28,5,FALSE))</f>
        <v>7.5223029805186565E-3</v>
      </c>
    </row>
    <row r="728" spans="1:12" x14ac:dyDescent="0.25">
      <c r="A728" t="s">
        <v>136</v>
      </c>
      <c r="B728" t="s">
        <v>882</v>
      </c>
      <c r="C728" t="str">
        <f t="shared" si="56"/>
        <v>LV</v>
      </c>
      <c r="D728" t="str">
        <f t="shared" si="57"/>
        <v>POT</v>
      </c>
      <c r="E728" t="str">
        <f t="shared" si="55"/>
        <v>LVPOT</v>
      </c>
      <c r="F728" t="str">
        <f t="shared" si="58"/>
        <v>L</v>
      </c>
      <c r="G728" t="s">
        <v>876</v>
      </c>
      <c r="H728">
        <v>1</v>
      </c>
      <c r="I728">
        <v>0.06</v>
      </c>
      <c r="J728" t="str">
        <f t="shared" si="59"/>
        <v>LVL000POTLI0LVLFER</v>
      </c>
      <c r="K728">
        <f>_xlfn.IFNA(IF(F728="H",VLOOKUP(E728,Fertiliser_data!$E$7:$L$267,8,FALSE),VLOOKUP(E728,Fertiliser_data!$E$7:$L$267,8,FALSE)*0.65),IF(F728="H",0.038,(0.038*0.65)))</f>
        <v>1.512365671641791E-2</v>
      </c>
      <c r="L728">
        <f>IF($C728="IE",$K728*CF_231025!$E$16,$K728/VLOOKUP($C728,CF_231025!$A$2:$E$28,5,FALSE))</f>
        <v>4.8894969373371264E-3</v>
      </c>
    </row>
    <row r="729" spans="1:12" x14ac:dyDescent="0.25">
      <c r="A729" t="s">
        <v>136</v>
      </c>
      <c r="B729" t="s">
        <v>883</v>
      </c>
      <c r="C729" t="str">
        <f t="shared" si="56"/>
        <v>LV</v>
      </c>
      <c r="D729" t="str">
        <f t="shared" si="57"/>
        <v>POT</v>
      </c>
      <c r="E729" t="str">
        <f t="shared" si="55"/>
        <v>LVPOT</v>
      </c>
      <c r="F729" t="str">
        <f t="shared" si="58"/>
        <v>L</v>
      </c>
      <c r="G729" t="s">
        <v>876</v>
      </c>
      <c r="H729">
        <v>1</v>
      </c>
      <c r="I729">
        <v>0.06</v>
      </c>
      <c r="J729" t="str">
        <f t="shared" si="59"/>
        <v>LVL000POTLR0LVLFER</v>
      </c>
      <c r="K729">
        <f>_xlfn.IFNA(IF(F729="H",VLOOKUP(E729,Fertiliser_data!$E$7:$L$267,8,FALSE),VLOOKUP(E729,Fertiliser_data!$E$7:$L$267,8,FALSE)*0.65),IF(F729="H",0.038,(0.038*0.65)))</f>
        <v>1.512365671641791E-2</v>
      </c>
      <c r="L729">
        <f>IF($C729="IE",$K729*CF_231025!$E$16,$K729/VLOOKUP($C729,CF_231025!$A$2:$E$28,5,FALSE))</f>
        <v>4.8894969373371264E-3</v>
      </c>
    </row>
    <row r="730" spans="1:12" x14ac:dyDescent="0.25">
      <c r="A730" t="s">
        <v>136</v>
      </c>
      <c r="B730" t="s">
        <v>884</v>
      </c>
      <c r="C730" t="str">
        <f t="shared" si="56"/>
        <v>LV</v>
      </c>
      <c r="D730" t="str">
        <f t="shared" si="57"/>
        <v>RYE</v>
      </c>
      <c r="E730" t="str">
        <f t="shared" si="55"/>
        <v>LVRYE</v>
      </c>
      <c r="F730" t="str">
        <f t="shared" si="58"/>
        <v>H</v>
      </c>
      <c r="G730" t="s">
        <v>876</v>
      </c>
      <c r="H730">
        <v>1</v>
      </c>
      <c r="I730">
        <v>0.11</v>
      </c>
      <c r="J730" t="str">
        <f t="shared" si="59"/>
        <v>LVL000RYEHI0LVLFER</v>
      </c>
      <c r="K730">
        <f>_xlfn.IFNA(IF(F730="H",VLOOKUP(E730,Fertiliser_data!$E$7:$L$267,8,FALSE),VLOOKUP(E730,Fertiliser_data!$E$7:$L$267,8,FALSE)*0.65),IF(F730="H",0.038,(0.038*0.65)))</f>
        <v>1.1073134328358209E-2</v>
      </c>
      <c r="L730">
        <f>IF($C730="IE",$K730*CF_231025!$E$16,$K730/VLOOKUP($C730,CF_231025!$A$2:$E$28,5,FALSE))</f>
        <v>3.5799580353113032E-3</v>
      </c>
    </row>
    <row r="731" spans="1:12" x14ac:dyDescent="0.25">
      <c r="A731" t="s">
        <v>136</v>
      </c>
      <c r="B731" t="s">
        <v>885</v>
      </c>
      <c r="C731" t="str">
        <f t="shared" si="56"/>
        <v>LV</v>
      </c>
      <c r="D731" t="str">
        <f t="shared" si="57"/>
        <v>RYE</v>
      </c>
      <c r="E731" t="str">
        <f t="shared" si="55"/>
        <v>LVRYE</v>
      </c>
      <c r="F731" t="str">
        <f t="shared" si="58"/>
        <v>H</v>
      </c>
      <c r="G731" t="s">
        <v>876</v>
      </c>
      <c r="H731">
        <v>1</v>
      </c>
      <c r="I731">
        <v>0.11</v>
      </c>
      <c r="J731" t="str">
        <f t="shared" si="59"/>
        <v>LVL000RYEHR0LVLFER</v>
      </c>
      <c r="K731">
        <f>_xlfn.IFNA(IF(F731="H",VLOOKUP(E731,Fertiliser_data!$E$7:$L$267,8,FALSE),VLOOKUP(E731,Fertiliser_data!$E$7:$L$267,8,FALSE)*0.65),IF(F731="H",0.038,(0.038*0.65)))</f>
        <v>1.1073134328358209E-2</v>
      </c>
      <c r="L731">
        <f>IF($C731="IE",$K731*CF_231025!$E$16,$K731/VLOOKUP($C731,CF_231025!$A$2:$E$28,5,FALSE))</f>
        <v>3.5799580353113032E-3</v>
      </c>
    </row>
    <row r="732" spans="1:12" x14ac:dyDescent="0.25">
      <c r="A732" t="s">
        <v>136</v>
      </c>
      <c r="B732" t="s">
        <v>886</v>
      </c>
      <c r="C732" t="str">
        <f t="shared" si="56"/>
        <v>LV</v>
      </c>
      <c r="D732" t="str">
        <f t="shared" si="57"/>
        <v>RYE</v>
      </c>
      <c r="E732" t="str">
        <f t="shared" si="55"/>
        <v>LVRYE</v>
      </c>
      <c r="F732" t="str">
        <f t="shared" si="58"/>
        <v>L</v>
      </c>
      <c r="G732" t="s">
        <v>876</v>
      </c>
      <c r="H732">
        <v>1</v>
      </c>
      <c r="I732">
        <v>0.04</v>
      </c>
      <c r="J732" t="str">
        <f t="shared" si="59"/>
        <v>LVL000RYELI0LVLFER</v>
      </c>
      <c r="K732">
        <f>_xlfn.IFNA(IF(F732="H",VLOOKUP(E732,Fertiliser_data!$E$7:$L$267,8,FALSE),VLOOKUP(E732,Fertiliser_data!$E$7:$L$267,8,FALSE)*0.65),IF(F732="H",0.038,(0.038*0.65)))</f>
        <v>7.1975373134328356E-3</v>
      </c>
      <c r="L732">
        <f>IF($C732="IE",$K732*CF_231025!$E$16,$K732/VLOOKUP($C732,CF_231025!$A$2:$E$28,5,FALSE))</f>
        <v>2.3269727229523474E-3</v>
      </c>
    </row>
    <row r="733" spans="1:12" x14ac:dyDescent="0.25">
      <c r="A733" t="s">
        <v>136</v>
      </c>
      <c r="B733" t="s">
        <v>887</v>
      </c>
      <c r="C733" t="str">
        <f t="shared" si="56"/>
        <v>LV</v>
      </c>
      <c r="D733" t="str">
        <f t="shared" si="57"/>
        <v>RYE</v>
      </c>
      <c r="E733" t="str">
        <f t="shared" si="55"/>
        <v>LVRYE</v>
      </c>
      <c r="F733" t="str">
        <f t="shared" si="58"/>
        <v>L</v>
      </c>
      <c r="G733" t="s">
        <v>876</v>
      </c>
      <c r="H733">
        <v>1</v>
      </c>
      <c r="I733">
        <v>0.04</v>
      </c>
      <c r="J733" t="str">
        <f t="shared" si="59"/>
        <v>LVL000RYELR0LVLFER</v>
      </c>
      <c r="K733">
        <f>_xlfn.IFNA(IF(F733="H",VLOOKUP(E733,Fertiliser_data!$E$7:$L$267,8,FALSE),VLOOKUP(E733,Fertiliser_data!$E$7:$L$267,8,FALSE)*0.65),IF(F733="H",0.038,(0.038*0.65)))</f>
        <v>7.1975373134328356E-3</v>
      </c>
      <c r="L733">
        <f>IF($C733="IE",$K733*CF_231025!$E$16,$K733/VLOOKUP($C733,CF_231025!$A$2:$E$28,5,FALSE))</f>
        <v>2.3269727229523474E-3</v>
      </c>
    </row>
    <row r="734" spans="1:12" x14ac:dyDescent="0.25">
      <c r="A734" t="s">
        <v>136</v>
      </c>
      <c r="B734" t="s">
        <v>888</v>
      </c>
      <c r="C734" t="str">
        <f t="shared" si="56"/>
        <v>LV</v>
      </c>
      <c r="D734" t="str">
        <f t="shared" si="57"/>
        <v>PEA</v>
      </c>
      <c r="E734" t="str">
        <f t="shared" si="55"/>
        <v>LVPEA</v>
      </c>
      <c r="F734" t="str">
        <f t="shared" si="58"/>
        <v>H</v>
      </c>
      <c r="G734" t="s">
        <v>876</v>
      </c>
      <c r="H734">
        <v>1</v>
      </c>
      <c r="I734">
        <v>0.17</v>
      </c>
      <c r="J734" t="str">
        <f t="shared" si="59"/>
        <v>LVL000PEAHI0LVLFER</v>
      </c>
      <c r="K734">
        <f>_xlfn.IFNA(IF(F734="H",VLOOKUP(E734,Fertiliser_data!$E$7:$L$267,8,FALSE),VLOOKUP(E734,Fertiliser_data!$E$7:$L$267,8,FALSE)*0.65),IF(F734="H",0.038,(0.038*0.65)))</f>
        <v>1.6968656716417913E-2</v>
      </c>
      <c r="L734">
        <f>IF($C734="IE",$K734*CF_231025!$E$16,$K734/VLOOKUP($C734,CF_231025!$A$2:$E$28,5,FALSE))</f>
        <v>5.4859877211826686E-3</v>
      </c>
    </row>
    <row r="735" spans="1:12" x14ac:dyDescent="0.25">
      <c r="A735" t="s">
        <v>136</v>
      </c>
      <c r="B735" t="s">
        <v>889</v>
      </c>
      <c r="C735" t="str">
        <f t="shared" si="56"/>
        <v>LV</v>
      </c>
      <c r="D735" t="str">
        <f t="shared" si="57"/>
        <v>PEA</v>
      </c>
      <c r="E735" t="str">
        <f t="shared" si="55"/>
        <v>LVPEA</v>
      </c>
      <c r="F735" t="str">
        <f t="shared" si="58"/>
        <v>H</v>
      </c>
      <c r="G735" t="s">
        <v>876</v>
      </c>
      <c r="H735">
        <v>1</v>
      </c>
      <c r="I735">
        <v>0.17</v>
      </c>
      <c r="J735" t="str">
        <f t="shared" si="59"/>
        <v>LVL000PEAHR0LVLFER</v>
      </c>
      <c r="K735">
        <f>_xlfn.IFNA(IF(F735="H",VLOOKUP(E735,Fertiliser_data!$E$7:$L$267,8,FALSE),VLOOKUP(E735,Fertiliser_data!$E$7:$L$267,8,FALSE)*0.65),IF(F735="H",0.038,(0.038*0.65)))</f>
        <v>1.6968656716417913E-2</v>
      </c>
      <c r="L735">
        <f>IF($C735="IE",$K735*CF_231025!$E$16,$K735/VLOOKUP($C735,CF_231025!$A$2:$E$28,5,FALSE))</f>
        <v>5.4859877211826686E-3</v>
      </c>
    </row>
    <row r="736" spans="1:12" x14ac:dyDescent="0.25">
      <c r="A736" t="s">
        <v>136</v>
      </c>
      <c r="B736" t="s">
        <v>890</v>
      </c>
      <c r="C736" t="str">
        <f t="shared" si="56"/>
        <v>LV</v>
      </c>
      <c r="D736" t="str">
        <f t="shared" si="57"/>
        <v>PEA</v>
      </c>
      <c r="E736" t="str">
        <f t="shared" si="55"/>
        <v>LVPEA</v>
      </c>
      <c r="F736" t="str">
        <f t="shared" si="58"/>
        <v>L</v>
      </c>
      <c r="G736" t="s">
        <v>876</v>
      </c>
      <c r="H736">
        <v>1</v>
      </c>
      <c r="I736">
        <v>0.06</v>
      </c>
      <c r="J736" t="str">
        <f t="shared" si="59"/>
        <v>LVL000PEALI0LVLFER</v>
      </c>
      <c r="K736">
        <f>_xlfn.IFNA(IF(F736="H",VLOOKUP(E736,Fertiliser_data!$E$7:$L$267,8,FALSE),VLOOKUP(E736,Fertiliser_data!$E$7:$L$267,8,FALSE)*0.65),IF(F736="H",0.038,(0.038*0.65)))</f>
        <v>1.1029626865671644E-2</v>
      </c>
      <c r="L736">
        <f>IF($C736="IE",$K736*CF_231025!$E$16,$K736/VLOOKUP($C736,CF_231025!$A$2:$E$28,5,FALSE))</f>
        <v>3.5658920187687346E-3</v>
      </c>
    </row>
    <row r="737" spans="1:12" x14ac:dyDescent="0.25">
      <c r="A737" t="s">
        <v>136</v>
      </c>
      <c r="B737" t="s">
        <v>891</v>
      </c>
      <c r="C737" t="str">
        <f t="shared" si="56"/>
        <v>LV</v>
      </c>
      <c r="D737" t="str">
        <f t="shared" si="57"/>
        <v>PEA</v>
      </c>
      <c r="E737" t="str">
        <f t="shared" si="55"/>
        <v>LVPEA</v>
      </c>
      <c r="F737" t="str">
        <f t="shared" si="58"/>
        <v>L</v>
      </c>
      <c r="G737" t="s">
        <v>876</v>
      </c>
      <c r="H737">
        <v>1</v>
      </c>
      <c r="I737">
        <v>0.06</v>
      </c>
      <c r="J737" t="str">
        <f t="shared" si="59"/>
        <v>LVL000PEALR0LVLFER</v>
      </c>
      <c r="K737">
        <f>_xlfn.IFNA(IF(F737="H",VLOOKUP(E737,Fertiliser_data!$E$7:$L$267,8,FALSE),VLOOKUP(E737,Fertiliser_data!$E$7:$L$267,8,FALSE)*0.65),IF(F737="H",0.038,(0.038*0.65)))</f>
        <v>1.1029626865671644E-2</v>
      </c>
      <c r="L737">
        <f>IF($C737="IE",$K737*CF_231025!$E$16,$K737/VLOOKUP($C737,CF_231025!$A$2:$E$28,5,FALSE))</f>
        <v>3.5658920187687346E-3</v>
      </c>
    </row>
    <row r="738" spans="1:12" x14ac:dyDescent="0.25">
      <c r="A738" t="s">
        <v>136</v>
      </c>
      <c r="B738" t="s">
        <v>892</v>
      </c>
      <c r="C738" t="str">
        <f t="shared" si="56"/>
        <v>LV</v>
      </c>
      <c r="D738" t="str">
        <f t="shared" si="57"/>
        <v>OTH</v>
      </c>
      <c r="E738" t="str">
        <f t="shared" si="55"/>
        <v>LVOTH</v>
      </c>
      <c r="F738" t="str">
        <f t="shared" si="58"/>
        <v>H</v>
      </c>
      <c r="G738" t="s">
        <v>876</v>
      </c>
      <c r="H738">
        <v>1</v>
      </c>
      <c r="I738">
        <v>0.17</v>
      </c>
      <c r="J738" t="str">
        <f t="shared" si="59"/>
        <v>LVL000OTHHI0LVLFER</v>
      </c>
      <c r="K738">
        <f>_xlfn.IFNA(IF(F738="H",VLOOKUP(E738,Fertiliser_data!$E$7:$L$267,8,FALSE),VLOOKUP(E738,Fertiliser_data!$E$7:$L$267,8,FALSE)*0.65),IF(F738="H",0.038,(0.038*0.65)))</f>
        <v>3.7999999999999999E-2</v>
      </c>
      <c r="L738">
        <f>IF($C738="IE",$K738*CF_231025!$E$16,$K738/VLOOKUP($C738,CF_231025!$A$2:$E$28,5,FALSE))</f>
        <v>1.2285447038553145E-2</v>
      </c>
    </row>
    <row r="739" spans="1:12" x14ac:dyDescent="0.25">
      <c r="A739" t="s">
        <v>136</v>
      </c>
      <c r="B739" t="s">
        <v>893</v>
      </c>
      <c r="C739" t="str">
        <f t="shared" si="56"/>
        <v>LV</v>
      </c>
      <c r="D739" t="str">
        <f t="shared" si="57"/>
        <v>OTH</v>
      </c>
      <c r="E739" t="str">
        <f t="shared" si="55"/>
        <v>LVOTH</v>
      </c>
      <c r="F739" t="str">
        <f t="shared" si="58"/>
        <v>H</v>
      </c>
      <c r="G739" t="s">
        <v>876</v>
      </c>
      <c r="H739">
        <v>1</v>
      </c>
      <c r="I739">
        <v>0.17</v>
      </c>
      <c r="J739" t="str">
        <f t="shared" si="59"/>
        <v>LVL000OTHHR0LVLFER</v>
      </c>
      <c r="K739">
        <f>_xlfn.IFNA(IF(F739="H",VLOOKUP(E739,Fertiliser_data!$E$7:$L$267,8,FALSE),VLOOKUP(E739,Fertiliser_data!$E$7:$L$267,8,FALSE)*0.65),IF(F739="H",0.038,(0.038*0.65)))</f>
        <v>3.7999999999999999E-2</v>
      </c>
      <c r="L739">
        <f>IF($C739="IE",$K739*CF_231025!$E$16,$K739/VLOOKUP($C739,CF_231025!$A$2:$E$28,5,FALSE))</f>
        <v>1.2285447038553145E-2</v>
      </c>
    </row>
    <row r="740" spans="1:12" x14ac:dyDescent="0.25">
      <c r="A740" t="s">
        <v>136</v>
      </c>
      <c r="B740" t="s">
        <v>894</v>
      </c>
      <c r="C740" t="str">
        <f t="shared" si="56"/>
        <v>LV</v>
      </c>
      <c r="D740" t="str">
        <f t="shared" si="57"/>
        <v>OTH</v>
      </c>
      <c r="E740" t="str">
        <f t="shared" si="55"/>
        <v>LVOTH</v>
      </c>
      <c r="F740" t="str">
        <f t="shared" si="58"/>
        <v>L</v>
      </c>
      <c r="G740" t="s">
        <v>876</v>
      </c>
      <c r="H740">
        <v>1</v>
      </c>
      <c r="I740">
        <v>0.06</v>
      </c>
      <c r="J740" t="str">
        <f t="shared" si="59"/>
        <v>LVL000OTHLI0LVLFER</v>
      </c>
      <c r="K740">
        <f>_xlfn.IFNA(IF(F740="H",VLOOKUP(E740,Fertiliser_data!$E$7:$L$267,8,FALSE),VLOOKUP(E740,Fertiliser_data!$E$7:$L$267,8,FALSE)*0.65),IF(F740="H",0.038,(0.038*0.65)))</f>
        <v>2.47E-2</v>
      </c>
      <c r="L740">
        <f>IF($C740="IE",$K740*CF_231025!$E$16,$K740/VLOOKUP($C740,CF_231025!$A$2:$E$28,5,FALSE))</f>
        <v>7.9855405750595444E-3</v>
      </c>
    </row>
    <row r="741" spans="1:12" x14ac:dyDescent="0.25">
      <c r="A741" t="s">
        <v>136</v>
      </c>
      <c r="B741" t="s">
        <v>895</v>
      </c>
      <c r="C741" t="str">
        <f t="shared" si="56"/>
        <v>LV</v>
      </c>
      <c r="D741" t="str">
        <f t="shared" si="57"/>
        <v>OTH</v>
      </c>
      <c r="E741" t="str">
        <f t="shared" si="55"/>
        <v>LVOTH</v>
      </c>
      <c r="F741" t="str">
        <f t="shared" si="58"/>
        <v>L</v>
      </c>
      <c r="G741" t="s">
        <v>876</v>
      </c>
      <c r="H741">
        <v>1</v>
      </c>
      <c r="I741">
        <v>0.06</v>
      </c>
      <c r="J741" t="str">
        <f t="shared" si="59"/>
        <v>LVL000OTHLR0LVLFER</v>
      </c>
      <c r="K741">
        <f>_xlfn.IFNA(IF(F741="H",VLOOKUP(E741,Fertiliser_data!$E$7:$L$267,8,FALSE),VLOOKUP(E741,Fertiliser_data!$E$7:$L$267,8,FALSE)*0.65),IF(F741="H",0.038,(0.038*0.65)))</f>
        <v>2.47E-2</v>
      </c>
      <c r="L741">
        <f>IF($C741="IE",$K741*CF_231025!$E$16,$K741/VLOOKUP($C741,CF_231025!$A$2:$E$28,5,FALSE))</f>
        <v>7.9855405750595444E-3</v>
      </c>
    </row>
    <row r="742" spans="1:12" x14ac:dyDescent="0.25">
      <c r="A742" t="s">
        <v>136</v>
      </c>
      <c r="B742" t="s">
        <v>896</v>
      </c>
      <c r="C742" t="str">
        <f t="shared" si="56"/>
        <v>LV</v>
      </c>
      <c r="D742" t="str">
        <f t="shared" si="57"/>
        <v>CER</v>
      </c>
      <c r="E742" t="str">
        <f t="shared" si="55"/>
        <v>LVCER</v>
      </c>
      <c r="F742" t="str">
        <f t="shared" si="58"/>
        <v>H</v>
      </c>
      <c r="G742" t="s">
        <v>876</v>
      </c>
      <c r="H742">
        <v>1</v>
      </c>
      <c r="I742">
        <v>0.17</v>
      </c>
      <c r="J742" t="str">
        <f t="shared" si="59"/>
        <v>LVL000CERHI0LVLFER</v>
      </c>
      <c r="K742">
        <f>_xlfn.IFNA(IF(F742="H",VLOOKUP(E742,Fertiliser_data!$E$7:$L$267,8,FALSE),VLOOKUP(E742,Fertiliser_data!$E$7:$L$267,8,FALSE)*0.65),IF(F742="H",0.038,(0.038*0.65)))</f>
        <v>3.0192537313432834E-2</v>
      </c>
      <c r="L742">
        <f>IF($C742="IE",$K742*CF_231025!$E$16,$K742/VLOOKUP($C742,CF_231025!$A$2:$E$28,5,FALSE))</f>
        <v>9.7612846874662821E-3</v>
      </c>
    </row>
    <row r="743" spans="1:12" x14ac:dyDescent="0.25">
      <c r="A743" t="s">
        <v>136</v>
      </c>
      <c r="B743" t="s">
        <v>897</v>
      </c>
      <c r="C743" t="str">
        <f t="shared" si="56"/>
        <v>LV</v>
      </c>
      <c r="D743" t="str">
        <f t="shared" si="57"/>
        <v>CER</v>
      </c>
      <c r="E743" t="str">
        <f t="shared" si="55"/>
        <v>LVCER</v>
      </c>
      <c r="F743" t="str">
        <f t="shared" si="58"/>
        <v>H</v>
      </c>
      <c r="G743" t="s">
        <v>876</v>
      </c>
      <c r="H743">
        <v>1</v>
      </c>
      <c r="I743">
        <v>0.17</v>
      </c>
      <c r="J743" t="str">
        <f t="shared" si="59"/>
        <v>LVL000CERHR0LVLFER</v>
      </c>
      <c r="K743">
        <f>_xlfn.IFNA(IF(F743="H",VLOOKUP(E743,Fertiliser_data!$E$7:$L$267,8,FALSE),VLOOKUP(E743,Fertiliser_data!$E$7:$L$267,8,FALSE)*0.65),IF(F743="H",0.038,(0.038*0.65)))</f>
        <v>3.0192537313432834E-2</v>
      </c>
      <c r="L743">
        <f>IF($C743="IE",$K743*CF_231025!$E$16,$K743/VLOOKUP($C743,CF_231025!$A$2:$E$28,5,FALSE))</f>
        <v>9.7612846874662821E-3</v>
      </c>
    </row>
    <row r="744" spans="1:12" x14ac:dyDescent="0.25">
      <c r="A744" t="s">
        <v>136</v>
      </c>
      <c r="B744" t="s">
        <v>898</v>
      </c>
      <c r="C744" t="str">
        <f t="shared" si="56"/>
        <v>LV</v>
      </c>
      <c r="D744" t="str">
        <f t="shared" si="57"/>
        <v>CER</v>
      </c>
      <c r="E744" t="str">
        <f t="shared" si="55"/>
        <v>LVCER</v>
      </c>
      <c r="F744" t="str">
        <f t="shared" si="58"/>
        <v>L</v>
      </c>
      <c r="G744" t="s">
        <v>876</v>
      </c>
      <c r="H744">
        <v>1</v>
      </c>
      <c r="I744">
        <v>0.06</v>
      </c>
      <c r="J744" t="str">
        <f t="shared" si="59"/>
        <v>LVL000CERLI0LVLFER</v>
      </c>
      <c r="K744">
        <f>_xlfn.IFNA(IF(F744="H",VLOOKUP(E744,Fertiliser_data!$E$7:$L$267,8,FALSE),VLOOKUP(E744,Fertiliser_data!$E$7:$L$267,8,FALSE)*0.65),IF(F744="H",0.038,(0.038*0.65)))</f>
        <v>1.9625149253731343E-2</v>
      </c>
      <c r="L744">
        <f>IF($C744="IE",$K744*CF_231025!$E$16,$K744/VLOOKUP($C744,CF_231025!$A$2:$E$28,5,FALSE))</f>
        <v>6.344835046853084E-3</v>
      </c>
    </row>
    <row r="745" spans="1:12" x14ac:dyDescent="0.25">
      <c r="A745" t="s">
        <v>136</v>
      </c>
      <c r="B745" t="s">
        <v>899</v>
      </c>
      <c r="C745" t="str">
        <f t="shared" si="56"/>
        <v>LV</v>
      </c>
      <c r="D745" t="str">
        <f t="shared" si="57"/>
        <v>CER</v>
      </c>
      <c r="E745" t="str">
        <f t="shared" si="55"/>
        <v>LVCER</v>
      </c>
      <c r="F745" t="str">
        <f t="shared" si="58"/>
        <v>L</v>
      </c>
      <c r="G745" t="s">
        <v>876</v>
      </c>
      <c r="H745">
        <v>1</v>
      </c>
      <c r="I745">
        <v>0.06</v>
      </c>
      <c r="J745" t="str">
        <f t="shared" si="59"/>
        <v>LVL000CERLR0LVLFER</v>
      </c>
      <c r="K745">
        <f>_xlfn.IFNA(IF(F745="H",VLOOKUP(E745,Fertiliser_data!$E$7:$L$267,8,FALSE),VLOOKUP(E745,Fertiliser_data!$E$7:$L$267,8,FALSE)*0.65),IF(F745="H",0.038,(0.038*0.65)))</f>
        <v>1.9625149253731343E-2</v>
      </c>
      <c r="L745">
        <f>IF($C745="IE",$K745*CF_231025!$E$16,$K745/VLOOKUP($C745,CF_231025!$A$2:$E$28,5,FALSE))</f>
        <v>6.344835046853084E-3</v>
      </c>
    </row>
    <row r="746" spans="1:12" x14ac:dyDescent="0.25">
      <c r="A746" t="s">
        <v>136</v>
      </c>
      <c r="B746" t="s">
        <v>900</v>
      </c>
      <c r="C746" t="str">
        <f t="shared" si="56"/>
        <v>LV</v>
      </c>
      <c r="D746" t="str">
        <f t="shared" si="57"/>
        <v>OAT</v>
      </c>
      <c r="E746" t="str">
        <f t="shared" si="55"/>
        <v>LVOAT</v>
      </c>
      <c r="F746" t="str">
        <f t="shared" si="58"/>
        <v>H</v>
      </c>
      <c r="G746" t="s">
        <v>876</v>
      </c>
      <c r="H746">
        <v>1</v>
      </c>
      <c r="I746">
        <v>0.11</v>
      </c>
      <c r="J746" t="str">
        <f t="shared" si="59"/>
        <v>LVL000OATHI0LVLFER</v>
      </c>
      <c r="K746">
        <f>_xlfn.IFNA(IF(F746="H",VLOOKUP(E746,Fertiliser_data!$E$7:$L$267,8,FALSE),VLOOKUP(E746,Fertiliser_data!$E$7:$L$267,8,FALSE)*0.65),IF(F746="H",0.038,(0.038*0.65)))</f>
        <v>1.1274626865671641E-2</v>
      </c>
      <c r="L746">
        <f>IF($C746="IE",$K746*CF_231025!$E$16,$K746/VLOOKUP($C746,CF_231025!$A$2:$E$28,5,FALSE))</f>
        <v>3.6451008220436155E-3</v>
      </c>
    </row>
    <row r="747" spans="1:12" x14ac:dyDescent="0.25">
      <c r="A747" t="s">
        <v>136</v>
      </c>
      <c r="B747" t="s">
        <v>901</v>
      </c>
      <c r="C747" t="str">
        <f t="shared" si="56"/>
        <v>LV</v>
      </c>
      <c r="D747" t="str">
        <f t="shared" si="57"/>
        <v>OAT</v>
      </c>
      <c r="E747" t="str">
        <f t="shared" si="55"/>
        <v>LVOAT</v>
      </c>
      <c r="F747" t="str">
        <f t="shared" si="58"/>
        <v>H</v>
      </c>
      <c r="G747" t="s">
        <v>876</v>
      </c>
      <c r="H747">
        <v>1</v>
      </c>
      <c r="I747">
        <v>0.11</v>
      </c>
      <c r="J747" t="str">
        <f t="shared" si="59"/>
        <v>LVL000OATHR0LVLFER</v>
      </c>
      <c r="K747">
        <f>_xlfn.IFNA(IF(F747="H",VLOOKUP(E747,Fertiliser_data!$E$7:$L$267,8,FALSE),VLOOKUP(E747,Fertiliser_data!$E$7:$L$267,8,FALSE)*0.65),IF(F747="H",0.038,(0.038*0.65)))</f>
        <v>1.1274626865671641E-2</v>
      </c>
      <c r="L747">
        <f>IF($C747="IE",$K747*CF_231025!$E$16,$K747/VLOOKUP($C747,CF_231025!$A$2:$E$28,5,FALSE))</f>
        <v>3.6451008220436155E-3</v>
      </c>
    </row>
    <row r="748" spans="1:12" x14ac:dyDescent="0.25">
      <c r="A748" t="s">
        <v>136</v>
      </c>
      <c r="B748" t="s">
        <v>902</v>
      </c>
      <c r="C748" t="str">
        <f t="shared" si="56"/>
        <v>LV</v>
      </c>
      <c r="D748" t="str">
        <f t="shared" si="57"/>
        <v>OAT</v>
      </c>
      <c r="E748" t="str">
        <f t="shared" si="55"/>
        <v>LVOAT</v>
      </c>
      <c r="F748" t="str">
        <f t="shared" si="58"/>
        <v>L</v>
      </c>
      <c r="G748" t="s">
        <v>876</v>
      </c>
      <c r="H748">
        <v>1</v>
      </c>
      <c r="I748">
        <v>0.04</v>
      </c>
      <c r="J748" t="str">
        <f t="shared" si="59"/>
        <v>LVL000OATLI0LVLFER</v>
      </c>
      <c r="K748">
        <f>_xlfn.IFNA(IF(F748="H",VLOOKUP(E748,Fertiliser_data!$E$7:$L$267,8,FALSE),VLOOKUP(E748,Fertiliser_data!$E$7:$L$267,8,FALSE)*0.65),IF(F748="H",0.038,(0.038*0.65)))</f>
        <v>7.3285074626865667E-3</v>
      </c>
      <c r="L748">
        <f>IF($C748="IE",$K748*CF_231025!$E$16,$K748/VLOOKUP($C748,CF_231025!$A$2:$E$28,5,FALSE))</f>
        <v>2.3693155343283501E-3</v>
      </c>
    </row>
    <row r="749" spans="1:12" x14ac:dyDescent="0.25">
      <c r="A749" t="s">
        <v>136</v>
      </c>
      <c r="B749" t="s">
        <v>903</v>
      </c>
      <c r="C749" t="str">
        <f t="shared" si="56"/>
        <v>LV</v>
      </c>
      <c r="D749" t="str">
        <f t="shared" si="57"/>
        <v>OAT</v>
      </c>
      <c r="E749" t="str">
        <f t="shared" si="55"/>
        <v>LVOAT</v>
      </c>
      <c r="F749" t="str">
        <f t="shared" si="58"/>
        <v>L</v>
      </c>
      <c r="G749" t="s">
        <v>876</v>
      </c>
      <c r="H749">
        <v>1</v>
      </c>
      <c r="I749">
        <v>0.04</v>
      </c>
      <c r="J749" t="str">
        <f t="shared" si="59"/>
        <v>LVL000OATLR0LVLFER</v>
      </c>
      <c r="K749">
        <f>_xlfn.IFNA(IF(F749="H",VLOOKUP(E749,Fertiliser_data!$E$7:$L$267,8,FALSE),VLOOKUP(E749,Fertiliser_data!$E$7:$L$267,8,FALSE)*0.65),IF(F749="H",0.038,(0.038*0.65)))</f>
        <v>7.3285074626865667E-3</v>
      </c>
      <c r="L749">
        <f>IF($C749="IE",$K749*CF_231025!$E$16,$K749/VLOOKUP($C749,CF_231025!$A$2:$E$28,5,FALSE))</f>
        <v>2.3693155343283501E-3</v>
      </c>
    </row>
    <row r="750" spans="1:12" x14ac:dyDescent="0.25">
      <c r="A750" t="s">
        <v>136</v>
      </c>
      <c r="B750" t="s">
        <v>904</v>
      </c>
      <c r="C750" t="str">
        <f t="shared" si="56"/>
        <v>LV</v>
      </c>
      <c r="D750" t="str">
        <f t="shared" si="57"/>
        <v>BRL</v>
      </c>
      <c r="E750" t="str">
        <f t="shared" si="55"/>
        <v>LVBRL</v>
      </c>
      <c r="F750" t="str">
        <f t="shared" si="58"/>
        <v>H</v>
      </c>
      <c r="G750" t="s">
        <v>876</v>
      </c>
      <c r="H750">
        <v>1</v>
      </c>
      <c r="I750">
        <v>0.15</v>
      </c>
      <c r="J750" t="str">
        <f t="shared" si="59"/>
        <v>LVL000BRLHI0LVLFER</v>
      </c>
      <c r="K750">
        <f>_xlfn.IFNA(IF(F750="H",VLOOKUP(E750,Fertiliser_data!$E$7:$L$267,8,FALSE),VLOOKUP(E750,Fertiliser_data!$E$7:$L$267,8,FALSE)*0.65),IF(F750="H",0.038,(0.038*0.65)))</f>
        <v>1.0976119402985075E-2</v>
      </c>
      <c r="L750">
        <f>IF($C750="IE",$K750*CF_231025!$E$16,$K750/VLOOKUP($C750,CF_231025!$A$2:$E$28,5,FALSE))</f>
        <v>3.5485929898475977E-3</v>
      </c>
    </row>
    <row r="751" spans="1:12" x14ac:dyDescent="0.25">
      <c r="A751" t="s">
        <v>136</v>
      </c>
      <c r="B751" t="s">
        <v>905</v>
      </c>
      <c r="C751" t="str">
        <f t="shared" si="56"/>
        <v>LV</v>
      </c>
      <c r="D751" t="str">
        <f t="shared" si="57"/>
        <v>BRL</v>
      </c>
      <c r="E751" t="str">
        <f t="shared" si="55"/>
        <v>LVBRL</v>
      </c>
      <c r="F751" t="str">
        <f t="shared" si="58"/>
        <v>H</v>
      </c>
      <c r="G751" t="s">
        <v>876</v>
      </c>
      <c r="H751">
        <v>1</v>
      </c>
      <c r="I751">
        <v>0.15</v>
      </c>
      <c r="J751" t="str">
        <f t="shared" si="59"/>
        <v>LVL000BRLHR0LVLFER</v>
      </c>
      <c r="K751">
        <f>_xlfn.IFNA(IF(F751="H",VLOOKUP(E751,Fertiliser_data!$E$7:$L$267,8,FALSE),VLOOKUP(E751,Fertiliser_data!$E$7:$L$267,8,FALSE)*0.65),IF(F751="H",0.038,(0.038*0.65)))</f>
        <v>1.0976119402985075E-2</v>
      </c>
      <c r="L751">
        <f>IF($C751="IE",$K751*CF_231025!$E$16,$K751/VLOOKUP($C751,CF_231025!$A$2:$E$28,5,FALSE))</f>
        <v>3.5485929898475977E-3</v>
      </c>
    </row>
    <row r="752" spans="1:12" x14ac:dyDescent="0.25">
      <c r="A752" t="s">
        <v>136</v>
      </c>
      <c r="B752" t="s">
        <v>906</v>
      </c>
      <c r="C752" t="str">
        <f t="shared" si="56"/>
        <v>LV</v>
      </c>
      <c r="D752" t="str">
        <f t="shared" si="57"/>
        <v>BRL</v>
      </c>
      <c r="E752" t="str">
        <f t="shared" si="55"/>
        <v>LVBRL</v>
      </c>
      <c r="F752" t="str">
        <f t="shared" si="58"/>
        <v>L</v>
      </c>
      <c r="G752" t="s">
        <v>876</v>
      </c>
      <c r="H752">
        <v>1</v>
      </c>
      <c r="I752">
        <v>0.06</v>
      </c>
      <c r="J752" t="str">
        <f t="shared" si="59"/>
        <v>LVL000BRLLI0LVLFER</v>
      </c>
      <c r="K752">
        <f>_xlfn.IFNA(IF(F752="H",VLOOKUP(E752,Fertiliser_data!$E$7:$L$267,8,FALSE),VLOOKUP(E752,Fertiliser_data!$E$7:$L$267,8,FALSE)*0.65),IF(F752="H",0.038,(0.038*0.65)))</f>
        <v>7.134477611940299E-3</v>
      </c>
      <c r="L752">
        <f>IF($C752="IE",$K752*CF_231025!$E$16,$K752/VLOOKUP($C752,CF_231025!$A$2:$E$28,5,FALSE))</f>
        <v>2.3065854434009387E-3</v>
      </c>
    </row>
    <row r="753" spans="1:12" x14ac:dyDescent="0.25">
      <c r="A753" t="s">
        <v>136</v>
      </c>
      <c r="B753" t="s">
        <v>907</v>
      </c>
      <c r="C753" t="str">
        <f t="shared" si="56"/>
        <v>LV</v>
      </c>
      <c r="D753" t="str">
        <f t="shared" si="57"/>
        <v>BRL</v>
      </c>
      <c r="E753" t="str">
        <f t="shared" si="55"/>
        <v>LVBRL</v>
      </c>
      <c r="F753" t="str">
        <f t="shared" si="58"/>
        <v>L</v>
      </c>
      <c r="G753" t="s">
        <v>876</v>
      </c>
      <c r="H753">
        <v>1</v>
      </c>
      <c r="I753">
        <v>0.06</v>
      </c>
      <c r="J753" t="str">
        <f t="shared" si="59"/>
        <v>LVL000BRLLR0LVLFER</v>
      </c>
      <c r="K753">
        <f>_xlfn.IFNA(IF(F753="H",VLOOKUP(E753,Fertiliser_data!$E$7:$L$267,8,FALSE),VLOOKUP(E753,Fertiliser_data!$E$7:$L$267,8,FALSE)*0.65),IF(F753="H",0.038,(0.038*0.65)))</f>
        <v>7.134477611940299E-3</v>
      </c>
      <c r="L753">
        <f>IF($C753="IE",$K753*CF_231025!$E$16,$K753/VLOOKUP($C753,CF_231025!$A$2:$E$28,5,FALSE))</f>
        <v>2.3065854434009387E-3</v>
      </c>
    </row>
    <row r="754" spans="1:12" x14ac:dyDescent="0.25">
      <c r="A754" t="s">
        <v>136</v>
      </c>
      <c r="B754" t="s">
        <v>908</v>
      </c>
      <c r="C754" t="str">
        <f t="shared" si="56"/>
        <v>LV</v>
      </c>
      <c r="D754" t="str">
        <f t="shared" si="57"/>
        <v>BRO</v>
      </c>
      <c r="E754" t="str">
        <f t="shared" si="55"/>
        <v>LVBRO</v>
      </c>
      <c r="F754" t="str">
        <f t="shared" si="58"/>
        <v>H</v>
      </c>
      <c r="G754" t="s">
        <v>876</v>
      </c>
      <c r="H754">
        <v>1</v>
      </c>
      <c r="I754">
        <v>0.17</v>
      </c>
      <c r="J754" t="str">
        <f t="shared" si="59"/>
        <v>LVL000BROHI0LVLFER</v>
      </c>
      <c r="K754">
        <f>_xlfn.IFNA(IF(F754="H",VLOOKUP(E754,Fertiliser_data!$E$7:$L$267,8,FALSE),VLOOKUP(E754,Fertiliser_data!$E$7:$L$267,8,FALSE)*0.65),IF(F754="H",0.038,(0.038*0.65)))</f>
        <v>1.7571641791044777E-2</v>
      </c>
      <c r="L754">
        <f>IF($C754="IE",$K754*CF_231025!$E$16,$K754/VLOOKUP($C754,CF_231025!$A$2:$E$28,5,FALSE))</f>
        <v>5.680933542218625E-3</v>
      </c>
    </row>
    <row r="755" spans="1:12" x14ac:dyDescent="0.25">
      <c r="A755" t="s">
        <v>136</v>
      </c>
      <c r="B755" t="s">
        <v>909</v>
      </c>
      <c r="C755" t="str">
        <f t="shared" si="56"/>
        <v>LV</v>
      </c>
      <c r="D755" t="str">
        <f t="shared" si="57"/>
        <v>BRO</v>
      </c>
      <c r="E755" t="str">
        <f t="shared" si="55"/>
        <v>LVBRO</v>
      </c>
      <c r="F755" t="str">
        <f t="shared" si="58"/>
        <v>H</v>
      </c>
      <c r="G755" t="s">
        <v>876</v>
      </c>
      <c r="H755">
        <v>1</v>
      </c>
      <c r="I755">
        <v>0.17</v>
      </c>
      <c r="J755" t="str">
        <f t="shared" si="59"/>
        <v>LVL000BROHR0LVLFER</v>
      </c>
      <c r="K755">
        <f>_xlfn.IFNA(IF(F755="H",VLOOKUP(E755,Fertiliser_data!$E$7:$L$267,8,FALSE),VLOOKUP(E755,Fertiliser_data!$E$7:$L$267,8,FALSE)*0.65),IF(F755="H",0.038,(0.038*0.65)))</f>
        <v>1.7571641791044777E-2</v>
      </c>
      <c r="L755">
        <f>IF($C755="IE",$K755*CF_231025!$E$16,$K755/VLOOKUP($C755,CF_231025!$A$2:$E$28,5,FALSE))</f>
        <v>5.680933542218625E-3</v>
      </c>
    </row>
    <row r="756" spans="1:12" x14ac:dyDescent="0.25">
      <c r="A756" t="s">
        <v>136</v>
      </c>
      <c r="B756" t="s">
        <v>910</v>
      </c>
      <c r="C756" t="str">
        <f t="shared" si="56"/>
        <v>LV</v>
      </c>
      <c r="D756" t="str">
        <f t="shared" si="57"/>
        <v>BRO</v>
      </c>
      <c r="E756" t="str">
        <f t="shared" si="55"/>
        <v>LVBRO</v>
      </c>
      <c r="F756" t="str">
        <f t="shared" si="58"/>
        <v>L</v>
      </c>
      <c r="G756" t="s">
        <v>876</v>
      </c>
      <c r="H756">
        <v>1</v>
      </c>
      <c r="I756">
        <v>0.06</v>
      </c>
      <c r="J756" t="str">
        <f t="shared" si="59"/>
        <v>LVL000BROLI0LVLFER</v>
      </c>
      <c r="K756">
        <f>_xlfn.IFNA(IF(F756="H",VLOOKUP(E756,Fertiliser_data!$E$7:$L$267,8,FALSE),VLOOKUP(E756,Fertiliser_data!$E$7:$L$267,8,FALSE)*0.65),IF(F756="H",0.038,(0.038*0.65)))</f>
        <v>1.1421567164179105E-2</v>
      </c>
      <c r="L756">
        <f>IF($C756="IE",$K756*CF_231025!$E$16,$K756/VLOOKUP($C756,CF_231025!$A$2:$E$28,5,FALSE))</f>
        <v>3.692606802442106E-3</v>
      </c>
    </row>
    <row r="757" spans="1:12" x14ac:dyDescent="0.25">
      <c r="A757" t="s">
        <v>136</v>
      </c>
      <c r="B757" t="s">
        <v>911</v>
      </c>
      <c r="C757" t="str">
        <f t="shared" si="56"/>
        <v>LV</v>
      </c>
      <c r="D757" t="str">
        <f t="shared" si="57"/>
        <v>BRO</v>
      </c>
      <c r="E757" t="str">
        <f t="shared" si="55"/>
        <v>LVBRO</v>
      </c>
      <c r="F757" t="str">
        <f t="shared" si="58"/>
        <v>L</v>
      </c>
      <c r="G757" t="s">
        <v>876</v>
      </c>
      <c r="H757">
        <v>1</v>
      </c>
      <c r="I757">
        <v>0.06</v>
      </c>
      <c r="J757" t="str">
        <f t="shared" si="59"/>
        <v>LVL000BROLR0LVLFER</v>
      </c>
      <c r="K757">
        <f>_xlfn.IFNA(IF(F757="H",VLOOKUP(E757,Fertiliser_data!$E$7:$L$267,8,FALSE),VLOOKUP(E757,Fertiliser_data!$E$7:$L$267,8,FALSE)*0.65),IF(F757="H",0.038,(0.038*0.65)))</f>
        <v>1.1421567164179105E-2</v>
      </c>
      <c r="L757">
        <f>IF($C757="IE",$K757*CF_231025!$E$16,$K757/VLOOKUP($C757,CF_231025!$A$2:$E$28,5,FALSE))</f>
        <v>3.692606802442106E-3</v>
      </c>
    </row>
    <row r="758" spans="1:12" x14ac:dyDescent="0.25">
      <c r="A758" t="s">
        <v>136</v>
      </c>
      <c r="B758" t="s">
        <v>912</v>
      </c>
      <c r="C758" t="str">
        <f t="shared" si="56"/>
        <v>LV</v>
      </c>
      <c r="D758" t="str">
        <f t="shared" si="57"/>
        <v>WHE</v>
      </c>
      <c r="E758" t="str">
        <f t="shared" si="55"/>
        <v>LVWHE</v>
      </c>
      <c r="F758" t="str">
        <f t="shared" si="58"/>
        <v>H</v>
      </c>
      <c r="G758" t="s">
        <v>876</v>
      </c>
      <c r="H758">
        <v>1</v>
      </c>
      <c r="I758">
        <v>0.2</v>
      </c>
      <c r="J758" t="str">
        <f t="shared" si="59"/>
        <v>LVL000WHEHI0LVLFER</v>
      </c>
      <c r="K758">
        <f>_xlfn.IFNA(IF(F758="H",VLOOKUP(E758,Fertiliser_data!$E$7:$L$267,8,FALSE),VLOOKUP(E758,Fertiliser_data!$E$7:$L$267,8,FALSE)*0.65),IF(F758="H",0.038,(0.038*0.65)))</f>
        <v>4.6331343283582092E-2</v>
      </c>
      <c r="L758">
        <f>IF($C758="IE",$K758*CF_231025!$E$16,$K758/VLOOKUP($C758,CF_231025!$A$2:$E$28,5,FALSE))</f>
        <v>1.497898063514402E-2</v>
      </c>
    </row>
    <row r="759" spans="1:12" x14ac:dyDescent="0.25">
      <c r="A759" t="s">
        <v>136</v>
      </c>
      <c r="B759" t="s">
        <v>913</v>
      </c>
      <c r="C759" t="str">
        <f t="shared" si="56"/>
        <v>LV</v>
      </c>
      <c r="D759" t="str">
        <f t="shared" si="57"/>
        <v>WHE</v>
      </c>
      <c r="E759" t="str">
        <f t="shared" si="55"/>
        <v>LVWHE</v>
      </c>
      <c r="F759" t="str">
        <f t="shared" si="58"/>
        <v>H</v>
      </c>
      <c r="G759" t="s">
        <v>876</v>
      </c>
      <c r="H759">
        <v>1</v>
      </c>
      <c r="I759">
        <v>0.2</v>
      </c>
      <c r="J759" t="str">
        <f t="shared" si="59"/>
        <v>LVL000WHEHR0LVLFER</v>
      </c>
      <c r="K759">
        <f>_xlfn.IFNA(IF(F759="H",VLOOKUP(E759,Fertiliser_data!$E$7:$L$267,8,FALSE),VLOOKUP(E759,Fertiliser_data!$E$7:$L$267,8,FALSE)*0.65),IF(F759="H",0.038,(0.038*0.65)))</f>
        <v>4.6331343283582092E-2</v>
      </c>
      <c r="L759">
        <f>IF($C759="IE",$K759*CF_231025!$E$16,$K759/VLOOKUP($C759,CF_231025!$A$2:$E$28,5,FALSE))</f>
        <v>1.497898063514402E-2</v>
      </c>
    </row>
    <row r="760" spans="1:12" x14ac:dyDescent="0.25">
      <c r="A760" t="s">
        <v>136</v>
      </c>
      <c r="B760" t="s">
        <v>914</v>
      </c>
      <c r="C760" t="str">
        <f t="shared" si="56"/>
        <v>LV</v>
      </c>
      <c r="D760" t="str">
        <f t="shared" si="57"/>
        <v>WHE</v>
      </c>
      <c r="E760" t="str">
        <f t="shared" si="55"/>
        <v>LVWHE</v>
      </c>
      <c r="F760" t="str">
        <f t="shared" si="58"/>
        <v>L</v>
      </c>
      <c r="G760" t="s">
        <v>876</v>
      </c>
      <c r="H760">
        <v>1</v>
      </c>
      <c r="I760">
        <v>7.0000000000000007E-2</v>
      </c>
      <c r="J760" t="str">
        <f t="shared" si="59"/>
        <v>LVL000WHELI0LVLFER</v>
      </c>
      <c r="K760">
        <f>_xlfn.IFNA(IF(F760="H",VLOOKUP(E760,Fertiliser_data!$E$7:$L$267,8,FALSE),VLOOKUP(E760,Fertiliser_data!$E$7:$L$267,8,FALSE)*0.65),IF(F760="H",0.038,(0.038*0.65)))</f>
        <v>3.0115373134328362E-2</v>
      </c>
      <c r="L760">
        <f>IF($C760="IE",$K760*CF_231025!$E$16,$K760/VLOOKUP($C760,CF_231025!$A$2:$E$28,5,FALSE))</f>
        <v>9.7363374128436146E-3</v>
      </c>
    </row>
    <row r="761" spans="1:12" x14ac:dyDescent="0.25">
      <c r="A761" t="s">
        <v>136</v>
      </c>
      <c r="B761" t="s">
        <v>915</v>
      </c>
      <c r="C761" t="str">
        <f t="shared" si="56"/>
        <v>LV</v>
      </c>
      <c r="D761" t="str">
        <f t="shared" si="57"/>
        <v>WHE</v>
      </c>
      <c r="E761" t="str">
        <f t="shared" si="55"/>
        <v>LVWHE</v>
      </c>
      <c r="F761" t="str">
        <f t="shared" si="58"/>
        <v>L</v>
      </c>
      <c r="G761" t="s">
        <v>876</v>
      </c>
      <c r="H761">
        <v>1</v>
      </c>
      <c r="I761">
        <v>7.0000000000000007E-2</v>
      </c>
      <c r="J761" t="str">
        <f t="shared" si="59"/>
        <v>LVL000WHELR0LVLFER</v>
      </c>
      <c r="K761">
        <f>_xlfn.IFNA(IF(F761="H",VLOOKUP(E761,Fertiliser_data!$E$7:$L$267,8,FALSE),VLOOKUP(E761,Fertiliser_data!$E$7:$L$267,8,FALSE)*0.65),IF(F761="H",0.038,(0.038*0.65)))</f>
        <v>3.0115373134328362E-2</v>
      </c>
      <c r="L761">
        <f>IF($C761="IE",$K761*CF_231025!$E$16,$K761/VLOOKUP($C761,CF_231025!$A$2:$E$28,5,FALSE))</f>
        <v>9.7363374128436146E-3</v>
      </c>
    </row>
    <row r="762" spans="1:12" x14ac:dyDescent="0.25">
      <c r="A762" t="s">
        <v>136</v>
      </c>
      <c r="B762" t="s">
        <v>916</v>
      </c>
      <c r="C762" t="str">
        <f t="shared" si="56"/>
        <v>MT</v>
      </c>
      <c r="D762" t="str">
        <f t="shared" si="57"/>
        <v>POT</v>
      </c>
      <c r="E762" t="str">
        <f t="shared" si="55"/>
        <v>MTPOT</v>
      </c>
      <c r="F762" t="str">
        <f t="shared" si="58"/>
        <v>H</v>
      </c>
      <c r="G762" t="s">
        <v>917</v>
      </c>
      <c r="H762">
        <v>1</v>
      </c>
      <c r="I762">
        <v>0.17</v>
      </c>
      <c r="J762" t="str">
        <f t="shared" si="59"/>
        <v>MTL000POTHI0MTLFER</v>
      </c>
      <c r="K762">
        <f>_xlfn.IFNA(IF(F762="H",VLOOKUP(E762,Fertiliser_data!$E$7:$L$267,8,FALSE),VLOOKUP(E762,Fertiliser_data!$E$7:$L$267,8,FALSE)*0.65),IF(F762="H",0.038,(0.038*0.65)))</f>
        <v>0.3170865671641791</v>
      </c>
      <c r="L762">
        <f>IF($C762="IE",$K762*CF_231025!$E$16,$K762/VLOOKUP($C762,CF_231025!$A$2:$E$28,5,FALSE))</f>
        <v>4.3864263865443121E-2</v>
      </c>
    </row>
    <row r="763" spans="1:12" x14ac:dyDescent="0.25">
      <c r="A763" t="s">
        <v>136</v>
      </c>
      <c r="B763" t="s">
        <v>918</v>
      </c>
      <c r="C763" t="str">
        <f t="shared" si="56"/>
        <v>MT</v>
      </c>
      <c r="D763" t="str">
        <f t="shared" si="57"/>
        <v>POT</v>
      </c>
      <c r="E763" t="str">
        <f t="shared" si="55"/>
        <v>MTPOT</v>
      </c>
      <c r="F763" t="str">
        <f t="shared" si="58"/>
        <v>H</v>
      </c>
      <c r="G763" t="s">
        <v>917</v>
      </c>
      <c r="H763">
        <v>1</v>
      </c>
      <c r="I763">
        <v>0.17</v>
      </c>
      <c r="J763" t="str">
        <f t="shared" si="59"/>
        <v>MTL000POTHR0MTLFER</v>
      </c>
      <c r="K763">
        <f>_xlfn.IFNA(IF(F763="H",VLOOKUP(E763,Fertiliser_data!$E$7:$L$267,8,FALSE),VLOOKUP(E763,Fertiliser_data!$E$7:$L$267,8,FALSE)*0.65),IF(F763="H",0.038,(0.038*0.65)))</f>
        <v>0.3170865671641791</v>
      </c>
      <c r="L763">
        <f>IF($C763="IE",$K763*CF_231025!$E$16,$K763/VLOOKUP($C763,CF_231025!$A$2:$E$28,5,FALSE))</f>
        <v>4.3864263865443121E-2</v>
      </c>
    </row>
    <row r="764" spans="1:12" x14ac:dyDescent="0.25">
      <c r="A764" t="s">
        <v>136</v>
      </c>
      <c r="B764" t="s">
        <v>919</v>
      </c>
      <c r="C764" t="str">
        <f t="shared" si="56"/>
        <v>MT</v>
      </c>
      <c r="D764" t="str">
        <f t="shared" si="57"/>
        <v>POT</v>
      </c>
      <c r="E764" t="str">
        <f t="shared" si="55"/>
        <v>MTPOT</v>
      </c>
      <c r="F764" t="str">
        <f t="shared" si="58"/>
        <v>L</v>
      </c>
      <c r="G764" t="s">
        <v>917</v>
      </c>
      <c r="H764">
        <v>1</v>
      </c>
      <c r="I764">
        <v>6.3E-2</v>
      </c>
      <c r="J764" t="str">
        <f t="shared" si="59"/>
        <v>MTL000POTLI0MTLFER</v>
      </c>
      <c r="K764">
        <f>_xlfn.IFNA(IF(F764="H",VLOOKUP(E764,Fertiliser_data!$E$7:$L$267,8,FALSE),VLOOKUP(E764,Fertiliser_data!$E$7:$L$267,8,FALSE)*0.65),IF(F764="H",0.038,(0.038*0.65)))</f>
        <v>0.20610626865671641</v>
      </c>
      <c r="L764">
        <f>IF($C764="IE",$K764*CF_231025!$E$16,$K764/VLOOKUP($C764,CF_231025!$A$2:$E$28,5,FALSE))</f>
        <v>2.8511771512538028E-2</v>
      </c>
    </row>
    <row r="765" spans="1:12" x14ac:dyDescent="0.25">
      <c r="A765" t="s">
        <v>136</v>
      </c>
      <c r="B765" t="s">
        <v>920</v>
      </c>
      <c r="C765" t="str">
        <f t="shared" si="56"/>
        <v>MT</v>
      </c>
      <c r="D765" t="str">
        <f t="shared" si="57"/>
        <v>POT</v>
      </c>
      <c r="E765" t="str">
        <f t="shared" si="55"/>
        <v>MTPOT</v>
      </c>
      <c r="F765" t="str">
        <f t="shared" si="58"/>
        <v>L</v>
      </c>
      <c r="G765" t="s">
        <v>917</v>
      </c>
      <c r="H765">
        <v>1</v>
      </c>
      <c r="I765">
        <v>6.3E-2</v>
      </c>
      <c r="J765" t="str">
        <f t="shared" si="59"/>
        <v>MTL000POTLR0MTLFER</v>
      </c>
      <c r="K765">
        <f>_xlfn.IFNA(IF(F765="H",VLOOKUP(E765,Fertiliser_data!$E$7:$L$267,8,FALSE),VLOOKUP(E765,Fertiliser_data!$E$7:$L$267,8,FALSE)*0.65),IF(F765="H",0.038,(0.038*0.65)))</f>
        <v>0.20610626865671641</v>
      </c>
      <c r="L765">
        <f>IF($C765="IE",$K765*CF_231025!$E$16,$K765/VLOOKUP($C765,CF_231025!$A$2:$E$28,5,FALSE))</f>
        <v>2.8511771512538028E-2</v>
      </c>
    </row>
    <row r="766" spans="1:12" x14ac:dyDescent="0.25">
      <c r="A766" t="s">
        <v>136</v>
      </c>
      <c r="B766" t="s">
        <v>921</v>
      </c>
      <c r="C766" t="str">
        <f t="shared" si="56"/>
        <v>MT</v>
      </c>
      <c r="D766" t="str">
        <f t="shared" si="57"/>
        <v>GRP</v>
      </c>
      <c r="E766" t="str">
        <f t="shared" si="55"/>
        <v>MTGRP</v>
      </c>
      <c r="F766" t="str">
        <f t="shared" si="58"/>
        <v>H</v>
      </c>
      <c r="G766" t="s">
        <v>917</v>
      </c>
      <c r="H766">
        <v>1</v>
      </c>
      <c r="I766">
        <v>0.17</v>
      </c>
      <c r="J766" t="str">
        <f t="shared" si="59"/>
        <v>MTL000GRPHI0MTLFER</v>
      </c>
      <c r="K766">
        <f>_xlfn.IFNA(IF(F766="H",VLOOKUP(E766,Fertiliser_data!$E$7:$L$267,8,FALSE),VLOOKUP(E766,Fertiliser_data!$E$7:$L$267,8,FALSE)*0.65),IF(F766="H",0.038,(0.038*0.65)))</f>
        <v>9.6455223880597019E-2</v>
      </c>
      <c r="L766">
        <f>IF($C766="IE",$K766*CF_231025!$E$16,$K766/VLOOKUP($C766,CF_231025!$A$2:$E$28,5,FALSE))</f>
        <v>1.3343161866923961E-2</v>
      </c>
    </row>
    <row r="767" spans="1:12" x14ac:dyDescent="0.25">
      <c r="A767" t="s">
        <v>136</v>
      </c>
      <c r="B767" t="s">
        <v>922</v>
      </c>
      <c r="C767" t="str">
        <f t="shared" si="56"/>
        <v>MT</v>
      </c>
      <c r="D767" t="str">
        <f t="shared" si="57"/>
        <v>GRP</v>
      </c>
      <c r="E767" t="str">
        <f t="shared" si="55"/>
        <v>MTGRP</v>
      </c>
      <c r="F767" t="str">
        <f t="shared" si="58"/>
        <v>H</v>
      </c>
      <c r="G767" t="s">
        <v>917</v>
      </c>
      <c r="H767">
        <v>1</v>
      </c>
      <c r="I767">
        <v>0.17</v>
      </c>
      <c r="J767" t="str">
        <f t="shared" si="59"/>
        <v>MTL000GRPHR0MTLFER</v>
      </c>
      <c r="K767">
        <f>_xlfn.IFNA(IF(F767="H",VLOOKUP(E767,Fertiliser_data!$E$7:$L$267,8,FALSE),VLOOKUP(E767,Fertiliser_data!$E$7:$L$267,8,FALSE)*0.65),IF(F767="H",0.038,(0.038*0.65)))</f>
        <v>9.6455223880597019E-2</v>
      </c>
      <c r="L767">
        <f>IF($C767="IE",$K767*CF_231025!$E$16,$K767/VLOOKUP($C767,CF_231025!$A$2:$E$28,5,FALSE))</f>
        <v>1.3343161866923961E-2</v>
      </c>
    </row>
    <row r="768" spans="1:12" x14ac:dyDescent="0.25">
      <c r="A768" t="s">
        <v>136</v>
      </c>
      <c r="B768" t="s">
        <v>923</v>
      </c>
      <c r="C768" t="str">
        <f t="shared" si="56"/>
        <v>MT</v>
      </c>
      <c r="D768" t="str">
        <f t="shared" si="57"/>
        <v>GRP</v>
      </c>
      <c r="E768" t="str">
        <f t="shared" si="55"/>
        <v>MTGRP</v>
      </c>
      <c r="F768" t="str">
        <f t="shared" si="58"/>
        <v>L</v>
      </c>
      <c r="G768" t="s">
        <v>917</v>
      </c>
      <c r="H768">
        <v>1</v>
      </c>
      <c r="I768">
        <v>6.3E-2</v>
      </c>
      <c r="J768" t="str">
        <f t="shared" si="59"/>
        <v>MTL000GRPLI0MTLFER</v>
      </c>
      <c r="K768">
        <f>_xlfn.IFNA(IF(F768="H",VLOOKUP(E768,Fertiliser_data!$E$7:$L$267,8,FALSE),VLOOKUP(E768,Fertiliser_data!$E$7:$L$267,8,FALSE)*0.65),IF(F768="H",0.038,(0.038*0.65)))</f>
        <v>6.2695895522388065E-2</v>
      </c>
      <c r="L768">
        <f>IF($C768="IE",$K768*CF_231025!$E$16,$K768/VLOOKUP($C768,CF_231025!$A$2:$E$28,5,FALSE))</f>
        <v>8.6730552135005756E-3</v>
      </c>
    </row>
    <row r="769" spans="1:12" x14ac:dyDescent="0.25">
      <c r="A769" t="s">
        <v>136</v>
      </c>
      <c r="B769" t="s">
        <v>924</v>
      </c>
      <c r="C769" t="str">
        <f t="shared" si="56"/>
        <v>MT</v>
      </c>
      <c r="D769" t="str">
        <f t="shared" si="57"/>
        <v>GRP</v>
      </c>
      <c r="E769" t="str">
        <f t="shared" si="55"/>
        <v>MTGRP</v>
      </c>
      <c r="F769" t="str">
        <f t="shared" si="58"/>
        <v>L</v>
      </c>
      <c r="G769" t="s">
        <v>917</v>
      </c>
      <c r="H769">
        <v>1</v>
      </c>
      <c r="I769">
        <v>6.3E-2</v>
      </c>
      <c r="J769" t="str">
        <f t="shared" si="59"/>
        <v>MTL000GRPLR0MTLFER</v>
      </c>
      <c r="K769">
        <f>_xlfn.IFNA(IF(F769="H",VLOOKUP(E769,Fertiliser_data!$E$7:$L$267,8,FALSE),VLOOKUP(E769,Fertiliser_data!$E$7:$L$267,8,FALSE)*0.65),IF(F769="H",0.038,(0.038*0.65)))</f>
        <v>6.2695895522388065E-2</v>
      </c>
      <c r="L769">
        <f>IF($C769="IE",$K769*CF_231025!$E$16,$K769/VLOOKUP($C769,CF_231025!$A$2:$E$28,5,FALSE))</f>
        <v>8.6730552135005756E-3</v>
      </c>
    </row>
    <row r="770" spans="1:12" x14ac:dyDescent="0.25">
      <c r="A770" t="s">
        <v>136</v>
      </c>
      <c r="B770" t="s">
        <v>925</v>
      </c>
      <c r="C770" t="str">
        <f t="shared" si="56"/>
        <v>MT</v>
      </c>
      <c r="D770" t="str">
        <f t="shared" si="57"/>
        <v>MAI</v>
      </c>
      <c r="E770" t="str">
        <f t="shared" ref="E770:E833" si="60">C770&amp;D770</f>
        <v>MTMAI</v>
      </c>
      <c r="F770" t="str">
        <f t="shared" si="58"/>
        <v>H</v>
      </c>
      <c r="G770" t="s">
        <v>917</v>
      </c>
      <c r="H770">
        <v>1</v>
      </c>
      <c r="I770">
        <v>0</v>
      </c>
      <c r="J770" t="str">
        <f t="shared" si="59"/>
        <v>MTL000MAIHI0MTLFER</v>
      </c>
      <c r="K770">
        <f>_xlfn.IFNA(IF(F770="H",VLOOKUP(E770,Fertiliser_data!$E$7:$L$267,8,FALSE),VLOOKUP(E770,Fertiliser_data!$E$7:$L$267,8,FALSE)*0.65),IF(F770="H",0.038,(0.038*0.65)))</f>
        <v>3.7999999999999999E-2</v>
      </c>
      <c r="L770">
        <f>IF($C770="IE",$K770*CF_231025!$E$16,$K770/VLOOKUP($C770,CF_231025!$A$2:$E$28,5,FALSE))</f>
        <v>5.2567412167409521E-3</v>
      </c>
    </row>
    <row r="771" spans="1:12" x14ac:dyDescent="0.25">
      <c r="A771" t="s">
        <v>136</v>
      </c>
      <c r="B771" t="s">
        <v>926</v>
      </c>
      <c r="C771" t="str">
        <f t="shared" ref="C771:C834" si="61">LEFT(B771,2)</f>
        <v>MT</v>
      </c>
      <c r="D771" t="str">
        <f t="shared" ref="D771:D834" si="62">MID(B771,7,3)</f>
        <v>MAI</v>
      </c>
      <c r="E771" t="str">
        <f t="shared" si="60"/>
        <v>MTMAI</v>
      </c>
      <c r="F771" t="str">
        <f t="shared" ref="F771:F834" si="63">MID(B771,10,1)</f>
        <v>H</v>
      </c>
      <c r="G771" t="s">
        <v>917</v>
      </c>
      <c r="H771">
        <v>1</v>
      </c>
      <c r="I771">
        <v>0</v>
      </c>
      <c r="J771" t="str">
        <f t="shared" ref="J771:J834" si="64">B771&amp;G771</f>
        <v>MTL000MAIHR0MTLFER</v>
      </c>
      <c r="K771">
        <f>_xlfn.IFNA(IF(F771="H",VLOOKUP(E771,Fertiliser_data!$E$7:$L$267,8,FALSE),VLOOKUP(E771,Fertiliser_data!$E$7:$L$267,8,FALSE)*0.65),IF(F771="H",0.038,(0.038*0.65)))</f>
        <v>3.7999999999999999E-2</v>
      </c>
      <c r="L771">
        <f>IF($C771="IE",$K771*CF_231025!$E$16,$K771/VLOOKUP($C771,CF_231025!$A$2:$E$28,5,FALSE))</f>
        <v>5.2567412167409521E-3</v>
      </c>
    </row>
    <row r="772" spans="1:12" x14ac:dyDescent="0.25">
      <c r="A772" t="s">
        <v>136</v>
      </c>
      <c r="B772" t="s">
        <v>927</v>
      </c>
      <c r="C772" t="str">
        <f t="shared" si="61"/>
        <v>MT</v>
      </c>
      <c r="D772" t="str">
        <f t="shared" si="62"/>
        <v>MAI</v>
      </c>
      <c r="E772" t="str">
        <f t="shared" si="60"/>
        <v>MTMAI</v>
      </c>
      <c r="F772" t="str">
        <f t="shared" si="63"/>
        <v>L</v>
      </c>
      <c r="G772" t="s">
        <v>917</v>
      </c>
      <c r="H772">
        <v>1</v>
      </c>
      <c r="I772">
        <v>0</v>
      </c>
      <c r="J772" t="str">
        <f t="shared" si="64"/>
        <v>MTL000MAILI0MTLFER</v>
      </c>
      <c r="K772">
        <f>_xlfn.IFNA(IF(F772="H",VLOOKUP(E772,Fertiliser_data!$E$7:$L$267,8,FALSE),VLOOKUP(E772,Fertiliser_data!$E$7:$L$267,8,FALSE)*0.65),IF(F772="H",0.038,(0.038*0.65)))</f>
        <v>2.47E-2</v>
      </c>
      <c r="L772">
        <f>IF($C772="IE",$K772*CF_231025!$E$16,$K772/VLOOKUP($C772,CF_231025!$A$2:$E$28,5,FALSE))</f>
        <v>3.416881790881619E-3</v>
      </c>
    </row>
    <row r="773" spans="1:12" x14ac:dyDescent="0.25">
      <c r="A773" t="s">
        <v>136</v>
      </c>
      <c r="B773" t="s">
        <v>928</v>
      </c>
      <c r="C773" t="str">
        <f t="shared" si="61"/>
        <v>MT</v>
      </c>
      <c r="D773" t="str">
        <f t="shared" si="62"/>
        <v>MAI</v>
      </c>
      <c r="E773" t="str">
        <f t="shared" si="60"/>
        <v>MTMAI</v>
      </c>
      <c r="F773" t="str">
        <f t="shared" si="63"/>
        <v>L</v>
      </c>
      <c r="G773" t="s">
        <v>917</v>
      </c>
      <c r="H773">
        <v>1</v>
      </c>
      <c r="I773">
        <v>0</v>
      </c>
      <c r="J773" t="str">
        <f t="shared" si="64"/>
        <v>MTL000MAILR0MTLFER</v>
      </c>
      <c r="K773">
        <f>_xlfn.IFNA(IF(F773="H",VLOOKUP(E773,Fertiliser_data!$E$7:$L$267,8,FALSE),VLOOKUP(E773,Fertiliser_data!$E$7:$L$267,8,FALSE)*0.65),IF(F773="H",0.038,(0.038*0.65)))</f>
        <v>2.47E-2</v>
      </c>
      <c r="L773">
        <f>IF($C773="IE",$K773*CF_231025!$E$16,$K773/VLOOKUP($C773,CF_231025!$A$2:$E$28,5,FALSE))</f>
        <v>3.416881790881619E-3</v>
      </c>
    </row>
    <row r="774" spans="1:12" x14ac:dyDescent="0.25">
      <c r="A774" t="s">
        <v>136</v>
      </c>
      <c r="B774" t="s">
        <v>929</v>
      </c>
      <c r="C774" t="str">
        <f t="shared" si="61"/>
        <v>MT</v>
      </c>
      <c r="D774" t="str">
        <f t="shared" si="62"/>
        <v>OAT</v>
      </c>
      <c r="E774" t="str">
        <f t="shared" si="60"/>
        <v>MTOAT</v>
      </c>
      <c r="F774" t="str">
        <f t="shared" si="63"/>
        <v>H</v>
      </c>
      <c r="G774" t="s">
        <v>917</v>
      </c>
      <c r="H774">
        <v>1</v>
      </c>
      <c r="I774">
        <v>0</v>
      </c>
      <c r="J774" t="str">
        <f t="shared" si="64"/>
        <v>MTL000OATHI0MTLFER</v>
      </c>
      <c r="K774">
        <f>_xlfn.IFNA(IF(F774="H",VLOOKUP(E774,Fertiliser_data!$E$7:$L$267,8,FALSE),VLOOKUP(E774,Fertiliser_data!$E$7:$L$267,8,FALSE)*0.65),IF(F774="H",0.038,(0.038*0.65)))</f>
        <v>3.7999999999999999E-2</v>
      </c>
      <c r="L774">
        <f>IF($C774="IE",$K774*CF_231025!$E$16,$K774/VLOOKUP($C774,CF_231025!$A$2:$E$28,5,FALSE))</f>
        <v>5.2567412167409521E-3</v>
      </c>
    </row>
    <row r="775" spans="1:12" x14ac:dyDescent="0.25">
      <c r="A775" t="s">
        <v>136</v>
      </c>
      <c r="B775" t="s">
        <v>930</v>
      </c>
      <c r="C775" t="str">
        <f t="shared" si="61"/>
        <v>MT</v>
      </c>
      <c r="D775" t="str">
        <f t="shared" si="62"/>
        <v>OAT</v>
      </c>
      <c r="E775" t="str">
        <f t="shared" si="60"/>
        <v>MTOAT</v>
      </c>
      <c r="F775" t="str">
        <f t="shared" si="63"/>
        <v>H</v>
      </c>
      <c r="G775" t="s">
        <v>917</v>
      </c>
      <c r="H775">
        <v>1</v>
      </c>
      <c r="I775">
        <v>0</v>
      </c>
      <c r="J775" t="str">
        <f t="shared" si="64"/>
        <v>MTL000OATHR0MTLFER</v>
      </c>
      <c r="K775">
        <f>_xlfn.IFNA(IF(F775="H",VLOOKUP(E775,Fertiliser_data!$E$7:$L$267,8,FALSE),VLOOKUP(E775,Fertiliser_data!$E$7:$L$267,8,FALSE)*0.65),IF(F775="H",0.038,(0.038*0.65)))</f>
        <v>3.7999999999999999E-2</v>
      </c>
      <c r="L775">
        <f>IF($C775="IE",$K775*CF_231025!$E$16,$K775/VLOOKUP($C775,CF_231025!$A$2:$E$28,5,FALSE))</f>
        <v>5.2567412167409521E-3</v>
      </c>
    </row>
    <row r="776" spans="1:12" x14ac:dyDescent="0.25">
      <c r="A776" t="s">
        <v>136</v>
      </c>
      <c r="B776" t="s">
        <v>931</v>
      </c>
      <c r="C776" t="str">
        <f t="shared" si="61"/>
        <v>MT</v>
      </c>
      <c r="D776" t="str">
        <f t="shared" si="62"/>
        <v>OAT</v>
      </c>
      <c r="E776" t="str">
        <f t="shared" si="60"/>
        <v>MTOAT</v>
      </c>
      <c r="F776" t="str">
        <f t="shared" si="63"/>
        <v>L</v>
      </c>
      <c r="G776" t="s">
        <v>917</v>
      </c>
      <c r="H776">
        <v>1</v>
      </c>
      <c r="I776">
        <v>0</v>
      </c>
      <c r="J776" t="str">
        <f t="shared" si="64"/>
        <v>MTL000OATLI0MTLFER</v>
      </c>
      <c r="K776">
        <f>_xlfn.IFNA(IF(F776="H",VLOOKUP(E776,Fertiliser_data!$E$7:$L$267,8,FALSE),VLOOKUP(E776,Fertiliser_data!$E$7:$L$267,8,FALSE)*0.65),IF(F776="H",0.038,(0.038*0.65)))</f>
        <v>2.47E-2</v>
      </c>
      <c r="L776">
        <f>IF($C776="IE",$K776*CF_231025!$E$16,$K776/VLOOKUP($C776,CF_231025!$A$2:$E$28,5,FALSE))</f>
        <v>3.416881790881619E-3</v>
      </c>
    </row>
    <row r="777" spans="1:12" x14ac:dyDescent="0.25">
      <c r="A777" t="s">
        <v>136</v>
      </c>
      <c r="B777" t="s">
        <v>932</v>
      </c>
      <c r="C777" t="str">
        <f t="shared" si="61"/>
        <v>MT</v>
      </c>
      <c r="D777" t="str">
        <f t="shared" si="62"/>
        <v>OAT</v>
      </c>
      <c r="E777" t="str">
        <f t="shared" si="60"/>
        <v>MTOAT</v>
      </c>
      <c r="F777" t="str">
        <f t="shared" si="63"/>
        <v>L</v>
      </c>
      <c r="G777" t="s">
        <v>917</v>
      </c>
      <c r="H777">
        <v>1</v>
      </c>
      <c r="I777">
        <v>0</v>
      </c>
      <c r="J777" t="str">
        <f t="shared" si="64"/>
        <v>MTL000OATLR0MTLFER</v>
      </c>
      <c r="K777">
        <f>_xlfn.IFNA(IF(F777="H",VLOOKUP(E777,Fertiliser_data!$E$7:$L$267,8,FALSE),VLOOKUP(E777,Fertiliser_data!$E$7:$L$267,8,FALSE)*0.65),IF(F777="H",0.038,(0.038*0.65)))</f>
        <v>2.47E-2</v>
      </c>
      <c r="L777">
        <f>IF($C777="IE",$K777*CF_231025!$E$16,$K777/VLOOKUP($C777,CF_231025!$A$2:$E$28,5,FALSE))</f>
        <v>3.416881790881619E-3</v>
      </c>
    </row>
    <row r="778" spans="1:12" x14ac:dyDescent="0.25">
      <c r="A778" t="s">
        <v>136</v>
      </c>
      <c r="B778" t="s">
        <v>933</v>
      </c>
      <c r="C778" t="str">
        <f t="shared" si="61"/>
        <v>MT</v>
      </c>
      <c r="D778" t="str">
        <f t="shared" si="62"/>
        <v>OLI</v>
      </c>
      <c r="E778" t="str">
        <f t="shared" si="60"/>
        <v>MTOLI</v>
      </c>
      <c r="F778" t="str">
        <f t="shared" si="63"/>
        <v>H</v>
      </c>
      <c r="G778" t="s">
        <v>917</v>
      </c>
      <c r="H778">
        <v>1</v>
      </c>
      <c r="I778">
        <v>0</v>
      </c>
      <c r="J778" t="str">
        <f t="shared" si="64"/>
        <v>MTL000OLIHI0MTLFER</v>
      </c>
      <c r="K778">
        <f>_xlfn.IFNA(IF(F778="H",VLOOKUP(E778,Fertiliser_data!$E$7:$L$267,8,FALSE),VLOOKUP(E778,Fertiliser_data!$E$7:$L$267,8,FALSE)*0.65),IF(F778="H",0.038,(0.038*0.65)))</f>
        <v>3.7999999999999999E-2</v>
      </c>
      <c r="L778">
        <f>IF($C778="IE",$K778*CF_231025!$E$16,$K778/VLOOKUP($C778,CF_231025!$A$2:$E$28,5,FALSE))</f>
        <v>5.2567412167409521E-3</v>
      </c>
    </row>
    <row r="779" spans="1:12" x14ac:dyDescent="0.25">
      <c r="A779" t="s">
        <v>136</v>
      </c>
      <c r="B779" t="s">
        <v>934</v>
      </c>
      <c r="C779" t="str">
        <f t="shared" si="61"/>
        <v>MT</v>
      </c>
      <c r="D779" t="str">
        <f t="shared" si="62"/>
        <v>OLI</v>
      </c>
      <c r="E779" t="str">
        <f t="shared" si="60"/>
        <v>MTOLI</v>
      </c>
      <c r="F779" t="str">
        <f t="shared" si="63"/>
        <v>H</v>
      </c>
      <c r="G779" t="s">
        <v>917</v>
      </c>
      <c r="H779">
        <v>1</v>
      </c>
      <c r="I779">
        <v>0</v>
      </c>
      <c r="J779" t="str">
        <f t="shared" si="64"/>
        <v>MTL000OLIHR0MTLFER</v>
      </c>
      <c r="K779">
        <f>_xlfn.IFNA(IF(F779="H",VLOOKUP(E779,Fertiliser_data!$E$7:$L$267,8,FALSE),VLOOKUP(E779,Fertiliser_data!$E$7:$L$267,8,FALSE)*0.65),IF(F779="H",0.038,(0.038*0.65)))</f>
        <v>3.7999999999999999E-2</v>
      </c>
      <c r="L779">
        <f>IF($C779="IE",$K779*CF_231025!$E$16,$K779/VLOOKUP($C779,CF_231025!$A$2:$E$28,5,FALSE))</f>
        <v>5.2567412167409521E-3</v>
      </c>
    </row>
    <row r="780" spans="1:12" x14ac:dyDescent="0.25">
      <c r="A780" t="s">
        <v>136</v>
      </c>
      <c r="B780" t="s">
        <v>935</v>
      </c>
      <c r="C780" t="str">
        <f t="shared" si="61"/>
        <v>MT</v>
      </c>
      <c r="D780" t="str">
        <f t="shared" si="62"/>
        <v>OLI</v>
      </c>
      <c r="E780" t="str">
        <f t="shared" si="60"/>
        <v>MTOLI</v>
      </c>
      <c r="F780" t="str">
        <f t="shared" si="63"/>
        <v>L</v>
      </c>
      <c r="G780" t="s">
        <v>917</v>
      </c>
      <c r="H780">
        <v>1</v>
      </c>
      <c r="I780">
        <v>0</v>
      </c>
      <c r="J780" t="str">
        <f t="shared" si="64"/>
        <v>MTL000OLILI0MTLFER</v>
      </c>
      <c r="K780">
        <f>_xlfn.IFNA(IF(F780="H",VLOOKUP(E780,Fertiliser_data!$E$7:$L$267,8,FALSE),VLOOKUP(E780,Fertiliser_data!$E$7:$L$267,8,FALSE)*0.65),IF(F780="H",0.038,(0.038*0.65)))</f>
        <v>2.47E-2</v>
      </c>
      <c r="L780">
        <f>IF($C780="IE",$K780*CF_231025!$E$16,$K780/VLOOKUP($C780,CF_231025!$A$2:$E$28,5,FALSE))</f>
        <v>3.416881790881619E-3</v>
      </c>
    </row>
    <row r="781" spans="1:12" x14ac:dyDescent="0.25">
      <c r="A781" t="s">
        <v>136</v>
      </c>
      <c r="B781" t="s">
        <v>936</v>
      </c>
      <c r="C781" t="str">
        <f t="shared" si="61"/>
        <v>MT</v>
      </c>
      <c r="D781" t="str">
        <f t="shared" si="62"/>
        <v>OLI</v>
      </c>
      <c r="E781" t="str">
        <f t="shared" si="60"/>
        <v>MTOLI</v>
      </c>
      <c r="F781" t="str">
        <f t="shared" si="63"/>
        <v>L</v>
      </c>
      <c r="G781" t="s">
        <v>917</v>
      </c>
      <c r="H781">
        <v>1</v>
      </c>
      <c r="I781">
        <v>0</v>
      </c>
      <c r="J781" t="str">
        <f t="shared" si="64"/>
        <v>MTL000OLILR0MTLFER</v>
      </c>
      <c r="K781">
        <f>_xlfn.IFNA(IF(F781="H",VLOOKUP(E781,Fertiliser_data!$E$7:$L$267,8,FALSE),VLOOKUP(E781,Fertiliser_data!$E$7:$L$267,8,FALSE)*0.65),IF(F781="H",0.038,(0.038*0.65)))</f>
        <v>2.47E-2</v>
      </c>
      <c r="L781">
        <f>IF($C781="IE",$K781*CF_231025!$E$16,$K781/VLOOKUP($C781,CF_231025!$A$2:$E$28,5,FALSE))</f>
        <v>3.416881790881619E-3</v>
      </c>
    </row>
    <row r="782" spans="1:12" x14ac:dyDescent="0.25">
      <c r="A782" t="s">
        <v>136</v>
      </c>
      <c r="B782" t="s">
        <v>937</v>
      </c>
      <c r="C782" t="str">
        <f t="shared" si="61"/>
        <v>MT</v>
      </c>
      <c r="D782" t="str">
        <f t="shared" si="62"/>
        <v>OTH</v>
      </c>
      <c r="E782" t="str">
        <f t="shared" si="60"/>
        <v>MTOTH</v>
      </c>
      <c r="F782" t="str">
        <f t="shared" si="63"/>
        <v>H</v>
      </c>
      <c r="G782" t="s">
        <v>917</v>
      </c>
      <c r="H782">
        <v>1</v>
      </c>
      <c r="I782">
        <v>0.17</v>
      </c>
      <c r="J782" t="str">
        <f t="shared" si="64"/>
        <v>MTL000OTHHI0MTLFER</v>
      </c>
      <c r="K782">
        <f>_xlfn.IFNA(IF(F782="H",VLOOKUP(E782,Fertiliser_data!$E$7:$L$267,8,FALSE),VLOOKUP(E782,Fertiliser_data!$E$7:$L$267,8,FALSE)*0.65),IF(F782="H",0.038,(0.038*0.65)))</f>
        <v>3.7999999999999999E-2</v>
      </c>
      <c r="L782">
        <f>IF($C782="IE",$K782*CF_231025!$E$16,$K782/VLOOKUP($C782,CF_231025!$A$2:$E$28,5,FALSE))</f>
        <v>5.2567412167409521E-3</v>
      </c>
    </row>
    <row r="783" spans="1:12" x14ac:dyDescent="0.25">
      <c r="A783" t="s">
        <v>136</v>
      </c>
      <c r="B783" t="s">
        <v>938</v>
      </c>
      <c r="C783" t="str">
        <f t="shared" si="61"/>
        <v>MT</v>
      </c>
      <c r="D783" t="str">
        <f t="shared" si="62"/>
        <v>OTH</v>
      </c>
      <c r="E783" t="str">
        <f t="shared" si="60"/>
        <v>MTOTH</v>
      </c>
      <c r="F783" t="str">
        <f t="shared" si="63"/>
        <v>H</v>
      </c>
      <c r="G783" t="s">
        <v>917</v>
      </c>
      <c r="H783">
        <v>1</v>
      </c>
      <c r="I783">
        <v>0.17</v>
      </c>
      <c r="J783" t="str">
        <f t="shared" si="64"/>
        <v>MTL000OTHHR0MTLFER</v>
      </c>
      <c r="K783">
        <f>_xlfn.IFNA(IF(F783="H",VLOOKUP(E783,Fertiliser_data!$E$7:$L$267,8,FALSE),VLOOKUP(E783,Fertiliser_data!$E$7:$L$267,8,FALSE)*0.65),IF(F783="H",0.038,(0.038*0.65)))</f>
        <v>3.7999999999999999E-2</v>
      </c>
      <c r="L783">
        <f>IF($C783="IE",$K783*CF_231025!$E$16,$K783/VLOOKUP($C783,CF_231025!$A$2:$E$28,5,FALSE))</f>
        <v>5.2567412167409521E-3</v>
      </c>
    </row>
    <row r="784" spans="1:12" x14ac:dyDescent="0.25">
      <c r="A784" t="s">
        <v>136</v>
      </c>
      <c r="B784" t="s">
        <v>939</v>
      </c>
      <c r="C784" t="str">
        <f t="shared" si="61"/>
        <v>MT</v>
      </c>
      <c r="D784" t="str">
        <f t="shared" si="62"/>
        <v>OTH</v>
      </c>
      <c r="E784" t="str">
        <f t="shared" si="60"/>
        <v>MTOTH</v>
      </c>
      <c r="F784" t="str">
        <f t="shared" si="63"/>
        <v>L</v>
      </c>
      <c r="G784" t="s">
        <v>917</v>
      </c>
      <c r="H784">
        <v>1</v>
      </c>
      <c r="I784">
        <v>6.3E-2</v>
      </c>
      <c r="J784" t="str">
        <f t="shared" si="64"/>
        <v>MTL000OTHLI0MTLFER</v>
      </c>
      <c r="K784">
        <f>_xlfn.IFNA(IF(F784="H",VLOOKUP(E784,Fertiliser_data!$E$7:$L$267,8,FALSE),VLOOKUP(E784,Fertiliser_data!$E$7:$L$267,8,FALSE)*0.65),IF(F784="H",0.038,(0.038*0.65)))</f>
        <v>2.47E-2</v>
      </c>
      <c r="L784">
        <f>IF($C784="IE",$K784*CF_231025!$E$16,$K784/VLOOKUP($C784,CF_231025!$A$2:$E$28,5,FALSE))</f>
        <v>3.416881790881619E-3</v>
      </c>
    </row>
    <row r="785" spans="1:12" x14ac:dyDescent="0.25">
      <c r="A785" t="s">
        <v>136</v>
      </c>
      <c r="B785" t="s">
        <v>940</v>
      </c>
      <c r="C785" t="str">
        <f t="shared" si="61"/>
        <v>MT</v>
      </c>
      <c r="D785" t="str">
        <f t="shared" si="62"/>
        <v>OTH</v>
      </c>
      <c r="E785" t="str">
        <f t="shared" si="60"/>
        <v>MTOTH</v>
      </c>
      <c r="F785" t="str">
        <f t="shared" si="63"/>
        <v>L</v>
      </c>
      <c r="G785" t="s">
        <v>917</v>
      </c>
      <c r="H785">
        <v>1</v>
      </c>
      <c r="I785">
        <v>6.3E-2</v>
      </c>
      <c r="J785" t="str">
        <f t="shared" si="64"/>
        <v>MTL000OTHLR0MTLFER</v>
      </c>
      <c r="K785">
        <f>_xlfn.IFNA(IF(F785="H",VLOOKUP(E785,Fertiliser_data!$E$7:$L$267,8,FALSE),VLOOKUP(E785,Fertiliser_data!$E$7:$L$267,8,FALSE)*0.65),IF(F785="H",0.038,(0.038*0.65)))</f>
        <v>2.47E-2</v>
      </c>
      <c r="L785">
        <f>IF($C785="IE",$K785*CF_231025!$E$16,$K785/VLOOKUP($C785,CF_231025!$A$2:$E$28,5,FALSE))</f>
        <v>3.416881790881619E-3</v>
      </c>
    </row>
    <row r="786" spans="1:12" x14ac:dyDescent="0.25">
      <c r="A786" t="s">
        <v>136</v>
      </c>
      <c r="B786" t="s">
        <v>941</v>
      </c>
      <c r="C786" t="str">
        <f t="shared" si="61"/>
        <v>MT</v>
      </c>
      <c r="D786" t="str">
        <f t="shared" si="62"/>
        <v>RAP</v>
      </c>
      <c r="E786" t="str">
        <f t="shared" si="60"/>
        <v>MTRAP</v>
      </c>
      <c r="F786" t="str">
        <f t="shared" si="63"/>
        <v>H</v>
      </c>
      <c r="G786" t="s">
        <v>917</v>
      </c>
      <c r="H786">
        <v>1</v>
      </c>
      <c r="I786">
        <v>0</v>
      </c>
      <c r="J786" t="str">
        <f t="shared" si="64"/>
        <v>MTL000RAPHI0MTLFER</v>
      </c>
      <c r="K786">
        <f>_xlfn.IFNA(IF(F786="H",VLOOKUP(E786,Fertiliser_data!$E$7:$L$267,8,FALSE),VLOOKUP(E786,Fertiliser_data!$E$7:$L$267,8,FALSE)*0.65),IF(F786="H",0.038,(0.038*0.65)))</f>
        <v>3.7999999999999999E-2</v>
      </c>
      <c r="L786">
        <f>IF($C786="IE",$K786*CF_231025!$E$16,$K786/VLOOKUP($C786,CF_231025!$A$2:$E$28,5,FALSE))</f>
        <v>5.2567412167409521E-3</v>
      </c>
    </row>
    <row r="787" spans="1:12" x14ac:dyDescent="0.25">
      <c r="A787" t="s">
        <v>136</v>
      </c>
      <c r="B787" t="s">
        <v>942</v>
      </c>
      <c r="C787" t="str">
        <f t="shared" si="61"/>
        <v>MT</v>
      </c>
      <c r="D787" t="str">
        <f t="shared" si="62"/>
        <v>RAP</v>
      </c>
      <c r="E787" t="str">
        <f t="shared" si="60"/>
        <v>MTRAP</v>
      </c>
      <c r="F787" t="str">
        <f t="shared" si="63"/>
        <v>H</v>
      </c>
      <c r="G787" t="s">
        <v>917</v>
      </c>
      <c r="H787">
        <v>1</v>
      </c>
      <c r="I787">
        <v>0</v>
      </c>
      <c r="J787" t="str">
        <f t="shared" si="64"/>
        <v>MTL000RAPHR0MTLFER</v>
      </c>
      <c r="K787">
        <f>_xlfn.IFNA(IF(F787="H",VLOOKUP(E787,Fertiliser_data!$E$7:$L$267,8,FALSE),VLOOKUP(E787,Fertiliser_data!$E$7:$L$267,8,FALSE)*0.65),IF(F787="H",0.038,(0.038*0.65)))</f>
        <v>3.7999999999999999E-2</v>
      </c>
      <c r="L787">
        <f>IF($C787="IE",$K787*CF_231025!$E$16,$K787/VLOOKUP($C787,CF_231025!$A$2:$E$28,5,FALSE))</f>
        <v>5.2567412167409521E-3</v>
      </c>
    </row>
    <row r="788" spans="1:12" x14ac:dyDescent="0.25">
      <c r="A788" t="s">
        <v>136</v>
      </c>
      <c r="B788" t="s">
        <v>943</v>
      </c>
      <c r="C788" t="str">
        <f t="shared" si="61"/>
        <v>MT</v>
      </c>
      <c r="D788" t="str">
        <f t="shared" si="62"/>
        <v>RAP</v>
      </c>
      <c r="E788" t="str">
        <f t="shared" si="60"/>
        <v>MTRAP</v>
      </c>
      <c r="F788" t="str">
        <f t="shared" si="63"/>
        <v>L</v>
      </c>
      <c r="G788" t="s">
        <v>917</v>
      </c>
      <c r="H788">
        <v>1</v>
      </c>
      <c r="I788">
        <v>0</v>
      </c>
      <c r="J788" t="str">
        <f t="shared" si="64"/>
        <v>MTL000RAPLI0MTLFER</v>
      </c>
      <c r="K788">
        <f>_xlfn.IFNA(IF(F788="H",VLOOKUP(E788,Fertiliser_data!$E$7:$L$267,8,FALSE),VLOOKUP(E788,Fertiliser_data!$E$7:$L$267,8,FALSE)*0.65),IF(F788="H",0.038,(0.038*0.65)))</f>
        <v>2.47E-2</v>
      </c>
      <c r="L788">
        <f>IF($C788="IE",$K788*CF_231025!$E$16,$K788/VLOOKUP($C788,CF_231025!$A$2:$E$28,5,FALSE))</f>
        <v>3.416881790881619E-3</v>
      </c>
    </row>
    <row r="789" spans="1:12" x14ac:dyDescent="0.25">
      <c r="A789" t="s">
        <v>136</v>
      </c>
      <c r="B789" t="s">
        <v>944</v>
      </c>
      <c r="C789" t="str">
        <f t="shared" si="61"/>
        <v>MT</v>
      </c>
      <c r="D789" t="str">
        <f t="shared" si="62"/>
        <v>RAP</v>
      </c>
      <c r="E789" t="str">
        <f t="shared" si="60"/>
        <v>MTRAP</v>
      </c>
      <c r="F789" t="str">
        <f t="shared" si="63"/>
        <v>L</v>
      </c>
      <c r="G789" t="s">
        <v>917</v>
      </c>
      <c r="H789">
        <v>1</v>
      </c>
      <c r="I789">
        <v>0</v>
      </c>
      <c r="J789" t="str">
        <f t="shared" si="64"/>
        <v>MTL000RAPLR0MTLFER</v>
      </c>
      <c r="K789">
        <f>_xlfn.IFNA(IF(F789="H",VLOOKUP(E789,Fertiliser_data!$E$7:$L$267,8,FALSE),VLOOKUP(E789,Fertiliser_data!$E$7:$L$267,8,FALSE)*0.65),IF(F789="H",0.038,(0.038*0.65)))</f>
        <v>2.47E-2</v>
      </c>
      <c r="L789">
        <f>IF($C789="IE",$K789*CF_231025!$E$16,$K789/VLOOKUP($C789,CF_231025!$A$2:$E$28,5,FALSE))</f>
        <v>3.416881790881619E-3</v>
      </c>
    </row>
    <row r="790" spans="1:12" x14ac:dyDescent="0.25">
      <c r="A790" t="s">
        <v>136</v>
      </c>
      <c r="B790" t="s">
        <v>945</v>
      </c>
      <c r="C790" t="str">
        <f t="shared" si="61"/>
        <v>MT</v>
      </c>
      <c r="D790" t="str">
        <f t="shared" si="62"/>
        <v>RYE</v>
      </c>
      <c r="E790" t="str">
        <f t="shared" si="60"/>
        <v>MTRYE</v>
      </c>
      <c r="F790" t="str">
        <f t="shared" si="63"/>
        <v>H</v>
      </c>
      <c r="G790" t="s">
        <v>917</v>
      </c>
      <c r="H790">
        <v>1</v>
      </c>
      <c r="I790">
        <v>0</v>
      </c>
      <c r="J790" t="str">
        <f t="shared" si="64"/>
        <v>MTL000RYEHI0MTLFER</v>
      </c>
      <c r="K790">
        <f>_xlfn.IFNA(IF(F790="H",VLOOKUP(E790,Fertiliser_data!$E$7:$L$267,8,FALSE),VLOOKUP(E790,Fertiliser_data!$E$7:$L$267,8,FALSE)*0.65),IF(F790="H",0.038,(0.038*0.65)))</f>
        <v>3.7999999999999999E-2</v>
      </c>
      <c r="L790">
        <f>IF($C790="IE",$K790*CF_231025!$E$16,$K790/VLOOKUP($C790,CF_231025!$A$2:$E$28,5,FALSE))</f>
        <v>5.2567412167409521E-3</v>
      </c>
    </row>
    <row r="791" spans="1:12" x14ac:dyDescent="0.25">
      <c r="A791" t="s">
        <v>136</v>
      </c>
      <c r="B791" t="s">
        <v>946</v>
      </c>
      <c r="C791" t="str">
        <f t="shared" si="61"/>
        <v>MT</v>
      </c>
      <c r="D791" t="str">
        <f t="shared" si="62"/>
        <v>RYE</v>
      </c>
      <c r="E791" t="str">
        <f t="shared" si="60"/>
        <v>MTRYE</v>
      </c>
      <c r="F791" t="str">
        <f t="shared" si="63"/>
        <v>H</v>
      </c>
      <c r="G791" t="s">
        <v>917</v>
      </c>
      <c r="H791">
        <v>1</v>
      </c>
      <c r="I791">
        <v>0</v>
      </c>
      <c r="J791" t="str">
        <f t="shared" si="64"/>
        <v>MTL000RYEHR0MTLFER</v>
      </c>
      <c r="K791">
        <f>_xlfn.IFNA(IF(F791="H",VLOOKUP(E791,Fertiliser_data!$E$7:$L$267,8,FALSE),VLOOKUP(E791,Fertiliser_data!$E$7:$L$267,8,FALSE)*0.65),IF(F791="H",0.038,(0.038*0.65)))</f>
        <v>3.7999999999999999E-2</v>
      </c>
      <c r="L791">
        <f>IF($C791="IE",$K791*CF_231025!$E$16,$K791/VLOOKUP($C791,CF_231025!$A$2:$E$28,5,FALSE))</f>
        <v>5.2567412167409521E-3</v>
      </c>
    </row>
    <row r="792" spans="1:12" x14ac:dyDescent="0.25">
      <c r="A792" t="s">
        <v>136</v>
      </c>
      <c r="B792" t="s">
        <v>947</v>
      </c>
      <c r="C792" t="str">
        <f t="shared" si="61"/>
        <v>MT</v>
      </c>
      <c r="D792" t="str">
        <f t="shared" si="62"/>
        <v>RYE</v>
      </c>
      <c r="E792" t="str">
        <f t="shared" si="60"/>
        <v>MTRYE</v>
      </c>
      <c r="F792" t="str">
        <f t="shared" si="63"/>
        <v>L</v>
      </c>
      <c r="G792" t="s">
        <v>917</v>
      </c>
      <c r="H792">
        <v>1</v>
      </c>
      <c r="I792">
        <v>0</v>
      </c>
      <c r="J792" t="str">
        <f t="shared" si="64"/>
        <v>MTL000RYELI0MTLFER</v>
      </c>
      <c r="K792">
        <f>_xlfn.IFNA(IF(F792="H",VLOOKUP(E792,Fertiliser_data!$E$7:$L$267,8,FALSE),VLOOKUP(E792,Fertiliser_data!$E$7:$L$267,8,FALSE)*0.65),IF(F792="H",0.038,(0.038*0.65)))</f>
        <v>2.47E-2</v>
      </c>
      <c r="L792">
        <f>IF($C792="IE",$K792*CF_231025!$E$16,$K792/VLOOKUP($C792,CF_231025!$A$2:$E$28,5,FALSE))</f>
        <v>3.416881790881619E-3</v>
      </c>
    </row>
    <row r="793" spans="1:12" x14ac:dyDescent="0.25">
      <c r="A793" t="s">
        <v>136</v>
      </c>
      <c r="B793" t="s">
        <v>948</v>
      </c>
      <c r="C793" t="str">
        <f t="shared" si="61"/>
        <v>MT</v>
      </c>
      <c r="D793" t="str">
        <f t="shared" si="62"/>
        <v>RYE</v>
      </c>
      <c r="E793" t="str">
        <f t="shared" si="60"/>
        <v>MTRYE</v>
      </c>
      <c r="F793" t="str">
        <f t="shared" si="63"/>
        <v>L</v>
      </c>
      <c r="G793" t="s">
        <v>917</v>
      </c>
      <c r="H793">
        <v>1</v>
      </c>
      <c r="I793">
        <v>0</v>
      </c>
      <c r="J793" t="str">
        <f t="shared" si="64"/>
        <v>MTL000RYELR0MTLFER</v>
      </c>
      <c r="K793">
        <f>_xlfn.IFNA(IF(F793="H",VLOOKUP(E793,Fertiliser_data!$E$7:$L$267,8,FALSE),VLOOKUP(E793,Fertiliser_data!$E$7:$L$267,8,FALSE)*0.65),IF(F793="H",0.038,(0.038*0.65)))</f>
        <v>2.47E-2</v>
      </c>
      <c r="L793">
        <f>IF($C793="IE",$K793*CF_231025!$E$16,$K793/VLOOKUP($C793,CF_231025!$A$2:$E$28,5,FALSE))</f>
        <v>3.416881790881619E-3</v>
      </c>
    </row>
    <row r="794" spans="1:12" x14ac:dyDescent="0.25">
      <c r="A794" t="s">
        <v>136</v>
      </c>
      <c r="B794" t="s">
        <v>949</v>
      </c>
      <c r="C794" t="str">
        <f t="shared" si="61"/>
        <v>MT</v>
      </c>
      <c r="D794" t="str">
        <f t="shared" si="62"/>
        <v>SUN</v>
      </c>
      <c r="E794" t="str">
        <f t="shared" si="60"/>
        <v>MTSUN</v>
      </c>
      <c r="F794" t="str">
        <f t="shared" si="63"/>
        <v>H</v>
      </c>
      <c r="G794" t="s">
        <v>917</v>
      </c>
      <c r="H794">
        <v>1</v>
      </c>
      <c r="I794">
        <v>0</v>
      </c>
      <c r="J794" t="str">
        <f t="shared" si="64"/>
        <v>MTL000SUNHI0MTLFER</v>
      </c>
      <c r="K794">
        <f>_xlfn.IFNA(IF(F794="H",VLOOKUP(E794,Fertiliser_data!$E$7:$L$267,8,FALSE),VLOOKUP(E794,Fertiliser_data!$E$7:$L$267,8,FALSE)*0.65),IF(F794="H",0.038,(0.038*0.65)))</f>
        <v>3.7999999999999999E-2</v>
      </c>
      <c r="L794">
        <f>IF($C794="IE",$K794*CF_231025!$E$16,$K794/VLOOKUP($C794,CF_231025!$A$2:$E$28,5,FALSE))</f>
        <v>5.2567412167409521E-3</v>
      </c>
    </row>
    <row r="795" spans="1:12" x14ac:dyDescent="0.25">
      <c r="A795" t="s">
        <v>136</v>
      </c>
      <c r="B795" t="s">
        <v>950</v>
      </c>
      <c r="C795" t="str">
        <f t="shared" si="61"/>
        <v>MT</v>
      </c>
      <c r="D795" t="str">
        <f t="shared" si="62"/>
        <v>SUN</v>
      </c>
      <c r="E795" t="str">
        <f t="shared" si="60"/>
        <v>MTSUN</v>
      </c>
      <c r="F795" t="str">
        <f t="shared" si="63"/>
        <v>H</v>
      </c>
      <c r="G795" t="s">
        <v>917</v>
      </c>
      <c r="H795">
        <v>1</v>
      </c>
      <c r="I795">
        <v>0</v>
      </c>
      <c r="J795" t="str">
        <f t="shared" si="64"/>
        <v>MTL000SUNHR0MTLFER</v>
      </c>
      <c r="K795">
        <f>_xlfn.IFNA(IF(F795="H",VLOOKUP(E795,Fertiliser_data!$E$7:$L$267,8,FALSE),VLOOKUP(E795,Fertiliser_data!$E$7:$L$267,8,FALSE)*0.65),IF(F795="H",0.038,(0.038*0.65)))</f>
        <v>3.7999999999999999E-2</v>
      </c>
      <c r="L795">
        <f>IF($C795="IE",$K795*CF_231025!$E$16,$K795/VLOOKUP($C795,CF_231025!$A$2:$E$28,5,FALSE))</f>
        <v>5.2567412167409521E-3</v>
      </c>
    </row>
    <row r="796" spans="1:12" x14ac:dyDescent="0.25">
      <c r="A796" t="s">
        <v>136</v>
      </c>
      <c r="B796" t="s">
        <v>951</v>
      </c>
      <c r="C796" t="str">
        <f t="shared" si="61"/>
        <v>MT</v>
      </c>
      <c r="D796" t="str">
        <f t="shared" si="62"/>
        <v>SUN</v>
      </c>
      <c r="E796" t="str">
        <f t="shared" si="60"/>
        <v>MTSUN</v>
      </c>
      <c r="F796" t="str">
        <f t="shared" si="63"/>
        <v>L</v>
      </c>
      <c r="G796" t="s">
        <v>917</v>
      </c>
      <c r="H796">
        <v>1</v>
      </c>
      <c r="I796">
        <v>0</v>
      </c>
      <c r="J796" t="str">
        <f t="shared" si="64"/>
        <v>MTL000SUNLI0MTLFER</v>
      </c>
      <c r="K796">
        <f>_xlfn.IFNA(IF(F796="H",VLOOKUP(E796,Fertiliser_data!$E$7:$L$267,8,FALSE),VLOOKUP(E796,Fertiliser_data!$E$7:$L$267,8,FALSE)*0.65),IF(F796="H",0.038,(0.038*0.65)))</f>
        <v>2.47E-2</v>
      </c>
      <c r="L796">
        <f>IF($C796="IE",$K796*CF_231025!$E$16,$K796/VLOOKUP($C796,CF_231025!$A$2:$E$28,5,FALSE))</f>
        <v>3.416881790881619E-3</v>
      </c>
    </row>
    <row r="797" spans="1:12" x14ac:dyDescent="0.25">
      <c r="A797" t="s">
        <v>136</v>
      </c>
      <c r="B797" t="s">
        <v>952</v>
      </c>
      <c r="C797" t="str">
        <f t="shared" si="61"/>
        <v>MT</v>
      </c>
      <c r="D797" t="str">
        <f t="shared" si="62"/>
        <v>SUN</v>
      </c>
      <c r="E797" t="str">
        <f t="shared" si="60"/>
        <v>MTSUN</v>
      </c>
      <c r="F797" t="str">
        <f t="shared" si="63"/>
        <v>L</v>
      </c>
      <c r="G797" t="s">
        <v>917</v>
      </c>
      <c r="H797">
        <v>1</v>
      </c>
      <c r="I797">
        <v>0</v>
      </c>
      <c r="J797" t="str">
        <f t="shared" si="64"/>
        <v>MTL000SUNLR0MTLFER</v>
      </c>
      <c r="K797">
        <f>_xlfn.IFNA(IF(F797="H",VLOOKUP(E797,Fertiliser_data!$E$7:$L$267,8,FALSE),VLOOKUP(E797,Fertiliser_data!$E$7:$L$267,8,FALSE)*0.65),IF(F797="H",0.038,(0.038*0.65)))</f>
        <v>2.47E-2</v>
      </c>
      <c r="L797">
        <f>IF($C797="IE",$K797*CF_231025!$E$16,$K797/VLOOKUP($C797,CF_231025!$A$2:$E$28,5,FALSE))</f>
        <v>3.416881790881619E-3</v>
      </c>
    </row>
    <row r="798" spans="1:12" x14ac:dyDescent="0.25">
      <c r="A798" t="s">
        <v>136</v>
      </c>
      <c r="B798" t="s">
        <v>953</v>
      </c>
      <c r="C798" t="str">
        <f t="shared" si="61"/>
        <v>MT</v>
      </c>
      <c r="D798" t="str">
        <f t="shared" si="62"/>
        <v>WHE</v>
      </c>
      <c r="E798" t="str">
        <f t="shared" si="60"/>
        <v>MTWHE</v>
      </c>
      <c r="F798" t="str">
        <f t="shared" si="63"/>
        <v>H</v>
      </c>
      <c r="G798" t="s">
        <v>917</v>
      </c>
      <c r="H798">
        <v>1</v>
      </c>
      <c r="I798">
        <v>0</v>
      </c>
      <c r="J798" t="str">
        <f t="shared" si="64"/>
        <v>MTL000WHEHI0MTLFER</v>
      </c>
      <c r="K798">
        <f>_xlfn.IFNA(IF(F798="H",VLOOKUP(E798,Fertiliser_data!$E$7:$L$267,8,FALSE),VLOOKUP(E798,Fertiliser_data!$E$7:$L$267,8,FALSE)*0.65),IF(F798="H",0.038,(0.038*0.65)))</f>
        <v>3.7999999999999999E-2</v>
      </c>
      <c r="L798">
        <f>IF($C798="IE",$K798*CF_231025!$E$16,$K798/VLOOKUP($C798,CF_231025!$A$2:$E$28,5,FALSE))</f>
        <v>5.2567412167409521E-3</v>
      </c>
    </row>
    <row r="799" spans="1:12" x14ac:dyDescent="0.25">
      <c r="A799" t="s">
        <v>136</v>
      </c>
      <c r="B799" t="s">
        <v>954</v>
      </c>
      <c r="C799" t="str">
        <f t="shared" si="61"/>
        <v>MT</v>
      </c>
      <c r="D799" t="str">
        <f t="shared" si="62"/>
        <v>WHE</v>
      </c>
      <c r="E799" t="str">
        <f t="shared" si="60"/>
        <v>MTWHE</v>
      </c>
      <c r="F799" t="str">
        <f t="shared" si="63"/>
        <v>H</v>
      </c>
      <c r="G799" t="s">
        <v>917</v>
      </c>
      <c r="H799">
        <v>1</v>
      </c>
      <c r="I799">
        <v>0</v>
      </c>
      <c r="J799" t="str">
        <f t="shared" si="64"/>
        <v>MTL000WHEHR0MTLFER</v>
      </c>
      <c r="K799">
        <f>_xlfn.IFNA(IF(F799="H",VLOOKUP(E799,Fertiliser_data!$E$7:$L$267,8,FALSE),VLOOKUP(E799,Fertiliser_data!$E$7:$L$267,8,FALSE)*0.65),IF(F799="H",0.038,(0.038*0.65)))</f>
        <v>3.7999999999999999E-2</v>
      </c>
      <c r="L799">
        <f>IF($C799="IE",$K799*CF_231025!$E$16,$K799/VLOOKUP($C799,CF_231025!$A$2:$E$28,5,FALSE))</f>
        <v>5.2567412167409521E-3</v>
      </c>
    </row>
    <row r="800" spans="1:12" x14ac:dyDescent="0.25">
      <c r="A800" t="s">
        <v>136</v>
      </c>
      <c r="B800" t="s">
        <v>955</v>
      </c>
      <c r="C800" t="str">
        <f t="shared" si="61"/>
        <v>MT</v>
      </c>
      <c r="D800" t="str">
        <f t="shared" si="62"/>
        <v>WHE</v>
      </c>
      <c r="E800" t="str">
        <f t="shared" si="60"/>
        <v>MTWHE</v>
      </c>
      <c r="F800" t="str">
        <f t="shared" si="63"/>
        <v>L</v>
      </c>
      <c r="G800" t="s">
        <v>917</v>
      </c>
      <c r="H800">
        <v>1</v>
      </c>
      <c r="I800">
        <v>0</v>
      </c>
      <c r="J800" t="str">
        <f t="shared" si="64"/>
        <v>MTL000WHELI0MTLFER</v>
      </c>
      <c r="K800">
        <f>_xlfn.IFNA(IF(F800="H",VLOOKUP(E800,Fertiliser_data!$E$7:$L$267,8,FALSE),VLOOKUP(E800,Fertiliser_data!$E$7:$L$267,8,FALSE)*0.65),IF(F800="H",0.038,(0.038*0.65)))</f>
        <v>2.47E-2</v>
      </c>
      <c r="L800">
        <f>IF($C800="IE",$K800*CF_231025!$E$16,$K800/VLOOKUP($C800,CF_231025!$A$2:$E$28,5,FALSE))</f>
        <v>3.416881790881619E-3</v>
      </c>
    </row>
    <row r="801" spans="1:12" x14ac:dyDescent="0.25">
      <c r="A801" t="s">
        <v>136</v>
      </c>
      <c r="B801" t="s">
        <v>956</v>
      </c>
      <c r="C801" t="str">
        <f t="shared" si="61"/>
        <v>MT</v>
      </c>
      <c r="D801" t="str">
        <f t="shared" si="62"/>
        <v>WHE</v>
      </c>
      <c r="E801" t="str">
        <f t="shared" si="60"/>
        <v>MTWHE</v>
      </c>
      <c r="F801" t="str">
        <f t="shared" si="63"/>
        <v>L</v>
      </c>
      <c r="G801" t="s">
        <v>917</v>
      </c>
      <c r="H801">
        <v>1</v>
      </c>
      <c r="I801">
        <v>0</v>
      </c>
      <c r="J801" t="str">
        <f t="shared" si="64"/>
        <v>MTL000WHELR0MTLFER</v>
      </c>
      <c r="K801">
        <f>_xlfn.IFNA(IF(F801="H",VLOOKUP(E801,Fertiliser_data!$E$7:$L$267,8,FALSE),VLOOKUP(E801,Fertiliser_data!$E$7:$L$267,8,FALSE)*0.65),IF(F801="H",0.038,(0.038*0.65)))</f>
        <v>2.47E-2</v>
      </c>
      <c r="L801">
        <f>IF($C801="IE",$K801*CF_231025!$E$16,$K801/VLOOKUP($C801,CF_231025!$A$2:$E$28,5,FALSE))</f>
        <v>3.416881790881619E-3</v>
      </c>
    </row>
    <row r="802" spans="1:12" x14ac:dyDescent="0.25">
      <c r="A802" t="s">
        <v>136</v>
      </c>
      <c r="B802" t="s">
        <v>957</v>
      </c>
      <c r="C802" t="str">
        <f t="shared" si="61"/>
        <v>NL</v>
      </c>
      <c r="D802" t="str">
        <f t="shared" si="62"/>
        <v>WHE</v>
      </c>
      <c r="E802" t="str">
        <f t="shared" si="60"/>
        <v>NLWHE</v>
      </c>
      <c r="F802" t="str">
        <f t="shared" si="63"/>
        <v>H</v>
      </c>
      <c r="G802" t="s">
        <v>958</v>
      </c>
      <c r="H802">
        <v>1</v>
      </c>
      <c r="I802">
        <v>0.2</v>
      </c>
      <c r="J802" t="str">
        <f t="shared" si="64"/>
        <v>NLL000WHEHI0NLLFER</v>
      </c>
      <c r="K802">
        <f>_xlfn.IFNA(IF(F802="H",VLOOKUP(E802,Fertiliser_data!$E$7:$L$267,8,FALSE),VLOOKUP(E802,Fertiliser_data!$E$7:$L$267,8,FALSE)*0.65),IF(F802="H",0.038,(0.038*0.65)))</f>
        <v>4.100149253731343E-2</v>
      </c>
      <c r="L802">
        <f>IF($C802="IE",$K802*CF_231025!$E$16,$K802/VLOOKUP($C802,CF_231025!$A$2:$E$28,5,FALSE))</f>
        <v>2.5942815357598098E-2</v>
      </c>
    </row>
    <row r="803" spans="1:12" x14ac:dyDescent="0.25">
      <c r="A803" t="s">
        <v>136</v>
      </c>
      <c r="B803" t="s">
        <v>959</v>
      </c>
      <c r="C803" t="str">
        <f t="shared" si="61"/>
        <v>NL</v>
      </c>
      <c r="D803" t="str">
        <f t="shared" si="62"/>
        <v>WHE</v>
      </c>
      <c r="E803" t="str">
        <f t="shared" si="60"/>
        <v>NLWHE</v>
      </c>
      <c r="F803" t="str">
        <f t="shared" si="63"/>
        <v>H</v>
      </c>
      <c r="G803" t="s">
        <v>958</v>
      </c>
      <c r="H803">
        <v>1</v>
      </c>
      <c r="I803">
        <v>0.2</v>
      </c>
      <c r="J803" t="str">
        <f t="shared" si="64"/>
        <v>NLL000WHEHR0NLLFER</v>
      </c>
      <c r="K803">
        <f>_xlfn.IFNA(IF(F803="H",VLOOKUP(E803,Fertiliser_data!$E$7:$L$267,8,FALSE),VLOOKUP(E803,Fertiliser_data!$E$7:$L$267,8,FALSE)*0.65),IF(F803="H",0.038,(0.038*0.65)))</f>
        <v>4.100149253731343E-2</v>
      </c>
      <c r="L803">
        <f>IF($C803="IE",$K803*CF_231025!$E$16,$K803/VLOOKUP($C803,CF_231025!$A$2:$E$28,5,FALSE))</f>
        <v>2.5942815357598098E-2</v>
      </c>
    </row>
    <row r="804" spans="1:12" x14ac:dyDescent="0.25">
      <c r="A804" t="s">
        <v>136</v>
      </c>
      <c r="B804" t="s">
        <v>960</v>
      </c>
      <c r="C804" t="str">
        <f t="shared" si="61"/>
        <v>NL</v>
      </c>
      <c r="D804" t="str">
        <f t="shared" si="62"/>
        <v>WHE</v>
      </c>
      <c r="E804" t="str">
        <f t="shared" si="60"/>
        <v>NLWHE</v>
      </c>
      <c r="F804" t="str">
        <f t="shared" si="63"/>
        <v>L</v>
      </c>
      <c r="G804" t="s">
        <v>958</v>
      </c>
      <c r="H804">
        <v>1</v>
      </c>
      <c r="I804">
        <v>7.0000000000000007E-2</v>
      </c>
      <c r="J804" t="str">
        <f t="shared" si="64"/>
        <v>NLL000WHELI0NLLFER</v>
      </c>
      <c r="K804">
        <f>_xlfn.IFNA(IF(F804="H",VLOOKUP(E804,Fertiliser_data!$E$7:$L$267,8,FALSE),VLOOKUP(E804,Fertiliser_data!$E$7:$L$267,8,FALSE)*0.65),IF(F804="H",0.038,(0.038*0.65)))</f>
        <v>2.665097014925373E-2</v>
      </c>
      <c r="L804">
        <f>IF($C804="IE",$K804*CF_231025!$E$16,$K804/VLOOKUP($C804,CF_231025!$A$2:$E$28,5,FALSE))</f>
        <v>1.6862829982438765E-2</v>
      </c>
    </row>
    <row r="805" spans="1:12" x14ac:dyDescent="0.25">
      <c r="A805" t="s">
        <v>136</v>
      </c>
      <c r="B805" t="s">
        <v>961</v>
      </c>
      <c r="C805" t="str">
        <f t="shared" si="61"/>
        <v>NL</v>
      </c>
      <c r="D805" t="str">
        <f t="shared" si="62"/>
        <v>WHE</v>
      </c>
      <c r="E805" t="str">
        <f t="shared" si="60"/>
        <v>NLWHE</v>
      </c>
      <c r="F805" t="str">
        <f t="shared" si="63"/>
        <v>L</v>
      </c>
      <c r="G805" t="s">
        <v>958</v>
      </c>
      <c r="H805">
        <v>1</v>
      </c>
      <c r="I805">
        <v>7.0000000000000007E-2</v>
      </c>
      <c r="J805" t="str">
        <f t="shared" si="64"/>
        <v>NLL000WHELR0NLLFER</v>
      </c>
      <c r="K805">
        <f>_xlfn.IFNA(IF(F805="H",VLOOKUP(E805,Fertiliser_data!$E$7:$L$267,8,FALSE),VLOOKUP(E805,Fertiliser_data!$E$7:$L$267,8,FALSE)*0.65),IF(F805="H",0.038,(0.038*0.65)))</f>
        <v>2.665097014925373E-2</v>
      </c>
      <c r="L805">
        <f>IF($C805="IE",$K805*CF_231025!$E$16,$K805/VLOOKUP($C805,CF_231025!$A$2:$E$28,5,FALSE))</f>
        <v>1.6862829982438765E-2</v>
      </c>
    </row>
    <row r="806" spans="1:12" x14ac:dyDescent="0.25">
      <c r="A806" t="s">
        <v>136</v>
      </c>
      <c r="B806" t="s">
        <v>962</v>
      </c>
      <c r="C806" t="str">
        <f t="shared" si="61"/>
        <v>NL</v>
      </c>
      <c r="D806" t="str">
        <f t="shared" si="62"/>
        <v>CAR</v>
      </c>
      <c r="E806" t="str">
        <f t="shared" si="60"/>
        <v>NLCAR</v>
      </c>
      <c r="F806" t="str">
        <f t="shared" si="63"/>
        <v>H</v>
      </c>
      <c r="G806" t="s">
        <v>958</v>
      </c>
      <c r="H806">
        <v>1</v>
      </c>
      <c r="I806">
        <v>0.17</v>
      </c>
      <c r="J806" t="str">
        <f t="shared" si="64"/>
        <v>NLL000CARHI0NLLFER</v>
      </c>
      <c r="K806">
        <f>_xlfn.IFNA(IF(F806="H",VLOOKUP(E806,Fertiliser_data!$E$7:$L$267,8,FALSE),VLOOKUP(E806,Fertiliser_data!$E$7:$L$267,8,FALSE)*0.65),IF(F806="H",0.038,(0.038*0.65)))</f>
        <v>5.4928358208955232E-2</v>
      </c>
      <c r="L806">
        <f>IF($C806="IE",$K806*CF_231025!$E$16,$K806/VLOOKUP($C806,CF_231025!$A$2:$E$28,5,FALSE))</f>
        <v>3.4754741028369021E-2</v>
      </c>
    </row>
    <row r="807" spans="1:12" x14ac:dyDescent="0.25">
      <c r="A807" t="s">
        <v>136</v>
      </c>
      <c r="B807" t="s">
        <v>963</v>
      </c>
      <c r="C807" t="str">
        <f t="shared" si="61"/>
        <v>NL</v>
      </c>
      <c r="D807" t="str">
        <f t="shared" si="62"/>
        <v>CAR</v>
      </c>
      <c r="E807" t="str">
        <f t="shared" si="60"/>
        <v>NLCAR</v>
      </c>
      <c r="F807" t="str">
        <f t="shared" si="63"/>
        <v>H</v>
      </c>
      <c r="G807" t="s">
        <v>958</v>
      </c>
      <c r="H807">
        <v>1</v>
      </c>
      <c r="I807">
        <v>0.17</v>
      </c>
      <c r="J807" t="str">
        <f t="shared" si="64"/>
        <v>NLL000CARHR0NLLFER</v>
      </c>
      <c r="K807">
        <f>_xlfn.IFNA(IF(F807="H",VLOOKUP(E807,Fertiliser_data!$E$7:$L$267,8,FALSE),VLOOKUP(E807,Fertiliser_data!$E$7:$L$267,8,FALSE)*0.65),IF(F807="H",0.038,(0.038*0.65)))</f>
        <v>5.4928358208955232E-2</v>
      </c>
      <c r="L807">
        <f>IF($C807="IE",$K807*CF_231025!$E$16,$K807/VLOOKUP($C807,CF_231025!$A$2:$E$28,5,FALSE))</f>
        <v>3.4754741028369021E-2</v>
      </c>
    </row>
    <row r="808" spans="1:12" x14ac:dyDescent="0.25">
      <c r="A808" t="s">
        <v>136</v>
      </c>
      <c r="B808" t="s">
        <v>964</v>
      </c>
      <c r="C808" t="str">
        <f t="shared" si="61"/>
        <v>NL</v>
      </c>
      <c r="D808" t="str">
        <f t="shared" si="62"/>
        <v>CAR</v>
      </c>
      <c r="E808" t="str">
        <f t="shared" si="60"/>
        <v>NLCAR</v>
      </c>
      <c r="F808" t="str">
        <f t="shared" si="63"/>
        <v>L</v>
      </c>
      <c r="G808" t="s">
        <v>958</v>
      </c>
      <c r="H808">
        <v>1</v>
      </c>
      <c r="I808">
        <v>0.06</v>
      </c>
      <c r="J808" t="str">
        <f t="shared" si="64"/>
        <v>NLL000CARLI0NLLFER</v>
      </c>
      <c r="K808">
        <f>_xlfn.IFNA(IF(F808="H",VLOOKUP(E808,Fertiliser_data!$E$7:$L$267,8,FALSE),VLOOKUP(E808,Fertiliser_data!$E$7:$L$267,8,FALSE)*0.65),IF(F808="H",0.038,(0.038*0.65)))</f>
        <v>3.5703432835820899E-2</v>
      </c>
      <c r="L808">
        <f>IF($C808="IE",$K808*CF_231025!$E$16,$K808/VLOOKUP($C808,CF_231025!$A$2:$E$28,5,FALSE))</f>
        <v>2.2590581668439864E-2</v>
      </c>
    </row>
    <row r="809" spans="1:12" x14ac:dyDescent="0.25">
      <c r="A809" t="s">
        <v>136</v>
      </c>
      <c r="B809" t="s">
        <v>965</v>
      </c>
      <c r="C809" t="str">
        <f t="shared" si="61"/>
        <v>NL</v>
      </c>
      <c r="D809" t="str">
        <f t="shared" si="62"/>
        <v>CAR</v>
      </c>
      <c r="E809" t="str">
        <f t="shared" si="60"/>
        <v>NLCAR</v>
      </c>
      <c r="F809" t="str">
        <f t="shared" si="63"/>
        <v>L</v>
      </c>
      <c r="G809" t="s">
        <v>958</v>
      </c>
      <c r="H809">
        <v>1</v>
      </c>
      <c r="I809">
        <v>0.06</v>
      </c>
      <c r="J809" t="str">
        <f t="shared" si="64"/>
        <v>NLL000CARLR0NLLFER</v>
      </c>
      <c r="K809">
        <f>_xlfn.IFNA(IF(F809="H",VLOOKUP(E809,Fertiliser_data!$E$7:$L$267,8,FALSE),VLOOKUP(E809,Fertiliser_data!$E$7:$L$267,8,FALSE)*0.65),IF(F809="H",0.038,(0.038*0.65)))</f>
        <v>3.5703432835820899E-2</v>
      </c>
      <c r="L809">
        <f>IF($C809="IE",$K809*CF_231025!$E$16,$K809/VLOOKUP($C809,CF_231025!$A$2:$E$28,5,FALSE))</f>
        <v>2.2590581668439864E-2</v>
      </c>
    </row>
    <row r="810" spans="1:12" x14ac:dyDescent="0.25">
      <c r="A810" t="s">
        <v>136</v>
      </c>
      <c r="B810" t="s">
        <v>966</v>
      </c>
      <c r="C810" t="str">
        <f t="shared" si="61"/>
        <v>NL</v>
      </c>
      <c r="D810" t="str">
        <f t="shared" si="62"/>
        <v>BRL</v>
      </c>
      <c r="E810" t="str">
        <f t="shared" si="60"/>
        <v>NLBRL</v>
      </c>
      <c r="F810" t="str">
        <f t="shared" si="63"/>
        <v>H</v>
      </c>
      <c r="G810" t="s">
        <v>958</v>
      </c>
      <c r="H810">
        <v>1</v>
      </c>
      <c r="I810">
        <v>0.15</v>
      </c>
      <c r="J810" t="str">
        <f t="shared" si="64"/>
        <v>NLL000BRLHI0NLLFER</v>
      </c>
      <c r="K810">
        <f>_xlfn.IFNA(IF(F810="H",VLOOKUP(E810,Fertiliser_data!$E$7:$L$267,8,FALSE),VLOOKUP(E810,Fertiliser_data!$E$7:$L$267,8,FALSE)*0.65),IF(F810="H",0.038,(0.038*0.65)))</f>
        <v>9.4567164179104463E-3</v>
      </c>
      <c r="L810">
        <f>IF($C810="IE",$K810*CF_231025!$E$16,$K810/VLOOKUP($C810,CF_231025!$A$2:$E$28,5,FALSE))</f>
        <v>5.983534567570949E-3</v>
      </c>
    </row>
    <row r="811" spans="1:12" x14ac:dyDescent="0.25">
      <c r="A811" t="s">
        <v>136</v>
      </c>
      <c r="B811" t="s">
        <v>967</v>
      </c>
      <c r="C811" t="str">
        <f t="shared" si="61"/>
        <v>NL</v>
      </c>
      <c r="D811" t="str">
        <f t="shared" si="62"/>
        <v>BRL</v>
      </c>
      <c r="E811" t="str">
        <f t="shared" si="60"/>
        <v>NLBRL</v>
      </c>
      <c r="F811" t="str">
        <f t="shared" si="63"/>
        <v>H</v>
      </c>
      <c r="G811" t="s">
        <v>958</v>
      </c>
      <c r="H811">
        <v>1</v>
      </c>
      <c r="I811">
        <v>0.15</v>
      </c>
      <c r="J811" t="str">
        <f t="shared" si="64"/>
        <v>NLL000BRLHR0NLLFER</v>
      </c>
      <c r="K811">
        <f>_xlfn.IFNA(IF(F811="H",VLOOKUP(E811,Fertiliser_data!$E$7:$L$267,8,FALSE),VLOOKUP(E811,Fertiliser_data!$E$7:$L$267,8,FALSE)*0.65),IF(F811="H",0.038,(0.038*0.65)))</f>
        <v>9.4567164179104463E-3</v>
      </c>
      <c r="L811">
        <f>IF($C811="IE",$K811*CF_231025!$E$16,$K811/VLOOKUP($C811,CF_231025!$A$2:$E$28,5,FALSE))</f>
        <v>5.983534567570949E-3</v>
      </c>
    </row>
    <row r="812" spans="1:12" x14ac:dyDescent="0.25">
      <c r="A812" t="s">
        <v>136</v>
      </c>
      <c r="B812" t="s">
        <v>968</v>
      </c>
      <c r="C812" t="str">
        <f t="shared" si="61"/>
        <v>NL</v>
      </c>
      <c r="D812" t="str">
        <f t="shared" si="62"/>
        <v>BRL</v>
      </c>
      <c r="E812" t="str">
        <f t="shared" si="60"/>
        <v>NLBRL</v>
      </c>
      <c r="F812" t="str">
        <f t="shared" si="63"/>
        <v>L</v>
      </c>
      <c r="G812" t="s">
        <v>958</v>
      </c>
      <c r="H812">
        <v>1</v>
      </c>
      <c r="I812">
        <v>0.06</v>
      </c>
      <c r="J812" t="str">
        <f t="shared" si="64"/>
        <v>NLL000BRLLI0NLLFER</v>
      </c>
      <c r="K812">
        <f>_xlfn.IFNA(IF(F812="H",VLOOKUP(E812,Fertiliser_data!$E$7:$L$267,8,FALSE),VLOOKUP(E812,Fertiliser_data!$E$7:$L$267,8,FALSE)*0.65),IF(F812="H",0.038,(0.038*0.65)))</f>
        <v>6.1468656716417904E-3</v>
      </c>
      <c r="L812">
        <f>IF($C812="IE",$K812*CF_231025!$E$16,$K812/VLOOKUP($C812,CF_231025!$A$2:$E$28,5,FALSE))</f>
        <v>3.8892974689211171E-3</v>
      </c>
    </row>
    <row r="813" spans="1:12" x14ac:dyDescent="0.25">
      <c r="A813" t="s">
        <v>136</v>
      </c>
      <c r="B813" t="s">
        <v>969</v>
      </c>
      <c r="C813" t="str">
        <f t="shared" si="61"/>
        <v>NL</v>
      </c>
      <c r="D813" t="str">
        <f t="shared" si="62"/>
        <v>BRL</v>
      </c>
      <c r="E813" t="str">
        <f t="shared" si="60"/>
        <v>NLBRL</v>
      </c>
      <c r="F813" t="str">
        <f t="shared" si="63"/>
        <v>L</v>
      </c>
      <c r="G813" t="s">
        <v>958</v>
      </c>
      <c r="H813">
        <v>1</v>
      </c>
      <c r="I813">
        <v>0.06</v>
      </c>
      <c r="J813" t="str">
        <f t="shared" si="64"/>
        <v>NLL000BRLLR0NLLFER</v>
      </c>
      <c r="K813">
        <f>_xlfn.IFNA(IF(F813="H",VLOOKUP(E813,Fertiliser_data!$E$7:$L$267,8,FALSE),VLOOKUP(E813,Fertiliser_data!$E$7:$L$267,8,FALSE)*0.65),IF(F813="H",0.038,(0.038*0.65)))</f>
        <v>6.1468656716417904E-3</v>
      </c>
      <c r="L813">
        <f>IF($C813="IE",$K813*CF_231025!$E$16,$K813/VLOOKUP($C813,CF_231025!$A$2:$E$28,5,FALSE))</f>
        <v>3.8892974689211171E-3</v>
      </c>
    </row>
    <row r="814" spans="1:12" x14ac:dyDescent="0.25">
      <c r="A814" t="s">
        <v>136</v>
      </c>
      <c r="B814" t="s">
        <v>970</v>
      </c>
      <c r="C814" t="str">
        <f t="shared" si="61"/>
        <v>NL</v>
      </c>
      <c r="D814" t="str">
        <f t="shared" si="62"/>
        <v>LET</v>
      </c>
      <c r="E814" t="str">
        <f t="shared" si="60"/>
        <v>NLLET</v>
      </c>
      <c r="F814" t="str">
        <f t="shared" si="63"/>
        <v>H</v>
      </c>
      <c r="G814" t="s">
        <v>958</v>
      </c>
      <c r="H814">
        <v>1</v>
      </c>
      <c r="I814">
        <v>0.17</v>
      </c>
      <c r="J814" t="str">
        <f t="shared" si="64"/>
        <v>NLL000LETHI0NLLFER</v>
      </c>
      <c r="K814">
        <f>_xlfn.IFNA(IF(F814="H",VLOOKUP(E814,Fertiliser_data!$E$7:$L$267,8,FALSE),VLOOKUP(E814,Fertiliser_data!$E$7:$L$267,8,FALSE)*0.65),IF(F814="H",0.038,(0.038*0.65)))</f>
        <v>5.4429850746268653E-2</v>
      </c>
      <c r="L814">
        <f>IF($C814="IE",$K814*CF_231025!$E$16,$K814/VLOOKUP($C814,CF_231025!$A$2:$E$28,5,FALSE))</f>
        <v>3.4439321119030523E-2</v>
      </c>
    </row>
    <row r="815" spans="1:12" x14ac:dyDescent="0.25">
      <c r="A815" t="s">
        <v>136</v>
      </c>
      <c r="B815" t="s">
        <v>971</v>
      </c>
      <c r="C815" t="str">
        <f t="shared" si="61"/>
        <v>NL</v>
      </c>
      <c r="D815" t="str">
        <f t="shared" si="62"/>
        <v>LET</v>
      </c>
      <c r="E815" t="str">
        <f t="shared" si="60"/>
        <v>NLLET</v>
      </c>
      <c r="F815" t="str">
        <f t="shared" si="63"/>
        <v>H</v>
      </c>
      <c r="G815" t="s">
        <v>958</v>
      </c>
      <c r="H815">
        <v>1</v>
      </c>
      <c r="I815">
        <v>0.17</v>
      </c>
      <c r="J815" t="str">
        <f t="shared" si="64"/>
        <v>NLL000LETHR0NLLFER</v>
      </c>
      <c r="K815">
        <f>_xlfn.IFNA(IF(F815="H",VLOOKUP(E815,Fertiliser_data!$E$7:$L$267,8,FALSE),VLOOKUP(E815,Fertiliser_data!$E$7:$L$267,8,FALSE)*0.65),IF(F815="H",0.038,(0.038*0.65)))</f>
        <v>5.4429850746268653E-2</v>
      </c>
      <c r="L815">
        <f>IF($C815="IE",$K815*CF_231025!$E$16,$K815/VLOOKUP($C815,CF_231025!$A$2:$E$28,5,FALSE))</f>
        <v>3.4439321119030523E-2</v>
      </c>
    </row>
    <row r="816" spans="1:12" x14ac:dyDescent="0.25">
      <c r="A816" t="s">
        <v>136</v>
      </c>
      <c r="B816" t="s">
        <v>972</v>
      </c>
      <c r="C816" t="str">
        <f t="shared" si="61"/>
        <v>NL</v>
      </c>
      <c r="D816" t="str">
        <f t="shared" si="62"/>
        <v>LET</v>
      </c>
      <c r="E816" t="str">
        <f t="shared" si="60"/>
        <v>NLLET</v>
      </c>
      <c r="F816" t="str">
        <f t="shared" si="63"/>
        <v>L</v>
      </c>
      <c r="G816" t="s">
        <v>958</v>
      </c>
      <c r="H816">
        <v>1</v>
      </c>
      <c r="I816">
        <v>0.06</v>
      </c>
      <c r="J816" t="str">
        <f t="shared" si="64"/>
        <v>NLL000LETLI0NLLFER</v>
      </c>
      <c r="K816">
        <f>_xlfn.IFNA(IF(F816="H",VLOOKUP(E816,Fertiliser_data!$E$7:$L$267,8,FALSE),VLOOKUP(E816,Fertiliser_data!$E$7:$L$267,8,FALSE)*0.65),IF(F816="H",0.038,(0.038*0.65)))</f>
        <v>3.5379402985074623E-2</v>
      </c>
      <c r="L816">
        <f>IF($C816="IE",$K816*CF_231025!$E$16,$K816/VLOOKUP($C816,CF_231025!$A$2:$E$28,5,FALSE))</f>
        <v>2.2385558727369838E-2</v>
      </c>
    </row>
    <row r="817" spans="1:12" x14ac:dyDescent="0.25">
      <c r="A817" t="s">
        <v>136</v>
      </c>
      <c r="B817" t="s">
        <v>973</v>
      </c>
      <c r="C817" t="str">
        <f t="shared" si="61"/>
        <v>NL</v>
      </c>
      <c r="D817" t="str">
        <f t="shared" si="62"/>
        <v>LET</v>
      </c>
      <c r="E817" t="str">
        <f t="shared" si="60"/>
        <v>NLLET</v>
      </c>
      <c r="F817" t="str">
        <f t="shared" si="63"/>
        <v>L</v>
      </c>
      <c r="G817" t="s">
        <v>958</v>
      </c>
      <c r="H817">
        <v>1</v>
      </c>
      <c r="I817">
        <v>0.06</v>
      </c>
      <c r="J817" t="str">
        <f t="shared" si="64"/>
        <v>NLL000LETLR0NLLFER</v>
      </c>
      <c r="K817">
        <f>_xlfn.IFNA(IF(F817="H",VLOOKUP(E817,Fertiliser_data!$E$7:$L$267,8,FALSE),VLOOKUP(E817,Fertiliser_data!$E$7:$L$267,8,FALSE)*0.65),IF(F817="H",0.038,(0.038*0.65)))</f>
        <v>3.5379402985074623E-2</v>
      </c>
      <c r="L817">
        <f>IF($C817="IE",$K817*CF_231025!$E$16,$K817/VLOOKUP($C817,CF_231025!$A$2:$E$28,5,FALSE))</f>
        <v>2.2385558727369838E-2</v>
      </c>
    </row>
    <row r="818" spans="1:12" x14ac:dyDescent="0.25">
      <c r="A818" t="s">
        <v>136</v>
      </c>
      <c r="B818" t="s">
        <v>974</v>
      </c>
      <c r="C818" t="str">
        <f t="shared" si="61"/>
        <v>NL</v>
      </c>
      <c r="D818" t="str">
        <f t="shared" si="62"/>
        <v>OTH</v>
      </c>
      <c r="E818" t="str">
        <f t="shared" si="60"/>
        <v>NLOTH</v>
      </c>
      <c r="F818" t="str">
        <f t="shared" si="63"/>
        <v>H</v>
      </c>
      <c r="G818" t="s">
        <v>958</v>
      </c>
      <c r="H818">
        <v>1</v>
      </c>
      <c r="I818">
        <v>0.17</v>
      </c>
      <c r="J818" t="str">
        <f t="shared" si="64"/>
        <v>NLL000OTHHI0NLLFER</v>
      </c>
      <c r="K818">
        <f>_xlfn.IFNA(IF(F818="H",VLOOKUP(E818,Fertiliser_data!$E$7:$L$267,8,FALSE),VLOOKUP(E818,Fertiliser_data!$E$7:$L$267,8,FALSE)*0.65),IF(F818="H",0.038,(0.038*0.65)))</f>
        <v>3.7999999999999999E-2</v>
      </c>
      <c r="L818">
        <f>IF($C818="IE",$K818*CF_231025!$E$16,$K818/VLOOKUP($C818,CF_231025!$A$2:$E$28,5,FALSE))</f>
        <v>2.4043685304664834E-2</v>
      </c>
    </row>
    <row r="819" spans="1:12" x14ac:dyDescent="0.25">
      <c r="A819" t="s">
        <v>136</v>
      </c>
      <c r="B819" t="s">
        <v>975</v>
      </c>
      <c r="C819" t="str">
        <f t="shared" si="61"/>
        <v>NL</v>
      </c>
      <c r="D819" t="str">
        <f t="shared" si="62"/>
        <v>OTH</v>
      </c>
      <c r="E819" t="str">
        <f t="shared" si="60"/>
        <v>NLOTH</v>
      </c>
      <c r="F819" t="str">
        <f t="shared" si="63"/>
        <v>H</v>
      </c>
      <c r="G819" t="s">
        <v>958</v>
      </c>
      <c r="H819">
        <v>1</v>
      </c>
      <c r="I819">
        <v>0.17</v>
      </c>
      <c r="J819" t="str">
        <f t="shared" si="64"/>
        <v>NLL000OTHHR0NLLFER</v>
      </c>
      <c r="K819">
        <f>_xlfn.IFNA(IF(F819="H",VLOOKUP(E819,Fertiliser_data!$E$7:$L$267,8,FALSE),VLOOKUP(E819,Fertiliser_data!$E$7:$L$267,8,FALSE)*0.65),IF(F819="H",0.038,(0.038*0.65)))</f>
        <v>3.7999999999999999E-2</v>
      </c>
      <c r="L819">
        <f>IF($C819="IE",$K819*CF_231025!$E$16,$K819/VLOOKUP($C819,CF_231025!$A$2:$E$28,5,FALSE))</f>
        <v>2.4043685304664834E-2</v>
      </c>
    </row>
    <row r="820" spans="1:12" x14ac:dyDescent="0.25">
      <c r="A820" t="s">
        <v>136</v>
      </c>
      <c r="B820" t="s">
        <v>976</v>
      </c>
      <c r="C820" t="str">
        <f t="shared" si="61"/>
        <v>NL</v>
      </c>
      <c r="D820" t="str">
        <f t="shared" si="62"/>
        <v>OTH</v>
      </c>
      <c r="E820" t="str">
        <f t="shared" si="60"/>
        <v>NLOTH</v>
      </c>
      <c r="F820" t="str">
        <f t="shared" si="63"/>
        <v>L</v>
      </c>
      <c r="G820" t="s">
        <v>958</v>
      </c>
      <c r="H820">
        <v>1</v>
      </c>
      <c r="I820">
        <v>0.06</v>
      </c>
      <c r="J820" t="str">
        <f t="shared" si="64"/>
        <v>NLL000OTHLI0NLLFER</v>
      </c>
      <c r="K820">
        <f>_xlfn.IFNA(IF(F820="H",VLOOKUP(E820,Fertiliser_data!$E$7:$L$267,8,FALSE),VLOOKUP(E820,Fertiliser_data!$E$7:$L$267,8,FALSE)*0.65),IF(F820="H",0.038,(0.038*0.65)))</f>
        <v>2.47E-2</v>
      </c>
      <c r="L820">
        <f>IF($C820="IE",$K820*CF_231025!$E$16,$K820/VLOOKUP($C820,CF_231025!$A$2:$E$28,5,FALSE))</f>
        <v>1.5628395448032142E-2</v>
      </c>
    </row>
    <row r="821" spans="1:12" x14ac:dyDescent="0.25">
      <c r="A821" t="s">
        <v>136</v>
      </c>
      <c r="B821" t="s">
        <v>977</v>
      </c>
      <c r="C821" t="str">
        <f t="shared" si="61"/>
        <v>NL</v>
      </c>
      <c r="D821" t="str">
        <f t="shared" si="62"/>
        <v>OTH</v>
      </c>
      <c r="E821" t="str">
        <f t="shared" si="60"/>
        <v>NLOTH</v>
      </c>
      <c r="F821" t="str">
        <f t="shared" si="63"/>
        <v>L</v>
      </c>
      <c r="G821" t="s">
        <v>958</v>
      </c>
      <c r="H821">
        <v>1</v>
      </c>
      <c r="I821">
        <v>0.06</v>
      </c>
      <c r="J821" t="str">
        <f t="shared" si="64"/>
        <v>NLL000OTHLR0NLLFER</v>
      </c>
      <c r="K821">
        <f>_xlfn.IFNA(IF(F821="H",VLOOKUP(E821,Fertiliser_data!$E$7:$L$267,8,FALSE),VLOOKUP(E821,Fertiliser_data!$E$7:$L$267,8,FALSE)*0.65),IF(F821="H",0.038,(0.038*0.65)))</f>
        <v>2.47E-2</v>
      </c>
      <c r="L821">
        <f>IF($C821="IE",$K821*CF_231025!$E$16,$K821/VLOOKUP($C821,CF_231025!$A$2:$E$28,5,FALSE))</f>
        <v>1.5628395448032142E-2</v>
      </c>
    </row>
    <row r="822" spans="1:12" x14ac:dyDescent="0.25">
      <c r="A822" t="s">
        <v>136</v>
      </c>
      <c r="B822" t="s">
        <v>978</v>
      </c>
      <c r="C822" t="str">
        <f t="shared" si="61"/>
        <v>NL</v>
      </c>
      <c r="D822" t="str">
        <f t="shared" si="62"/>
        <v>PER</v>
      </c>
      <c r="E822" t="str">
        <f t="shared" si="60"/>
        <v>NLPER</v>
      </c>
      <c r="F822" t="str">
        <f t="shared" si="63"/>
        <v>H</v>
      </c>
      <c r="G822" t="s">
        <v>958</v>
      </c>
      <c r="H822">
        <v>1</v>
      </c>
      <c r="I822">
        <v>0.17</v>
      </c>
      <c r="J822" t="str">
        <f t="shared" si="64"/>
        <v>NLL000PERHI0NLLFER</v>
      </c>
      <c r="K822">
        <f>_xlfn.IFNA(IF(F822="H",VLOOKUP(E822,Fertiliser_data!$E$7:$L$267,8,FALSE),VLOOKUP(E822,Fertiliser_data!$E$7:$L$267,8,FALSE)*0.65),IF(F822="H",0.038,(0.038*0.65)))</f>
        <v>3.1222388059701497E-2</v>
      </c>
      <c r="L822">
        <f>IF($C822="IE",$K822*CF_231025!$E$16,$K822/VLOOKUP($C822,CF_231025!$A$2:$E$28,5,FALSE))</f>
        <v>1.9755296657041781E-2</v>
      </c>
    </row>
    <row r="823" spans="1:12" x14ac:dyDescent="0.25">
      <c r="A823" t="s">
        <v>136</v>
      </c>
      <c r="B823" t="s">
        <v>979</v>
      </c>
      <c r="C823" t="str">
        <f t="shared" si="61"/>
        <v>NL</v>
      </c>
      <c r="D823" t="str">
        <f t="shared" si="62"/>
        <v>PER</v>
      </c>
      <c r="E823" t="str">
        <f t="shared" si="60"/>
        <v>NLPER</v>
      </c>
      <c r="F823" t="str">
        <f t="shared" si="63"/>
        <v>H</v>
      </c>
      <c r="G823" t="s">
        <v>958</v>
      </c>
      <c r="H823">
        <v>1</v>
      </c>
      <c r="I823">
        <v>0.17</v>
      </c>
      <c r="J823" t="str">
        <f t="shared" si="64"/>
        <v>NLL000PERHR0NLLFER</v>
      </c>
      <c r="K823">
        <f>_xlfn.IFNA(IF(F823="H",VLOOKUP(E823,Fertiliser_data!$E$7:$L$267,8,FALSE),VLOOKUP(E823,Fertiliser_data!$E$7:$L$267,8,FALSE)*0.65),IF(F823="H",0.038,(0.038*0.65)))</f>
        <v>3.1222388059701497E-2</v>
      </c>
      <c r="L823">
        <f>IF($C823="IE",$K823*CF_231025!$E$16,$K823/VLOOKUP($C823,CF_231025!$A$2:$E$28,5,FALSE))</f>
        <v>1.9755296657041781E-2</v>
      </c>
    </row>
    <row r="824" spans="1:12" x14ac:dyDescent="0.25">
      <c r="A824" t="s">
        <v>136</v>
      </c>
      <c r="B824" t="s">
        <v>980</v>
      </c>
      <c r="C824" t="str">
        <f t="shared" si="61"/>
        <v>NL</v>
      </c>
      <c r="D824" t="str">
        <f t="shared" si="62"/>
        <v>PER</v>
      </c>
      <c r="E824" t="str">
        <f t="shared" si="60"/>
        <v>NLPER</v>
      </c>
      <c r="F824" t="str">
        <f t="shared" si="63"/>
        <v>L</v>
      </c>
      <c r="G824" t="s">
        <v>958</v>
      </c>
      <c r="H824">
        <v>1</v>
      </c>
      <c r="I824">
        <v>0.06</v>
      </c>
      <c r="J824" t="str">
        <f t="shared" si="64"/>
        <v>NLL000PERLI0NLLFER</v>
      </c>
      <c r="K824">
        <f>_xlfn.IFNA(IF(F824="H",VLOOKUP(E824,Fertiliser_data!$E$7:$L$267,8,FALSE),VLOOKUP(E824,Fertiliser_data!$E$7:$L$267,8,FALSE)*0.65),IF(F824="H",0.038,(0.038*0.65)))</f>
        <v>2.0294552238805975E-2</v>
      </c>
      <c r="L824">
        <f>IF($C824="IE",$K824*CF_231025!$E$16,$K824/VLOOKUP($C824,CF_231025!$A$2:$E$28,5,FALSE))</f>
        <v>1.284094282707716E-2</v>
      </c>
    </row>
    <row r="825" spans="1:12" x14ac:dyDescent="0.25">
      <c r="A825" t="s">
        <v>136</v>
      </c>
      <c r="B825" t="s">
        <v>981</v>
      </c>
      <c r="C825" t="str">
        <f t="shared" si="61"/>
        <v>NL</v>
      </c>
      <c r="D825" t="str">
        <f t="shared" si="62"/>
        <v>PER</v>
      </c>
      <c r="E825" t="str">
        <f t="shared" si="60"/>
        <v>NLPER</v>
      </c>
      <c r="F825" t="str">
        <f t="shared" si="63"/>
        <v>L</v>
      </c>
      <c r="G825" t="s">
        <v>958</v>
      </c>
      <c r="H825">
        <v>1</v>
      </c>
      <c r="I825">
        <v>0.06</v>
      </c>
      <c r="J825" t="str">
        <f t="shared" si="64"/>
        <v>NLL000PERLR0NLLFER</v>
      </c>
      <c r="K825">
        <f>_xlfn.IFNA(IF(F825="H",VLOOKUP(E825,Fertiliser_data!$E$7:$L$267,8,FALSE),VLOOKUP(E825,Fertiliser_data!$E$7:$L$267,8,FALSE)*0.65),IF(F825="H",0.038,(0.038*0.65)))</f>
        <v>2.0294552238805975E-2</v>
      </c>
      <c r="L825">
        <f>IF($C825="IE",$K825*CF_231025!$E$16,$K825/VLOOKUP($C825,CF_231025!$A$2:$E$28,5,FALSE))</f>
        <v>1.284094282707716E-2</v>
      </c>
    </row>
    <row r="826" spans="1:12" x14ac:dyDescent="0.25">
      <c r="A826" t="s">
        <v>136</v>
      </c>
      <c r="B826" t="s">
        <v>982</v>
      </c>
      <c r="C826" t="str">
        <f t="shared" si="61"/>
        <v>NL</v>
      </c>
      <c r="D826" t="str">
        <f t="shared" si="62"/>
        <v>SUG</v>
      </c>
      <c r="E826" t="str">
        <f t="shared" si="60"/>
        <v>NLSUG</v>
      </c>
      <c r="F826" t="str">
        <f t="shared" si="63"/>
        <v>H</v>
      </c>
      <c r="G826" t="s">
        <v>958</v>
      </c>
      <c r="H826">
        <v>1</v>
      </c>
      <c r="I826">
        <v>0.17</v>
      </c>
      <c r="J826" t="str">
        <f t="shared" si="64"/>
        <v>NLL000SUGHI0NLLFER</v>
      </c>
      <c r="K826">
        <f>_xlfn.IFNA(IF(F826="H",VLOOKUP(E826,Fertiliser_data!$E$7:$L$267,8,FALSE),VLOOKUP(E826,Fertiliser_data!$E$7:$L$267,8,FALSE)*0.65),IF(F826="H",0.038,(0.038*0.65)))</f>
        <v>4.6220895522388061E-2</v>
      </c>
      <c r="L826">
        <f>IF($C826="IE",$K826*CF_231025!$E$16,$K826/VLOOKUP($C826,CF_231025!$A$2:$E$28,5,FALSE))</f>
        <v>2.9245280695791853E-2</v>
      </c>
    </row>
    <row r="827" spans="1:12" x14ac:dyDescent="0.25">
      <c r="A827" t="s">
        <v>136</v>
      </c>
      <c r="B827" t="s">
        <v>983</v>
      </c>
      <c r="C827" t="str">
        <f t="shared" si="61"/>
        <v>NL</v>
      </c>
      <c r="D827" t="str">
        <f t="shared" si="62"/>
        <v>SUG</v>
      </c>
      <c r="E827" t="str">
        <f t="shared" si="60"/>
        <v>NLSUG</v>
      </c>
      <c r="F827" t="str">
        <f t="shared" si="63"/>
        <v>H</v>
      </c>
      <c r="G827" t="s">
        <v>958</v>
      </c>
      <c r="H827">
        <v>1</v>
      </c>
      <c r="I827">
        <v>0.17</v>
      </c>
      <c r="J827" t="str">
        <f t="shared" si="64"/>
        <v>NLL000SUGHR0NLLFER</v>
      </c>
      <c r="K827">
        <f>_xlfn.IFNA(IF(F827="H",VLOOKUP(E827,Fertiliser_data!$E$7:$L$267,8,FALSE),VLOOKUP(E827,Fertiliser_data!$E$7:$L$267,8,FALSE)*0.65),IF(F827="H",0.038,(0.038*0.65)))</f>
        <v>4.6220895522388061E-2</v>
      </c>
      <c r="L827">
        <f>IF($C827="IE",$K827*CF_231025!$E$16,$K827/VLOOKUP($C827,CF_231025!$A$2:$E$28,5,FALSE))</f>
        <v>2.9245280695791853E-2</v>
      </c>
    </row>
    <row r="828" spans="1:12" x14ac:dyDescent="0.25">
      <c r="A828" t="s">
        <v>136</v>
      </c>
      <c r="B828" t="s">
        <v>984</v>
      </c>
      <c r="C828" t="str">
        <f t="shared" si="61"/>
        <v>NL</v>
      </c>
      <c r="D828" t="str">
        <f t="shared" si="62"/>
        <v>SUG</v>
      </c>
      <c r="E828" t="str">
        <f t="shared" si="60"/>
        <v>NLSUG</v>
      </c>
      <c r="F828" t="str">
        <f t="shared" si="63"/>
        <v>L</v>
      </c>
      <c r="G828" t="s">
        <v>958</v>
      </c>
      <c r="H828">
        <v>1</v>
      </c>
      <c r="I828">
        <v>0.06</v>
      </c>
      <c r="J828" t="str">
        <f t="shared" si="64"/>
        <v>NLL000SUGLI0NLLFER</v>
      </c>
      <c r="K828">
        <f>_xlfn.IFNA(IF(F828="H",VLOOKUP(E828,Fertiliser_data!$E$7:$L$267,8,FALSE),VLOOKUP(E828,Fertiliser_data!$E$7:$L$267,8,FALSE)*0.65),IF(F828="H",0.038,(0.038*0.65)))</f>
        <v>3.004358208955224E-2</v>
      </c>
      <c r="L828">
        <f>IF($C828="IE",$K828*CF_231025!$E$16,$K828/VLOOKUP($C828,CF_231025!$A$2:$E$28,5,FALSE))</f>
        <v>1.9009432452264705E-2</v>
      </c>
    </row>
    <row r="829" spans="1:12" x14ac:dyDescent="0.25">
      <c r="A829" t="s">
        <v>136</v>
      </c>
      <c r="B829" t="s">
        <v>985</v>
      </c>
      <c r="C829" t="str">
        <f t="shared" si="61"/>
        <v>NL</v>
      </c>
      <c r="D829" t="str">
        <f t="shared" si="62"/>
        <v>SUG</v>
      </c>
      <c r="E829" t="str">
        <f t="shared" si="60"/>
        <v>NLSUG</v>
      </c>
      <c r="F829" t="str">
        <f t="shared" si="63"/>
        <v>L</v>
      </c>
      <c r="G829" t="s">
        <v>958</v>
      </c>
      <c r="H829">
        <v>1</v>
      </c>
      <c r="I829">
        <v>0.06</v>
      </c>
      <c r="J829" t="str">
        <f t="shared" si="64"/>
        <v>NLL000SUGLR0NLLFER</v>
      </c>
      <c r="K829">
        <f>_xlfn.IFNA(IF(F829="H",VLOOKUP(E829,Fertiliser_data!$E$7:$L$267,8,FALSE),VLOOKUP(E829,Fertiliser_data!$E$7:$L$267,8,FALSE)*0.65),IF(F829="H",0.038,(0.038*0.65)))</f>
        <v>3.004358208955224E-2</v>
      </c>
      <c r="L829">
        <f>IF($C829="IE",$K829*CF_231025!$E$16,$K829/VLOOKUP($C829,CF_231025!$A$2:$E$28,5,FALSE))</f>
        <v>1.9009432452264705E-2</v>
      </c>
    </row>
    <row r="830" spans="1:12" x14ac:dyDescent="0.25">
      <c r="A830" t="s">
        <v>136</v>
      </c>
      <c r="B830" t="s">
        <v>986</v>
      </c>
      <c r="C830" t="str">
        <f t="shared" si="61"/>
        <v>NL</v>
      </c>
      <c r="D830" t="str">
        <f t="shared" si="62"/>
        <v>ONI</v>
      </c>
      <c r="E830" t="str">
        <f t="shared" si="60"/>
        <v>NLONI</v>
      </c>
      <c r="F830" t="str">
        <f t="shared" si="63"/>
        <v>H</v>
      </c>
      <c r="G830" t="s">
        <v>958</v>
      </c>
      <c r="H830">
        <v>1</v>
      </c>
      <c r="I830">
        <v>0.17</v>
      </c>
      <c r="J830" t="str">
        <f t="shared" si="64"/>
        <v>NLL000ONIHI0NLLFER</v>
      </c>
      <c r="K830">
        <f>_xlfn.IFNA(IF(F830="H",VLOOKUP(E830,Fertiliser_data!$E$7:$L$267,8,FALSE),VLOOKUP(E830,Fertiliser_data!$E$7:$L$267,8,FALSE)*0.65),IF(F830="H",0.038,(0.038*0.65)))</f>
        <v>5.4429850746268653E-2</v>
      </c>
      <c r="L830">
        <f>IF($C830="IE",$K830*CF_231025!$E$16,$K830/VLOOKUP($C830,CF_231025!$A$2:$E$28,5,FALSE))</f>
        <v>3.4439321119030523E-2</v>
      </c>
    </row>
    <row r="831" spans="1:12" x14ac:dyDescent="0.25">
      <c r="A831" t="s">
        <v>136</v>
      </c>
      <c r="B831" t="s">
        <v>987</v>
      </c>
      <c r="C831" t="str">
        <f t="shared" si="61"/>
        <v>NL</v>
      </c>
      <c r="D831" t="str">
        <f t="shared" si="62"/>
        <v>ONI</v>
      </c>
      <c r="E831" t="str">
        <f t="shared" si="60"/>
        <v>NLONI</v>
      </c>
      <c r="F831" t="str">
        <f t="shared" si="63"/>
        <v>H</v>
      </c>
      <c r="G831" t="s">
        <v>958</v>
      </c>
      <c r="H831">
        <v>1</v>
      </c>
      <c r="I831">
        <v>0.17</v>
      </c>
      <c r="J831" t="str">
        <f t="shared" si="64"/>
        <v>NLL000ONIHR0NLLFER</v>
      </c>
      <c r="K831">
        <f>_xlfn.IFNA(IF(F831="H",VLOOKUP(E831,Fertiliser_data!$E$7:$L$267,8,FALSE),VLOOKUP(E831,Fertiliser_data!$E$7:$L$267,8,FALSE)*0.65),IF(F831="H",0.038,(0.038*0.65)))</f>
        <v>5.4429850746268653E-2</v>
      </c>
      <c r="L831">
        <f>IF($C831="IE",$K831*CF_231025!$E$16,$K831/VLOOKUP($C831,CF_231025!$A$2:$E$28,5,FALSE))</f>
        <v>3.4439321119030523E-2</v>
      </c>
    </row>
    <row r="832" spans="1:12" x14ac:dyDescent="0.25">
      <c r="A832" t="s">
        <v>136</v>
      </c>
      <c r="B832" t="s">
        <v>988</v>
      </c>
      <c r="C832" t="str">
        <f t="shared" si="61"/>
        <v>NL</v>
      </c>
      <c r="D832" t="str">
        <f t="shared" si="62"/>
        <v>ONI</v>
      </c>
      <c r="E832" t="str">
        <f t="shared" si="60"/>
        <v>NLONI</v>
      </c>
      <c r="F832" t="str">
        <f t="shared" si="63"/>
        <v>L</v>
      </c>
      <c r="G832" t="s">
        <v>958</v>
      </c>
      <c r="H832">
        <v>1</v>
      </c>
      <c r="I832">
        <v>0.06</v>
      </c>
      <c r="J832" t="str">
        <f t="shared" si="64"/>
        <v>NLL000ONILI0NLLFER</v>
      </c>
      <c r="K832">
        <f>_xlfn.IFNA(IF(F832="H",VLOOKUP(E832,Fertiliser_data!$E$7:$L$267,8,FALSE),VLOOKUP(E832,Fertiliser_data!$E$7:$L$267,8,FALSE)*0.65),IF(F832="H",0.038,(0.038*0.65)))</f>
        <v>3.5379402985074623E-2</v>
      </c>
      <c r="L832">
        <f>IF($C832="IE",$K832*CF_231025!$E$16,$K832/VLOOKUP($C832,CF_231025!$A$2:$E$28,5,FALSE))</f>
        <v>2.2385558727369838E-2</v>
      </c>
    </row>
    <row r="833" spans="1:12" x14ac:dyDescent="0.25">
      <c r="A833" t="s">
        <v>136</v>
      </c>
      <c r="B833" t="s">
        <v>989</v>
      </c>
      <c r="C833" t="str">
        <f t="shared" si="61"/>
        <v>NL</v>
      </c>
      <c r="D833" t="str">
        <f t="shared" si="62"/>
        <v>ONI</v>
      </c>
      <c r="E833" t="str">
        <f t="shared" si="60"/>
        <v>NLONI</v>
      </c>
      <c r="F833" t="str">
        <f t="shared" si="63"/>
        <v>L</v>
      </c>
      <c r="G833" t="s">
        <v>958</v>
      </c>
      <c r="H833">
        <v>1</v>
      </c>
      <c r="I833">
        <v>0.06</v>
      </c>
      <c r="J833" t="str">
        <f t="shared" si="64"/>
        <v>NLL000ONILR0NLLFER</v>
      </c>
      <c r="K833">
        <f>_xlfn.IFNA(IF(F833="H",VLOOKUP(E833,Fertiliser_data!$E$7:$L$267,8,FALSE),VLOOKUP(E833,Fertiliser_data!$E$7:$L$267,8,FALSE)*0.65),IF(F833="H",0.038,(0.038*0.65)))</f>
        <v>3.5379402985074623E-2</v>
      </c>
      <c r="L833">
        <f>IF($C833="IE",$K833*CF_231025!$E$16,$K833/VLOOKUP($C833,CF_231025!$A$2:$E$28,5,FALSE))</f>
        <v>2.2385558727369838E-2</v>
      </c>
    </row>
    <row r="834" spans="1:12" x14ac:dyDescent="0.25">
      <c r="A834" t="s">
        <v>136</v>
      </c>
      <c r="B834" t="s">
        <v>990</v>
      </c>
      <c r="C834" t="str">
        <f t="shared" si="61"/>
        <v>NL</v>
      </c>
      <c r="D834" t="str">
        <f t="shared" si="62"/>
        <v>MAI</v>
      </c>
      <c r="E834" t="str">
        <f t="shared" ref="E834:E897" si="65">C834&amp;D834</f>
        <v>NLMAI</v>
      </c>
      <c r="F834" t="str">
        <f t="shared" si="63"/>
        <v>H</v>
      </c>
      <c r="G834" t="s">
        <v>958</v>
      </c>
      <c r="H834">
        <v>1</v>
      </c>
      <c r="I834">
        <v>0.16</v>
      </c>
      <c r="J834" t="str">
        <f t="shared" si="64"/>
        <v>NLL000MAIHI0NLLFER</v>
      </c>
      <c r="K834">
        <f>_xlfn.IFNA(IF(F834="H",VLOOKUP(E834,Fertiliser_data!$E$7:$L$267,8,FALSE),VLOOKUP(E834,Fertiliser_data!$E$7:$L$267,8,FALSE)*0.65),IF(F834="H",0.038,(0.038*0.65)))</f>
        <v>1.1256716417910448E-2</v>
      </c>
      <c r="L834">
        <f>IF($C834="IE",$K834*CF_231025!$E$16,$K834/VLOOKUP($C834,CF_231025!$A$2:$E$28,5,FALSE))</f>
        <v>7.1224459767392839E-3</v>
      </c>
    </row>
    <row r="835" spans="1:12" x14ac:dyDescent="0.25">
      <c r="A835" t="s">
        <v>136</v>
      </c>
      <c r="B835" t="s">
        <v>991</v>
      </c>
      <c r="C835" t="str">
        <f t="shared" ref="C835:C898" si="66">LEFT(B835,2)</f>
        <v>NL</v>
      </c>
      <c r="D835" t="str">
        <f t="shared" ref="D835:D898" si="67">MID(B835,7,3)</f>
        <v>MAI</v>
      </c>
      <c r="E835" t="str">
        <f t="shared" si="65"/>
        <v>NLMAI</v>
      </c>
      <c r="F835" t="str">
        <f t="shared" ref="F835:F898" si="68">MID(B835,10,1)</f>
        <v>H</v>
      </c>
      <c r="G835" t="s">
        <v>958</v>
      </c>
      <c r="H835">
        <v>1</v>
      </c>
      <c r="I835">
        <v>0.16</v>
      </c>
      <c r="J835" t="str">
        <f t="shared" ref="J835:J898" si="69">B835&amp;G835</f>
        <v>NLL000MAIHR0NLLFER</v>
      </c>
      <c r="K835">
        <f>_xlfn.IFNA(IF(F835="H",VLOOKUP(E835,Fertiliser_data!$E$7:$L$267,8,FALSE),VLOOKUP(E835,Fertiliser_data!$E$7:$L$267,8,FALSE)*0.65),IF(F835="H",0.038,(0.038*0.65)))</f>
        <v>1.1256716417910448E-2</v>
      </c>
      <c r="L835">
        <f>IF($C835="IE",$K835*CF_231025!$E$16,$K835/VLOOKUP($C835,CF_231025!$A$2:$E$28,5,FALSE))</f>
        <v>7.1224459767392839E-3</v>
      </c>
    </row>
    <row r="836" spans="1:12" x14ac:dyDescent="0.25">
      <c r="A836" t="s">
        <v>136</v>
      </c>
      <c r="B836" t="s">
        <v>992</v>
      </c>
      <c r="C836" t="str">
        <f t="shared" si="66"/>
        <v>NL</v>
      </c>
      <c r="D836" t="str">
        <f t="shared" si="67"/>
        <v>MAI</v>
      </c>
      <c r="E836" t="str">
        <f t="shared" si="65"/>
        <v>NLMAI</v>
      </c>
      <c r="F836" t="str">
        <f t="shared" si="68"/>
        <v>L</v>
      </c>
      <c r="G836" t="s">
        <v>958</v>
      </c>
      <c r="H836">
        <v>1</v>
      </c>
      <c r="I836">
        <v>0.06</v>
      </c>
      <c r="J836" t="str">
        <f t="shared" si="69"/>
        <v>NLL000MAILI0NLLFER</v>
      </c>
      <c r="K836">
        <f>_xlfn.IFNA(IF(F836="H",VLOOKUP(E836,Fertiliser_data!$E$7:$L$267,8,FALSE),VLOOKUP(E836,Fertiliser_data!$E$7:$L$267,8,FALSE)*0.65),IF(F836="H",0.038,(0.038*0.65)))</f>
        <v>7.3168656716417913E-3</v>
      </c>
      <c r="L836">
        <f>IF($C836="IE",$K836*CF_231025!$E$16,$K836/VLOOKUP($C836,CF_231025!$A$2:$E$28,5,FALSE))</f>
        <v>4.6295898848805351E-3</v>
      </c>
    </row>
    <row r="837" spans="1:12" x14ac:dyDescent="0.25">
      <c r="A837" t="s">
        <v>136</v>
      </c>
      <c r="B837" t="s">
        <v>993</v>
      </c>
      <c r="C837" t="str">
        <f t="shared" si="66"/>
        <v>NL</v>
      </c>
      <c r="D837" t="str">
        <f t="shared" si="67"/>
        <v>MAI</v>
      </c>
      <c r="E837" t="str">
        <f t="shared" si="65"/>
        <v>NLMAI</v>
      </c>
      <c r="F837" t="str">
        <f t="shared" si="68"/>
        <v>L</v>
      </c>
      <c r="G837" t="s">
        <v>958</v>
      </c>
      <c r="H837">
        <v>1</v>
      </c>
      <c r="I837">
        <v>0.06</v>
      </c>
      <c r="J837" t="str">
        <f t="shared" si="69"/>
        <v>NLL000MAILR0NLLFER</v>
      </c>
      <c r="K837">
        <f>_xlfn.IFNA(IF(F837="H",VLOOKUP(E837,Fertiliser_data!$E$7:$L$267,8,FALSE),VLOOKUP(E837,Fertiliser_data!$E$7:$L$267,8,FALSE)*0.65),IF(F837="H",0.038,(0.038*0.65)))</f>
        <v>7.3168656716417913E-3</v>
      </c>
      <c r="L837">
        <f>IF($C837="IE",$K837*CF_231025!$E$16,$K837/VLOOKUP($C837,CF_231025!$A$2:$E$28,5,FALSE))</f>
        <v>4.6295898848805351E-3</v>
      </c>
    </row>
    <row r="838" spans="1:12" x14ac:dyDescent="0.25">
      <c r="A838" t="s">
        <v>136</v>
      </c>
      <c r="B838" t="s">
        <v>994</v>
      </c>
      <c r="C838" t="str">
        <f t="shared" si="66"/>
        <v>NL</v>
      </c>
      <c r="D838" t="str">
        <f t="shared" si="67"/>
        <v>POT</v>
      </c>
      <c r="E838" t="str">
        <f t="shared" si="65"/>
        <v>NLPOT</v>
      </c>
      <c r="F838" t="str">
        <f t="shared" si="68"/>
        <v>H</v>
      </c>
      <c r="G838" t="s">
        <v>958</v>
      </c>
      <c r="H838">
        <v>1</v>
      </c>
      <c r="I838">
        <v>0.17</v>
      </c>
      <c r="J838" t="str">
        <f t="shared" si="69"/>
        <v>NLL000POTHI0NLLFER</v>
      </c>
      <c r="K838">
        <f>_xlfn.IFNA(IF(F838="H",VLOOKUP(E838,Fertiliser_data!$E$7:$L$267,8,FALSE),VLOOKUP(E838,Fertiliser_data!$E$7:$L$267,8,FALSE)*0.65),IF(F838="H",0.038,(0.038*0.65)))</f>
        <v>8.8474626865671646E-2</v>
      </c>
      <c r="L838">
        <f>IF($C838="IE",$K838*CF_231025!$E$16,$K838/VLOOKUP($C838,CF_231025!$A$2:$E$28,5,FALSE))</f>
        <v>5.5980423310680365E-2</v>
      </c>
    </row>
    <row r="839" spans="1:12" x14ac:dyDescent="0.25">
      <c r="A839" t="s">
        <v>136</v>
      </c>
      <c r="B839" t="s">
        <v>995</v>
      </c>
      <c r="C839" t="str">
        <f t="shared" si="66"/>
        <v>NL</v>
      </c>
      <c r="D839" t="str">
        <f t="shared" si="67"/>
        <v>POT</v>
      </c>
      <c r="E839" t="str">
        <f t="shared" si="65"/>
        <v>NLPOT</v>
      </c>
      <c r="F839" t="str">
        <f t="shared" si="68"/>
        <v>H</v>
      </c>
      <c r="G839" t="s">
        <v>958</v>
      </c>
      <c r="H839">
        <v>1</v>
      </c>
      <c r="I839">
        <v>0.17</v>
      </c>
      <c r="J839" t="str">
        <f t="shared" si="69"/>
        <v>NLL000POTHR0NLLFER</v>
      </c>
      <c r="K839">
        <f>_xlfn.IFNA(IF(F839="H",VLOOKUP(E839,Fertiliser_data!$E$7:$L$267,8,FALSE),VLOOKUP(E839,Fertiliser_data!$E$7:$L$267,8,FALSE)*0.65),IF(F839="H",0.038,(0.038*0.65)))</f>
        <v>8.8474626865671646E-2</v>
      </c>
      <c r="L839">
        <f>IF($C839="IE",$K839*CF_231025!$E$16,$K839/VLOOKUP($C839,CF_231025!$A$2:$E$28,5,FALSE))</f>
        <v>5.5980423310680365E-2</v>
      </c>
    </row>
    <row r="840" spans="1:12" x14ac:dyDescent="0.25">
      <c r="A840" t="s">
        <v>136</v>
      </c>
      <c r="B840" t="s">
        <v>996</v>
      </c>
      <c r="C840" t="str">
        <f t="shared" si="66"/>
        <v>NL</v>
      </c>
      <c r="D840" t="str">
        <f t="shared" si="67"/>
        <v>POT</v>
      </c>
      <c r="E840" t="str">
        <f t="shared" si="65"/>
        <v>NLPOT</v>
      </c>
      <c r="F840" t="str">
        <f t="shared" si="68"/>
        <v>L</v>
      </c>
      <c r="G840" t="s">
        <v>958</v>
      </c>
      <c r="H840">
        <v>1</v>
      </c>
      <c r="I840">
        <v>0.06</v>
      </c>
      <c r="J840" t="str">
        <f t="shared" si="69"/>
        <v>NLL000POTLI0NLLFER</v>
      </c>
      <c r="K840">
        <f>_xlfn.IFNA(IF(F840="H",VLOOKUP(E840,Fertiliser_data!$E$7:$L$267,8,FALSE),VLOOKUP(E840,Fertiliser_data!$E$7:$L$267,8,FALSE)*0.65),IF(F840="H",0.038,(0.038*0.65)))</f>
        <v>5.750850746268657E-2</v>
      </c>
      <c r="L840">
        <f>IF($C840="IE",$K840*CF_231025!$E$16,$K840/VLOOKUP($C840,CF_231025!$A$2:$E$28,5,FALSE))</f>
        <v>3.638727515194224E-2</v>
      </c>
    </row>
    <row r="841" spans="1:12" x14ac:dyDescent="0.25">
      <c r="A841" t="s">
        <v>136</v>
      </c>
      <c r="B841" t="s">
        <v>997</v>
      </c>
      <c r="C841" t="str">
        <f t="shared" si="66"/>
        <v>NL</v>
      </c>
      <c r="D841" t="str">
        <f t="shared" si="67"/>
        <v>POT</v>
      </c>
      <c r="E841" t="str">
        <f t="shared" si="65"/>
        <v>NLPOT</v>
      </c>
      <c r="F841" t="str">
        <f t="shared" si="68"/>
        <v>L</v>
      </c>
      <c r="G841" t="s">
        <v>958</v>
      </c>
      <c r="H841">
        <v>1</v>
      </c>
      <c r="I841">
        <v>0.06</v>
      </c>
      <c r="J841" t="str">
        <f t="shared" si="69"/>
        <v>NLL000POTLR0NLLFER</v>
      </c>
      <c r="K841">
        <f>_xlfn.IFNA(IF(F841="H",VLOOKUP(E841,Fertiliser_data!$E$7:$L$267,8,FALSE),VLOOKUP(E841,Fertiliser_data!$E$7:$L$267,8,FALSE)*0.65),IF(F841="H",0.038,(0.038*0.65)))</f>
        <v>5.750850746268657E-2</v>
      </c>
      <c r="L841">
        <f>IF($C841="IE",$K841*CF_231025!$E$16,$K841/VLOOKUP($C841,CF_231025!$A$2:$E$28,5,FALSE))</f>
        <v>3.638727515194224E-2</v>
      </c>
    </row>
    <row r="842" spans="1:12" x14ac:dyDescent="0.25">
      <c r="A842" t="s">
        <v>136</v>
      </c>
      <c r="B842" t="s">
        <v>998</v>
      </c>
      <c r="C842" t="str">
        <f t="shared" si="66"/>
        <v>PL</v>
      </c>
      <c r="D842" t="str">
        <f t="shared" si="67"/>
        <v>RYE</v>
      </c>
      <c r="E842" t="str">
        <f t="shared" si="65"/>
        <v>PLRYE</v>
      </c>
      <c r="F842" t="str">
        <f t="shared" si="68"/>
        <v>H</v>
      </c>
      <c r="G842" t="s">
        <v>999</v>
      </c>
      <c r="H842">
        <v>1</v>
      </c>
      <c r="I842">
        <v>0.11</v>
      </c>
      <c r="J842" t="str">
        <f t="shared" si="69"/>
        <v>PLL000RYEHI0PLLFER</v>
      </c>
      <c r="K842">
        <f>_xlfn.IFNA(IF(F842="H",VLOOKUP(E842,Fertiliser_data!$E$7:$L$267,8,FALSE),VLOOKUP(E842,Fertiliser_data!$E$7:$L$267,8,FALSE)*0.65),IF(F842="H",0.038,(0.038*0.65)))</f>
        <v>2.3019402985074627E-2</v>
      </c>
      <c r="L842">
        <f>IF($C842="IE",$K842*CF_231025!$E$16,$K842/VLOOKUP($C842,CF_231025!$A$2:$E$28,5,FALSE))</f>
        <v>8.0799818519982792E-3</v>
      </c>
    </row>
    <row r="843" spans="1:12" x14ac:dyDescent="0.25">
      <c r="A843" t="s">
        <v>136</v>
      </c>
      <c r="B843" t="s">
        <v>1000</v>
      </c>
      <c r="C843" t="str">
        <f t="shared" si="66"/>
        <v>PL</v>
      </c>
      <c r="D843" t="str">
        <f t="shared" si="67"/>
        <v>RYE</v>
      </c>
      <c r="E843" t="str">
        <f t="shared" si="65"/>
        <v>PLRYE</v>
      </c>
      <c r="F843" t="str">
        <f t="shared" si="68"/>
        <v>H</v>
      </c>
      <c r="G843" t="s">
        <v>999</v>
      </c>
      <c r="H843">
        <v>1</v>
      </c>
      <c r="I843">
        <v>0.11</v>
      </c>
      <c r="J843" t="str">
        <f t="shared" si="69"/>
        <v>PLL000RYEHR0PLLFER</v>
      </c>
      <c r="K843">
        <f>_xlfn.IFNA(IF(F843="H",VLOOKUP(E843,Fertiliser_data!$E$7:$L$267,8,FALSE),VLOOKUP(E843,Fertiliser_data!$E$7:$L$267,8,FALSE)*0.65),IF(F843="H",0.038,(0.038*0.65)))</f>
        <v>2.3019402985074627E-2</v>
      </c>
      <c r="L843">
        <f>IF($C843="IE",$K843*CF_231025!$E$16,$K843/VLOOKUP($C843,CF_231025!$A$2:$E$28,5,FALSE))</f>
        <v>8.0799818519982792E-3</v>
      </c>
    </row>
    <row r="844" spans="1:12" x14ac:dyDescent="0.25">
      <c r="A844" t="s">
        <v>136</v>
      </c>
      <c r="B844" t="s">
        <v>1001</v>
      </c>
      <c r="C844" t="str">
        <f t="shared" si="66"/>
        <v>PL</v>
      </c>
      <c r="D844" t="str">
        <f t="shared" si="67"/>
        <v>RYE</v>
      </c>
      <c r="E844" t="str">
        <f t="shared" si="65"/>
        <v>PLRYE</v>
      </c>
      <c r="F844" t="str">
        <f t="shared" si="68"/>
        <v>L</v>
      </c>
      <c r="G844" t="s">
        <v>999</v>
      </c>
      <c r="H844">
        <v>1</v>
      </c>
      <c r="I844">
        <v>0.04</v>
      </c>
      <c r="J844" t="str">
        <f t="shared" si="69"/>
        <v>PLL000RYELI0PLLFER</v>
      </c>
      <c r="K844">
        <f>_xlfn.IFNA(IF(F844="H",VLOOKUP(E844,Fertiliser_data!$E$7:$L$267,8,FALSE),VLOOKUP(E844,Fertiliser_data!$E$7:$L$267,8,FALSE)*0.65),IF(F844="H",0.038,(0.038*0.65)))</f>
        <v>1.4962611940298508E-2</v>
      </c>
      <c r="L844">
        <f>IF($C844="IE",$K844*CF_231025!$E$16,$K844/VLOOKUP($C844,CF_231025!$A$2:$E$28,5,FALSE))</f>
        <v>5.2519882037988823E-3</v>
      </c>
    </row>
    <row r="845" spans="1:12" x14ac:dyDescent="0.25">
      <c r="A845" t="s">
        <v>136</v>
      </c>
      <c r="B845" t="s">
        <v>1002</v>
      </c>
      <c r="C845" t="str">
        <f t="shared" si="66"/>
        <v>PL</v>
      </c>
      <c r="D845" t="str">
        <f t="shared" si="67"/>
        <v>RYE</v>
      </c>
      <c r="E845" t="str">
        <f t="shared" si="65"/>
        <v>PLRYE</v>
      </c>
      <c r="F845" t="str">
        <f t="shared" si="68"/>
        <v>L</v>
      </c>
      <c r="G845" t="s">
        <v>999</v>
      </c>
      <c r="H845">
        <v>1</v>
      </c>
      <c r="I845">
        <v>0.04</v>
      </c>
      <c r="J845" t="str">
        <f t="shared" si="69"/>
        <v>PLL000RYELR0PLLFER</v>
      </c>
      <c r="K845">
        <f>_xlfn.IFNA(IF(F845="H",VLOOKUP(E845,Fertiliser_data!$E$7:$L$267,8,FALSE),VLOOKUP(E845,Fertiliser_data!$E$7:$L$267,8,FALSE)*0.65),IF(F845="H",0.038,(0.038*0.65)))</f>
        <v>1.4962611940298508E-2</v>
      </c>
      <c r="L845">
        <f>IF($C845="IE",$K845*CF_231025!$E$16,$K845/VLOOKUP($C845,CF_231025!$A$2:$E$28,5,FALSE))</f>
        <v>5.2519882037988823E-3</v>
      </c>
    </row>
    <row r="846" spans="1:12" x14ac:dyDescent="0.25">
      <c r="A846" t="s">
        <v>136</v>
      </c>
      <c r="B846" t="s">
        <v>1003</v>
      </c>
      <c r="C846" t="str">
        <f t="shared" si="66"/>
        <v>PL</v>
      </c>
      <c r="D846" t="str">
        <f t="shared" si="67"/>
        <v>POT</v>
      </c>
      <c r="E846" t="str">
        <f t="shared" si="65"/>
        <v>PLPOT</v>
      </c>
      <c r="F846" t="str">
        <f t="shared" si="68"/>
        <v>H</v>
      </c>
      <c r="G846" t="s">
        <v>999</v>
      </c>
      <c r="H846">
        <v>1</v>
      </c>
      <c r="I846">
        <v>0.17</v>
      </c>
      <c r="J846" t="str">
        <f t="shared" si="69"/>
        <v>PLL000POTHI0PLLFER</v>
      </c>
      <c r="K846">
        <f>_xlfn.IFNA(IF(F846="H",VLOOKUP(E846,Fertiliser_data!$E$7:$L$267,8,FALSE),VLOOKUP(E846,Fertiliser_data!$E$7:$L$267,8,FALSE)*0.65),IF(F846="H",0.038,(0.038*0.65)))</f>
        <v>9.7776119402985077E-3</v>
      </c>
      <c r="L846">
        <f>IF($C846="IE",$K846*CF_231025!$E$16,$K846/VLOOKUP($C846,CF_231025!$A$2:$E$28,5,FALSE))</f>
        <v>3.4320145958918972E-3</v>
      </c>
    </row>
    <row r="847" spans="1:12" x14ac:dyDescent="0.25">
      <c r="A847" t="s">
        <v>136</v>
      </c>
      <c r="B847" t="s">
        <v>1004</v>
      </c>
      <c r="C847" t="str">
        <f t="shared" si="66"/>
        <v>PL</v>
      </c>
      <c r="D847" t="str">
        <f t="shared" si="67"/>
        <v>POT</v>
      </c>
      <c r="E847" t="str">
        <f t="shared" si="65"/>
        <v>PLPOT</v>
      </c>
      <c r="F847" t="str">
        <f t="shared" si="68"/>
        <v>H</v>
      </c>
      <c r="G847" t="s">
        <v>999</v>
      </c>
      <c r="H847">
        <v>1</v>
      </c>
      <c r="I847">
        <v>0.17</v>
      </c>
      <c r="J847" t="str">
        <f t="shared" si="69"/>
        <v>PLL000POTHR0PLLFER</v>
      </c>
      <c r="K847">
        <f>_xlfn.IFNA(IF(F847="H",VLOOKUP(E847,Fertiliser_data!$E$7:$L$267,8,FALSE),VLOOKUP(E847,Fertiliser_data!$E$7:$L$267,8,FALSE)*0.65),IF(F847="H",0.038,(0.038*0.65)))</f>
        <v>9.7776119402985077E-3</v>
      </c>
      <c r="L847">
        <f>IF($C847="IE",$K847*CF_231025!$E$16,$K847/VLOOKUP($C847,CF_231025!$A$2:$E$28,5,FALSE))</f>
        <v>3.4320145958918972E-3</v>
      </c>
    </row>
    <row r="848" spans="1:12" x14ac:dyDescent="0.25">
      <c r="A848" t="s">
        <v>136</v>
      </c>
      <c r="B848" t="s">
        <v>1005</v>
      </c>
      <c r="C848" t="str">
        <f t="shared" si="66"/>
        <v>PL</v>
      </c>
      <c r="D848" t="str">
        <f t="shared" si="67"/>
        <v>POT</v>
      </c>
      <c r="E848" t="str">
        <f t="shared" si="65"/>
        <v>PLPOT</v>
      </c>
      <c r="F848" t="str">
        <f t="shared" si="68"/>
        <v>L</v>
      </c>
      <c r="G848" t="s">
        <v>999</v>
      </c>
      <c r="H848">
        <v>1</v>
      </c>
      <c r="I848">
        <v>0.06</v>
      </c>
      <c r="J848" t="str">
        <f t="shared" si="69"/>
        <v>PLL000POTLI0PLLFER</v>
      </c>
      <c r="K848">
        <f>_xlfn.IFNA(IF(F848="H",VLOOKUP(E848,Fertiliser_data!$E$7:$L$267,8,FALSE),VLOOKUP(E848,Fertiliser_data!$E$7:$L$267,8,FALSE)*0.65),IF(F848="H",0.038,(0.038*0.65)))</f>
        <v>6.3554477611940299E-3</v>
      </c>
      <c r="L848">
        <f>IF($C848="IE",$K848*CF_231025!$E$16,$K848/VLOOKUP($C848,CF_231025!$A$2:$E$28,5,FALSE))</f>
        <v>2.2308094873297333E-3</v>
      </c>
    </row>
    <row r="849" spans="1:12" x14ac:dyDescent="0.25">
      <c r="A849" t="s">
        <v>136</v>
      </c>
      <c r="B849" t="s">
        <v>1006</v>
      </c>
      <c r="C849" t="str">
        <f t="shared" si="66"/>
        <v>PL</v>
      </c>
      <c r="D849" t="str">
        <f t="shared" si="67"/>
        <v>POT</v>
      </c>
      <c r="E849" t="str">
        <f t="shared" si="65"/>
        <v>PLPOT</v>
      </c>
      <c r="F849" t="str">
        <f t="shared" si="68"/>
        <v>L</v>
      </c>
      <c r="G849" t="s">
        <v>999</v>
      </c>
      <c r="H849">
        <v>1</v>
      </c>
      <c r="I849">
        <v>0.06</v>
      </c>
      <c r="J849" t="str">
        <f t="shared" si="69"/>
        <v>PLL000POTLR0PLLFER</v>
      </c>
      <c r="K849">
        <f>_xlfn.IFNA(IF(F849="H",VLOOKUP(E849,Fertiliser_data!$E$7:$L$267,8,FALSE),VLOOKUP(E849,Fertiliser_data!$E$7:$L$267,8,FALSE)*0.65),IF(F849="H",0.038,(0.038*0.65)))</f>
        <v>6.3554477611940299E-3</v>
      </c>
      <c r="L849">
        <f>IF($C849="IE",$K849*CF_231025!$E$16,$K849/VLOOKUP($C849,CF_231025!$A$2:$E$28,5,FALSE))</f>
        <v>2.2308094873297333E-3</v>
      </c>
    </row>
    <row r="850" spans="1:12" x14ac:dyDescent="0.25">
      <c r="A850" t="s">
        <v>136</v>
      </c>
      <c r="B850" t="s">
        <v>1007</v>
      </c>
      <c r="C850" t="str">
        <f t="shared" si="66"/>
        <v>PL</v>
      </c>
      <c r="D850" t="str">
        <f t="shared" si="67"/>
        <v>BRL</v>
      </c>
      <c r="E850" t="str">
        <f t="shared" si="65"/>
        <v>PLBRL</v>
      </c>
      <c r="F850" t="str">
        <f t="shared" si="68"/>
        <v>H</v>
      </c>
      <c r="G850" t="s">
        <v>999</v>
      </c>
      <c r="H850">
        <v>1</v>
      </c>
      <c r="I850">
        <v>0.15</v>
      </c>
      <c r="J850" t="str">
        <f t="shared" si="69"/>
        <v>PLL000BRLHI0PLLFER</v>
      </c>
      <c r="K850">
        <f>_xlfn.IFNA(IF(F850="H",VLOOKUP(E850,Fertiliser_data!$E$7:$L$267,8,FALSE),VLOOKUP(E850,Fertiliser_data!$E$7:$L$267,8,FALSE)*0.65),IF(F850="H",0.038,(0.038*0.65)))</f>
        <v>2.3219402985074626E-2</v>
      </c>
      <c r="L850">
        <f>IF($C850="IE",$K850*CF_231025!$E$16,$K850/VLOOKUP($C850,CF_231025!$A$2:$E$28,5,FALSE))</f>
        <v>8.1501833412135922E-3</v>
      </c>
    </row>
    <row r="851" spans="1:12" x14ac:dyDescent="0.25">
      <c r="A851" t="s">
        <v>136</v>
      </c>
      <c r="B851" t="s">
        <v>1008</v>
      </c>
      <c r="C851" t="str">
        <f t="shared" si="66"/>
        <v>PL</v>
      </c>
      <c r="D851" t="str">
        <f t="shared" si="67"/>
        <v>BRL</v>
      </c>
      <c r="E851" t="str">
        <f t="shared" si="65"/>
        <v>PLBRL</v>
      </c>
      <c r="F851" t="str">
        <f t="shared" si="68"/>
        <v>H</v>
      </c>
      <c r="G851" t="s">
        <v>999</v>
      </c>
      <c r="H851">
        <v>1</v>
      </c>
      <c r="I851">
        <v>0.15</v>
      </c>
      <c r="J851" t="str">
        <f t="shared" si="69"/>
        <v>PLL000BRLHR0PLLFER</v>
      </c>
      <c r="K851">
        <f>_xlfn.IFNA(IF(F851="H",VLOOKUP(E851,Fertiliser_data!$E$7:$L$267,8,FALSE),VLOOKUP(E851,Fertiliser_data!$E$7:$L$267,8,FALSE)*0.65),IF(F851="H",0.038,(0.038*0.65)))</f>
        <v>2.3219402985074626E-2</v>
      </c>
      <c r="L851">
        <f>IF($C851="IE",$K851*CF_231025!$E$16,$K851/VLOOKUP($C851,CF_231025!$A$2:$E$28,5,FALSE))</f>
        <v>8.1501833412135922E-3</v>
      </c>
    </row>
    <row r="852" spans="1:12" x14ac:dyDescent="0.25">
      <c r="A852" t="s">
        <v>136</v>
      </c>
      <c r="B852" t="s">
        <v>1009</v>
      </c>
      <c r="C852" t="str">
        <f t="shared" si="66"/>
        <v>PL</v>
      </c>
      <c r="D852" t="str">
        <f t="shared" si="67"/>
        <v>BRL</v>
      </c>
      <c r="E852" t="str">
        <f t="shared" si="65"/>
        <v>PLBRL</v>
      </c>
      <c r="F852" t="str">
        <f t="shared" si="68"/>
        <v>L</v>
      </c>
      <c r="G852" t="s">
        <v>999</v>
      </c>
      <c r="H852">
        <v>1</v>
      </c>
      <c r="I852">
        <v>0.06</v>
      </c>
      <c r="J852" t="str">
        <f t="shared" si="69"/>
        <v>PLL000BRLLI0PLLFER</v>
      </c>
      <c r="K852">
        <f>_xlfn.IFNA(IF(F852="H",VLOOKUP(E852,Fertiliser_data!$E$7:$L$267,8,FALSE),VLOOKUP(E852,Fertiliser_data!$E$7:$L$267,8,FALSE)*0.65),IF(F852="H",0.038,(0.038*0.65)))</f>
        <v>1.5092611940298508E-2</v>
      </c>
      <c r="L852">
        <f>IF($C852="IE",$K852*CF_231025!$E$16,$K852/VLOOKUP($C852,CF_231025!$A$2:$E$28,5,FALSE))</f>
        <v>5.2976191717888348E-3</v>
      </c>
    </row>
    <row r="853" spans="1:12" x14ac:dyDescent="0.25">
      <c r="A853" t="s">
        <v>136</v>
      </c>
      <c r="B853" t="s">
        <v>1010</v>
      </c>
      <c r="C853" t="str">
        <f t="shared" si="66"/>
        <v>PL</v>
      </c>
      <c r="D853" t="str">
        <f t="shared" si="67"/>
        <v>BRL</v>
      </c>
      <c r="E853" t="str">
        <f t="shared" si="65"/>
        <v>PLBRL</v>
      </c>
      <c r="F853" t="str">
        <f t="shared" si="68"/>
        <v>L</v>
      </c>
      <c r="G853" t="s">
        <v>999</v>
      </c>
      <c r="H853">
        <v>1</v>
      </c>
      <c r="I853">
        <v>0.06</v>
      </c>
      <c r="J853" t="str">
        <f t="shared" si="69"/>
        <v>PLL000BRLLR0PLLFER</v>
      </c>
      <c r="K853">
        <f>_xlfn.IFNA(IF(F853="H",VLOOKUP(E853,Fertiliser_data!$E$7:$L$267,8,FALSE),VLOOKUP(E853,Fertiliser_data!$E$7:$L$267,8,FALSE)*0.65),IF(F853="H",0.038,(0.038*0.65)))</f>
        <v>1.5092611940298508E-2</v>
      </c>
      <c r="L853">
        <f>IF($C853="IE",$K853*CF_231025!$E$16,$K853/VLOOKUP($C853,CF_231025!$A$2:$E$28,5,FALSE))</f>
        <v>5.2976191717888348E-3</v>
      </c>
    </row>
    <row r="854" spans="1:12" x14ac:dyDescent="0.25">
      <c r="A854" t="s">
        <v>136</v>
      </c>
      <c r="B854" t="s">
        <v>1011</v>
      </c>
      <c r="C854" t="str">
        <f t="shared" si="66"/>
        <v>PL</v>
      </c>
      <c r="D854" t="str">
        <f t="shared" si="67"/>
        <v>SUG</v>
      </c>
      <c r="E854" t="str">
        <f t="shared" si="65"/>
        <v>PLSUG</v>
      </c>
      <c r="F854" t="str">
        <f t="shared" si="68"/>
        <v>H</v>
      </c>
      <c r="G854" t="s">
        <v>999</v>
      </c>
      <c r="H854">
        <v>1</v>
      </c>
      <c r="I854">
        <v>0.17</v>
      </c>
      <c r="J854" t="str">
        <f t="shared" si="69"/>
        <v>PLL000SUGHI0PLLFER</v>
      </c>
      <c r="K854">
        <f>_xlfn.IFNA(IF(F854="H",VLOOKUP(E854,Fertiliser_data!$E$7:$L$267,8,FALSE),VLOOKUP(E854,Fertiliser_data!$E$7:$L$267,8,FALSE)*0.65),IF(F854="H",0.038,(0.038*0.65)))</f>
        <v>6.9277611940298509E-2</v>
      </c>
      <c r="L854">
        <f>IF($C854="IE",$K854*CF_231025!$E$16,$K854/VLOOKUP($C854,CF_231025!$A$2:$E$28,5,FALSE))</f>
        <v>2.431695763744746E-2</v>
      </c>
    </row>
    <row r="855" spans="1:12" x14ac:dyDescent="0.25">
      <c r="A855" t="s">
        <v>136</v>
      </c>
      <c r="B855" t="s">
        <v>1012</v>
      </c>
      <c r="C855" t="str">
        <f t="shared" si="66"/>
        <v>PL</v>
      </c>
      <c r="D855" t="str">
        <f t="shared" si="67"/>
        <v>SUG</v>
      </c>
      <c r="E855" t="str">
        <f t="shared" si="65"/>
        <v>PLSUG</v>
      </c>
      <c r="F855" t="str">
        <f t="shared" si="68"/>
        <v>H</v>
      </c>
      <c r="G855" t="s">
        <v>999</v>
      </c>
      <c r="H855">
        <v>1</v>
      </c>
      <c r="I855">
        <v>0.17</v>
      </c>
      <c r="J855" t="str">
        <f t="shared" si="69"/>
        <v>PLL000SUGHR0PLLFER</v>
      </c>
      <c r="K855">
        <f>_xlfn.IFNA(IF(F855="H",VLOOKUP(E855,Fertiliser_data!$E$7:$L$267,8,FALSE),VLOOKUP(E855,Fertiliser_data!$E$7:$L$267,8,FALSE)*0.65),IF(F855="H",0.038,(0.038*0.65)))</f>
        <v>6.9277611940298509E-2</v>
      </c>
      <c r="L855">
        <f>IF($C855="IE",$K855*CF_231025!$E$16,$K855/VLOOKUP($C855,CF_231025!$A$2:$E$28,5,FALSE))</f>
        <v>2.431695763744746E-2</v>
      </c>
    </row>
    <row r="856" spans="1:12" x14ac:dyDescent="0.25">
      <c r="A856" t="s">
        <v>136</v>
      </c>
      <c r="B856" t="s">
        <v>1013</v>
      </c>
      <c r="C856" t="str">
        <f t="shared" si="66"/>
        <v>PL</v>
      </c>
      <c r="D856" t="str">
        <f t="shared" si="67"/>
        <v>SUG</v>
      </c>
      <c r="E856" t="str">
        <f t="shared" si="65"/>
        <v>PLSUG</v>
      </c>
      <c r="F856" t="str">
        <f t="shared" si="68"/>
        <v>L</v>
      </c>
      <c r="G856" t="s">
        <v>999</v>
      </c>
      <c r="H856">
        <v>1</v>
      </c>
      <c r="I856">
        <v>0.06</v>
      </c>
      <c r="J856" t="str">
        <f t="shared" si="69"/>
        <v>PLL000SUGLI0PLLFER</v>
      </c>
      <c r="K856">
        <f>_xlfn.IFNA(IF(F856="H",VLOOKUP(E856,Fertiliser_data!$E$7:$L$267,8,FALSE),VLOOKUP(E856,Fertiliser_data!$E$7:$L$267,8,FALSE)*0.65),IF(F856="H",0.038,(0.038*0.65)))</f>
        <v>4.5030447761194033E-2</v>
      </c>
      <c r="L856">
        <f>IF($C856="IE",$K856*CF_231025!$E$16,$K856/VLOOKUP($C856,CF_231025!$A$2:$E$28,5,FALSE))</f>
        <v>1.580602246434085E-2</v>
      </c>
    </row>
    <row r="857" spans="1:12" x14ac:dyDescent="0.25">
      <c r="A857" t="s">
        <v>136</v>
      </c>
      <c r="B857" t="s">
        <v>1014</v>
      </c>
      <c r="C857" t="str">
        <f t="shared" si="66"/>
        <v>PL</v>
      </c>
      <c r="D857" t="str">
        <f t="shared" si="67"/>
        <v>SUG</v>
      </c>
      <c r="E857" t="str">
        <f t="shared" si="65"/>
        <v>PLSUG</v>
      </c>
      <c r="F857" t="str">
        <f t="shared" si="68"/>
        <v>L</v>
      </c>
      <c r="G857" t="s">
        <v>999</v>
      </c>
      <c r="H857">
        <v>1</v>
      </c>
      <c r="I857">
        <v>0.06</v>
      </c>
      <c r="J857" t="str">
        <f t="shared" si="69"/>
        <v>PLL000SUGLR0PLLFER</v>
      </c>
      <c r="K857">
        <f>_xlfn.IFNA(IF(F857="H",VLOOKUP(E857,Fertiliser_data!$E$7:$L$267,8,FALSE),VLOOKUP(E857,Fertiliser_data!$E$7:$L$267,8,FALSE)*0.65),IF(F857="H",0.038,(0.038*0.65)))</f>
        <v>4.5030447761194033E-2</v>
      </c>
      <c r="L857">
        <f>IF($C857="IE",$K857*CF_231025!$E$16,$K857/VLOOKUP($C857,CF_231025!$A$2:$E$28,5,FALSE))</f>
        <v>1.580602246434085E-2</v>
      </c>
    </row>
    <row r="858" spans="1:12" x14ac:dyDescent="0.25">
      <c r="A858" t="s">
        <v>136</v>
      </c>
      <c r="B858" t="s">
        <v>1015</v>
      </c>
      <c r="C858" t="str">
        <f t="shared" si="66"/>
        <v>PL</v>
      </c>
      <c r="D858" t="str">
        <f t="shared" si="67"/>
        <v>OTH</v>
      </c>
      <c r="E858" t="str">
        <f t="shared" si="65"/>
        <v>PLOTH</v>
      </c>
      <c r="F858" t="str">
        <f t="shared" si="68"/>
        <v>H</v>
      </c>
      <c r="G858" t="s">
        <v>999</v>
      </c>
      <c r="H858">
        <v>1</v>
      </c>
      <c r="I858">
        <v>0.17</v>
      </c>
      <c r="J858" t="str">
        <f t="shared" si="69"/>
        <v>PLL000OTHHI0PLLFER</v>
      </c>
      <c r="K858">
        <f>_xlfn.IFNA(IF(F858="H",VLOOKUP(E858,Fertiliser_data!$E$7:$L$267,8,FALSE),VLOOKUP(E858,Fertiliser_data!$E$7:$L$267,8,FALSE)*0.65),IF(F858="H",0.038,(0.038*0.65)))</f>
        <v>3.7999999999999999E-2</v>
      </c>
      <c r="L858">
        <f>IF($C858="IE",$K858*CF_231025!$E$16,$K858/VLOOKUP($C858,CF_231025!$A$2:$E$28,5,FALSE))</f>
        <v>1.3338282950909433E-2</v>
      </c>
    </row>
    <row r="859" spans="1:12" x14ac:dyDescent="0.25">
      <c r="A859" t="s">
        <v>136</v>
      </c>
      <c r="B859" t="s">
        <v>1016</v>
      </c>
      <c r="C859" t="str">
        <f t="shared" si="66"/>
        <v>PL</v>
      </c>
      <c r="D859" t="str">
        <f t="shared" si="67"/>
        <v>OTH</v>
      </c>
      <c r="E859" t="str">
        <f t="shared" si="65"/>
        <v>PLOTH</v>
      </c>
      <c r="F859" t="str">
        <f t="shared" si="68"/>
        <v>H</v>
      </c>
      <c r="G859" t="s">
        <v>999</v>
      </c>
      <c r="H859">
        <v>1</v>
      </c>
      <c r="I859">
        <v>0.17</v>
      </c>
      <c r="J859" t="str">
        <f t="shared" si="69"/>
        <v>PLL000OTHHR0PLLFER</v>
      </c>
      <c r="K859">
        <f>_xlfn.IFNA(IF(F859="H",VLOOKUP(E859,Fertiliser_data!$E$7:$L$267,8,FALSE),VLOOKUP(E859,Fertiliser_data!$E$7:$L$267,8,FALSE)*0.65),IF(F859="H",0.038,(0.038*0.65)))</f>
        <v>3.7999999999999999E-2</v>
      </c>
      <c r="L859">
        <f>IF($C859="IE",$K859*CF_231025!$E$16,$K859/VLOOKUP($C859,CF_231025!$A$2:$E$28,5,FALSE))</f>
        <v>1.3338282950909433E-2</v>
      </c>
    </row>
    <row r="860" spans="1:12" x14ac:dyDescent="0.25">
      <c r="A860" t="s">
        <v>136</v>
      </c>
      <c r="B860" t="s">
        <v>1017</v>
      </c>
      <c r="C860" t="str">
        <f t="shared" si="66"/>
        <v>PL</v>
      </c>
      <c r="D860" t="str">
        <f t="shared" si="67"/>
        <v>OTH</v>
      </c>
      <c r="E860" t="str">
        <f t="shared" si="65"/>
        <v>PLOTH</v>
      </c>
      <c r="F860" t="str">
        <f t="shared" si="68"/>
        <v>L</v>
      </c>
      <c r="G860" t="s">
        <v>999</v>
      </c>
      <c r="H860">
        <v>1</v>
      </c>
      <c r="I860">
        <v>0.06</v>
      </c>
      <c r="J860" t="str">
        <f t="shared" si="69"/>
        <v>PLL000OTHLI0PLLFER</v>
      </c>
      <c r="K860">
        <f>_xlfn.IFNA(IF(F860="H",VLOOKUP(E860,Fertiliser_data!$E$7:$L$267,8,FALSE),VLOOKUP(E860,Fertiliser_data!$E$7:$L$267,8,FALSE)*0.65),IF(F860="H",0.038,(0.038*0.65)))</f>
        <v>2.47E-2</v>
      </c>
      <c r="L860">
        <f>IF($C860="IE",$K860*CF_231025!$E$16,$K860/VLOOKUP($C860,CF_231025!$A$2:$E$28,5,FALSE))</f>
        <v>8.6698839180911324E-3</v>
      </c>
    </row>
    <row r="861" spans="1:12" x14ac:dyDescent="0.25">
      <c r="A861" t="s">
        <v>136</v>
      </c>
      <c r="B861" t="s">
        <v>1018</v>
      </c>
      <c r="C861" t="str">
        <f t="shared" si="66"/>
        <v>PL</v>
      </c>
      <c r="D861" t="str">
        <f t="shared" si="67"/>
        <v>OTH</v>
      </c>
      <c r="E861" t="str">
        <f t="shared" si="65"/>
        <v>PLOTH</v>
      </c>
      <c r="F861" t="str">
        <f t="shared" si="68"/>
        <v>L</v>
      </c>
      <c r="G861" t="s">
        <v>999</v>
      </c>
      <c r="H861">
        <v>1</v>
      </c>
      <c r="I861">
        <v>0.06</v>
      </c>
      <c r="J861" t="str">
        <f t="shared" si="69"/>
        <v>PLL000OTHLR0PLLFER</v>
      </c>
      <c r="K861">
        <f>_xlfn.IFNA(IF(F861="H",VLOOKUP(E861,Fertiliser_data!$E$7:$L$267,8,FALSE),VLOOKUP(E861,Fertiliser_data!$E$7:$L$267,8,FALSE)*0.65),IF(F861="H",0.038,(0.038*0.65)))</f>
        <v>2.47E-2</v>
      </c>
      <c r="L861">
        <f>IF($C861="IE",$K861*CF_231025!$E$16,$K861/VLOOKUP($C861,CF_231025!$A$2:$E$28,5,FALSE))</f>
        <v>8.6698839180911324E-3</v>
      </c>
    </row>
    <row r="862" spans="1:12" x14ac:dyDescent="0.25">
      <c r="A862" t="s">
        <v>136</v>
      </c>
      <c r="B862" t="s">
        <v>1019</v>
      </c>
      <c r="C862" t="str">
        <f t="shared" si="66"/>
        <v>PL</v>
      </c>
      <c r="D862" t="str">
        <f t="shared" si="67"/>
        <v>OAT</v>
      </c>
      <c r="E862" t="str">
        <f t="shared" si="65"/>
        <v>PLOAT</v>
      </c>
      <c r="F862" t="str">
        <f t="shared" si="68"/>
        <v>H</v>
      </c>
      <c r="G862" t="s">
        <v>999</v>
      </c>
      <c r="H862">
        <v>1</v>
      </c>
      <c r="I862">
        <v>0.11</v>
      </c>
      <c r="J862" t="str">
        <f t="shared" si="69"/>
        <v>PLL000OATHI0PLLFER</v>
      </c>
      <c r="K862">
        <f>_xlfn.IFNA(IF(F862="H",VLOOKUP(E862,Fertiliser_data!$E$7:$L$267,8,FALSE),VLOOKUP(E862,Fertiliser_data!$E$7:$L$267,8,FALSE)*0.65),IF(F862="H",0.038,(0.038*0.65)))</f>
        <v>2.3019402985074627E-2</v>
      </c>
      <c r="L862">
        <f>IF($C862="IE",$K862*CF_231025!$E$16,$K862/VLOOKUP($C862,CF_231025!$A$2:$E$28,5,FALSE))</f>
        <v>8.0799818519982792E-3</v>
      </c>
    </row>
    <row r="863" spans="1:12" x14ac:dyDescent="0.25">
      <c r="A863" t="s">
        <v>136</v>
      </c>
      <c r="B863" t="s">
        <v>1020</v>
      </c>
      <c r="C863" t="str">
        <f t="shared" si="66"/>
        <v>PL</v>
      </c>
      <c r="D863" t="str">
        <f t="shared" si="67"/>
        <v>OAT</v>
      </c>
      <c r="E863" t="str">
        <f t="shared" si="65"/>
        <v>PLOAT</v>
      </c>
      <c r="F863" t="str">
        <f t="shared" si="68"/>
        <v>H</v>
      </c>
      <c r="G863" t="s">
        <v>999</v>
      </c>
      <c r="H863">
        <v>1</v>
      </c>
      <c r="I863">
        <v>0.11</v>
      </c>
      <c r="J863" t="str">
        <f t="shared" si="69"/>
        <v>PLL000OATHR0PLLFER</v>
      </c>
      <c r="K863">
        <f>_xlfn.IFNA(IF(F863="H",VLOOKUP(E863,Fertiliser_data!$E$7:$L$267,8,FALSE),VLOOKUP(E863,Fertiliser_data!$E$7:$L$267,8,FALSE)*0.65),IF(F863="H",0.038,(0.038*0.65)))</f>
        <v>2.3019402985074627E-2</v>
      </c>
      <c r="L863">
        <f>IF($C863="IE",$K863*CF_231025!$E$16,$K863/VLOOKUP($C863,CF_231025!$A$2:$E$28,5,FALSE))</f>
        <v>8.0799818519982792E-3</v>
      </c>
    </row>
    <row r="864" spans="1:12" x14ac:dyDescent="0.25">
      <c r="A864" t="s">
        <v>136</v>
      </c>
      <c r="B864" t="s">
        <v>1021</v>
      </c>
      <c r="C864" t="str">
        <f t="shared" si="66"/>
        <v>PL</v>
      </c>
      <c r="D864" t="str">
        <f t="shared" si="67"/>
        <v>OAT</v>
      </c>
      <c r="E864" t="str">
        <f t="shared" si="65"/>
        <v>PLOAT</v>
      </c>
      <c r="F864" t="str">
        <f t="shared" si="68"/>
        <v>L</v>
      </c>
      <c r="G864" t="s">
        <v>999</v>
      </c>
      <c r="H864">
        <v>1</v>
      </c>
      <c r="I864">
        <v>0.04</v>
      </c>
      <c r="J864" t="str">
        <f t="shared" si="69"/>
        <v>PLL000OATLI0PLLFER</v>
      </c>
      <c r="K864">
        <f>_xlfn.IFNA(IF(F864="H",VLOOKUP(E864,Fertiliser_data!$E$7:$L$267,8,FALSE),VLOOKUP(E864,Fertiliser_data!$E$7:$L$267,8,FALSE)*0.65),IF(F864="H",0.038,(0.038*0.65)))</f>
        <v>1.4962611940298508E-2</v>
      </c>
      <c r="L864">
        <f>IF($C864="IE",$K864*CF_231025!$E$16,$K864/VLOOKUP($C864,CF_231025!$A$2:$E$28,5,FALSE))</f>
        <v>5.2519882037988823E-3</v>
      </c>
    </row>
    <row r="865" spans="1:12" x14ac:dyDescent="0.25">
      <c r="A865" t="s">
        <v>136</v>
      </c>
      <c r="B865" t="s">
        <v>1022</v>
      </c>
      <c r="C865" t="str">
        <f t="shared" si="66"/>
        <v>PL</v>
      </c>
      <c r="D865" t="str">
        <f t="shared" si="67"/>
        <v>OAT</v>
      </c>
      <c r="E865" t="str">
        <f t="shared" si="65"/>
        <v>PLOAT</v>
      </c>
      <c r="F865" t="str">
        <f t="shared" si="68"/>
        <v>L</v>
      </c>
      <c r="G865" t="s">
        <v>999</v>
      </c>
      <c r="H865">
        <v>1</v>
      </c>
      <c r="I865">
        <v>0.04</v>
      </c>
      <c r="J865" t="str">
        <f t="shared" si="69"/>
        <v>PLL000OATLR0PLLFER</v>
      </c>
      <c r="K865">
        <f>_xlfn.IFNA(IF(F865="H",VLOOKUP(E865,Fertiliser_data!$E$7:$L$267,8,FALSE),VLOOKUP(E865,Fertiliser_data!$E$7:$L$267,8,FALSE)*0.65),IF(F865="H",0.038,(0.038*0.65)))</f>
        <v>1.4962611940298508E-2</v>
      </c>
      <c r="L865">
        <f>IF($C865="IE",$K865*CF_231025!$E$16,$K865/VLOOKUP($C865,CF_231025!$A$2:$E$28,5,FALSE))</f>
        <v>5.2519882037988823E-3</v>
      </c>
    </row>
    <row r="866" spans="1:12" x14ac:dyDescent="0.25">
      <c r="A866" t="s">
        <v>136</v>
      </c>
      <c r="B866" t="s">
        <v>1023</v>
      </c>
      <c r="C866" t="str">
        <f t="shared" si="66"/>
        <v>PL</v>
      </c>
      <c r="D866" t="str">
        <f t="shared" si="67"/>
        <v>RAP</v>
      </c>
      <c r="E866" t="str">
        <f t="shared" si="65"/>
        <v>PLRAP</v>
      </c>
      <c r="F866" t="str">
        <f t="shared" si="68"/>
        <v>H</v>
      </c>
      <c r="G866" t="s">
        <v>999</v>
      </c>
      <c r="H866">
        <v>1</v>
      </c>
      <c r="I866">
        <v>0.26</v>
      </c>
      <c r="J866" t="str">
        <f t="shared" si="69"/>
        <v>PLL000RAPHI0PLLFER</v>
      </c>
      <c r="K866">
        <f>_xlfn.IFNA(IF(F866="H",VLOOKUP(E866,Fertiliser_data!$E$7:$L$267,8,FALSE),VLOOKUP(E866,Fertiliser_data!$E$7:$L$267,8,FALSE)*0.65),IF(F866="H",0.038,(0.038*0.65)))</f>
        <v>5.9010447761194032E-2</v>
      </c>
      <c r="L866">
        <f>IF($C866="IE",$K866*CF_231025!$E$16,$K866/VLOOKUP($C866,CF_231025!$A$2:$E$28,5,FALSE))</f>
        <v>2.0713106560491214E-2</v>
      </c>
    </row>
    <row r="867" spans="1:12" x14ac:dyDescent="0.25">
      <c r="A867" t="s">
        <v>136</v>
      </c>
      <c r="B867" t="s">
        <v>1024</v>
      </c>
      <c r="C867" t="str">
        <f t="shared" si="66"/>
        <v>PL</v>
      </c>
      <c r="D867" t="str">
        <f t="shared" si="67"/>
        <v>RAP</v>
      </c>
      <c r="E867" t="str">
        <f t="shared" si="65"/>
        <v>PLRAP</v>
      </c>
      <c r="F867" t="str">
        <f t="shared" si="68"/>
        <v>H</v>
      </c>
      <c r="G867" t="s">
        <v>999</v>
      </c>
      <c r="H867">
        <v>1</v>
      </c>
      <c r="I867">
        <v>0.26</v>
      </c>
      <c r="J867" t="str">
        <f t="shared" si="69"/>
        <v>PLL000RAPHR0PLLFER</v>
      </c>
      <c r="K867">
        <f>_xlfn.IFNA(IF(F867="H",VLOOKUP(E867,Fertiliser_data!$E$7:$L$267,8,FALSE),VLOOKUP(E867,Fertiliser_data!$E$7:$L$267,8,FALSE)*0.65),IF(F867="H",0.038,(0.038*0.65)))</f>
        <v>5.9010447761194032E-2</v>
      </c>
      <c r="L867">
        <f>IF($C867="IE",$K867*CF_231025!$E$16,$K867/VLOOKUP($C867,CF_231025!$A$2:$E$28,5,FALSE))</f>
        <v>2.0713106560491214E-2</v>
      </c>
    </row>
    <row r="868" spans="1:12" x14ac:dyDescent="0.25">
      <c r="A868" t="s">
        <v>136</v>
      </c>
      <c r="B868" t="s">
        <v>1025</v>
      </c>
      <c r="C868" t="str">
        <f t="shared" si="66"/>
        <v>PL</v>
      </c>
      <c r="D868" t="str">
        <f t="shared" si="67"/>
        <v>RAP</v>
      </c>
      <c r="E868" t="str">
        <f t="shared" si="65"/>
        <v>PLRAP</v>
      </c>
      <c r="F868" t="str">
        <f t="shared" si="68"/>
        <v>L</v>
      </c>
      <c r="G868" t="s">
        <v>999</v>
      </c>
      <c r="H868">
        <v>1</v>
      </c>
      <c r="I868">
        <v>0.1</v>
      </c>
      <c r="J868" t="str">
        <f t="shared" si="69"/>
        <v>PLL000RAPLI0PLLFER</v>
      </c>
      <c r="K868">
        <f>_xlfn.IFNA(IF(F868="H",VLOOKUP(E868,Fertiliser_data!$E$7:$L$267,8,FALSE),VLOOKUP(E868,Fertiliser_data!$E$7:$L$267,8,FALSE)*0.65),IF(F868="H",0.038,(0.038*0.65)))</f>
        <v>3.8356791044776122E-2</v>
      </c>
      <c r="L868">
        <f>IF($C868="IE",$K868*CF_231025!$E$16,$K868/VLOOKUP($C868,CF_231025!$A$2:$E$28,5,FALSE))</f>
        <v>1.3463519264319289E-2</v>
      </c>
    </row>
    <row r="869" spans="1:12" x14ac:dyDescent="0.25">
      <c r="A869" t="s">
        <v>136</v>
      </c>
      <c r="B869" t="s">
        <v>1026</v>
      </c>
      <c r="C869" t="str">
        <f t="shared" si="66"/>
        <v>PL</v>
      </c>
      <c r="D869" t="str">
        <f t="shared" si="67"/>
        <v>RAP</v>
      </c>
      <c r="E869" t="str">
        <f t="shared" si="65"/>
        <v>PLRAP</v>
      </c>
      <c r="F869" t="str">
        <f t="shared" si="68"/>
        <v>L</v>
      </c>
      <c r="G869" t="s">
        <v>999</v>
      </c>
      <c r="H869">
        <v>1</v>
      </c>
      <c r="I869">
        <v>0.1</v>
      </c>
      <c r="J869" t="str">
        <f t="shared" si="69"/>
        <v>PLL000RAPLR0PLLFER</v>
      </c>
      <c r="K869">
        <f>_xlfn.IFNA(IF(F869="H",VLOOKUP(E869,Fertiliser_data!$E$7:$L$267,8,FALSE),VLOOKUP(E869,Fertiliser_data!$E$7:$L$267,8,FALSE)*0.65),IF(F869="H",0.038,(0.038*0.65)))</f>
        <v>3.8356791044776122E-2</v>
      </c>
      <c r="L869">
        <f>IF($C869="IE",$K869*CF_231025!$E$16,$K869/VLOOKUP($C869,CF_231025!$A$2:$E$28,5,FALSE))</f>
        <v>1.3463519264319289E-2</v>
      </c>
    </row>
    <row r="870" spans="1:12" x14ac:dyDescent="0.25">
      <c r="A870" t="s">
        <v>136</v>
      </c>
      <c r="B870" t="s">
        <v>1027</v>
      </c>
      <c r="C870" t="str">
        <f t="shared" si="66"/>
        <v>PL</v>
      </c>
      <c r="D870" t="str">
        <f t="shared" si="67"/>
        <v>MAI</v>
      </c>
      <c r="E870" t="str">
        <f t="shared" si="65"/>
        <v>PLMAI</v>
      </c>
      <c r="F870" t="str">
        <f t="shared" si="68"/>
        <v>H</v>
      </c>
      <c r="G870" t="s">
        <v>999</v>
      </c>
      <c r="H870">
        <v>1</v>
      </c>
      <c r="I870">
        <v>0.16</v>
      </c>
      <c r="J870" t="str">
        <f t="shared" si="69"/>
        <v>PLL000MAIHI0PLLFER</v>
      </c>
      <c r="K870">
        <f>_xlfn.IFNA(IF(F870="H",VLOOKUP(E870,Fertiliser_data!$E$7:$L$267,8,FALSE),VLOOKUP(E870,Fertiliser_data!$E$7:$L$267,8,FALSE)*0.65),IF(F870="H",0.038,(0.038*0.65)))</f>
        <v>6.5108955223880591E-2</v>
      </c>
      <c r="L870">
        <f>IF($C870="IE",$K870*CF_231025!$E$16,$K870/VLOOKUP($C870,CF_231025!$A$2:$E$28,5,FALSE))</f>
        <v>2.2853728089847689E-2</v>
      </c>
    </row>
    <row r="871" spans="1:12" x14ac:dyDescent="0.25">
      <c r="A871" t="s">
        <v>136</v>
      </c>
      <c r="B871" t="s">
        <v>1028</v>
      </c>
      <c r="C871" t="str">
        <f t="shared" si="66"/>
        <v>PL</v>
      </c>
      <c r="D871" t="str">
        <f t="shared" si="67"/>
        <v>MAI</v>
      </c>
      <c r="E871" t="str">
        <f t="shared" si="65"/>
        <v>PLMAI</v>
      </c>
      <c r="F871" t="str">
        <f t="shared" si="68"/>
        <v>H</v>
      </c>
      <c r="G871" t="s">
        <v>999</v>
      </c>
      <c r="H871">
        <v>1</v>
      </c>
      <c r="I871">
        <v>0.16</v>
      </c>
      <c r="J871" t="str">
        <f t="shared" si="69"/>
        <v>PLL000MAIHR0PLLFER</v>
      </c>
      <c r="K871">
        <f>_xlfn.IFNA(IF(F871="H",VLOOKUP(E871,Fertiliser_data!$E$7:$L$267,8,FALSE),VLOOKUP(E871,Fertiliser_data!$E$7:$L$267,8,FALSE)*0.65),IF(F871="H",0.038,(0.038*0.65)))</f>
        <v>6.5108955223880591E-2</v>
      </c>
      <c r="L871">
        <f>IF($C871="IE",$K871*CF_231025!$E$16,$K871/VLOOKUP($C871,CF_231025!$A$2:$E$28,5,FALSE))</f>
        <v>2.2853728089847689E-2</v>
      </c>
    </row>
    <row r="872" spans="1:12" x14ac:dyDescent="0.25">
      <c r="A872" t="s">
        <v>136</v>
      </c>
      <c r="B872" t="s">
        <v>1029</v>
      </c>
      <c r="C872" t="str">
        <f t="shared" si="66"/>
        <v>PL</v>
      </c>
      <c r="D872" t="str">
        <f t="shared" si="67"/>
        <v>MAI</v>
      </c>
      <c r="E872" t="str">
        <f t="shared" si="65"/>
        <v>PLMAI</v>
      </c>
      <c r="F872" t="str">
        <f t="shared" si="68"/>
        <v>L</v>
      </c>
      <c r="G872" t="s">
        <v>999</v>
      </c>
      <c r="H872">
        <v>1</v>
      </c>
      <c r="I872">
        <v>0.06</v>
      </c>
      <c r="J872" t="str">
        <f t="shared" si="69"/>
        <v>PLL000MAILI0PLLFER</v>
      </c>
      <c r="K872">
        <f>_xlfn.IFNA(IF(F872="H",VLOOKUP(E872,Fertiliser_data!$E$7:$L$267,8,FALSE),VLOOKUP(E872,Fertiliser_data!$E$7:$L$267,8,FALSE)*0.65),IF(F872="H",0.038,(0.038*0.65)))</f>
        <v>4.2320820895522387E-2</v>
      </c>
      <c r="L872">
        <f>IF($C872="IE",$K872*CF_231025!$E$16,$K872/VLOOKUP($C872,CF_231025!$A$2:$E$28,5,FALSE))</f>
        <v>1.4854923258400999E-2</v>
      </c>
    </row>
    <row r="873" spans="1:12" x14ac:dyDescent="0.25">
      <c r="A873" t="s">
        <v>136</v>
      </c>
      <c r="B873" t="s">
        <v>1030</v>
      </c>
      <c r="C873" t="str">
        <f t="shared" si="66"/>
        <v>PL</v>
      </c>
      <c r="D873" t="str">
        <f t="shared" si="67"/>
        <v>MAI</v>
      </c>
      <c r="E873" t="str">
        <f t="shared" si="65"/>
        <v>PLMAI</v>
      </c>
      <c r="F873" t="str">
        <f t="shared" si="68"/>
        <v>L</v>
      </c>
      <c r="G873" t="s">
        <v>999</v>
      </c>
      <c r="H873">
        <v>1</v>
      </c>
      <c r="I873">
        <v>0.06</v>
      </c>
      <c r="J873" t="str">
        <f t="shared" si="69"/>
        <v>PLL000MAILR0PLLFER</v>
      </c>
      <c r="K873">
        <f>_xlfn.IFNA(IF(F873="H",VLOOKUP(E873,Fertiliser_data!$E$7:$L$267,8,FALSE),VLOOKUP(E873,Fertiliser_data!$E$7:$L$267,8,FALSE)*0.65),IF(F873="H",0.038,(0.038*0.65)))</f>
        <v>4.2320820895522387E-2</v>
      </c>
      <c r="L873">
        <f>IF($C873="IE",$K873*CF_231025!$E$16,$K873/VLOOKUP($C873,CF_231025!$A$2:$E$28,5,FALSE))</f>
        <v>1.4854923258400999E-2</v>
      </c>
    </row>
    <row r="874" spans="1:12" x14ac:dyDescent="0.25">
      <c r="A874" t="s">
        <v>136</v>
      </c>
      <c r="B874" t="s">
        <v>1031</v>
      </c>
      <c r="C874" t="str">
        <f t="shared" si="66"/>
        <v>PL</v>
      </c>
      <c r="D874" t="str">
        <f t="shared" si="67"/>
        <v>MIX</v>
      </c>
      <c r="E874" t="str">
        <f t="shared" si="65"/>
        <v>PLMIX</v>
      </c>
      <c r="F874" t="str">
        <f t="shared" si="68"/>
        <v>H</v>
      </c>
      <c r="G874" t="s">
        <v>999</v>
      </c>
      <c r="H874">
        <v>1</v>
      </c>
      <c r="I874">
        <v>0.17</v>
      </c>
      <c r="J874" t="str">
        <f t="shared" si="69"/>
        <v>PLL000MIXHI0PLLFER</v>
      </c>
      <c r="K874">
        <f>_xlfn.IFNA(IF(F874="H",VLOOKUP(E874,Fertiliser_data!$E$7:$L$267,8,FALSE),VLOOKUP(E874,Fertiliser_data!$E$7:$L$267,8,FALSE)*0.65),IF(F874="H",0.038,(0.038*0.65)))</f>
        <v>2.3620895522388059E-2</v>
      </c>
      <c r="L874">
        <f>IF($C874="IE",$K874*CF_231025!$E$16,$K874/VLOOKUP($C874,CF_231025!$A$2:$E$28,5,FALSE))</f>
        <v>8.29111021135478E-3</v>
      </c>
    </row>
    <row r="875" spans="1:12" x14ac:dyDescent="0.25">
      <c r="A875" t="s">
        <v>136</v>
      </c>
      <c r="B875" t="s">
        <v>1032</v>
      </c>
      <c r="C875" t="str">
        <f t="shared" si="66"/>
        <v>PL</v>
      </c>
      <c r="D875" t="str">
        <f t="shared" si="67"/>
        <v>MIX</v>
      </c>
      <c r="E875" t="str">
        <f t="shared" si="65"/>
        <v>PLMIX</v>
      </c>
      <c r="F875" t="str">
        <f t="shared" si="68"/>
        <v>H</v>
      </c>
      <c r="G875" t="s">
        <v>999</v>
      </c>
      <c r="H875">
        <v>1</v>
      </c>
      <c r="I875">
        <v>0.17</v>
      </c>
      <c r="J875" t="str">
        <f t="shared" si="69"/>
        <v>PLL000MIXHR0PLLFER</v>
      </c>
      <c r="K875">
        <f>_xlfn.IFNA(IF(F875="H",VLOOKUP(E875,Fertiliser_data!$E$7:$L$267,8,FALSE),VLOOKUP(E875,Fertiliser_data!$E$7:$L$267,8,FALSE)*0.65),IF(F875="H",0.038,(0.038*0.65)))</f>
        <v>2.3620895522388059E-2</v>
      </c>
      <c r="L875">
        <f>IF($C875="IE",$K875*CF_231025!$E$16,$K875/VLOOKUP($C875,CF_231025!$A$2:$E$28,5,FALSE))</f>
        <v>8.29111021135478E-3</v>
      </c>
    </row>
    <row r="876" spans="1:12" x14ac:dyDescent="0.25">
      <c r="A876" t="s">
        <v>136</v>
      </c>
      <c r="B876" t="s">
        <v>1033</v>
      </c>
      <c r="C876" t="str">
        <f t="shared" si="66"/>
        <v>PL</v>
      </c>
      <c r="D876" t="str">
        <f t="shared" si="67"/>
        <v>MIX</v>
      </c>
      <c r="E876" t="str">
        <f t="shared" si="65"/>
        <v>PLMIX</v>
      </c>
      <c r="F876" t="str">
        <f t="shared" si="68"/>
        <v>L</v>
      </c>
      <c r="G876" t="s">
        <v>999</v>
      </c>
      <c r="H876">
        <v>1</v>
      </c>
      <c r="I876">
        <v>0.06</v>
      </c>
      <c r="J876" t="str">
        <f t="shared" si="69"/>
        <v>PLL000MIXLI0PLLFER</v>
      </c>
      <c r="K876">
        <f>_xlfn.IFNA(IF(F876="H",VLOOKUP(E876,Fertiliser_data!$E$7:$L$267,8,FALSE),VLOOKUP(E876,Fertiliser_data!$E$7:$L$267,8,FALSE)*0.65),IF(F876="H",0.038,(0.038*0.65)))</f>
        <v>1.535358208955224E-2</v>
      </c>
      <c r="L876">
        <f>IF($C876="IE",$K876*CF_231025!$E$16,$K876/VLOOKUP($C876,CF_231025!$A$2:$E$28,5,FALSE))</f>
        <v>5.3892216373806071E-3</v>
      </c>
    </row>
    <row r="877" spans="1:12" x14ac:dyDescent="0.25">
      <c r="A877" t="s">
        <v>136</v>
      </c>
      <c r="B877" t="s">
        <v>1034</v>
      </c>
      <c r="C877" t="str">
        <f t="shared" si="66"/>
        <v>PL</v>
      </c>
      <c r="D877" t="str">
        <f t="shared" si="67"/>
        <v>MIX</v>
      </c>
      <c r="E877" t="str">
        <f t="shared" si="65"/>
        <v>PLMIX</v>
      </c>
      <c r="F877" t="str">
        <f t="shared" si="68"/>
        <v>L</v>
      </c>
      <c r="G877" t="s">
        <v>999</v>
      </c>
      <c r="H877">
        <v>1</v>
      </c>
      <c r="I877">
        <v>0.06</v>
      </c>
      <c r="J877" t="str">
        <f t="shared" si="69"/>
        <v>PLL000MIXLR0PLLFER</v>
      </c>
      <c r="K877">
        <f>_xlfn.IFNA(IF(F877="H",VLOOKUP(E877,Fertiliser_data!$E$7:$L$267,8,FALSE),VLOOKUP(E877,Fertiliser_data!$E$7:$L$267,8,FALSE)*0.65),IF(F877="H",0.038,(0.038*0.65)))</f>
        <v>1.535358208955224E-2</v>
      </c>
      <c r="L877">
        <f>IF($C877="IE",$K877*CF_231025!$E$16,$K877/VLOOKUP($C877,CF_231025!$A$2:$E$28,5,FALSE))</f>
        <v>5.3892216373806071E-3</v>
      </c>
    </row>
    <row r="878" spans="1:12" x14ac:dyDescent="0.25">
      <c r="A878" t="s">
        <v>136</v>
      </c>
      <c r="B878" t="s">
        <v>1035</v>
      </c>
      <c r="C878" t="str">
        <f t="shared" si="66"/>
        <v>PL</v>
      </c>
      <c r="D878" t="str">
        <f t="shared" si="67"/>
        <v>WHE</v>
      </c>
      <c r="E878" t="str">
        <f t="shared" si="65"/>
        <v>PLWHE</v>
      </c>
      <c r="F878" t="str">
        <f t="shared" si="68"/>
        <v>H</v>
      </c>
      <c r="G878" t="s">
        <v>999</v>
      </c>
      <c r="H878">
        <v>1</v>
      </c>
      <c r="I878">
        <v>0.2</v>
      </c>
      <c r="J878" t="str">
        <f t="shared" si="69"/>
        <v>PLL000WHEHI0PLLFER</v>
      </c>
      <c r="K878">
        <f>_xlfn.IFNA(IF(F878="H",VLOOKUP(E878,Fertiliser_data!$E$7:$L$267,8,FALSE),VLOOKUP(E878,Fertiliser_data!$E$7:$L$267,8,FALSE)*0.65),IF(F878="H",0.038,(0.038*0.65)))</f>
        <v>3.8480597014925372E-2</v>
      </c>
      <c r="L878">
        <f>IF($C878="IE",$K878*CF_231025!$E$16,$K878/VLOOKUP($C878,CF_231025!$A$2:$E$28,5,FALSE))</f>
        <v>1.350697608171041E-2</v>
      </c>
    </row>
    <row r="879" spans="1:12" x14ac:dyDescent="0.25">
      <c r="A879" t="s">
        <v>136</v>
      </c>
      <c r="B879" t="s">
        <v>1036</v>
      </c>
      <c r="C879" t="str">
        <f t="shared" si="66"/>
        <v>PL</v>
      </c>
      <c r="D879" t="str">
        <f t="shared" si="67"/>
        <v>WHE</v>
      </c>
      <c r="E879" t="str">
        <f t="shared" si="65"/>
        <v>PLWHE</v>
      </c>
      <c r="F879" t="str">
        <f t="shared" si="68"/>
        <v>H</v>
      </c>
      <c r="G879" t="s">
        <v>999</v>
      </c>
      <c r="H879">
        <v>1</v>
      </c>
      <c r="I879">
        <v>0.2</v>
      </c>
      <c r="J879" t="str">
        <f t="shared" si="69"/>
        <v>PLL000WHEHR0PLLFER</v>
      </c>
      <c r="K879">
        <f>_xlfn.IFNA(IF(F879="H",VLOOKUP(E879,Fertiliser_data!$E$7:$L$267,8,FALSE),VLOOKUP(E879,Fertiliser_data!$E$7:$L$267,8,FALSE)*0.65),IF(F879="H",0.038,(0.038*0.65)))</f>
        <v>3.8480597014925372E-2</v>
      </c>
      <c r="L879">
        <f>IF($C879="IE",$K879*CF_231025!$E$16,$K879/VLOOKUP($C879,CF_231025!$A$2:$E$28,5,FALSE))</f>
        <v>1.350697608171041E-2</v>
      </c>
    </row>
    <row r="880" spans="1:12" x14ac:dyDescent="0.25">
      <c r="A880" t="s">
        <v>136</v>
      </c>
      <c r="B880" t="s">
        <v>1037</v>
      </c>
      <c r="C880" t="str">
        <f t="shared" si="66"/>
        <v>PL</v>
      </c>
      <c r="D880" t="str">
        <f t="shared" si="67"/>
        <v>WHE</v>
      </c>
      <c r="E880" t="str">
        <f t="shared" si="65"/>
        <v>PLWHE</v>
      </c>
      <c r="F880" t="str">
        <f t="shared" si="68"/>
        <v>L</v>
      </c>
      <c r="G880" t="s">
        <v>999</v>
      </c>
      <c r="H880">
        <v>1</v>
      </c>
      <c r="I880">
        <v>7.0000000000000007E-2</v>
      </c>
      <c r="J880" t="str">
        <f t="shared" si="69"/>
        <v>PLL000WHELI0PLLFER</v>
      </c>
      <c r="K880">
        <f>_xlfn.IFNA(IF(F880="H",VLOOKUP(E880,Fertiliser_data!$E$7:$L$267,8,FALSE),VLOOKUP(E880,Fertiliser_data!$E$7:$L$267,8,FALSE)*0.65),IF(F880="H",0.038,(0.038*0.65)))</f>
        <v>2.5012388059701494E-2</v>
      </c>
      <c r="L880">
        <f>IF($C880="IE",$K880*CF_231025!$E$16,$K880/VLOOKUP($C880,CF_231025!$A$2:$E$28,5,FALSE))</f>
        <v>8.7795344531117672E-3</v>
      </c>
    </row>
    <row r="881" spans="1:12" x14ac:dyDescent="0.25">
      <c r="A881" t="s">
        <v>136</v>
      </c>
      <c r="B881" t="s">
        <v>1038</v>
      </c>
      <c r="C881" t="str">
        <f t="shared" si="66"/>
        <v>PL</v>
      </c>
      <c r="D881" t="str">
        <f t="shared" si="67"/>
        <v>WHE</v>
      </c>
      <c r="E881" t="str">
        <f t="shared" si="65"/>
        <v>PLWHE</v>
      </c>
      <c r="F881" t="str">
        <f t="shared" si="68"/>
        <v>L</v>
      </c>
      <c r="G881" t="s">
        <v>999</v>
      </c>
      <c r="H881">
        <v>1</v>
      </c>
      <c r="I881">
        <v>7.0000000000000007E-2</v>
      </c>
      <c r="J881" t="str">
        <f t="shared" si="69"/>
        <v>PLL000WHELR0PLLFER</v>
      </c>
      <c r="K881">
        <f>_xlfn.IFNA(IF(F881="H",VLOOKUP(E881,Fertiliser_data!$E$7:$L$267,8,FALSE),VLOOKUP(E881,Fertiliser_data!$E$7:$L$267,8,FALSE)*0.65),IF(F881="H",0.038,(0.038*0.65)))</f>
        <v>2.5012388059701494E-2</v>
      </c>
      <c r="L881">
        <f>IF($C881="IE",$K881*CF_231025!$E$16,$K881/VLOOKUP($C881,CF_231025!$A$2:$E$28,5,FALSE))</f>
        <v>8.7795344531117672E-3</v>
      </c>
    </row>
    <row r="882" spans="1:12" x14ac:dyDescent="0.25">
      <c r="A882" t="s">
        <v>136</v>
      </c>
      <c r="B882" t="s">
        <v>1039</v>
      </c>
      <c r="C882" t="str">
        <f t="shared" si="66"/>
        <v>PT</v>
      </c>
      <c r="D882" t="str">
        <f t="shared" si="67"/>
        <v>GRP</v>
      </c>
      <c r="E882" t="str">
        <f t="shared" si="65"/>
        <v>PTGRP</v>
      </c>
      <c r="F882" t="str">
        <f t="shared" si="68"/>
        <v>H</v>
      </c>
      <c r="G882" t="s">
        <v>1040</v>
      </c>
      <c r="H882">
        <v>1</v>
      </c>
      <c r="I882">
        <v>0.17</v>
      </c>
      <c r="J882" t="str">
        <f t="shared" si="69"/>
        <v>PTL000GRPHI0PTLFER</v>
      </c>
      <c r="K882">
        <f>_xlfn.IFNA(IF(F882="H",VLOOKUP(E882,Fertiliser_data!$E$7:$L$267,8,FALSE),VLOOKUP(E882,Fertiliser_data!$E$7:$L$267,8,FALSE)*0.65),IF(F882="H",0.038,(0.038*0.65)))</f>
        <v>2.2132835820895522E-2</v>
      </c>
      <c r="L882">
        <f>IF($C882="IE",$K882*CF_231025!$E$16,$K882/VLOOKUP($C882,CF_231025!$A$2:$E$28,5,FALSE))</f>
        <v>6.4634550083609828E-3</v>
      </c>
    </row>
    <row r="883" spans="1:12" x14ac:dyDescent="0.25">
      <c r="A883" t="s">
        <v>136</v>
      </c>
      <c r="B883" t="s">
        <v>1041</v>
      </c>
      <c r="C883" t="str">
        <f t="shared" si="66"/>
        <v>PT</v>
      </c>
      <c r="D883" t="str">
        <f t="shared" si="67"/>
        <v>GRP</v>
      </c>
      <c r="E883" t="str">
        <f t="shared" si="65"/>
        <v>PTGRP</v>
      </c>
      <c r="F883" t="str">
        <f t="shared" si="68"/>
        <v>H</v>
      </c>
      <c r="G883" t="s">
        <v>1040</v>
      </c>
      <c r="H883">
        <v>1</v>
      </c>
      <c r="I883">
        <v>0.17</v>
      </c>
      <c r="J883" t="str">
        <f t="shared" si="69"/>
        <v>PTL000GRPHR0PTLFER</v>
      </c>
      <c r="K883">
        <f>_xlfn.IFNA(IF(F883="H",VLOOKUP(E883,Fertiliser_data!$E$7:$L$267,8,FALSE),VLOOKUP(E883,Fertiliser_data!$E$7:$L$267,8,FALSE)*0.65),IF(F883="H",0.038,(0.038*0.65)))</f>
        <v>2.2132835820895522E-2</v>
      </c>
      <c r="L883">
        <f>IF($C883="IE",$K883*CF_231025!$E$16,$K883/VLOOKUP($C883,CF_231025!$A$2:$E$28,5,FALSE))</f>
        <v>6.4634550083609828E-3</v>
      </c>
    </row>
    <row r="884" spans="1:12" x14ac:dyDescent="0.25">
      <c r="A884" t="s">
        <v>136</v>
      </c>
      <c r="B884" t="s">
        <v>1042</v>
      </c>
      <c r="C884" t="str">
        <f t="shared" si="66"/>
        <v>PT</v>
      </c>
      <c r="D884" t="str">
        <f t="shared" si="67"/>
        <v>GRP</v>
      </c>
      <c r="E884" t="str">
        <f t="shared" si="65"/>
        <v>PTGRP</v>
      </c>
      <c r="F884" t="str">
        <f t="shared" si="68"/>
        <v>L</v>
      </c>
      <c r="G884" t="s">
        <v>1040</v>
      </c>
      <c r="H884">
        <v>1</v>
      </c>
      <c r="I884">
        <v>0.06</v>
      </c>
      <c r="J884" t="str">
        <f t="shared" si="69"/>
        <v>PTL000GRPLI0PTLFER</v>
      </c>
      <c r="K884">
        <f>_xlfn.IFNA(IF(F884="H",VLOOKUP(E884,Fertiliser_data!$E$7:$L$267,8,FALSE),VLOOKUP(E884,Fertiliser_data!$E$7:$L$267,8,FALSE)*0.65),IF(F884="H",0.038,(0.038*0.65)))</f>
        <v>1.4386343283582089E-2</v>
      </c>
      <c r="L884">
        <f>IF($C884="IE",$K884*CF_231025!$E$16,$K884/VLOOKUP($C884,CF_231025!$A$2:$E$28,5,FALSE))</f>
        <v>4.2012457554346395E-3</v>
      </c>
    </row>
    <row r="885" spans="1:12" x14ac:dyDescent="0.25">
      <c r="A885" t="s">
        <v>136</v>
      </c>
      <c r="B885" t="s">
        <v>1043</v>
      </c>
      <c r="C885" t="str">
        <f t="shared" si="66"/>
        <v>PT</v>
      </c>
      <c r="D885" t="str">
        <f t="shared" si="67"/>
        <v>GRP</v>
      </c>
      <c r="E885" t="str">
        <f t="shared" si="65"/>
        <v>PTGRP</v>
      </c>
      <c r="F885" t="str">
        <f t="shared" si="68"/>
        <v>L</v>
      </c>
      <c r="G885" t="s">
        <v>1040</v>
      </c>
      <c r="H885">
        <v>1</v>
      </c>
      <c r="I885">
        <v>0.06</v>
      </c>
      <c r="J885" t="str">
        <f t="shared" si="69"/>
        <v>PTL000GRPLR0PTLFER</v>
      </c>
      <c r="K885">
        <f>_xlfn.IFNA(IF(F885="H",VLOOKUP(E885,Fertiliser_data!$E$7:$L$267,8,FALSE),VLOOKUP(E885,Fertiliser_data!$E$7:$L$267,8,FALSE)*0.65),IF(F885="H",0.038,(0.038*0.65)))</f>
        <v>1.4386343283582089E-2</v>
      </c>
      <c r="L885">
        <f>IF($C885="IE",$K885*CF_231025!$E$16,$K885/VLOOKUP($C885,CF_231025!$A$2:$E$28,5,FALSE))</f>
        <v>4.2012457554346395E-3</v>
      </c>
    </row>
    <row r="886" spans="1:12" x14ac:dyDescent="0.25">
      <c r="A886" t="s">
        <v>136</v>
      </c>
      <c r="B886" t="s">
        <v>1044</v>
      </c>
      <c r="C886" t="str">
        <f t="shared" si="66"/>
        <v>PT</v>
      </c>
      <c r="D886" t="str">
        <f t="shared" si="67"/>
        <v>WHE</v>
      </c>
      <c r="E886" t="str">
        <f t="shared" si="65"/>
        <v>PTWHE</v>
      </c>
      <c r="F886" t="str">
        <f t="shared" si="68"/>
        <v>H</v>
      </c>
      <c r="G886" t="s">
        <v>1040</v>
      </c>
      <c r="H886">
        <v>1</v>
      </c>
      <c r="I886">
        <v>0.2</v>
      </c>
      <c r="J886" t="str">
        <f t="shared" si="69"/>
        <v>PTL000WHEHI0PTLFER</v>
      </c>
      <c r="K886">
        <f>_xlfn.IFNA(IF(F886="H",VLOOKUP(E886,Fertiliser_data!$E$7:$L$267,8,FALSE),VLOOKUP(E886,Fertiliser_data!$E$7:$L$267,8,FALSE)*0.65),IF(F886="H",0.038,(0.038*0.65)))</f>
        <v>3.0291044776119401E-2</v>
      </c>
      <c r="L886">
        <f>IF($C886="IE",$K886*CF_231025!$E$16,$K886/VLOOKUP($C886,CF_231025!$A$2:$E$28,5,FALSE))</f>
        <v>8.8458978619385085E-3</v>
      </c>
    </row>
    <row r="887" spans="1:12" x14ac:dyDescent="0.25">
      <c r="A887" t="s">
        <v>136</v>
      </c>
      <c r="B887" t="s">
        <v>1045</v>
      </c>
      <c r="C887" t="str">
        <f t="shared" si="66"/>
        <v>PT</v>
      </c>
      <c r="D887" t="str">
        <f t="shared" si="67"/>
        <v>WHE</v>
      </c>
      <c r="E887" t="str">
        <f t="shared" si="65"/>
        <v>PTWHE</v>
      </c>
      <c r="F887" t="str">
        <f t="shared" si="68"/>
        <v>H</v>
      </c>
      <c r="G887" t="s">
        <v>1040</v>
      </c>
      <c r="H887">
        <v>1</v>
      </c>
      <c r="I887">
        <v>0.2</v>
      </c>
      <c r="J887" t="str">
        <f t="shared" si="69"/>
        <v>PTL000WHEHR0PTLFER</v>
      </c>
      <c r="K887">
        <f>_xlfn.IFNA(IF(F887="H",VLOOKUP(E887,Fertiliser_data!$E$7:$L$267,8,FALSE),VLOOKUP(E887,Fertiliser_data!$E$7:$L$267,8,FALSE)*0.65),IF(F887="H",0.038,(0.038*0.65)))</f>
        <v>3.0291044776119401E-2</v>
      </c>
      <c r="L887">
        <f>IF($C887="IE",$K887*CF_231025!$E$16,$K887/VLOOKUP($C887,CF_231025!$A$2:$E$28,5,FALSE))</f>
        <v>8.8458978619385085E-3</v>
      </c>
    </row>
    <row r="888" spans="1:12" x14ac:dyDescent="0.25">
      <c r="A888" t="s">
        <v>136</v>
      </c>
      <c r="B888" t="s">
        <v>1046</v>
      </c>
      <c r="C888" t="str">
        <f t="shared" si="66"/>
        <v>PT</v>
      </c>
      <c r="D888" t="str">
        <f t="shared" si="67"/>
        <v>WHE</v>
      </c>
      <c r="E888" t="str">
        <f t="shared" si="65"/>
        <v>PTWHE</v>
      </c>
      <c r="F888" t="str">
        <f t="shared" si="68"/>
        <v>L</v>
      </c>
      <c r="G888" t="s">
        <v>1040</v>
      </c>
      <c r="H888">
        <v>1</v>
      </c>
      <c r="I888">
        <v>7.0000000000000007E-2</v>
      </c>
      <c r="J888" t="str">
        <f t="shared" si="69"/>
        <v>PTL000WHELI0PTLFER</v>
      </c>
      <c r="K888">
        <f>_xlfn.IFNA(IF(F888="H",VLOOKUP(E888,Fertiliser_data!$E$7:$L$267,8,FALSE),VLOOKUP(E888,Fertiliser_data!$E$7:$L$267,8,FALSE)*0.65),IF(F888="H",0.038,(0.038*0.65)))</f>
        <v>1.9689179104477612E-2</v>
      </c>
      <c r="L888">
        <f>IF($C888="IE",$K888*CF_231025!$E$16,$K888/VLOOKUP($C888,CF_231025!$A$2:$E$28,5,FALSE))</f>
        <v>5.7498336102600311E-3</v>
      </c>
    </row>
    <row r="889" spans="1:12" x14ac:dyDescent="0.25">
      <c r="A889" t="s">
        <v>136</v>
      </c>
      <c r="B889" t="s">
        <v>1047</v>
      </c>
      <c r="C889" t="str">
        <f t="shared" si="66"/>
        <v>PT</v>
      </c>
      <c r="D889" t="str">
        <f t="shared" si="67"/>
        <v>WHE</v>
      </c>
      <c r="E889" t="str">
        <f t="shared" si="65"/>
        <v>PTWHE</v>
      </c>
      <c r="F889" t="str">
        <f t="shared" si="68"/>
        <v>L</v>
      </c>
      <c r="G889" t="s">
        <v>1040</v>
      </c>
      <c r="H889">
        <v>1</v>
      </c>
      <c r="I889">
        <v>7.0000000000000007E-2</v>
      </c>
      <c r="J889" t="str">
        <f t="shared" si="69"/>
        <v>PTL000WHELR0PTLFER</v>
      </c>
      <c r="K889">
        <f>_xlfn.IFNA(IF(F889="H",VLOOKUP(E889,Fertiliser_data!$E$7:$L$267,8,FALSE),VLOOKUP(E889,Fertiliser_data!$E$7:$L$267,8,FALSE)*0.65),IF(F889="H",0.038,(0.038*0.65)))</f>
        <v>1.9689179104477612E-2</v>
      </c>
      <c r="L889">
        <f>IF($C889="IE",$K889*CF_231025!$E$16,$K889/VLOOKUP($C889,CF_231025!$A$2:$E$28,5,FALSE))</f>
        <v>5.7498336102600311E-3</v>
      </c>
    </row>
    <row r="890" spans="1:12" x14ac:dyDescent="0.25">
      <c r="A890" t="s">
        <v>136</v>
      </c>
      <c r="B890" t="s">
        <v>1048</v>
      </c>
      <c r="C890" t="str">
        <f t="shared" si="66"/>
        <v>PT</v>
      </c>
      <c r="D890" t="str">
        <f t="shared" si="67"/>
        <v>ALM</v>
      </c>
      <c r="E890" t="str">
        <f t="shared" si="65"/>
        <v>PTALM</v>
      </c>
      <c r="F890" t="str">
        <f t="shared" si="68"/>
        <v>H</v>
      </c>
      <c r="G890" t="s">
        <v>1040</v>
      </c>
      <c r="H890">
        <v>1</v>
      </c>
      <c r="I890">
        <v>0.17</v>
      </c>
      <c r="J890" t="str">
        <f t="shared" si="69"/>
        <v>PTL000ALMHI0PTLFER</v>
      </c>
      <c r="K890">
        <f>_xlfn.IFNA(IF(F890="H",VLOOKUP(E890,Fertiliser_data!$E$7:$L$267,8,FALSE),VLOOKUP(E890,Fertiliser_data!$E$7:$L$267,8,FALSE)*0.65),IF(F890="H",0.038,(0.038*0.65)))</f>
        <v>0</v>
      </c>
      <c r="L890">
        <f>IF($C890="IE",$K890*CF_231025!$E$16,$K890/VLOOKUP($C890,CF_231025!$A$2:$E$28,5,FALSE))</f>
        <v>0</v>
      </c>
    </row>
    <row r="891" spans="1:12" x14ac:dyDescent="0.25">
      <c r="A891" t="s">
        <v>136</v>
      </c>
      <c r="B891" t="s">
        <v>1049</v>
      </c>
      <c r="C891" t="str">
        <f t="shared" si="66"/>
        <v>PT</v>
      </c>
      <c r="D891" t="str">
        <f t="shared" si="67"/>
        <v>ALM</v>
      </c>
      <c r="E891" t="str">
        <f t="shared" si="65"/>
        <v>PTALM</v>
      </c>
      <c r="F891" t="str">
        <f t="shared" si="68"/>
        <v>H</v>
      </c>
      <c r="G891" t="s">
        <v>1040</v>
      </c>
      <c r="H891">
        <v>1</v>
      </c>
      <c r="I891">
        <v>0.17</v>
      </c>
      <c r="J891" t="str">
        <f t="shared" si="69"/>
        <v>PTL000ALMHR0PTLFER</v>
      </c>
      <c r="K891">
        <f>_xlfn.IFNA(IF(F891="H",VLOOKUP(E891,Fertiliser_data!$E$7:$L$267,8,FALSE),VLOOKUP(E891,Fertiliser_data!$E$7:$L$267,8,FALSE)*0.65),IF(F891="H",0.038,(0.038*0.65)))</f>
        <v>0</v>
      </c>
      <c r="L891">
        <f>IF($C891="IE",$K891*CF_231025!$E$16,$K891/VLOOKUP($C891,CF_231025!$A$2:$E$28,5,FALSE))</f>
        <v>0</v>
      </c>
    </row>
    <row r="892" spans="1:12" x14ac:dyDescent="0.25">
      <c r="A892" t="s">
        <v>136</v>
      </c>
      <c r="B892" t="s">
        <v>1050</v>
      </c>
      <c r="C892" t="str">
        <f t="shared" si="66"/>
        <v>PT</v>
      </c>
      <c r="D892" t="str">
        <f t="shared" si="67"/>
        <v>ALM</v>
      </c>
      <c r="E892" t="str">
        <f t="shared" si="65"/>
        <v>PTALM</v>
      </c>
      <c r="F892" t="str">
        <f t="shared" si="68"/>
        <v>L</v>
      </c>
      <c r="G892" t="s">
        <v>1040</v>
      </c>
      <c r="H892">
        <v>1</v>
      </c>
      <c r="I892">
        <v>0.06</v>
      </c>
      <c r="J892" t="str">
        <f t="shared" si="69"/>
        <v>PTL000ALMLI0PTLFER</v>
      </c>
      <c r="K892">
        <f>_xlfn.IFNA(IF(F892="H",VLOOKUP(E892,Fertiliser_data!$E$7:$L$267,8,FALSE),VLOOKUP(E892,Fertiliser_data!$E$7:$L$267,8,FALSE)*0.65),IF(F892="H",0.038,(0.038*0.65)))</f>
        <v>0</v>
      </c>
      <c r="L892">
        <f>IF($C892="IE",$K892*CF_231025!$E$16,$K892/VLOOKUP($C892,CF_231025!$A$2:$E$28,5,FALSE))</f>
        <v>0</v>
      </c>
    </row>
    <row r="893" spans="1:12" x14ac:dyDescent="0.25">
      <c r="A893" t="s">
        <v>136</v>
      </c>
      <c r="B893" t="s">
        <v>1051</v>
      </c>
      <c r="C893" t="str">
        <f t="shared" si="66"/>
        <v>PT</v>
      </c>
      <c r="D893" t="str">
        <f t="shared" si="67"/>
        <v>ALM</v>
      </c>
      <c r="E893" t="str">
        <f t="shared" si="65"/>
        <v>PTALM</v>
      </c>
      <c r="F893" t="str">
        <f t="shared" si="68"/>
        <v>L</v>
      </c>
      <c r="G893" t="s">
        <v>1040</v>
      </c>
      <c r="H893">
        <v>1</v>
      </c>
      <c r="I893">
        <v>0.06</v>
      </c>
      <c r="J893" t="str">
        <f t="shared" si="69"/>
        <v>PTL000ALMLR0PTLFER</v>
      </c>
      <c r="K893">
        <f>_xlfn.IFNA(IF(F893="H",VLOOKUP(E893,Fertiliser_data!$E$7:$L$267,8,FALSE),VLOOKUP(E893,Fertiliser_data!$E$7:$L$267,8,FALSE)*0.65),IF(F893="H",0.038,(0.038*0.65)))</f>
        <v>0</v>
      </c>
      <c r="L893">
        <f>IF($C893="IE",$K893*CF_231025!$E$16,$K893/VLOOKUP($C893,CF_231025!$A$2:$E$28,5,FALSE))</f>
        <v>0</v>
      </c>
    </row>
    <row r="894" spans="1:12" x14ac:dyDescent="0.25">
      <c r="A894" t="s">
        <v>136</v>
      </c>
      <c r="B894" t="s">
        <v>1052</v>
      </c>
      <c r="C894" t="str">
        <f t="shared" si="66"/>
        <v>PT</v>
      </c>
      <c r="D894" t="str">
        <f t="shared" si="67"/>
        <v>RYE</v>
      </c>
      <c r="E894" t="str">
        <f t="shared" si="65"/>
        <v>PTRYE</v>
      </c>
      <c r="F894" t="str">
        <f t="shared" si="68"/>
        <v>H</v>
      </c>
      <c r="G894" t="s">
        <v>1040</v>
      </c>
      <c r="H894">
        <v>1</v>
      </c>
      <c r="I894">
        <v>0.11</v>
      </c>
      <c r="J894" t="str">
        <f t="shared" si="69"/>
        <v>PTL000RYEHI0PTLFER</v>
      </c>
      <c r="K894">
        <f>_xlfn.IFNA(IF(F894="H",VLOOKUP(E894,Fertiliser_data!$E$7:$L$267,8,FALSE),VLOOKUP(E894,Fertiliser_data!$E$7:$L$267,8,FALSE)*0.65),IF(F894="H",0.038,(0.038*0.65)))</f>
        <v>3.7999999999999999E-2</v>
      </c>
      <c r="L894">
        <f>IF($C894="IE",$K894*CF_231025!$E$16,$K894/VLOOKUP($C894,CF_231025!$A$2:$E$28,5,FALSE))</f>
        <v>1.1097145088196819E-2</v>
      </c>
    </row>
    <row r="895" spans="1:12" x14ac:dyDescent="0.25">
      <c r="A895" t="s">
        <v>136</v>
      </c>
      <c r="B895" t="s">
        <v>1053</v>
      </c>
      <c r="C895" t="str">
        <f t="shared" si="66"/>
        <v>PT</v>
      </c>
      <c r="D895" t="str">
        <f t="shared" si="67"/>
        <v>RYE</v>
      </c>
      <c r="E895" t="str">
        <f t="shared" si="65"/>
        <v>PTRYE</v>
      </c>
      <c r="F895" t="str">
        <f t="shared" si="68"/>
        <v>H</v>
      </c>
      <c r="G895" t="s">
        <v>1040</v>
      </c>
      <c r="H895">
        <v>1</v>
      </c>
      <c r="I895">
        <v>0.11</v>
      </c>
      <c r="J895" t="str">
        <f t="shared" si="69"/>
        <v>PTL000RYEHR0PTLFER</v>
      </c>
      <c r="K895">
        <f>_xlfn.IFNA(IF(F895="H",VLOOKUP(E895,Fertiliser_data!$E$7:$L$267,8,FALSE),VLOOKUP(E895,Fertiliser_data!$E$7:$L$267,8,FALSE)*0.65),IF(F895="H",0.038,(0.038*0.65)))</f>
        <v>3.7999999999999999E-2</v>
      </c>
      <c r="L895">
        <f>IF($C895="IE",$K895*CF_231025!$E$16,$K895/VLOOKUP($C895,CF_231025!$A$2:$E$28,5,FALSE))</f>
        <v>1.1097145088196819E-2</v>
      </c>
    </row>
    <row r="896" spans="1:12" x14ac:dyDescent="0.25">
      <c r="A896" t="s">
        <v>136</v>
      </c>
      <c r="B896" t="s">
        <v>1054</v>
      </c>
      <c r="C896" t="str">
        <f t="shared" si="66"/>
        <v>PT</v>
      </c>
      <c r="D896" t="str">
        <f t="shared" si="67"/>
        <v>RYE</v>
      </c>
      <c r="E896" t="str">
        <f t="shared" si="65"/>
        <v>PTRYE</v>
      </c>
      <c r="F896" t="str">
        <f t="shared" si="68"/>
        <v>L</v>
      </c>
      <c r="G896" t="s">
        <v>1040</v>
      </c>
      <c r="H896">
        <v>1</v>
      </c>
      <c r="I896">
        <v>0.04</v>
      </c>
      <c r="J896" t="str">
        <f t="shared" si="69"/>
        <v>PTL000RYELI0PTLFER</v>
      </c>
      <c r="K896">
        <f>_xlfn.IFNA(IF(F896="H",VLOOKUP(E896,Fertiliser_data!$E$7:$L$267,8,FALSE),VLOOKUP(E896,Fertiliser_data!$E$7:$L$267,8,FALSE)*0.65),IF(F896="H",0.038,(0.038*0.65)))</f>
        <v>2.47E-2</v>
      </c>
      <c r="L896">
        <f>IF($C896="IE",$K896*CF_231025!$E$16,$K896/VLOOKUP($C896,CF_231025!$A$2:$E$28,5,FALSE))</f>
        <v>7.2131443073279325E-3</v>
      </c>
    </row>
    <row r="897" spans="1:12" x14ac:dyDescent="0.25">
      <c r="A897" t="s">
        <v>136</v>
      </c>
      <c r="B897" t="s">
        <v>1055</v>
      </c>
      <c r="C897" t="str">
        <f t="shared" si="66"/>
        <v>PT</v>
      </c>
      <c r="D897" t="str">
        <f t="shared" si="67"/>
        <v>RYE</v>
      </c>
      <c r="E897" t="str">
        <f t="shared" si="65"/>
        <v>PTRYE</v>
      </c>
      <c r="F897" t="str">
        <f t="shared" si="68"/>
        <v>L</v>
      </c>
      <c r="G897" t="s">
        <v>1040</v>
      </c>
      <c r="H897">
        <v>1</v>
      </c>
      <c r="I897">
        <v>0.04</v>
      </c>
      <c r="J897" t="str">
        <f t="shared" si="69"/>
        <v>PTL000RYELR0PTLFER</v>
      </c>
      <c r="K897">
        <f>_xlfn.IFNA(IF(F897="H",VLOOKUP(E897,Fertiliser_data!$E$7:$L$267,8,FALSE),VLOOKUP(E897,Fertiliser_data!$E$7:$L$267,8,FALSE)*0.65),IF(F897="H",0.038,(0.038*0.65)))</f>
        <v>2.47E-2</v>
      </c>
      <c r="L897">
        <f>IF($C897="IE",$K897*CF_231025!$E$16,$K897/VLOOKUP($C897,CF_231025!$A$2:$E$28,5,FALSE))</f>
        <v>7.2131443073279325E-3</v>
      </c>
    </row>
    <row r="898" spans="1:12" x14ac:dyDescent="0.25">
      <c r="A898" t="s">
        <v>136</v>
      </c>
      <c r="B898" t="s">
        <v>1056</v>
      </c>
      <c r="C898" t="str">
        <f t="shared" si="66"/>
        <v>PT</v>
      </c>
      <c r="D898" t="str">
        <f t="shared" si="67"/>
        <v>OTH</v>
      </c>
      <c r="E898" t="str">
        <f t="shared" ref="E898:E961" si="70">C898&amp;D898</f>
        <v>PTOTH</v>
      </c>
      <c r="F898" t="str">
        <f t="shared" si="68"/>
        <v>H</v>
      </c>
      <c r="G898" t="s">
        <v>1040</v>
      </c>
      <c r="H898">
        <v>1</v>
      </c>
      <c r="I898">
        <v>0.17</v>
      </c>
      <c r="J898" t="str">
        <f t="shared" si="69"/>
        <v>PTL000OTHHI0PTLFER</v>
      </c>
      <c r="K898">
        <f>_xlfn.IFNA(IF(F898="H",VLOOKUP(E898,Fertiliser_data!$E$7:$L$267,8,FALSE),VLOOKUP(E898,Fertiliser_data!$E$7:$L$267,8,FALSE)*0.65),IF(F898="H",0.038,(0.038*0.65)))</f>
        <v>3.7999999999999999E-2</v>
      </c>
      <c r="L898">
        <f>IF($C898="IE",$K898*CF_231025!$E$16,$K898/VLOOKUP($C898,CF_231025!$A$2:$E$28,5,FALSE))</f>
        <v>1.1097145088196819E-2</v>
      </c>
    </row>
    <row r="899" spans="1:12" x14ac:dyDescent="0.25">
      <c r="A899" t="s">
        <v>136</v>
      </c>
      <c r="B899" t="s">
        <v>1057</v>
      </c>
      <c r="C899" t="str">
        <f t="shared" ref="C899:C962" si="71">LEFT(B899,2)</f>
        <v>PT</v>
      </c>
      <c r="D899" t="str">
        <f t="shared" ref="D899:D962" si="72">MID(B899,7,3)</f>
        <v>OTH</v>
      </c>
      <c r="E899" t="str">
        <f t="shared" si="70"/>
        <v>PTOTH</v>
      </c>
      <c r="F899" t="str">
        <f t="shared" ref="F899:F962" si="73">MID(B899,10,1)</f>
        <v>H</v>
      </c>
      <c r="G899" t="s">
        <v>1040</v>
      </c>
      <c r="H899">
        <v>1</v>
      </c>
      <c r="I899">
        <v>0.17</v>
      </c>
      <c r="J899" t="str">
        <f t="shared" ref="J899:J962" si="74">B899&amp;G899</f>
        <v>PTL000OTHHR0PTLFER</v>
      </c>
      <c r="K899">
        <f>_xlfn.IFNA(IF(F899="H",VLOOKUP(E899,Fertiliser_data!$E$7:$L$267,8,FALSE),VLOOKUP(E899,Fertiliser_data!$E$7:$L$267,8,FALSE)*0.65),IF(F899="H",0.038,(0.038*0.65)))</f>
        <v>3.7999999999999999E-2</v>
      </c>
      <c r="L899">
        <f>IF($C899="IE",$K899*CF_231025!$E$16,$K899/VLOOKUP($C899,CF_231025!$A$2:$E$28,5,FALSE))</f>
        <v>1.1097145088196819E-2</v>
      </c>
    </row>
    <row r="900" spans="1:12" x14ac:dyDescent="0.25">
      <c r="A900" t="s">
        <v>136</v>
      </c>
      <c r="B900" t="s">
        <v>1058</v>
      </c>
      <c r="C900" t="str">
        <f t="shared" si="71"/>
        <v>PT</v>
      </c>
      <c r="D900" t="str">
        <f t="shared" si="72"/>
        <v>OTH</v>
      </c>
      <c r="E900" t="str">
        <f t="shared" si="70"/>
        <v>PTOTH</v>
      </c>
      <c r="F900" t="str">
        <f t="shared" si="73"/>
        <v>L</v>
      </c>
      <c r="G900" t="s">
        <v>1040</v>
      </c>
      <c r="H900">
        <v>1</v>
      </c>
      <c r="I900">
        <v>0.06</v>
      </c>
      <c r="J900" t="str">
        <f t="shared" si="74"/>
        <v>PTL000OTHLI0PTLFER</v>
      </c>
      <c r="K900">
        <f>_xlfn.IFNA(IF(F900="H",VLOOKUP(E900,Fertiliser_data!$E$7:$L$267,8,FALSE),VLOOKUP(E900,Fertiliser_data!$E$7:$L$267,8,FALSE)*0.65),IF(F900="H",0.038,(0.038*0.65)))</f>
        <v>2.47E-2</v>
      </c>
      <c r="L900">
        <f>IF($C900="IE",$K900*CF_231025!$E$16,$K900/VLOOKUP($C900,CF_231025!$A$2:$E$28,5,FALSE))</f>
        <v>7.2131443073279325E-3</v>
      </c>
    </row>
    <row r="901" spans="1:12" x14ac:dyDescent="0.25">
      <c r="A901" t="s">
        <v>136</v>
      </c>
      <c r="B901" t="s">
        <v>1059</v>
      </c>
      <c r="C901" t="str">
        <f t="shared" si="71"/>
        <v>PT</v>
      </c>
      <c r="D901" t="str">
        <f t="shared" si="72"/>
        <v>OTH</v>
      </c>
      <c r="E901" t="str">
        <f t="shared" si="70"/>
        <v>PTOTH</v>
      </c>
      <c r="F901" t="str">
        <f t="shared" si="73"/>
        <v>L</v>
      </c>
      <c r="G901" t="s">
        <v>1040</v>
      </c>
      <c r="H901">
        <v>1</v>
      </c>
      <c r="I901">
        <v>0.06</v>
      </c>
      <c r="J901" t="str">
        <f t="shared" si="74"/>
        <v>PTL000OTHLR0PTLFER</v>
      </c>
      <c r="K901">
        <f>_xlfn.IFNA(IF(F901="H",VLOOKUP(E901,Fertiliser_data!$E$7:$L$267,8,FALSE),VLOOKUP(E901,Fertiliser_data!$E$7:$L$267,8,FALSE)*0.65),IF(F901="H",0.038,(0.038*0.65)))</f>
        <v>2.47E-2</v>
      </c>
      <c r="L901">
        <f>IF($C901="IE",$K901*CF_231025!$E$16,$K901/VLOOKUP($C901,CF_231025!$A$2:$E$28,5,FALSE))</f>
        <v>7.2131443073279325E-3</v>
      </c>
    </row>
    <row r="902" spans="1:12" x14ac:dyDescent="0.25">
      <c r="A902" t="s">
        <v>136</v>
      </c>
      <c r="B902" t="s">
        <v>1060</v>
      </c>
      <c r="C902" t="str">
        <f t="shared" si="71"/>
        <v>PT</v>
      </c>
      <c r="D902" t="str">
        <f t="shared" si="72"/>
        <v>OAT</v>
      </c>
      <c r="E902" t="str">
        <f t="shared" si="70"/>
        <v>PTOAT</v>
      </c>
      <c r="F902" t="str">
        <f t="shared" si="73"/>
        <v>H</v>
      </c>
      <c r="G902" t="s">
        <v>1040</v>
      </c>
      <c r="H902">
        <v>1</v>
      </c>
      <c r="I902">
        <v>0.11</v>
      </c>
      <c r="J902" t="str">
        <f t="shared" si="74"/>
        <v>PTL000OATHI0PTLFER</v>
      </c>
      <c r="K902">
        <f>_xlfn.IFNA(IF(F902="H",VLOOKUP(E902,Fertiliser_data!$E$7:$L$267,8,FALSE),VLOOKUP(E902,Fertiliser_data!$E$7:$L$267,8,FALSE)*0.65),IF(F902="H",0.038,(0.038*0.65)))</f>
        <v>5.2341791044776119E-2</v>
      </c>
      <c r="L902">
        <f>IF($C902="IE",$K902*CF_231025!$E$16,$K902/VLOOKUP($C902,CF_231025!$A$2:$E$28,5,FALSE))</f>
        <v>1.5285380247367411E-2</v>
      </c>
    </row>
    <row r="903" spans="1:12" x14ac:dyDescent="0.25">
      <c r="A903" t="s">
        <v>136</v>
      </c>
      <c r="B903" t="s">
        <v>1061</v>
      </c>
      <c r="C903" t="str">
        <f t="shared" si="71"/>
        <v>PT</v>
      </c>
      <c r="D903" t="str">
        <f t="shared" si="72"/>
        <v>OAT</v>
      </c>
      <c r="E903" t="str">
        <f t="shared" si="70"/>
        <v>PTOAT</v>
      </c>
      <c r="F903" t="str">
        <f t="shared" si="73"/>
        <v>H</v>
      </c>
      <c r="G903" t="s">
        <v>1040</v>
      </c>
      <c r="H903">
        <v>1</v>
      </c>
      <c r="I903">
        <v>0.11</v>
      </c>
      <c r="J903" t="str">
        <f t="shared" si="74"/>
        <v>PTL000OATHR0PTLFER</v>
      </c>
      <c r="K903">
        <f>_xlfn.IFNA(IF(F903="H",VLOOKUP(E903,Fertiliser_data!$E$7:$L$267,8,FALSE),VLOOKUP(E903,Fertiliser_data!$E$7:$L$267,8,FALSE)*0.65),IF(F903="H",0.038,(0.038*0.65)))</f>
        <v>5.2341791044776119E-2</v>
      </c>
      <c r="L903">
        <f>IF($C903="IE",$K903*CF_231025!$E$16,$K903/VLOOKUP($C903,CF_231025!$A$2:$E$28,5,FALSE))</f>
        <v>1.5285380247367411E-2</v>
      </c>
    </row>
    <row r="904" spans="1:12" x14ac:dyDescent="0.25">
      <c r="A904" t="s">
        <v>136</v>
      </c>
      <c r="B904" t="s">
        <v>1062</v>
      </c>
      <c r="C904" t="str">
        <f t="shared" si="71"/>
        <v>PT</v>
      </c>
      <c r="D904" t="str">
        <f t="shared" si="72"/>
        <v>OAT</v>
      </c>
      <c r="E904" t="str">
        <f t="shared" si="70"/>
        <v>PTOAT</v>
      </c>
      <c r="F904" t="str">
        <f t="shared" si="73"/>
        <v>L</v>
      </c>
      <c r="G904" t="s">
        <v>1040</v>
      </c>
      <c r="H904">
        <v>1</v>
      </c>
      <c r="I904">
        <v>0.04</v>
      </c>
      <c r="J904" t="str">
        <f t="shared" si="74"/>
        <v>PTL000OATLI0PTLFER</v>
      </c>
      <c r="K904">
        <f>_xlfn.IFNA(IF(F904="H",VLOOKUP(E904,Fertiliser_data!$E$7:$L$267,8,FALSE),VLOOKUP(E904,Fertiliser_data!$E$7:$L$267,8,FALSE)*0.65),IF(F904="H",0.038,(0.038*0.65)))</f>
        <v>3.4022164179104482E-2</v>
      </c>
      <c r="L904">
        <f>IF($C904="IE",$K904*CF_231025!$E$16,$K904/VLOOKUP($C904,CF_231025!$A$2:$E$28,5,FALSE))</f>
        <v>9.9354971607888178E-3</v>
      </c>
    </row>
    <row r="905" spans="1:12" x14ac:dyDescent="0.25">
      <c r="A905" t="s">
        <v>136</v>
      </c>
      <c r="B905" t="s">
        <v>1063</v>
      </c>
      <c r="C905" t="str">
        <f t="shared" si="71"/>
        <v>PT</v>
      </c>
      <c r="D905" t="str">
        <f t="shared" si="72"/>
        <v>OAT</v>
      </c>
      <c r="E905" t="str">
        <f t="shared" si="70"/>
        <v>PTOAT</v>
      </c>
      <c r="F905" t="str">
        <f t="shared" si="73"/>
        <v>L</v>
      </c>
      <c r="G905" t="s">
        <v>1040</v>
      </c>
      <c r="H905">
        <v>1</v>
      </c>
      <c r="I905">
        <v>0.04</v>
      </c>
      <c r="J905" t="str">
        <f t="shared" si="74"/>
        <v>PTL000OATLR0PTLFER</v>
      </c>
      <c r="K905">
        <f>_xlfn.IFNA(IF(F905="H",VLOOKUP(E905,Fertiliser_data!$E$7:$L$267,8,FALSE),VLOOKUP(E905,Fertiliser_data!$E$7:$L$267,8,FALSE)*0.65),IF(F905="H",0.038,(0.038*0.65)))</f>
        <v>3.4022164179104482E-2</v>
      </c>
      <c r="L905">
        <f>IF($C905="IE",$K905*CF_231025!$E$16,$K905/VLOOKUP($C905,CF_231025!$A$2:$E$28,5,FALSE))</f>
        <v>9.9354971607888178E-3</v>
      </c>
    </row>
    <row r="906" spans="1:12" x14ac:dyDescent="0.25">
      <c r="A906" t="s">
        <v>136</v>
      </c>
      <c r="B906" t="s">
        <v>1064</v>
      </c>
      <c r="C906" t="str">
        <f t="shared" si="71"/>
        <v>PT</v>
      </c>
      <c r="D906" t="str">
        <f t="shared" si="72"/>
        <v>OTN</v>
      </c>
      <c r="E906" t="str">
        <f t="shared" si="70"/>
        <v>PTOTN</v>
      </c>
      <c r="F906" t="str">
        <f t="shared" si="73"/>
        <v>H</v>
      </c>
      <c r="G906" t="s">
        <v>1040</v>
      </c>
      <c r="H906">
        <v>1</v>
      </c>
      <c r="I906">
        <v>0.17</v>
      </c>
      <c r="J906" t="str">
        <f t="shared" si="74"/>
        <v>PTL000OTNHI0PTLFER</v>
      </c>
      <c r="K906">
        <f>_xlfn.IFNA(IF(F906="H",VLOOKUP(E906,Fertiliser_data!$E$7:$L$267,8,FALSE),VLOOKUP(E906,Fertiliser_data!$E$7:$L$267,8,FALSE)*0.65),IF(F906="H",0.038,(0.038*0.65)))</f>
        <v>0</v>
      </c>
      <c r="L906">
        <f>IF($C906="IE",$K906*CF_231025!$E$16,$K906/VLOOKUP($C906,CF_231025!$A$2:$E$28,5,FALSE))</f>
        <v>0</v>
      </c>
    </row>
    <row r="907" spans="1:12" x14ac:dyDescent="0.25">
      <c r="A907" t="s">
        <v>136</v>
      </c>
      <c r="B907" t="s">
        <v>1065</v>
      </c>
      <c r="C907" t="str">
        <f t="shared" si="71"/>
        <v>PT</v>
      </c>
      <c r="D907" t="str">
        <f t="shared" si="72"/>
        <v>OTN</v>
      </c>
      <c r="E907" t="str">
        <f t="shared" si="70"/>
        <v>PTOTN</v>
      </c>
      <c r="F907" t="str">
        <f t="shared" si="73"/>
        <v>H</v>
      </c>
      <c r="G907" t="s">
        <v>1040</v>
      </c>
      <c r="H907">
        <v>1</v>
      </c>
      <c r="I907">
        <v>0.17</v>
      </c>
      <c r="J907" t="str">
        <f t="shared" si="74"/>
        <v>PTL000OTNHR0PTLFER</v>
      </c>
      <c r="K907">
        <f>_xlfn.IFNA(IF(F907="H",VLOOKUP(E907,Fertiliser_data!$E$7:$L$267,8,FALSE),VLOOKUP(E907,Fertiliser_data!$E$7:$L$267,8,FALSE)*0.65),IF(F907="H",0.038,(0.038*0.65)))</f>
        <v>0</v>
      </c>
      <c r="L907">
        <f>IF($C907="IE",$K907*CF_231025!$E$16,$K907/VLOOKUP($C907,CF_231025!$A$2:$E$28,5,FALSE))</f>
        <v>0</v>
      </c>
    </row>
    <row r="908" spans="1:12" x14ac:dyDescent="0.25">
      <c r="A908" t="s">
        <v>136</v>
      </c>
      <c r="B908" t="s">
        <v>1066</v>
      </c>
      <c r="C908" t="str">
        <f t="shared" si="71"/>
        <v>PT</v>
      </c>
      <c r="D908" t="str">
        <f t="shared" si="72"/>
        <v>OTN</v>
      </c>
      <c r="E908" t="str">
        <f t="shared" si="70"/>
        <v>PTOTN</v>
      </c>
      <c r="F908" t="str">
        <f t="shared" si="73"/>
        <v>L</v>
      </c>
      <c r="G908" t="s">
        <v>1040</v>
      </c>
      <c r="H908">
        <v>1</v>
      </c>
      <c r="I908">
        <v>0.06</v>
      </c>
      <c r="J908" t="str">
        <f t="shared" si="74"/>
        <v>PTL000OTNLI0PTLFER</v>
      </c>
      <c r="K908">
        <f>_xlfn.IFNA(IF(F908="H",VLOOKUP(E908,Fertiliser_data!$E$7:$L$267,8,FALSE),VLOOKUP(E908,Fertiliser_data!$E$7:$L$267,8,FALSE)*0.65),IF(F908="H",0.038,(0.038*0.65)))</f>
        <v>0</v>
      </c>
      <c r="L908">
        <f>IF($C908="IE",$K908*CF_231025!$E$16,$K908/VLOOKUP($C908,CF_231025!$A$2:$E$28,5,FALSE))</f>
        <v>0</v>
      </c>
    </row>
    <row r="909" spans="1:12" x14ac:dyDescent="0.25">
      <c r="A909" t="s">
        <v>136</v>
      </c>
      <c r="B909" t="s">
        <v>1067</v>
      </c>
      <c r="C909" t="str">
        <f t="shared" si="71"/>
        <v>PT</v>
      </c>
      <c r="D909" t="str">
        <f t="shared" si="72"/>
        <v>OTN</v>
      </c>
      <c r="E909" t="str">
        <f t="shared" si="70"/>
        <v>PTOTN</v>
      </c>
      <c r="F909" t="str">
        <f t="shared" si="73"/>
        <v>L</v>
      </c>
      <c r="G909" t="s">
        <v>1040</v>
      </c>
      <c r="H909">
        <v>1</v>
      </c>
      <c r="I909">
        <v>0.06</v>
      </c>
      <c r="J909" t="str">
        <f t="shared" si="74"/>
        <v>PTL000OTNLR0PTLFER</v>
      </c>
      <c r="K909">
        <f>_xlfn.IFNA(IF(F909="H",VLOOKUP(E909,Fertiliser_data!$E$7:$L$267,8,FALSE),VLOOKUP(E909,Fertiliser_data!$E$7:$L$267,8,FALSE)*0.65),IF(F909="H",0.038,(0.038*0.65)))</f>
        <v>0</v>
      </c>
      <c r="L909">
        <f>IF($C909="IE",$K909*CF_231025!$E$16,$K909/VLOOKUP($C909,CF_231025!$A$2:$E$28,5,FALSE))</f>
        <v>0</v>
      </c>
    </row>
    <row r="910" spans="1:12" x14ac:dyDescent="0.25">
      <c r="A910" t="s">
        <v>136</v>
      </c>
      <c r="B910" t="s">
        <v>1068</v>
      </c>
      <c r="C910" t="str">
        <f t="shared" si="71"/>
        <v>PT</v>
      </c>
      <c r="D910" t="str">
        <f t="shared" si="72"/>
        <v>MAI</v>
      </c>
      <c r="E910" t="str">
        <f t="shared" si="70"/>
        <v>PTMAI</v>
      </c>
      <c r="F910" t="str">
        <f t="shared" si="73"/>
        <v>H</v>
      </c>
      <c r="G910" t="s">
        <v>1040</v>
      </c>
      <c r="H910">
        <v>1</v>
      </c>
      <c r="I910">
        <v>0.16</v>
      </c>
      <c r="J910" t="str">
        <f t="shared" si="74"/>
        <v>PTL000MAIHI0PTLFER</v>
      </c>
      <c r="K910">
        <f>_xlfn.IFNA(IF(F910="H",VLOOKUP(E910,Fertiliser_data!$E$7:$L$267,8,FALSE),VLOOKUP(E910,Fertiliser_data!$E$7:$L$267,8,FALSE)*0.65),IF(F910="H",0.038,(0.038*0.65)))</f>
        <v>9.147611940298507E-2</v>
      </c>
      <c r="L910">
        <f>IF($C910="IE",$K910*CF_231025!$E$16,$K910/VLOOKUP($C910,CF_231025!$A$2:$E$28,5,FALSE))</f>
        <v>2.6713783397898462E-2</v>
      </c>
    </row>
    <row r="911" spans="1:12" x14ac:dyDescent="0.25">
      <c r="A911" t="s">
        <v>136</v>
      </c>
      <c r="B911" t="s">
        <v>1069</v>
      </c>
      <c r="C911" t="str">
        <f t="shared" si="71"/>
        <v>PT</v>
      </c>
      <c r="D911" t="str">
        <f t="shared" si="72"/>
        <v>MAI</v>
      </c>
      <c r="E911" t="str">
        <f t="shared" si="70"/>
        <v>PTMAI</v>
      </c>
      <c r="F911" t="str">
        <f t="shared" si="73"/>
        <v>H</v>
      </c>
      <c r="G911" t="s">
        <v>1040</v>
      </c>
      <c r="H911">
        <v>1</v>
      </c>
      <c r="I911">
        <v>0.16</v>
      </c>
      <c r="J911" t="str">
        <f t="shared" si="74"/>
        <v>PTL000MAIHR0PTLFER</v>
      </c>
      <c r="K911">
        <f>_xlfn.IFNA(IF(F911="H",VLOOKUP(E911,Fertiliser_data!$E$7:$L$267,8,FALSE),VLOOKUP(E911,Fertiliser_data!$E$7:$L$267,8,FALSE)*0.65),IF(F911="H",0.038,(0.038*0.65)))</f>
        <v>9.147611940298507E-2</v>
      </c>
      <c r="L911">
        <f>IF($C911="IE",$K911*CF_231025!$E$16,$K911/VLOOKUP($C911,CF_231025!$A$2:$E$28,5,FALSE))</f>
        <v>2.6713783397898462E-2</v>
      </c>
    </row>
    <row r="912" spans="1:12" x14ac:dyDescent="0.25">
      <c r="A912" t="s">
        <v>136</v>
      </c>
      <c r="B912" t="s">
        <v>1070</v>
      </c>
      <c r="C912" t="str">
        <f t="shared" si="71"/>
        <v>PT</v>
      </c>
      <c r="D912" t="str">
        <f t="shared" si="72"/>
        <v>MAI</v>
      </c>
      <c r="E912" t="str">
        <f t="shared" si="70"/>
        <v>PTMAI</v>
      </c>
      <c r="F912" t="str">
        <f t="shared" si="73"/>
        <v>L</v>
      </c>
      <c r="G912" t="s">
        <v>1040</v>
      </c>
      <c r="H912">
        <v>1</v>
      </c>
      <c r="I912">
        <v>0.06</v>
      </c>
      <c r="J912" t="str">
        <f t="shared" si="74"/>
        <v>PTL000MAILI0PTLFER</v>
      </c>
      <c r="K912">
        <f>_xlfn.IFNA(IF(F912="H",VLOOKUP(E912,Fertiliser_data!$E$7:$L$267,8,FALSE),VLOOKUP(E912,Fertiliser_data!$E$7:$L$267,8,FALSE)*0.65),IF(F912="H",0.038,(0.038*0.65)))</f>
        <v>5.9459477611940301E-2</v>
      </c>
      <c r="L912">
        <f>IF($C912="IE",$K912*CF_231025!$E$16,$K912/VLOOKUP($C912,CF_231025!$A$2:$E$28,5,FALSE))</f>
        <v>1.7363959208634001E-2</v>
      </c>
    </row>
    <row r="913" spans="1:12" x14ac:dyDescent="0.25">
      <c r="A913" t="s">
        <v>136</v>
      </c>
      <c r="B913" t="s">
        <v>1071</v>
      </c>
      <c r="C913" t="str">
        <f t="shared" si="71"/>
        <v>PT</v>
      </c>
      <c r="D913" t="str">
        <f t="shared" si="72"/>
        <v>MAI</v>
      </c>
      <c r="E913" t="str">
        <f t="shared" si="70"/>
        <v>PTMAI</v>
      </c>
      <c r="F913" t="str">
        <f t="shared" si="73"/>
        <v>L</v>
      </c>
      <c r="G913" t="s">
        <v>1040</v>
      </c>
      <c r="H913">
        <v>1</v>
      </c>
      <c r="I913">
        <v>0.06</v>
      </c>
      <c r="J913" t="str">
        <f t="shared" si="74"/>
        <v>PTL000MAILR0PTLFER</v>
      </c>
      <c r="K913">
        <f>_xlfn.IFNA(IF(F913="H",VLOOKUP(E913,Fertiliser_data!$E$7:$L$267,8,FALSE),VLOOKUP(E913,Fertiliser_data!$E$7:$L$267,8,FALSE)*0.65),IF(F913="H",0.038,(0.038*0.65)))</f>
        <v>5.9459477611940301E-2</v>
      </c>
      <c r="L913">
        <f>IF($C913="IE",$K913*CF_231025!$E$16,$K913/VLOOKUP($C913,CF_231025!$A$2:$E$28,5,FALSE))</f>
        <v>1.7363959208634001E-2</v>
      </c>
    </row>
    <row r="914" spans="1:12" x14ac:dyDescent="0.25">
      <c r="A914" t="s">
        <v>136</v>
      </c>
      <c r="B914" t="s">
        <v>1072</v>
      </c>
      <c r="C914" t="str">
        <f t="shared" si="71"/>
        <v>PT</v>
      </c>
      <c r="D914" t="str">
        <f t="shared" si="72"/>
        <v>CHE</v>
      </c>
      <c r="E914" t="str">
        <f t="shared" si="70"/>
        <v>PTCHE</v>
      </c>
      <c r="F914" t="str">
        <f t="shared" si="73"/>
        <v>H</v>
      </c>
      <c r="G914" t="s">
        <v>1040</v>
      </c>
      <c r="H914">
        <v>1</v>
      </c>
      <c r="I914">
        <v>0.17</v>
      </c>
      <c r="J914" t="str">
        <f t="shared" si="74"/>
        <v>PTL000CHEHI0PTLFER</v>
      </c>
      <c r="K914">
        <f>_xlfn.IFNA(IF(F914="H",VLOOKUP(E914,Fertiliser_data!$E$7:$L$267,8,FALSE),VLOOKUP(E914,Fertiliser_data!$E$7:$L$267,8,FALSE)*0.65),IF(F914="H",0.038,(0.038*0.65)))</f>
        <v>3.7999999999999999E-2</v>
      </c>
      <c r="L914">
        <f>IF($C914="IE",$K914*CF_231025!$E$16,$K914/VLOOKUP($C914,CF_231025!$A$2:$E$28,5,FALSE))</f>
        <v>1.1097145088196819E-2</v>
      </c>
    </row>
    <row r="915" spans="1:12" x14ac:dyDescent="0.25">
      <c r="A915" t="s">
        <v>136</v>
      </c>
      <c r="B915" t="s">
        <v>1073</v>
      </c>
      <c r="C915" t="str">
        <f t="shared" si="71"/>
        <v>PT</v>
      </c>
      <c r="D915" t="str">
        <f t="shared" si="72"/>
        <v>CHE</v>
      </c>
      <c r="E915" t="str">
        <f t="shared" si="70"/>
        <v>PTCHE</v>
      </c>
      <c r="F915" t="str">
        <f t="shared" si="73"/>
        <v>H</v>
      </c>
      <c r="G915" t="s">
        <v>1040</v>
      </c>
      <c r="H915">
        <v>1</v>
      </c>
      <c r="I915">
        <v>0.17</v>
      </c>
      <c r="J915" t="str">
        <f t="shared" si="74"/>
        <v>PTL000CHEHR0PTLFER</v>
      </c>
      <c r="K915">
        <f>_xlfn.IFNA(IF(F915="H",VLOOKUP(E915,Fertiliser_data!$E$7:$L$267,8,FALSE),VLOOKUP(E915,Fertiliser_data!$E$7:$L$267,8,FALSE)*0.65),IF(F915="H",0.038,(0.038*0.65)))</f>
        <v>3.7999999999999999E-2</v>
      </c>
      <c r="L915">
        <f>IF($C915="IE",$K915*CF_231025!$E$16,$K915/VLOOKUP($C915,CF_231025!$A$2:$E$28,5,FALSE))</f>
        <v>1.1097145088196819E-2</v>
      </c>
    </row>
    <row r="916" spans="1:12" x14ac:dyDescent="0.25">
      <c r="A916" t="s">
        <v>136</v>
      </c>
      <c r="B916" t="s">
        <v>1074</v>
      </c>
      <c r="C916" t="str">
        <f t="shared" si="71"/>
        <v>PT</v>
      </c>
      <c r="D916" t="str">
        <f t="shared" si="72"/>
        <v>CHE</v>
      </c>
      <c r="E916" t="str">
        <f t="shared" si="70"/>
        <v>PTCHE</v>
      </c>
      <c r="F916" t="str">
        <f t="shared" si="73"/>
        <v>L</v>
      </c>
      <c r="G916" t="s">
        <v>1040</v>
      </c>
      <c r="H916">
        <v>1</v>
      </c>
      <c r="I916">
        <v>0.06</v>
      </c>
      <c r="J916" t="str">
        <f t="shared" si="74"/>
        <v>PTL000CHELI0PTLFER</v>
      </c>
      <c r="K916">
        <f>_xlfn.IFNA(IF(F916="H",VLOOKUP(E916,Fertiliser_data!$E$7:$L$267,8,FALSE),VLOOKUP(E916,Fertiliser_data!$E$7:$L$267,8,FALSE)*0.65),IF(F916="H",0.038,(0.038*0.65)))</f>
        <v>2.47E-2</v>
      </c>
      <c r="L916">
        <f>IF($C916="IE",$K916*CF_231025!$E$16,$K916/VLOOKUP($C916,CF_231025!$A$2:$E$28,5,FALSE))</f>
        <v>7.2131443073279325E-3</v>
      </c>
    </row>
    <row r="917" spans="1:12" x14ac:dyDescent="0.25">
      <c r="A917" t="s">
        <v>136</v>
      </c>
      <c r="B917" t="s">
        <v>1075</v>
      </c>
      <c r="C917" t="str">
        <f t="shared" si="71"/>
        <v>PT</v>
      </c>
      <c r="D917" t="str">
        <f t="shared" si="72"/>
        <v>CHE</v>
      </c>
      <c r="E917" t="str">
        <f t="shared" si="70"/>
        <v>PTCHE</v>
      </c>
      <c r="F917" t="str">
        <f t="shared" si="73"/>
        <v>L</v>
      </c>
      <c r="G917" t="s">
        <v>1040</v>
      </c>
      <c r="H917">
        <v>1</v>
      </c>
      <c r="I917">
        <v>0.06</v>
      </c>
      <c r="J917" t="str">
        <f t="shared" si="74"/>
        <v>PTL000CHELR0PTLFER</v>
      </c>
      <c r="K917">
        <f>_xlfn.IFNA(IF(F917="H",VLOOKUP(E917,Fertiliser_data!$E$7:$L$267,8,FALSE),VLOOKUP(E917,Fertiliser_data!$E$7:$L$267,8,FALSE)*0.65),IF(F917="H",0.038,(0.038*0.65)))</f>
        <v>2.47E-2</v>
      </c>
      <c r="L917">
        <f>IF($C917="IE",$K917*CF_231025!$E$16,$K917/VLOOKUP($C917,CF_231025!$A$2:$E$28,5,FALSE))</f>
        <v>7.2131443073279325E-3</v>
      </c>
    </row>
    <row r="918" spans="1:12" x14ac:dyDescent="0.25">
      <c r="A918" t="s">
        <v>136</v>
      </c>
      <c r="B918" t="s">
        <v>1076</v>
      </c>
      <c r="C918" t="str">
        <f t="shared" si="71"/>
        <v>PT</v>
      </c>
      <c r="D918" t="str">
        <f t="shared" si="72"/>
        <v>OLI</v>
      </c>
      <c r="E918" t="str">
        <f t="shared" si="70"/>
        <v>PTOLI</v>
      </c>
      <c r="F918" t="str">
        <f t="shared" si="73"/>
        <v>H</v>
      </c>
      <c r="G918" t="s">
        <v>1040</v>
      </c>
      <c r="H918">
        <v>1</v>
      </c>
      <c r="I918">
        <v>0.17</v>
      </c>
      <c r="J918" t="str">
        <f t="shared" si="74"/>
        <v>PTL000OLIHI0PTLFER</v>
      </c>
      <c r="K918">
        <f>_xlfn.IFNA(IF(F918="H",VLOOKUP(E918,Fertiliser_data!$E$7:$L$267,8,FALSE),VLOOKUP(E918,Fertiliser_data!$E$7:$L$267,8,FALSE)*0.65),IF(F918="H",0.038,(0.038*0.65)))</f>
        <v>2.6305970149253736E-2</v>
      </c>
      <c r="L918">
        <f>IF($C918="IE",$K918*CF_231025!$E$16,$K918/VLOOKUP($C918,CF_231025!$A$2:$E$28,5,FALSE))</f>
        <v>7.68213598505377E-3</v>
      </c>
    </row>
    <row r="919" spans="1:12" x14ac:dyDescent="0.25">
      <c r="A919" t="s">
        <v>136</v>
      </c>
      <c r="B919" t="s">
        <v>1077</v>
      </c>
      <c r="C919" t="str">
        <f t="shared" si="71"/>
        <v>PT</v>
      </c>
      <c r="D919" t="str">
        <f t="shared" si="72"/>
        <v>OLI</v>
      </c>
      <c r="E919" t="str">
        <f t="shared" si="70"/>
        <v>PTOLI</v>
      </c>
      <c r="F919" t="str">
        <f t="shared" si="73"/>
        <v>H</v>
      </c>
      <c r="G919" t="s">
        <v>1040</v>
      </c>
      <c r="H919">
        <v>1</v>
      </c>
      <c r="I919">
        <v>0.17</v>
      </c>
      <c r="J919" t="str">
        <f t="shared" si="74"/>
        <v>PTL000OLIHR0PTLFER</v>
      </c>
      <c r="K919">
        <f>_xlfn.IFNA(IF(F919="H",VLOOKUP(E919,Fertiliser_data!$E$7:$L$267,8,FALSE),VLOOKUP(E919,Fertiliser_data!$E$7:$L$267,8,FALSE)*0.65),IF(F919="H",0.038,(0.038*0.65)))</f>
        <v>2.6305970149253736E-2</v>
      </c>
      <c r="L919">
        <f>IF($C919="IE",$K919*CF_231025!$E$16,$K919/VLOOKUP($C919,CF_231025!$A$2:$E$28,5,FALSE))</f>
        <v>7.68213598505377E-3</v>
      </c>
    </row>
    <row r="920" spans="1:12" x14ac:dyDescent="0.25">
      <c r="A920" t="s">
        <v>136</v>
      </c>
      <c r="B920" t="s">
        <v>1078</v>
      </c>
      <c r="C920" t="str">
        <f t="shared" si="71"/>
        <v>PT</v>
      </c>
      <c r="D920" t="str">
        <f t="shared" si="72"/>
        <v>OLI</v>
      </c>
      <c r="E920" t="str">
        <f t="shared" si="70"/>
        <v>PTOLI</v>
      </c>
      <c r="F920" t="str">
        <f t="shared" si="73"/>
        <v>L</v>
      </c>
      <c r="G920" t="s">
        <v>1040</v>
      </c>
      <c r="H920">
        <v>1</v>
      </c>
      <c r="I920">
        <v>0.06</v>
      </c>
      <c r="J920" t="str">
        <f t="shared" si="74"/>
        <v>PTL000OLILI0PTLFER</v>
      </c>
      <c r="K920">
        <f>_xlfn.IFNA(IF(F920="H",VLOOKUP(E920,Fertiliser_data!$E$7:$L$267,8,FALSE),VLOOKUP(E920,Fertiliser_data!$E$7:$L$267,8,FALSE)*0.65),IF(F920="H",0.038,(0.038*0.65)))</f>
        <v>1.7098880597014927E-2</v>
      </c>
      <c r="L920">
        <f>IF($C920="IE",$K920*CF_231025!$E$16,$K920/VLOOKUP($C920,CF_231025!$A$2:$E$28,5,FALSE))</f>
        <v>4.9933883902849498E-3</v>
      </c>
    </row>
    <row r="921" spans="1:12" x14ac:dyDescent="0.25">
      <c r="A921" t="s">
        <v>136</v>
      </c>
      <c r="B921" t="s">
        <v>1079</v>
      </c>
      <c r="C921" t="str">
        <f t="shared" si="71"/>
        <v>PT</v>
      </c>
      <c r="D921" t="str">
        <f t="shared" si="72"/>
        <v>OLI</v>
      </c>
      <c r="E921" t="str">
        <f t="shared" si="70"/>
        <v>PTOLI</v>
      </c>
      <c r="F921" t="str">
        <f t="shared" si="73"/>
        <v>L</v>
      </c>
      <c r="G921" t="s">
        <v>1040</v>
      </c>
      <c r="H921">
        <v>1</v>
      </c>
      <c r="I921">
        <v>0.06</v>
      </c>
      <c r="J921" t="str">
        <f t="shared" si="74"/>
        <v>PTL000OLILR0PTLFER</v>
      </c>
      <c r="K921">
        <f>_xlfn.IFNA(IF(F921="H",VLOOKUP(E921,Fertiliser_data!$E$7:$L$267,8,FALSE),VLOOKUP(E921,Fertiliser_data!$E$7:$L$267,8,FALSE)*0.65),IF(F921="H",0.038,(0.038*0.65)))</f>
        <v>1.7098880597014927E-2</v>
      </c>
      <c r="L921">
        <f>IF($C921="IE",$K921*CF_231025!$E$16,$K921/VLOOKUP($C921,CF_231025!$A$2:$E$28,5,FALSE))</f>
        <v>4.9933883902849498E-3</v>
      </c>
    </row>
    <row r="922" spans="1:12" x14ac:dyDescent="0.25">
      <c r="A922" t="s">
        <v>136</v>
      </c>
      <c r="B922" t="s">
        <v>1080</v>
      </c>
      <c r="C922" t="str">
        <f t="shared" si="71"/>
        <v>RO</v>
      </c>
      <c r="D922" t="str">
        <f t="shared" si="72"/>
        <v>WHE</v>
      </c>
      <c r="E922" t="str">
        <f t="shared" si="70"/>
        <v>ROWHE</v>
      </c>
      <c r="F922" t="str">
        <f t="shared" si="73"/>
        <v>H</v>
      </c>
      <c r="G922" t="s">
        <v>1081</v>
      </c>
      <c r="H922">
        <v>1</v>
      </c>
      <c r="I922">
        <v>0.2</v>
      </c>
      <c r="J922" t="str">
        <f t="shared" si="74"/>
        <v>ROL000WHEHI0ROLFER</v>
      </c>
      <c r="K922">
        <f>_xlfn.IFNA(IF(F922="H",VLOOKUP(E922,Fertiliser_data!$E$7:$L$267,8,FALSE),VLOOKUP(E922,Fertiliser_data!$E$7:$L$267,8,FALSE)*0.65),IF(F922="H",0.038,(0.038*0.65)))</f>
        <v>3.5379104477611945E-2</v>
      </c>
      <c r="L922">
        <f>IF($C922="IE",$K922*CF_231025!$E$16,$K922/VLOOKUP($C922,CF_231025!$A$2:$E$28,5,FALSE))</f>
        <v>1.1924880364886774E-2</v>
      </c>
    </row>
    <row r="923" spans="1:12" x14ac:dyDescent="0.25">
      <c r="A923" t="s">
        <v>136</v>
      </c>
      <c r="B923" t="s">
        <v>1082</v>
      </c>
      <c r="C923" t="str">
        <f t="shared" si="71"/>
        <v>RO</v>
      </c>
      <c r="D923" t="str">
        <f t="shared" si="72"/>
        <v>WHE</v>
      </c>
      <c r="E923" t="str">
        <f t="shared" si="70"/>
        <v>ROWHE</v>
      </c>
      <c r="F923" t="str">
        <f t="shared" si="73"/>
        <v>H</v>
      </c>
      <c r="G923" t="s">
        <v>1081</v>
      </c>
      <c r="H923">
        <v>1</v>
      </c>
      <c r="I923">
        <v>0.2</v>
      </c>
      <c r="J923" t="str">
        <f t="shared" si="74"/>
        <v>ROL000WHEHR0ROLFER</v>
      </c>
      <c r="K923">
        <f>_xlfn.IFNA(IF(F923="H",VLOOKUP(E923,Fertiliser_data!$E$7:$L$267,8,FALSE),VLOOKUP(E923,Fertiliser_data!$E$7:$L$267,8,FALSE)*0.65),IF(F923="H",0.038,(0.038*0.65)))</f>
        <v>3.5379104477611945E-2</v>
      </c>
      <c r="L923">
        <f>IF($C923="IE",$K923*CF_231025!$E$16,$K923/VLOOKUP($C923,CF_231025!$A$2:$E$28,5,FALSE))</f>
        <v>1.1924880364886774E-2</v>
      </c>
    </row>
    <row r="924" spans="1:12" x14ac:dyDescent="0.25">
      <c r="A924" t="s">
        <v>136</v>
      </c>
      <c r="B924" t="s">
        <v>1083</v>
      </c>
      <c r="C924" t="str">
        <f t="shared" si="71"/>
        <v>RO</v>
      </c>
      <c r="D924" t="str">
        <f t="shared" si="72"/>
        <v>WHE</v>
      </c>
      <c r="E924" t="str">
        <f t="shared" si="70"/>
        <v>ROWHE</v>
      </c>
      <c r="F924" t="str">
        <f t="shared" si="73"/>
        <v>L</v>
      </c>
      <c r="G924" t="s">
        <v>1081</v>
      </c>
      <c r="H924">
        <v>1</v>
      </c>
      <c r="I924">
        <v>7.0000000000000007E-2</v>
      </c>
      <c r="J924" t="str">
        <f t="shared" si="74"/>
        <v>ROL000WHELI0ROLFER</v>
      </c>
      <c r="K924">
        <f>_xlfn.IFNA(IF(F924="H",VLOOKUP(E924,Fertiliser_data!$E$7:$L$267,8,FALSE),VLOOKUP(E924,Fertiliser_data!$E$7:$L$267,8,FALSE)*0.65),IF(F924="H",0.038,(0.038*0.65)))</f>
        <v>2.2996417910447764E-2</v>
      </c>
      <c r="L924">
        <f>IF($C924="IE",$K924*CF_231025!$E$16,$K924/VLOOKUP($C924,CF_231025!$A$2:$E$28,5,FALSE))</f>
        <v>7.7511722371764024E-3</v>
      </c>
    </row>
    <row r="925" spans="1:12" x14ac:dyDescent="0.25">
      <c r="A925" t="s">
        <v>136</v>
      </c>
      <c r="B925" t="s">
        <v>1084</v>
      </c>
      <c r="C925" t="str">
        <f t="shared" si="71"/>
        <v>RO</v>
      </c>
      <c r="D925" t="str">
        <f t="shared" si="72"/>
        <v>WHE</v>
      </c>
      <c r="E925" t="str">
        <f t="shared" si="70"/>
        <v>ROWHE</v>
      </c>
      <c r="F925" t="str">
        <f t="shared" si="73"/>
        <v>L</v>
      </c>
      <c r="G925" t="s">
        <v>1081</v>
      </c>
      <c r="H925">
        <v>1</v>
      </c>
      <c r="I925">
        <v>7.0000000000000007E-2</v>
      </c>
      <c r="J925" t="str">
        <f t="shared" si="74"/>
        <v>ROL000WHELR0ROLFER</v>
      </c>
      <c r="K925">
        <f>_xlfn.IFNA(IF(F925="H",VLOOKUP(E925,Fertiliser_data!$E$7:$L$267,8,FALSE),VLOOKUP(E925,Fertiliser_data!$E$7:$L$267,8,FALSE)*0.65),IF(F925="H",0.038,(0.038*0.65)))</f>
        <v>2.2996417910447764E-2</v>
      </c>
      <c r="L925">
        <f>IF($C925="IE",$K925*CF_231025!$E$16,$K925/VLOOKUP($C925,CF_231025!$A$2:$E$28,5,FALSE))</f>
        <v>7.7511722371764024E-3</v>
      </c>
    </row>
    <row r="926" spans="1:12" x14ac:dyDescent="0.25">
      <c r="A926" t="s">
        <v>136</v>
      </c>
      <c r="B926" t="s">
        <v>1085</v>
      </c>
      <c r="C926" t="str">
        <f t="shared" si="71"/>
        <v>RO</v>
      </c>
      <c r="D926" t="str">
        <f t="shared" si="72"/>
        <v>OAT</v>
      </c>
      <c r="E926" t="str">
        <f t="shared" si="70"/>
        <v>ROOAT</v>
      </c>
      <c r="F926" t="str">
        <f t="shared" si="73"/>
        <v>H</v>
      </c>
      <c r="G926" t="s">
        <v>1081</v>
      </c>
      <c r="H926">
        <v>1</v>
      </c>
      <c r="I926">
        <v>0.11</v>
      </c>
      <c r="J926" t="str">
        <f t="shared" si="74"/>
        <v>ROL000OATHI0ROLFER</v>
      </c>
      <c r="K926">
        <f>_xlfn.IFNA(IF(F926="H",VLOOKUP(E926,Fertiliser_data!$E$7:$L$267,8,FALSE),VLOOKUP(E926,Fertiliser_data!$E$7:$L$267,8,FALSE)*0.65),IF(F926="H",0.038,(0.038*0.65)))</f>
        <v>5.9776119402985073E-3</v>
      </c>
      <c r="L926">
        <f>IF($C926="IE",$K926*CF_231025!$E$16,$K926/VLOOKUP($C926,CF_231025!$A$2:$E$28,5,FALSE))</f>
        <v>2.0148137808543502E-3</v>
      </c>
    </row>
    <row r="927" spans="1:12" x14ac:dyDescent="0.25">
      <c r="A927" t="s">
        <v>136</v>
      </c>
      <c r="B927" t="s">
        <v>1086</v>
      </c>
      <c r="C927" t="str">
        <f t="shared" si="71"/>
        <v>RO</v>
      </c>
      <c r="D927" t="str">
        <f t="shared" si="72"/>
        <v>OAT</v>
      </c>
      <c r="E927" t="str">
        <f t="shared" si="70"/>
        <v>ROOAT</v>
      </c>
      <c r="F927" t="str">
        <f t="shared" si="73"/>
        <v>H</v>
      </c>
      <c r="G927" t="s">
        <v>1081</v>
      </c>
      <c r="H927">
        <v>1</v>
      </c>
      <c r="I927">
        <v>0.11</v>
      </c>
      <c r="J927" t="str">
        <f t="shared" si="74"/>
        <v>ROL000OATHR0ROLFER</v>
      </c>
      <c r="K927">
        <f>_xlfn.IFNA(IF(F927="H",VLOOKUP(E927,Fertiliser_data!$E$7:$L$267,8,FALSE),VLOOKUP(E927,Fertiliser_data!$E$7:$L$267,8,FALSE)*0.65),IF(F927="H",0.038,(0.038*0.65)))</f>
        <v>5.9776119402985073E-3</v>
      </c>
      <c r="L927">
        <f>IF($C927="IE",$K927*CF_231025!$E$16,$K927/VLOOKUP($C927,CF_231025!$A$2:$E$28,5,FALSE))</f>
        <v>2.0148137808543502E-3</v>
      </c>
    </row>
    <row r="928" spans="1:12" x14ac:dyDescent="0.25">
      <c r="A928" t="s">
        <v>136</v>
      </c>
      <c r="B928" t="s">
        <v>1087</v>
      </c>
      <c r="C928" t="str">
        <f t="shared" si="71"/>
        <v>RO</v>
      </c>
      <c r="D928" t="str">
        <f t="shared" si="72"/>
        <v>OAT</v>
      </c>
      <c r="E928" t="str">
        <f t="shared" si="70"/>
        <v>ROOAT</v>
      </c>
      <c r="F928" t="str">
        <f t="shared" si="73"/>
        <v>L</v>
      </c>
      <c r="G928" t="s">
        <v>1081</v>
      </c>
      <c r="H928">
        <v>1</v>
      </c>
      <c r="I928">
        <v>0.04</v>
      </c>
      <c r="J928" t="str">
        <f t="shared" si="74"/>
        <v>ROL000OATLI0ROLFER</v>
      </c>
      <c r="K928">
        <f>_xlfn.IFNA(IF(F928="H",VLOOKUP(E928,Fertiliser_data!$E$7:$L$267,8,FALSE),VLOOKUP(E928,Fertiliser_data!$E$7:$L$267,8,FALSE)*0.65),IF(F928="H",0.038,(0.038*0.65)))</f>
        <v>3.8854477611940299E-3</v>
      </c>
      <c r="L928">
        <f>IF($C928="IE",$K928*CF_231025!$E$16,$K928/VLOOKUP($C928,CF_231025!$A$2:$E$28,5,FALSE))</f>
        <v>1.3096289575553277E-3</v>
      </c>
    </row>
    <row r="929" spans="1:12" x14ac:dyDescent="0.25">
      <c r="A929" t="s">
        <v>136</v>
      </c>
      <c r="B929" t="s">
        <v>1088</v>
      </c>
      <c r="C929" t="str">
        <f t="shared" si="71"/>
        <v>RO</v>
      </c>
      <c r="D929" t="str">
        <f t="shared" si="72"/>
        <v>OAT</v>
      </c>
      <c r="E929" t="str">
        <f t="shared" si="70"/>
        <v>ROOAT</v>
      </c>
      <c r="F929" t="str">
        <f t="shared" si="73"/>
        <v>L</v>
      </c>
      <c r="G929" t="s">
        <v>1081</v>
      </c>
      <c r="H929">
        <v>1</v>
      </c>
      <c r="I929">
        <v>0.04</v>
      </c>
      <c r="J929" t="str">
        <f t="shared" si="74"/>
        <v>ROL000OATLR0ROLFER</v>
      </c>
      <c r="K929">
        <f>_xlfn.IFNA(IF(F929="H",VLOOKUP(E929,Fertiliser_data!$E$7:$L$267,8,FALSE),VLOOKUP(E929,Fertiliser_data!$E$7:$L$267,8,FALSE)*0.65),IF(F929="H",0.038,(0.038*0.65)))</f>
        <v>3.8854477611940299E-3</v>
      </c>
      <c r="L929">
        <f>IF($C929="IE",$K929*CF_231025!$E$16,$K929/VLOOKUP($C929,CF_231025!$A$2:$E$28,5,FALSE))</f>
        <v>1.3096289575553277E-3</v>
      </c>
    </row>
    <row r="930" spans="1:12" x14ac:dyDescent="0.25">
      <c r="A930" t="s">
        <v>136</v>
      </c>
      <c r="B930" t="s">
        <v>1089</v>
      </c>
      <c r="C930" t="str">
        <f t="shared" si="71"/>
        <v>RO</v>
      </c>
      <c r="D930" t="str">
        <f t="shared" si="72"/>
        <v>BRL</v>
      </c>
      <c r="E930" t="str">
        <f t="shared" si="70"/>
        <v>ROBRL</v>
      </c>
      <c r="F930" t="str">
        <f t="shared" si="73"/>
        <v>H</v>
      </c>
      <c r="G930" t="s">
        <v>1081</v>
      </c>
      <c r="H930">
        <v>1</v>
      </c>
      <c r="I930">
        <v>0.15</v>
      </c>
      <c r="J930" t="str">
        <f t="shared" si="74"/>
        <v>ROL000BRLHI0ROLFER</v>
      </c>
      <c r="K930">
        <f>_xlfn.IFNA(IF(F930="H",VLOOKUP(E930,Fertiliser_data!$E$7:$L$267,8,FALSE),VLOOKUP(E930,Fertiliser_data!$E$7:$L$267,8,FALSE)*0.65),IF(F930="H",0.038,(0.038*0.65)))</f>
        <v>5.9776119402985073E-3</v>
      </c>
      <c r="L930">
        <f>IF($C930="IE",$K930*CF_231025!$E$16,$K930/VLOOKUP($C930,CF_231025!$A$2:$E$28,5,FALSE))</f>
        <v>2.0148137808543502E-3</v>
      </c>
    </row>
    <row r="931" spans="1:12" x14ac:dyDescent="0.25">
      <c r="A931" t="s">
        <v>136</v>
      </c>
      <c r="B931" t="s">
        <v>1090</v>
      </c>
      <c r="C931" t="str">
        <f t="shared" si="71"/>
        <v>RO</v>
      </c>
      <c r="D931" t="str">
        <f t="shared" si="72"/>
        <v>BRL</v>
      </c>
      <c r="E931" t="str">
        <f t="shared" si="70"/>
        <v>ROBRL</v>
      </c>
      <c r="F931" t="str">
        <f t="shared" si="73"/>
        <v>H</v>
      </c>
      <c r="G931" t="s">
        <v>1081</v>
      </c>
      <c r="H931">
        <v>1</v>
      </c>
      <c r="I931">
        <v>0.15</v>
      </c>
      <c r="J931" t="str">
        <f t="shared" si="74"/>
        <v>ROL000BRLHR0ROLFER</v>
      </c>
      <c r="K931">
        <f>_xlfn.IFNA(IF(F931="H",VLOOKUP(E931,Fertiliser_data!$E$7:$L$267,8,FALSE),VLOOKUP(E931,Fertiliser_data!$E$7:$L$267,8,FALSE)*0.65),IF(F931="H",0.038,(0.038*0.65)))</f>
        <v>5.9776119402985073E-3</v>
      </c>
      <c r="L931">
        <f>IF($C931="IE",$K931*CF_231025!$E$16,$K931/VLOOKUP($C931,CF_231025!$A$2:$E$28,5,FALSE))</f>
        <v>2.0148137808543502E-3</v>
      </c>
    </row>
    <row r="932" spans="1:12" x14ac:dyDescent="0.25">
      <c r="A932" t="s">
        <v>136</v>
      </c>
      <c r="B932" t="s">
        <v>1091</v>
      </c>
      <c r="C932" t="str">
        <f t="shared" si="71"/>
        <v>RO</v>
      </c>
      <c r="D932" t="str">
        <f t="shared" si="72"/>
        <v>BRL</v>
      </c>
      <c r="E932" t="str">
        <f t="shared" si="70"/>
        <v>ROBRL</v>
      </c>
      <c r="F932" t="str">
        <f t="shared" si="73"/>
        <v>L</v>
      </c>
      <c r="G932" t="s">
        <v>1081</v>
      </c>
      <c r="H932">
        <v>1</v>
      </c>
      <c r="I932">
        <v>0.06</v>
      </c>
      <c r="J932" t="str">
        <f t="shared" si="74"/>
        <v>ROL000BRLLI0ROLFER</v>
      </c>
      <c r="K932">
        <f>_xlfn.IFNA(IF(F932="H",VLOOKUP(E932,Fertiliser_data!$E$7:$L$267,8,FALSE),VLOOKUP(E932,Fertiliser_data!$E$7:$L$267,8,FALSE)*0.65),IF(F932="H",0.038,(0.038*0.65)))</f>
        <v>3.8854477611940299E-3</v>
      </c>
      <c r="L932">
        <f>IF($C932="IE",$K932*CF_231025!$E$16,$K932/VLOOKUP($C932,CF_231025!$A$2:$E$28,5,FALSE))</f>
        <v>1.3096289575553277E-3</v>
      </c>
    </row>
    <row r="933" spans="1:12" x14ac:dyDescent="0.25">
      <c r="A933" t="s">
        <v>136</v>
      </c>
      <c r="B933" t="s">
        <v>1092</v>
      </c>
      <c r="C933" t="str">
        <f t="shared" si="71"/>
        <v>RO</v>
      </c>
      <c r="D933" t="str">
        <f t="shared" si="72"/>
        <v>BRL</v>
      </c>
      <c r="E933" t="str">
        <f t="shared" si="70"/>
        <v>ROBRL</v>
      </c>
      <c r="F933" t="str">
        <f t="shared" si="73"/>
        <v>L</v>
      </c>
      <c r="G933" t="s">
        <v>1081</v>
      </c>
      <c r="H933">
        <v>1</v>
      </c>
      <c r="I933">
        <v>0.06</v>
      </c>
      <c r="J933" t="str">
        <f t="shared" si="74"/>
        <v>ROL000BRLLR0ROLFER</v>
      </c>
      <c r="K933">
        <f>_xlfn.IFNA(IF(F933="H",VLOOKUP(E933,Fertiliser_data!$E$7:$L$267,8,FALSE),VLOOKUP(E933,Fertiliser_data!$E$7:$L$267,8,FALSE)*0.65),IF(F933="H",0.038,(0.038*0.65)))</f>
        <v>3.8854477611940299E-3</v>
      </c>
      <c r="L933">
        <f>IF($C933="IE",$K933*CF_231025!$E$16,$K933/VLOOKUP($C933,CF_231025!$A$2:$E$28,5,FALSE))</f>
        <v>1.3096289575553277E-3</v>
      </c>
    </row>
    <row r="934" spans="1:12" x14ac:dyDescent="0.25">
      <c r="A934" t="s">
        <v>136</v>
      </c>
      <c r="B934" t="s">
        <v>1093</v>
      </c>
      <c r="C934" t="str">
        <f t="shared" si="71"/>
        <v>RO</v>
      </c>
      <c r="D934" t="str">
        <f t="shared" si="72"/>
        <v>POT</v>
      </c>
      <c r="E934" t="str">
        <f t="shared" si="70"/>
        <v>ROPOT</v>
      </c>
      <c r="F934" t="str">
        <f t="shared" si="73"/>
        <v>H</v>
      </c>
      <c r="G934" t="s">
        <v>1081</v>
      </c>
      <c r="H934">
        <v>1</v>
      </c>
      <c r="I934">
        <v>0.17</v>
      </c>
      <c r="J934" t="str">
        <f t="shared" si="74"/>
        <v>ROL000POTHI0ROLFER</v>
      </c>
      <c r="K934">
        <f>_xlfn.IFNA(IF(F934="H",VLOOKUP(E934,Fertiliser_data!$E$7:$L$267,8,FALSE),VLOOKUP(E934,Fertiliser_data!$E$7:$L$267,8,FALSE)*0.65),IF(F934="H",0.038,(0.038*0.65)))</f>
        <v>2.2637313432835822E-2</v>
      </c>
      <c r="L934">
        <f>IF($C934="IE",$K934*CF_231025!$E$16,$K934/VLOOKUP($C934,CF_231025!$A$2:$E$28,5,FALSE))</f>
        <v>7.6301324879445524E-3</v>
      </c>
    </row>
    <row r="935" spans="1:12" x14ac:dyDescent="0.25">
      <c r="A935" t="s">
        <v>136</v>
      </c>
      <c r="B935" t="s">
        <v>1094</v>
      </c>
      <c r="C935" t="str">
        <f t="shared" si="71"/>
        <v>RO</v>
      </c>
      <c r="D935" t="str">
        <f t="shared" si="72"/>
        <v>POT</v>
      </c>
      <c r="E935" t="str">
        <f t="shared" si="70"/>
        <v>ROPOT</v>
      </c>
      <c r="F935" t="str">
        <f t="shared" si="73"/>
        <v>H</v>
      </c>
      <c r="G935" t="s">
        <v>1081</v>
      </c>
      <c r="H935">
        <v>1</v>
      </c>
      <c r="I935">
        <v>0.17</v>
      </c>
      <c r="J935" t="str">
        <f t="shared" si="74"/>
        <v>ROL000POTHR0ROLFER</v>
      </c>
      <c r="K935">
        <f>_xlfn.IFNA(IF(F935="H",VLOOKUP(E935,Fertiliser_data!$E$7:$L$267,8,FALSE),VLOOKUP(E935,Fertiliser_data!$E$7:$L$267,8,FALSE)*0.65),IF(F935="H",0.038,(0.038*0.65)))</f>
        <v>2.2637313432835822E-2</v>
      </c>
      <c r="L935">
        <f>IF($C935="IE",$K935*CF_231025!$E$16,$K935/VLOOKUP($C935,CF_231025!$A$2:$E$28,5,FALSE))</f>
        <v>7.6301324879445524E-3</v>
      </c>
    </row>
    <row r="936" spans="1:12" x14ac:dyDescent="0.25">
      <c r="A936" t="s">
        <v>136</v>
      </c>
      <c r="B936" t="s">
        <v>1095</v>
      </c>
      <c r="C936" t="str">
        <f t="shared" si="71"/>
        <v>RO</v>
      </c>
      <c r="D936" t="str">
        <f t="shared" si="72"/>
        <v>POT</v>
      </c>
      <c r="E936" t="str">
        <f t="shared" si="70"/>
        <v>ROPOT</v>
      </c>
      <c r="F936" t="str">
        <f t="shared" si="73"/>
        <v>L</v>
      </c>
      <c r="G936" t="s">
        <v>1081</v>
      </c>
      <c r="H936">
        <v>1</v>
      </c>
      <c r="I936">
        <v>0.06</v>
      </c>
      <c r="J936" t="str">
        <f t="shared" si="74"/>
        <v>ROL000POTLI0ROLFER</v>
      </c>
      <c r="K936">
        <f>_xlfn.IFNA(IF(F936="H",VLOOKUP(E936,Fertiliser_data!$E$7:$L$267,8,FALSE),VLOOKUP(E936,Fertiliser_data!$E$7:$L$267,8,FALSE)*0.65),IF(F936="H",0.038,(0.038*0.65)))</f>
        <v>1.4714253731343285E-2</v>
      </c>
      <c r="L936">
        <f>IF($C936="IE",$K936*CF_231025!$E$16,$K936/VLOOKUP($C936,CF_231025!$A$2:$E$28,5,FALSE))</f>
        <v>4.9595861171639593E-3</v>
      </c>
    </row>
    <row r="937" spans="1:12" x14ac:dyDescent="0.25">
      <c r="A937" t="s">
        <v>136</v>
      </c>
      <c r="B937" t="s">
        <v>1096</v>
      </c>
      <c r="C937" t="str">
        <f t="shared" si="71"/>
        <v>RO</v>
      </c>
      <c r="D937" t="str">
        <f t="shared" si="72"/>
        <v>POT</v>
      </c>
      <c r="E937" t="str">
        <f t="shared" si="70"/>
        <v>ROPOT</v>
      </c>
      <c r="F937" t="str">
        <f t="shared" si="73"/>
        <v>L</v>
      </c>
      <c r="G937" t="s">
        <v>1081</v>
      </c>
      <c r="H937">
        <v>1</v>
      </c>
      <c r="I937">
        <v>0.06</v>
      </c>
      <c r="J937" t="str">
        <f t="shared" si="74"/>
        <v>ROL000POTLR0ROLFER</v>
      </c>
      <c r="K937">
        <f>_xlfn.IFNA(IF(F937="H",VLOOKUP(E937,Fertiliser_data!$E$7:$L$267,8,FALSE),VLOOKUP(E937,Fertiliser_data!$E$7:$L$267,8,FALSE)*0.65),IF(F937="H",0.038,(0.038*0.65)))</f>
        <v>1.4714253731343285E-2</v>
      </c>
      <c r="L937">
        <f>IF($C937="IE",$K937*CF_231025!$E$16,$K937/VLOOKUP($C937,CF_231025!$A$2:$E$28,5,FALSE))</f>
        <v>4.9595861171639593E-3</v>
      </c>
    </row>
    <row r="938" spans="1:12" x14ac:dyDescent="0.25">
      <c r="A938" t="s">
        <v>136</v>
      </c>
      <c r="B938" t="s">
        <v>1097</v>
      </c>
      <c r="C938" t="str">
        <f t="shared" si="71"/>
        <v>RO</v>
      </c>
      <c r="D938" t="str">
        <f t="shared" si="72"/>
        <v>OTH</v>
      </c>
      <c r="E938" t="str">
        <f t="shared" si="70"/>
        <v>ROOTH</v>
      </c>
      <c r="F938" t="str">
        <f t="shared" si="73"/>
        <v>H</v>
      </c>
      <c r="G938" t="s">
        <v>1081</v>
      </c>
      <c r="H938">
        <v>1</v>
      </c>
      <c r="I938">
        <v>0.17</v>
      </c>
      <c r="J938" t="str">
        <f t="shared" si="74"/>
        <v>ROL000OTHHI0ROLFER</v>
      </c>
      <c r="K938">
        <f>_xlfn.IFNA(IF(F938="H",VLOOKUP(E938,Fertiliser_data!$E$7:$L$267,8,FALSE),VLOOKUP(E938,Fertiliser_data!$E$7:$L$267,8,FALSE)*0.65),IF(F938="H",0.038,(0.038*0.65)))</f>
        <v>3.7999999999999999E-2</v>
      </c>
      <c r="L938">
        <f>IF($C938="IE",$K938*CF_231025!$E$16,$K938/VLOOKUP($C938,CF_231025!$A$2:$E$28,5,FALSE))</f>
        <v>1.2808279365930526E-2</v>
      </c>
    </row>
    <row r="939" spans="1:12" x14ac:dyDescent="0.25">
      <c r="A939" t="s">
        <v>136</v>
      </c>
      <c r="B939" t="s">
        <v>1098</v>
      </c>
      <c r="C939" t="str">
        <f t="shared" si="71"/>
        <v>RO</v>
      </c>
      <c r="D939" t="str">
        <f t="shared" si="72"/>
        <v>OTH</v>
      </c>
      <c r="E939" t="str">
        <f t="shared" si="70"/>
        <v>ROOTH</v>
      </c>
      <c r="F939" t="str">
        <f t="shared" si="73"/>
        <v>H</v>
      </c>
      <c r="G939" t="s">
        <v>1081</v>
      </c>
      <c r="H939">
        <v>1</v>
      </c>
      <c r="I939">
        <v>0.17</v>
      </c>
      <c r="J939" t="str">
        <f t="shared" si="74"/>
        <v>ROL000OTHHR0ROLFER</v>
      </c>
      <c r="K939">
        <f>_xlfn.IFNA(IF(F939="H",VLOOKUP(E939,Fertiliser_data!$E$7:$L$267,8,FALSE),VLOOKUP(E939,Fertiliser_data!$E$7:$L$267,8,FALSE)*0.65),IF(F939="H",0.038,(0.038*0.65)))</f>
        <v>3.7999999999999999E-2</v>
      </c>
      <c r="L939">
        <f>IF($C939="IE",$K939*CF_231025!$E$16,$K939/VLOOKUP($C939,CF_231025!$A$2:$E$28,5,FALSE))</f>
        <v>1.2808279365930526E-2</v>
      </c>
    </row>
    <row r="940" spans="1:12" x14ac:dyDescent="0.25">
      <c r="A940" t="s">
        <v>136</v>
      </c>
      <c r="B940" t="s">
        <v>1099</v>
      </c>
      <c r="C940" t="str">
        <f t="shared" si="71"/>
        <v>RO</v>
      </c>
      <c r="D940" t="str">
        <f t="shared" si="72"/>
        <v>OTH</v>
      </c>
      <c r="E940" t="str">
        <f t="shared" si="70"/>
        <v>ROOTH</v>
      </c>
      <c r="F940" t="str">
        <f t="shared" si="73"/>
        <v>L</v>
      </c>
      <c r="G940" t="s">
        <v>1081</v>
      </c>
      <c r="H940">
        <v>1</v>
      </c>
      <c r="I940">
        <v>0.06</v>
      </c>
      <c r="J940" t="str">
        <f t="shared" si="74"/>
        <v>ROL000OTHLI0ROLFER</v>
      </c>
      <c r="K940">
        <f>_xlfn.IFNA(IF(F940="H",VLOOKUP(E940,Fertiliser_data!$E$7:$L$267,8,FALSE),VLOOKUP(E940,Fertiliser_data!$E$7:$L$267,8,FALSE)*0.65),IF(F940="H",0.038,(0.038*0.65)))</f>
        <v>2.47E-2</v>
      </c>
      <c r="L940">
        <f>IF($C940="IE",$K940*CF_231025!$E$16,$K940/VLOOKUP($C940,CF_231025!$A$2:$E$28,5,FALSE))</f>
        <v>8.3253815878548427E-3</v>
      </c>
    </row>
    <row r="941" spans="1:12" x14ac:dyDescent="0.25">
      <c r="A941" t="s">
        <v>136</v>
      </c>
      <c r="B941" t="s">
        <v>1100</v>
      </c>
      <c r="C941" t="str">
        <f t="shared" si="71"/>
        <v>RO</v>
      </c>
      <c r="D941" t="str">
        <f t="shared" si="72"/>
        <v>OTH</v>
      </c>
      <c r="E941" t="str">
        <f t="shared" si="70"/>
        <v>ROOTH</v>
      </c>
      <c r="F941" t="str">
        <f t="shared" si="73"/>
        <v>L</v>
      </c>
      <c r="G941" t="s">
        <v>1081</v>
      </c>
      <c r="H941">
        <v>1</v>
      </c>
      <c r="I941">
        <v>0.06</v>
      </c>
      <c r="J941" t="str">
        <f t="shared" si="74"/>
        <v>ROL000OTHLR0ROLFER</v>
      </c>
      <c r="K941">
        <f>_xlfn.IFNA(IF(F941="H",VLOOKUP(E941,Fertiliser_data!$E$7:$L$267,8,FALSE),VLOOKUP(E941,Fertiliser_data!$E$7:$L$267,8,FALSE)*0.65),IF(F941="H",0.038,(0.038*0.65)))</f>
        <v>2.47E-2</v>
      </c>
      <c r="L941">
        <f>IF($C941="IE",$K941*CF_231025!$E$16,$K941/VLOOKUP($C941,CF_231025!$A$2:$E$28,5,FALSE))</f>
        <v>8.3253815878548427E-3</v>
      </c>
    </row>
    <row r="942" spans="1:12" x14ac:dyDescent="0.25">
      <c r="A942" t="s">
        <v>136</v>
      </c>
      <c r="B942" t="s">
        <v>1101</v>
      </c>
      <c r="C942" t="str">
        <f t="shared" si="71"/>
        <v>RO</v>
      </c>
      <c r="D942" t="str">
        <f t="shared" si="72"/>
        <v>SOY</v>
      </c>
      <c r="E942" t="str">
        <f t="shared" si="70"/>
        <v>ROSOY</v>
      </c>
      <c r="F942" t="str">
        <f t="shared" si="73"/>
        <v>H</v>
      </c>
      <c r="G942" t="s">
        <v>1081</v>
      </c>
      <c r="H942">
        <v>1</v>
      </c>
      <c r="I942">
        <v>0.17</v>
      </c>
      <c r="J942" t="str">
        <f t="shared" si="74"/>
        <v>ROL000SOYHI0ROLFER</v>
      </c>
      <c r="K942">
        <f>_xlfn.IFNA(IF(F942="H",VLOOKUP(E942,Fertiliser_data!$E$7:$L$267,8,FALSE),VLOOKUP(E942,Fertiliser_data!$E$7:$L$267,8,FALSE)*0.65),IF(F942="H",0.038,(0.038*0.65)))</f>
        <v>4.6880597014925373E-3</v>
      </c>
      <c r="L942">
        <f>IF($C942="IE",$K942*CF_231025!$E$16,$K942/VLOOKUP($C942,CF_231025!$A$2:$E$28,5,FALSE))</f>
        <v>1.5801573247599288E-3</v>
      </c>
    </row>
    <row r="943" spans="1:12" x14ac:dyDescent="0.25">
      <c r="A943" t="s">
        <v>136</v>
      </c>
      <c r="B943" t="s">
        <v>1102</v>
      </c>
      <c r="C943" t="str">
        <f t="shared" si="71"/>
        <v>RO</v>
      </c>
      <c r="D943" t="str">
        <f t="shared" si="72"/>
        <v>SOY</v>
      </c>
      <c r="E943" t="str">
        <f t="shared" si="70"/>
        <v>ROSOY</v>
      </c>
      <c r="F943" t="str">
        <f t="shared" si="73"/>
        <v>H</v>
      </c>
      <c r="G943" t="s">
        <v>1081</v>
      </c>
      <c r="H943">
        <v>1</v>
      </c>
      <c r="I943">
        <v>0.17</v>
      </c>
      <c r="J943" t="str">
        <f t="shared" si="74"/>
        <v>ROL000SOYHR0ROLFER</v>
      </c>
      <c r="K943">
        <f>_xlfn.IFNA(IF(F943="H",VLOOKUP(E943,Fertiliser_data!$E$7:$L$267,8,FALSE),VLOOKUP(E943,Fertiliser_data!$E$7:$L$267,8,FALSE)*0.65),IF(F943="H",0.038,(0.038*0.65)))</f>
        <v>4.6880597014925373E-3</v>
      </c>
      <c r="L943">
        <f>IF($C943="IE",$K943*CF_231025!$E$16,$K943/VLOOKUP($C943,CF_231025!$A$2:$E$28,5,FALSE))</f>
        <v>1.5801573247599288E-3</v>
      </c>
    </row>
    <row r="944" spans="1:12" x14ac:dyDescent="0.25">
      <c r="A944" t="s">
        <v>136</v>
      </c>
      <c r="B944" t="s">
        <v>1103</v>
      </c>
      <c r="C944" t="str">
        <f t="shared" si="71"/>
        <v>RO</v>
      </c>
      <c r="D944" t="str">
        <f t="shared" si="72"/>
        <v>SOY</v>
      </c>
      <c r="E944" t="str">
        <f t="shared" si="70"/>
        <v>ROSOY</v>
      </c>
      <c r="F944" t="str">
        <f t="shared" si="73"/>
        <v>L</v>
      </c>
      <c r="G944" t="s">
        <v>1081</v>
      </c>
      <c r="H944">
        <v>1</v>
      </c>
      <c r="I944">
        <v>0.06</v>
      </c>
      <c r="J944" t="str">
        <f t="shared" si="74"/>
        <v>ROL000SOYLI0ROLFER</v>
      </c>
      <c r="K944">
        <f>_xlfn.IFNA(IF(F944="H",VLOOKUP(E944,Fertiliser_data!$E$7:$L$267,8,FALSE),VLOOKUP(E944,Fertiliser_data!$E$7:$L$267,8,FALSE)*0.65),IF(F944="H",0.038,(0.038*0.65)))</f>
        <v>3.0472388059701494E-3</v>
      </c>
      <c r="L944">
        <f>IF($C944="IE",$K944*CF_231025!$E$16,$K944/VLOOKUP($C944,CF_231025!$A$2:$E$28,5,FALSE))</f>
        <v>1.0271022610939538E-3</v>
      </c>
    </row>
    <row r="945" spans="1:12" x14ac:dyDescent="0.25">
      <c r="A945" t="s">
        <v>136</v>
      </c>
      <c r="B945" t="s">
        <v>1104</v>
      </c>
      <c r="C945" t="str">
        <f t="shared" si="71"/>
        <v>RO</v>
      </c>
      <c r="D945" t="str">
        <f t="shared" si="72"/>
        <v>SOY</v>
      </c>
      <c r="E945" t="str">
        <f t="shared" si="70"/>
        <v>ROSOY</v>
      </c>
      <c r="F945" t="str">
        <f t="shared" si="73"/>
        <v>L</v>
      </c>
      <c r="G945" t="s">
        <v>1081</v>
      </c>
      <c r="H945">
        <v>1</v>
      </c>
      <c r="I945">
        <v>0.06</v>
      </c>
      <c r="J945" t="str">
        <f t="shared" si="74"/>
        <v>ROL000SOYLR0ROLFER</v>
      </c>
      <c r="K945">
        <f>_xlfn.IFNA(IF(F945="H",VLOOKUP(E945,Fertiliser_data!$E$7:$L$267,8,FALSE),VLOOKUP(E945,Fertiliser_data!$E$7:$L$267,8,FALSE)*0.65),IF(F945="H",0.038,(0.038*0.65)))</f>
        <v>3.0472388059701494E-3</v>
      </c>
      <c r="L945">
        <f>IF($C945="IE",$K945*CF_231025!$E$16,$K945/VLOOKUP($C945,CF_231025!$A$2:$E$28,5,FALSE))</f>
        <v>1.0271022610939538E-3</v>
      </c>
    </row>
    <row r="946" spans="1:12" x14ac:dyDescent="0.25">
      <c r="A946" t="s">
        <v>136</v>
      </c>
      <c r="B946" t="s">
        <v>1105</v>
      </c>
      <c r="C946" t="str">
        <f t="shared" si="71"/>
        <v>RO</v>
      </c>
      <c r="D946" t="str">
        <f t="shared" si="72"/>
        <v>SUN</v>
      </c>
      <c r="E946" t="str">
        <f t="shared" si="70"/>
        <v>ROSUN</v>
      </c>
      <c r="F946" t="str">
        <f t="shared" si="73"/>
        <v>H</v>
      </c>
      <c r="G946" t="s">
        <v>1081</v>
      </c>
      <c r="H946">
        <v>1</v>
      </c>
      <c r="I946">
        <v>0.19</v>
      </c>
      <c r="J946" t="str">
        <f t="shared" si="74"/>
        <v>ROL000SUNHI0ROLFER</v>
      </c>
      <c r="K946">
        <f>_xlfn.IFNA(IF(F946="H",VLOOKUP(E946,Fertiliser_data!$E$7:$L$267,8,FALSE),VLOOKUP(E946,Fertiliser_data!$E$7:$L$267,8,FALSE)*0.65),IF(F946="H",0.038,(0.038*0.65)))</f>
        <v>5.1880597014925377E-3</v>
      </c>
      <c r="L946">
        <f>IF($C946="IE",$K946*CF_231025!$E$16,$K946/VLOOKUP($C946,CF_231025!$A$2:$E$28,5,FALSE))</f>
        <v>1.7486873164169095E-3</v>
      </c>
    </row>
    <row r="947" spans="1:12" x14ac:dyDescent="0.25">
      <c r="A947" t="s">
        <v>136</v>
      </c>
      <c r="B947" t="s">
        <v>1106</v>
      </c>
      <c r="C947" t="str">
        <f t="shared" si="71"/>
        <v>RO</v>
      </c>
      <c r="D947" t="str">
        <f t="shared" si="72"/>
        <v>SUN</v>
      </c>
      <c r="E947" t="str">
        <f t="shared" si="70"/>
        <v>ROSUN</v>
      </c>
      <c r="F947" t="str">
        <f t="shared" si="73"/>
        <v>H</v>
      </c>
      <c r="G947" t="s">
        <v>1081</v>
      </c>
      <c r="H947">
        <v>1</v>
      </c>
      <c r="I947">
        <v>0.19</v>
      </c>
      <c r="J947" t="str">
        <f t="shared" si="74"/>
        <v>ROL000SUNHR0ROLFER</v>
      </c>
      <c r="K947">
        <f>_xlfn.IFNA(IF(F947="H",VLOOKUP(E947,Fertiliser_data!$E$7:$L$267,8,FALSE),VLOOKUP(E947,Fertiliser_data!$E$7:$L$267,8,FALSE)*0.65),IF(F947="H",0.038,(0.038*0.65)))</f>
        <v>5.1880597014925377E-3</v>
      </c>
      <c r="L947">
        <f>IF($C947="IE",$K947*CF_231025!$E$16,$K947/VLOOKUP($C947,CF_231025!$A$2:$E$28,5,FALSE))</f>
        <v>1.7486873164169095E-3</v>
      </c>
    </row>
    <row r="948" spans="1:12" x14ac:dyDescent="0.25">
      <c r="A948" t="s">
        <v>136</v>
      </c>
      <c r="B948" t="s">
        <v>1107</v>
      </c>
      <c r="C948" t="str">
        <f t="shared" si="71"/>
        <v>RO</v>
      </c>
      <c r="D948" t="str">
        <f t="shared" si="72"/>
        <v>SUN</v>
      </c>
      <c r="E948" t="str">
        <f t="shared" si="70"/>
        <v>ROSUN</v>
      </c>
      <c r="F948" t="str">
        <f t="shared" si="73"/>
        <v>L</v>
      </c>
      <c r="G948" t="s">
        <v>1081</v>
      </c>
      <c r="H948">
        <v>1</v>
      </c>
      <c r="I948">
        <v>7.0000000000000007E-2</v>
      </c>
      <c r="J948" t="str">
        <f t="shared" si="74"/>
        <v>ROL000SUNLI0ROLFER</v>
      </c>
      <c r="K948">
        <f>_xlfn.IFNA(IF(F948="H",VLOOKUP(E948,Fertiliser_data!$E$7:$L$267,8,FALSE),VLOOKUP(E948,Fertiliser_data!$E$7:$L$267,8,FALSE)*0.65),IF(F948="H",0.038,(0.038*0.65)))</f>
        <v>3.3722388059701496E-3</v>
      </c>
      <c r="L948">
        <f>IF($C948="IE",$K948*CF_231025!$E$16,$K948/VLOOKUP($C948,CF_231025!$A$2:$E$28,5,FALSE))</f>
        <v>1.1366467556709911E-3</v>
      </c>
    </row>
    <row r="949" spans="1:12" x14ac:dyDescent="0.25">
      <c r="A949" t="s">
        <v>136</v>
      </c>
      <c r="B949" t="s">
        <v>1108</v>
      </c>
      <c r="C949" t="str">
        <f t="shared" si="71"/>
        <v>RO</v>
      </c>
      <c r="D949" t="str">
        <f t="shared" si="72"/>
        <v>SUN</v>
      </c>
      <c r="E949" t="str">
        <f t="shared" si="70"/>
        <v>ROSUN</v>
      </c>
      <c r="F949" t="str">
        <f t="shared" si="73"/>
        <v>L</v>
      </c>
      <c r="G949" t="s">
        <v>1081</v>
      </c>
      <c r="H949">
        <v>1</v>
      </c>
      <c r="I949">
        <v>7.0000000000000007E-2</v>
      </c>
      <c r="J949" t="str">
        <f t="shared" si="74"/>
        <v>ROL000SUNLR0ROLFER</v>
      </c>
      <c r="K949">
        <f>_xlfn.IFNA(IF(F949="H",VLOOKUP(E949,Fertiliser_data!$E$7:$L$267,8,FALSE),VLOOKUP(E949,Fertiliser_data!$E$7:$L$267,8,FALSE)*0.65),IF(F949="H",0.038,(0.038*0.65)))</f>
        <v>3.3722388059701496E-3</v>
      </c>
      <c r="L949">
        <f>IF($C949="IE",$K949*CF_231025!$E$16,$K949/VLOOKUP($C949,CF_231025!$A$2:$E$28,5,FALSE))</f>
        <v>1.1366467556709911E-3</v>
      </c>
    </row>
    <row r="950" spans="1:12" x14ac:dyDescent="0.25">
      <c r="A950" t="s">
        <v>136</v>
      </c>
      <c r="B950" t="s">
        <v>1109</v>
      </c>
      <c r="C950" t="str">
        <f t="shared" si="71"/>
        <v>RO</v>
      </c>
      <c r="D950" t="str">
        <f t="shared" si="72"/>
        <v>RAP</v>
      </c>
      <c r="E950" t="str">
        <f t="shared" si="70"/>
        <v>RORAP</v>
      </c>
      <c r="F950" t="str">
        <f t="shared" si="73"/>
        <v>H</v>
      </c>
      <c r="G950" t="s">
        <v>1081</v>
      </c>
      <c r="H950">
        <v>1</v>
      </c>
      <c r="I950">
        <v>0.26</v>
      </c>
      <c r="J950" t="str">
        <f t="shared" si="74"/>
        <v>ROL000RAPHI0ROLFER</v>
      </c>
      <c r="K950">
        <f>_xlfn.IFNA(IF(F950="H",VLOOKUP(E950,Fertiliser_data!$E$7:$L$267,8,FALSE),VLOOKUP(E950,Fertiliser_data!$E$7:$L$267,8,FALSE)*0.65),IF(F950="H",0.038,(0.038*0.65)))</f>
        <v>3.705970149253731E-2</v>
      </c>
      <c r="L950">
        <f>IF($C950="IE",$K950*CF_231025!$E$16,$K950/VLOOKUP($C950,CF_231025!$A$2:$E$28,5,FALSE))</f>
        <v>1.249134236669501E-2</v>
      </c>
    </row>
    <row r="951" spans="1:12" x14ac:dyDescent="0.25">
      <c r="A951" t="s">
        <v>136</v>
      </c>
      <c r="B951" t="s">
        <v>1110</v>
      </c>
      <c r="C951" t="str">
        <f t="shared" si="71"/>
        <v>RO</v>
      </c>
      <c r="D951" t="str">
        <f t="shared" si="72"/>
        <v>RAP</v>
      </c>
      <c r="E951" t="str">
        <f t="shared" si="70"/>
        <v>RORAP</v>
      </c>
      <c r="F951" t="str">
        <f t="shared" si="73"/>
        <v>H</v>
      </c>
      <c r="G951" t="s">
        <v>1081</v>
      </c>
      <c r="H951">
        <v>1</v>
      </c>
      <c r="I951">
        <v>0.26</v>
      </c>
      <c r="J951" t="str">
        <f t="shared" si="74"/>
        <v>ROL000RAPHR0ROLFER</v>
      </c>
      <c r="K951">
        <f>_xlfn.IFNA(IF(F951="H",VLOOKUP(E951,Fertiliser_data!$E$7:$L$267,8,FALSE),VLOOKUP(E951,Fertiliser_data!$E$7:$L$267,8,FALSE)*0.65),IF(F951="H",0.038,(0.038*0.65)))</f>
        <v>3.705970149253731E-2</v>
      </c>
      <c r="L951">
        <f>IF($C951="IE",$K951*CF_231025!$E$16,$K951/VLOOKUP($C951,CF_231025!$A$2:$E$28,5,FALSE))</f>
        <v>1.249134236669501E-2</v>
      </c>
    </row>
    <row r="952" spans="1:12" x14ac:dyDescent="0.25">
      <c r="A952" t="s">
        <v>136</v>
      </c>
      <c r="B952" t="s">
        <v>1111</v>
      </c>
      <c r="C952" t="str">
        <f t="shared" si="71"/>
        <v>RO</v>
      </c>
      <c r="D952" t="str">
        <f t="shared" si="72"/>
        <v>RAP</v>
      </c>
      <c r="E952" t="str">
        <f t="shared" si="70"/>
        <v>RORAP</v>
      </c>
      <c r="F952" t="str">
        <f t="shared" si="73"/>
        <v>L</v>
      </c>
      <c r="G952" t="s">
        <v>1081</v>
      </c>
      <c r="H952">
        <v>1</v>
      </c>
      <c r="I952">
        <v>0.1</v>
      </c>
      <c r="J952" t="str">
        <f t="shared" si="74"/>
        <v>ROL000RAPLI0ROLFER</v>
      </c>
      <c r="K952">
        <f>_xlfn.IFNA(IF(F952="H",VLOOKUP(E952,Fertiliser_data!$E$7:$L$267,8,FALSE),VLOOKUP(E952,Fertiliser_data!$E$7:$L$267,8,FALSE)*0.65),IF(F952="H",0.038,(0.038*0.65)))</f>
        <v>2.4088805970149254E-2</v>
      </c>
      <c r="L952">
        <f>IF($C952="IE",$K952*CF_231025!$E$16,$K952/VLOOKUP($C952,CF_231025!$A$2:$E$28,5,FALSE))</f>
        <v>8.119372538351757E-3</v>
      </c>
    </row>
    <row r="953" spans="1:12" x14ac:dyDescent="0.25">
      <c r="A953" t="s">
        <v>136</v>
      </c>
      <c r="B953" t="s">
        <v>1112</v>
      </c>
      <c r="C953" t="str">
        <f t="shared" si="71"/>
        <v>RO</v>
      </c>
      <c r="D953" t="str">
        <f t="shared" si="72"/>
        <v>RAP</v>
      </c>
      <c r="E953" t="str">
        <f t="shared" si="70"/>
        <v>RORAP</v>
      </c>
      <c r="F953" t="str">
        <f t="shared" si="73"/>
        <v>L</v>
      </c>
      <c r="G953" t="s">
        <v>1081</v>
      </c>
      <c r="H953">
        <v>1</v>
      </c>
      <c r="I953">
        <v>0.1</v>
      </c>
      <c r="J953" t="str">
        <f t="shared" si="74"/>
        <v>ROL000RAPLR0ROLFER</v>
      </c>
      <c r="K953">
        <f>_xlfn.IFNA(IF(F953="H",VLOOKUP(E953,Fertiliser_data!$E$7:$L$267,8,FALSE),VLOOKUP(E953,Fertiliser_data!$E$7:$L$267,8,FALSE)*0.65),IF(F953="H",0.038,(0.038*0.65)))</f>
        <v>2.4088805970149254E-2</v>
      </c>
      <c r="L953">
        <f>IF($C953="IE",$K953*CF_231025!$E$16,$K953/VLOOKUP($C953,CF_231025!$A$2:$E$28,5,FALSE))</f>
        <v>8.119372538351757E-3</v>
      </c>
    </row>
    <row r="954" spans="1:12" x14ac:dyDescent="0.25">
      <c r="A954" t="s">
        <v>136</v>
      </c>
      <c r="B954" t="s">
        <v>1113</v>
      </c>
      <c r="C954" t="str">
        <f t="shared" si="71"/>
        <v>RO</v>
      </c>
      <c r="D954" t="str">
        <f t="shared" si="72"/>
        <v>GRP</v>
      </c>
      <c r="E954" t="str">
        <f t="shared" si="70"/>
        <v>ROGRP</v>
      </c>
      <c r="F954" t="str">
        <f t="shared" si="73"/>
        <v>H</v>
      </c>
      <c r="G954" t="s">
        <v>1081</v>
      </c>
      <c r="H954">
        <v>1</v>
      </c>
      <c r="I954">
        <v>0.17</v>
      </c>
      <c r="J954" t="str">
        <f t="shared" si="74"/>
        <v>ROL000GRPHI0ROLFER</v>
      </c>
      <c r="K954">
        <f>_xlfn.IFNA(IF(F954="H",VLOOKUP(E954,Fertiliser_data!$E$7:$L$267,8,FALSE),VLOOKUP(E954,Fertiliser_data!$E$7:$L$267,8,FALSE)*0.65),IF(F954="H",0.038,(0.038*0.65)))</f>
        <v>7.8805970149253748E-3</v>
      </c>
      <c r="L954">
        <f>IF($C954="IE",$K954*CF_231025!$E$16,$K954/VLOOKUP($C954,CF_231025!$A$2:$E$28,5,FALSE))</f>
        <v>2.6562338983547994E-3</v>
      </c>
    </row>
    <row r="955" spans="1:12" x14ac:dyDescent="0.25">
      <c r="A955" t="s">
        <v>136</v>
      </c>
      <c r="B955" t="s">
        <v>1114</v>
      </c>
      <c r="C955" t="str">
        <f t="shared" si="71"/>
        <v>RO</v>
      </c>
      <c r="D955" t="str">
        <f t="shared" si="72"/>
        <v>GRP</v>
      </c>
      <c r="E955" t="str">
        <f t="shared" si="70"/>
        <v>ROGRP</v>
      </c>
      <c r="F955" t="str">
        <f t="shared" si="73"/>
        <v>H</v>
      </c>
      <c r="G955" t="s">
        <v>1081</v>
      </c>
      <c r="H955">
        <v>1</v>
      </c>
      <c r="I955">
        <v>0.17</v>
      </c>
      <c r="J955" t="str">
        <f t="shared" si="74"/>
        <v>ROL000GRPHR0ROLFER</v>
      </c>
      <c r="K955">
        <f>_xlfn.IFNA(IF(F955="H",VLOOKUP(E955,Fertiliser_data!$E$7:$L$267,8,FALSE),VLOOKUP(E955,Fertiliser_data!$E$7:$L$267,8,FALSE)*0.65),IF(F955="H",0.038,(0.038*0.65)))</f>
        <v>7.8805970149253748E-3</v>
      </c>
      <c r="L955">
        <f>IF($C955="IE",$K955*CF_231025!$E$16,$K955/VLOOKUP($C955,CF_231025!$A$2:$E$28,5,FALSE))</f>
        <v>2.6562338983547994E-3</v>
      </c>
    </row>
    <row r="956" spans="1:12" x14ac:dyDescent="0.25">
      <c r="A956" t="s">
        <v>136</v>
      </c>
      <c r="B956" t="s">
        <v>1115</v>
      </c>
      <c r="C956" t="str">
        <f t="shared" si="71"/>
        <v>RO</v>
      </c>
      <c r="D956" t="str">
        <f t="shared" si="72"/>
        <v>GRP</v>
      </c>
      <c r="E956" t="str">
        <f t="shared" si="70"/>
        <v>ROGRP</v>
      </c>
      <c r="F956" t="str">
        <f t="shared" si="73"/>
        <v>L</v>
      </c>
      <c r="G956" t="s">
        <v>1081</v>
      </c>
      <c r="H956">
        <v>1</v>
      </c>
      <c r="I956">
        <v>0.06</v>
      </c>
      <c r="J956" t="str">
        <f t="shared" si="74"/>
        <v>ROL000GRPLI0ROLFER</v>
      </c>
      <c r="K956">
        <f>_xlfn.IFNA(IF(F956="H",VLOOKUP(E956,Fertiliser_data!$E$7:$L$267,8,FALSE),VLOOKUP(E956,Fertiliser_data!$E$7:$L$267,8,FALSE)*0.65),IF(F956="H",0.038,(0.038*0.65)))</f>
        <v>5.122388059701494E-3</v>
      </c>
      <c r="L956">
        <f>IF($C956="IE",$K956*CF_231025!$E$16,$K956/VLOOKUP($C956,CF_231025!$A$2:$E$28,5,FALSE))</f>
        <v>1.7265520339306199E-3</v>
      </c>
    </row>
    <row r="957" spans="1:12" x14ac:dyDescent="0.25">
      <c r="A957" t="s">
        <v>136</v>
      </c>
      <c r="B957" t="s">
        <v>1116</v>
      </c>
      <c r="C957" t="str">
        <f t="shared" si="71"/>
        <v>RO</v>
      </c>
      <c r="D957" t="str">
        <f t="shared" si="72"/>
        <v>GRP</v>
      </c>
      <c r="E957" t="str">
        <f t="shared" si="70"/>
        <v>ROGRP</v>
      </c>
      <c r="F957" t="str">
        <f t="shared" si="73"/>
        <v>L</v>
      </c>
      <c r="G957" t="s">
        <v>1081</v>
      </c>
      <c r="H957">
        <v>1</v>
      </c>
      <c r="I957">
        <v>0.06</v>
      </c>
      <c r="J957" t="str">
        <f t="shared" si="74"/>
        <v>ROL000GRPLR0ROLFER</v>
      </c>
      <c r="K957">
        <f>_xlfn.IFNA(IF(F957="H",VLOOKUP(E957,Fertiliser_data!$E$7:$L$267,8,FALSE),VLOOKUP(E957,Fertiliser_data!$E$7:$L$267,8,FALSE)*0.65),IF(F957="H",0.038,(0.038*0.65)))</f>
        <v>5.122388059701494E-3</v>
      </c>
      <c r="L957">
        <f>IF($C957="IE",$K957*CF_231025!$E$16,$K957/VLOOKUP($C957,CF_231025!$A$2:$E$28,5,FALSE))</f>
        <v>1.7265520339306199E-3</v>
      </c>
    </row>
    <row r="958" spans="1:12" x14ac:dyDescent="0.25">
      <c r="A958" t="s">
        <v>136</v>
      </c>
      <c r="B958" t="s">
        <v>1117</v>
      </c>
      <c r="C958" t="str">
        <f t="shared" si="71"/>
        <v>RO</v>
      </c>
      <c r="D958" t="str">
        <f t="shared" si="72"/>
        <v>MAI</v>
      </c>
      <c r="E958" t="str">
        <f t="shared" si="70"/>
        <v>ROMAI</v>
      </c>
      <c r="F958" t="str">
        <f t="shared" si="73"/>
        <v>H</v>
      </c>
      <c r="G958" t="s">
        <v>1081</v>
      </c>
      <c r="H958">
        <v>1</v>
      </c>
      <c r="I958">
        <v>0.16</v>
      </c>
      <c r="J958" t="str">
        <f t="shared" si="74"/>
        <v>ROL000MAIHI0ROLFER</v>
      </c>
      <c r="K958">
        <f>_xlfn.IFNA(IF(F958="H",VLOOKUP(E958,Fertiliser_data!$E$7:$L$267,8,FALSE),VLOOKUP(E958,Fertiliser_data!$E$7:$L$267,8,FALSE)*0.65),IF(F958="H",0.038,(0.038*0.65)))</f>
        <v>3.466865671641791E-2</v>
      </c>
      <c r="L958">
        <f>IF($C958="IE",$K958*CF_231025!$E$16,$K958/VLOOKUP($C958,CF_231025!$A$2:$E$28,5,FALSE))</f>
        <v>1.1685416854353271E-2</v>
      </c>
    </row>
    <row r="959" spans="1:12" x14ac:dyDescent="0.25">
      <c r="A959" t="s">
        <v>136</v>
      </c>
      <c r="B959" t="s">
        <v>1118</v>
      </c>
      <c r="C959" t="str">
        <f t="shared" si="71"/>
        <v>RO</v>
      </c>
      <c r="D959" t="str">
        <f t="shared" si="72"/>
        <v>MAI</v>
      </c>
      <c r="E959" t="str">
        <f t="shared" si="70"/>
        <v>ROMAI</v>
      </c>
      <c r="F959" t="str">
        <f t="shared" si="73"/>
        <v>H</v>
      </c>
      <c r="G959" t="s">
        <v>1081</v>
      </c>
      <c r="H959">
        <v>1</v>
      </c>
      <c r="I959">
        <v>0.16</v>
      </c>
      <c r="J959" t="str">
        <f t="shared" si="74"/>
        <v>ROL000MAIHR0ROLFER</v>
      </c>
      <c r="K959">
        <f>_xlfn.IFNA(IF(F959="H",VLOOKUP(E959,Fertiliser_data!$E$7:$L$267,8,FALSE),VLOOKUP(E959,Fertiliser_data!$E$7:$L$267,8,FALSE)*0.65),IF(F959="H",0.038,(0.038*0.65)))</f>
        <v>3.466865671641791E-2</v>
      </c>
      <c r="L959">
        <f>IF($C959="IE",$K959*CF_231025!$E$16,$K959/VLOOKUP($C959,CF_231025!$A$2:$E$28,5,FALSE))</f>
        <v>1.1685416854353271E-2</v>
      </c>
    </row>
    <row r="960" spans="1:12" x14ac:dyDescent="0.25">
      <c r="A960" t="s">
        <v>136</v>
      </c>
      <c r="B960" t="s">
        <v>1119</v>
      </c>
      <c r="C960" t="str">
        <f t="shared" si="71"/>
        <v>RO</v>
      </c>
      <c r="D960" t="str">
        <f t="shared" si="72"/>
        <v>MAI</v>
      </c>
      <c r="E960" t="str">
        <f t="shared" si="70"/>
        <v>ROMAI</v>
      </c>
      <c r="F960" t="str">
        <f t="shared" si="73"/>
        <v>L</v>
      </c>
      <c r="G960" t="s">
        <v>1081</v>
      </c>
      <c r="H960">
        <v>1</v>
      </c>
      <c r="I960">
        <v>0.06</v>
      </c>
      <c r="J960" t="str">
        <f t="shared" si="74"/>
        <v>ROL000MAILI0ROLFER</v>
      </c>
      <c r="K960">
        <f>_xlfn.IFNA(IF(F960="H",VLOOKUP(E960,Fertiliser_data!$E$7:$L$267,8,FALSE),VLOOKUP(E960,Fertiliser_data!$E$7:$L$267,8,FALSE)*0.65),IF(F960="H",0.038,(0.038*0.65)))</f>
        <v>2.2534626865671644E-2</v>
      </c>
      <c r="L960">
        <f>IF($C960="IE",$K960*CF_231025!$E$16,$K960/VLOOKUP($C960,CF_231025!$A$2:$E$28,5,FALSE))</f>
        <v>7.5955209553296267E-3</v>
      </c>
    </row>
    <row r="961" spans="1:12" x14ac:dyDescent="0.25">
      <c r="A961" t="s">
        <v>136</v>
      </c>
      <c r="B961" t="s">
        <v>1120</v>
      </c>
      <c r="C961" t="str">
        <f t="shared" si="71"/>
        <v>RO</v>
      </c>
      <c r="D961" t="str">
        <f t="shared" si="72"/>
        <v>MAI</v>
      </c>
      <c r="E961" t="str">
        <f t="shared" si="70"/>
        <v>ROMAI</v>
      </c>
      <c r="F961" t="str">
        <f t="shared" si="73"/>
        <v>L</v>
      </c>
      <c r="G961" t="s">
        <v>1081</v>
      </c>
      <c r="H961">
        <v>1</v>
      </c>
      <c r="I961">
        <v>0.06</v>
      </c>
      <c r="J961" t="str">
        <f t="shared" si="74"/>
        <v>ROL000MAILR0ROLFER</v>
      </c>
      <c r="K961">
        <f>_xlfn.IFNA(IF(F961="H",VLOOKUP(E961,Fertiliser_data!$E$7:$L$267,8,FALSE),VLOOKUP(E961,Fertiliser_data!$E$7:$L$267,8,FALSE)*0.65),IF(F961="H",0.038,(0.038*0.65)))</f>
        <v>2.2534626865671644E-2</v>
      </c>
      <c r="L961">
        <f>IF($C961="IE",$K961*CF_231025!$E$16,$K961/VLOOKUP($C961,CF_231025!$A$2:$E$28,5,FALSE))</f>
        <v>7.5955209553296267E-3</v>
      </c>
    </row>
    <row r="962" spans="1:12" x14ac:dyDescent="0.25">
      <c r="A962" t="s">
        <v>136</v>
      </c>
      <c r="B962" t="s">
        <v>1121</v>
      </c>
      <c r="C962" t="str">
        <f t="shared" si="71"/>
        <v>SE</v>
      </c>
      <c r="D962" t="str">
        <f t="shared" si="72"/>
        <v>BRL</v>
      </c>
      <c r="E962" t="str">
        <f t="shared" ref="E962:E1025" si="75">C962&amp;D962</f>
        <v>SEBRL</v>
      </c>
      <c r="F962" t="str">
        <f t="shared" si="73"/>
        <v>H</v>
      </c>
      <c r="G962" t="s">
        <v>1122</v>
      </c>
      <c r="H962">
        <v>1</v>
      </c>
      <c r="I962">
        <v>0.15</v>
      </c>
      <c r="J962" t="str">
        <f t="shared" si="74"/>
        <v>SEL000BRLHI0SELFER</v>
      </c>
      <c r="K962">
        <f>_xlfn.IFNA(IF(F962="H",VLOOKUP(E962,Fertiliser_data!$E$7:$L$267,8,FALSE),VLOOKUP(E962,Fertiliser_data!$E$7:$L$267,8,FALSE)*0.65),IF(F962="H",0.038,(0.038*0.65)))</f>
        <v>2.9577611940298506E-2</v>
      </c>
      <c r="L962">
        <f>IF($C962="IE",$K962*CF_231025!$E$16,$K962/VLOOKUP($C962,CF_231025!$A$2:$E$28,5,FALSE))</f>
        <v>1.1984974234487801E-2</v>
      </c>
    </row>
    <row r="963" spans="1:12" x14ac:dyDescent="0.25">
      <c r="A963" t="s">
        <v>136</v>
      </c>
      <c r="B963" t="s">
        <v>1123</v>
      </c>
      <c r="C963" t="str">
        <f t="shared" ref="C963:C1026" si="76">LEFT(B963,2)</f>
        <v>SE</v>
      </c>
      <c r="D963" t="str">
        <f t="shared" ref="D963:D1026" si="77">MID(B963,7,3)</f>
        <v>BRL</v>
      </c>
      <c r="E963" t="str">
        <f t="shared" si="75"/>
        <v>SEBRL</v>
      </c>
      <c r="F963" t="str">
        <f t="shared" ref="F963:F1026" si="78">MID(B963,10,1)</f>
        <v>H</v>
      </c>
      <c r="G963" t="s">
        <v>1122</v>
      </c>
      <c r="H963">
        <v>1</v>
      </c>
      <c r="I963">
        <v>0.15</v>
      </c>
      <c r="J963" t="str">
        <f t="shared" ref="J963:J1026" si="79">B963&amp;G963</f>
        <v>SEL000BRLHR0SELFER</v>
      </c>
      <c r="K963">
        <f>_xlfn.IFNA(IF(F963="H",VLOOKUP(E963,Fertiliser_data!$E$7:$L$267,8,FALSE),VLOOKUP(E963,Fertiliser_data!$E$7:$L$267,8,FALSE)*0.65),IF(F963="H",0.038,(0.038*0.65)))</f>
        <v>2.9577611940298506E-2</v>
      </c>
      <c r="L963">
        <f>IF($C963="IE",$K963*CF_231025!$E$16,$K963/VLOOKUP($C963,CF_231025!$A$2:$E$28,5,FALSE))</f>
        <v>1.1984974234487801E-2</v>
      </c>
    </row>
    <row r="964" spans="1:12" x14ac:dyDescent="0.25">
      <c r="A964" t="s">
        <v>136</v>
      </c>
      <c r="B964" t="s">
        <v>1124</v>
      </c>
      <c r="C964" t="str">
        <f t="shared" si="76"/>
        <v>SE</v>
      </c>
      <c r="D964" t="str">
        <f t="shared" si="77"/>
        <v>BRL</v>
      </c>
      <c r="E964" t="str">
        <f t="shared" si="75"/>
        <v>SEBRL</v>
      </c>
      <c r="F964" t="str">
        <f t="shared" si="78"/>
        <v>L</v>
      </c>
      <c r="G964" t="s">
        <v>1122</v>
      </c>
      <c r="H964">
        <v>1</v>
      </c>
      <c r="I964">
        <v>0.06</v>
      </c>
      <c r="J964" t="str">
        <f t="shared" si="79"/>
        <v>SEL000BRLLI0SELFER</v>
      </c>
      <c r="K964">
        <f>_xlfn.IFNA(IF(F964="H",VLOOKUP(E964,Fertiliser_data!$E$7:$L$267,8,FALSE),VLOOKUP(E964,Fertiliser_data!$E$7:$L$267,8,FALSE)*0.65),IF(F964="H",0.038,(0.038*0.65)))</f>
        <v>1.9225447761194031E-2</v>
      </c>
      <c r="L964">
        <f>IF($C964="IE",$K964*CF_231025!$E$16,$K964/VLOOKUP($C964,CF_231025!$A$2:$E$28,5,FALSE))</f>
        <v>7.7902332524170722E-3</v>
      </c>
    </row>
    <row r="965" spans="1:12" x14ac:dyDescent="0.25">
      <c r="A965" t="s">
        <v>136</v>
      </c>
      <c r="B965" t="s">
        <v>1125</v>
      </c>
      <c r="C965" t="str">
        <f t="shared" si="76"/>
        <v>SE</v>
      </c>
      <c r="D965" t="str">
        <f t="shared" si="77"/>
        <v>BRL</v>
      </c>
      <c r="E965" t="str">
        <f t="shared" si="75"/>
        <v>SEBRL</v>
      </c>
      <c r="F965" t="str">
        <f t="shared" si="78"/>
        <v>L</v>
      </c>
      <c r="G965" t="s">
        <v>1122</v>
      </c>
      <c r="H965">
        <v>1</v>
      </c>
      <c r="I965">
        <v>0.06</v>
      </c>
      <c r="J965" t="str">
        <f t="shared" si="79"/>
        <v>SEL000BRLLR0SELFER</v>
      </c>
      <c r="K965">
        <f>_xlfn.IFNA(IF(F965="H",VLOOKUP(E965,Fertiliser_data!$E$7:$L$267,8,FALSE),VLOOKUP(E965,Fertiliser_data!$E$7:$L$267,8,FALSE)*0.65),IF(F965="H",0.038,(0.038*0.65)))</f>
        <v>1.9225447761194031E-2</v>
      </c>
      <c r="L965">
        <f>IF($C965="IE",$K965*CF_231025!$E$16,$K965/VLOOKUP($C965,CF_231025!$A$2:$E$28,5,FALSE))</f>
        <v>7.7902332524170722E-3</v>
      </c>
    </row>
    <row r="966" spans="1:12" x14ac:dyDescent="0.25">
      <c r="A966" t="s">
        <v>136</v>
      </c>
      <c r="B966" t="s">
        <v>1126</v>
      </c>
      <c r="C966" t="str">
        <f t="shared" si="76"/>
        <v>SE</v>
      </c>
      <c r="D966" t="str">
        <f t="shared" si="77"/>
        <v>BRO</v>
      </c>
      <c r="E966" t="str">
        <f t="shared" si="75"/>
        <v>SEBRO</v>
      </c>
      <c r="F966" t="str">
        <f t="shared" si="78"/>
        <v>H</v>
      </c>
      <c r="G966" t="s">
        <v>1122</v>
      </c>
      <c r="H966">
        <v>1</v>
      </c>
      <c r="I966">
        <v>0.17</v>
      </c>
      <c r="J966" t="str">
        <f t="shared" si="79"/>
        <v>SEL000BROHI0SELFER</v>
      </c>
      <c r="K966">
        <f>_xlfn.IFNA(IF(F966="H",VLOOKUP(E966,Fertiliser_data!$E$7:$L$267,8,FALSE),VLOOKUP(E966,Fertiliser_data!$E$7:$L$267,8,FALSE)*0.65),IF(F966="H",0.038,(0.038*0.65)))</f>
        <v>3.5000000000000001E-3</v>
      </c>
      <c r="L966">
        <f>IF($C966="IE",$K966*CF_231025!$E$16,$K966/VLOOKUP($C966,CF_231025!$A$2:$E$28,5,FALSE))</f>
        <v>1.4182148952855576E-3</v>
      </c>
    </row>
    <row r="967" spans="1:12" x14ac:dyDescent="0.25">
      <c r="A967" t="s">
        <v>136</v>
      </c>
      <c r="B967" t="s">
        <v>1127</v>
      </c>
      <c r="C967" t="str">
        <f t="shared" si="76"/>
        <v>SE</v>
      </c>
      <c r="D967" t="str">
        <f t="shared" si="77"/>
        <v>BRO</v>
      </c>
      <c r="E967" t="str">
        <f t="shared" si="75"/>
        <v>SEBRO</v>
      </c>
      <c r="F967" t="str">
        <f t="shared" si="78"/>
        <v>H</v>
      </c>
      <c r="G967" t="s">
        <v>1122</v>
      </c>
      <c r="H967">
        <v>1</v>
      </c>
      <c r="I967">
        <v>0.17</v>
      </c>
      <c r="J967" t="str">
        <f t="shared" si="79"/>
        <v>SEL000BROHR0SELFER</v>
      </c>
      <c r="K967">
        <f>_xlfn.IFNA(IF(F967="H",VLOOKUP(E967,Fertiliser_data!$E$7:$L$267,8,FALSE),VLOOKUP(E967,Fertiliser_data!$E$7:$L$267,8,FALSE)*0.65),IF(F967="H",0.038,(0.038*0.65)))</f>
        <v>3.5000000000000001E-3</v>
      </c>
      <c r="L967">
        <f>IF($C967="IE",$K967*CF_231025!$E$16,$K967/VLOOKUP($C967,CF_231025!$A$2:$E$28,5,FALSE))</f>
        <v>1.4182148952855576E-3</v>
      </c>
    </row>
    <row r="968" spans="1:12" x14ac:dyDescent="0.25">
      <c r="A968" t="s">
        <v>136</v>
      </c>
      <c r="B968" t="s">
        <v>1128</v>
      </c>
      <c r="C968" t="str">
        <f t="shared" si="76"/>
        <v>SE</v>
      </c>
      <c r="D968" t="str">
        <f t="shared" si="77"/>
        <v>BRO</v>
      </c>
      <c r="E968" t="str">
        <f t="shared" si="75"/>
        <v>SEBRO</v>
      </c>
      <c r="F968" t="str">
        <f t="shared" si="78"/>
        <v>L</v>
      </c>
      <c r="G968" t="s">
        <v>1122</v>
      </c>
      <c r="H968">
        <v>1</v>
      </c>
      <c r="I968">
        <v>0.06</v>
      </c>
      <c r="J968" t="str">
        <f t="shared" si="79"/>
        <v>SEL000BROLI0SELFER</v>
      </c>
      <c r="K968">
        <f>_xlfn.IFNA(IF(F968="H",VLOOKUP(E968,Fertiliser_data!$E$7:$L$267,8,FALSE),VLOOKUP(E968,Fertiliser_data!$E$7:$L$267,8,FALSE)*0.65),IF(F968="H",0.038,(0.038*0.65)))</f>
        <v>2.2750000000000001E-3</v>
      </c>
      <c r="L968">
        <f>IF($C968="IE",$K968*CF_231025!$E$16,$K968/VLOOKUP($C968,CF_231025!$A$2:$E$28,5,FALSE))</f>
        <v>9.2183968193561251E-4</v>
      </c>
    </row>
    <row r="969" spans="1:12" x14ac:dyDescent="0.25">
      <c r="A969" t="s">
        <v>136</v>
      </c>
      <c r="B969" t="s">
        <v>1129</v>
      </c>
      <c r="C969" t="str">
        <f t="shared" si="76"/>
        <v>SE</v>
      </c>
      <c r="D969" t="str">
        <f t="shared" si="77"/>
        <v>BRO</v>
      </c>
      <c r="E969" t="str">
        <f t="shared" si="75"/>
        <v>SEBRO</v>
      </c>
      <c r="F969" t="str">
        <f t="shared" si="78"/>
        <v>L</v>
      </c>
      <c r="G969" t="s">
        <v>1122</v>
      </c>
      <c r="H969">
        <v>1</v>
      </c>
      <c r="I969">
        <v>0.06</v>
      </c>
      <c r="J969" t="str">
        <f t="shared" si="79"/>
        <v>SEL000BROLR0SELFER</v>
      </c>
      <c r="K969">
        <f>_xlfn.IFNA(IF(F969="H",VLOOKUP(E969,Fertiliser_data!$E$7:$L$267,8,FALSE),VLOOKUP(E969,Fertiliser_data!$E$7:$L$267,8,FALSE)*0.65),IF(F969="H",0.038,(0.038*0.65)))</f>
        <v>2.2750000000000001E-3</v>
      </c>
      <c r="L969">
        <f>IF($C969="IE",$K969*CF_231025!$E$16,$K969/VLOOKUP($C969,CF_231025!$A$2:$E$28,5,FALSE))</f>
        <v>9.2183968193561251E-4</v>
      </c>
    </row>
    <row r="970" spans="1:12" x14ac:dyDescent="0.25">
      <c r="A970" t="s">
        <v>136</v>
      </c>
      <c r="B970" t="s">
        <v>1130</v>
      </c>
      <c r="C970" t="str">
        <f t="shared" si="76"/>
        <v>SE</v>
      </c>
      <c r="D970" t="str">
        <f t="shared" si="77"/>
        <v>RYE</v>
      </c>
      <c r="E970" t="str">
        <f t="shared" si="75"/>
        <v>SERYE</v>
      </c>
      <c r="F970" t="str">
        <f t="shared" si="78"/>
        <v>H</v>
      </c>
      <c r="G970" t="s">
        <v>1122</v>
      </c>
      <c r="H970">
        <v>1</v>
      </c>
      <c r="I970">
        <v>0.11</v>
      </c>
      <c r="J970" t="str">
        <f t="shared" si="79"/>
        <v>SEL000RYEHI0SELFER</v>
      </c>
      <c r="K970">
        <f>_xlfn.IFNA(IF(F970="H",VLOOKUP(E970,Fertiliser_data!$E$7:$L$267,8,FALSE),VLOOKUP(E970,Fertiliser_data!$E$7:$L$267,8,FALSE)*0.65),IF(F970="H",0.038,(0.038*0.65)))</f>
        <v>2.9577611940298506E-2</v>
      </c>
      <c r="L970">
        <f>IF($C970="IE",$K970*CF_231025!$E$16,$K970/VLOOKUP($C970,CF_231025!$A$2:$E$28,5,FALSE))</f>
        <v>1.1984974234487801E-2</v>
      </c>
    </row>
    <row r="971" spans="1:12" x14ac:dyDescent="0.25">
      <c r="A971" t="s">
        <v>136</v>
      </c>
      <c r="B971" t="s">
        <v>1131</v>
      </c>
      <c r="C971" t="str">
        <f t="shared" si="76"/>
        <v>SE</v>
      </c>
      <c r="D971" t="str">
        <f t="shared" si="77"/>
        <v>RYE</v>
      </c>
      <c r="E971" t="str">
        <f t="shared" si="75"/>
        <v>SERYE</v>
      </c>
      <c r="F971" t="str">
        <f t="shared" si="78"/>
        <v>H</v>
      </c>
      <c r="G971" t="s">
        <v>1122</v>
      </c>
      <c r="H971">
        <v>1</v>
      </c>
      <c r="I971">
        <v>0.11</v>
      </c>
      <c r="J971" t="str">
        <f t="shared" si="79"/>
        <v>SEL000RYEHR0SELFER</v>
      </c>
      <c r="K971">
        <f>_xlfn.IFNA(IF(F971="H",VLOOKUP(E971,Fertiliser_data!$E$7:$L$267,8,FALSE),VLOOKUP(E971,Fertiliser_data!$E$7:$L$267,8,FALSE)*0.65),IF(F971="H",0.038,(0.038*0.65)))</f>
        <v>2.9577611940298506E-2</v>
      </c>
      <c r="L971">
        <f>IF($C971="IE",$K971*CF_231025!$E$16,$K971/VLOOKUP($C971,CF_231025!$A$2:$E$28,5,FALSE))</f>
        <v>1.1984974234487801E-2</v>
      </c>
    </row>
    <row r="972" spans="1:12" x14ac:dyDescent="0.25">
      <c r="A972" t="s">
        <v>136</v>
      </c>
      <c r="B972" t="s">
        <v>1132</v>
      </c>
      <c r="C972" t="str">
        <f t="shared" si="76"/>
        <v>SE</v>
      </c>
      <c r="D972" t="str">
        <f t="shared" si="77"/>
        <v>RYE</v>
      </c>
      <c r="E972" t="str">
        <f t="shared" si="75"/>
        <v>SERYE</v>
      </c>
      <c r="F972" t="str">
        <f t="shared" si="78"/>
        <v>L</v>
      </c>
      <c r="G972" t="s">
        <v>1122</v>
      </c>
      <c r="H972">
        <v>1</v>
      </c>
      <c r="I972">
        <v>0.04</v>
      </c>
      <c r="J972" t="str">
        <f t="shared" si="79"/>
        <v>SEL000RYELI0SELFER</v>
      </c>
      <c r="K972">
        <f>_xlfn.IFNA(IF(F972="H",VLOOKUP(E972,Fertiliser_data!$E$7:$L$267,8,FALSE),VLOOKUP(E972,Fertiliser_data!$E$7:$L$267,8,FALSE)*0.65),IF(F972="H",0.038,(0.038*0.65)))</f>
        <v>1.9225447761194031E-2</v>
      </c>
      <c r="L972">
        <f>IF($C972="IE",$K972*CF_231025!$E$16,$K972/VLOOKUP($C972,CF_231025!$A$2:$E$28,5,FALSE))</f>
        <v>7.7902332524170722E-3</v>
      </c>
    </row>
    <row r="973" spans="1:12" x14ac:dyDescent="0.25">
      <c r="A973" t="s">
        <v>136</v>
      </c>
      <c r="B973" t="s">
        <v>1133</v>
      </c>
      <c r="C973" t="str">
        <f t="shared" si="76"/>
        <v>SE</v>
      </c>
      <c r="D973" t="str">
        <f t="shared" si="77"/>
        <v>RYE</v>
      </c>
      <c r="E973" t="str">
        <f t="shared" si="75"/>
        <v>SERYE</v>
      </c>
      <c r="F973" t="str">
        <f t="shared" si="78"/>
        <v>L</v>
      </c>
      <c r="G973" t="s">
        <v>1122</v>
      </c>
      <c r="H973">
        <v>1</v>
      </c>
      <c r="I973">
        <v>0.04</v>
      </c>
      <c r="J973" t="str">
        <f t="shared" si="79"/>
        <v>SEL000RYELR0SELFER</v>
      </c>
      <c r="K973">
        <f>_xlfn.IFNA(IF(F973="H",VLOOKUP(E973,Fertiliser_data!$E$7:$L$267,8,FALSE),VLOOKUP(E973,Fertiliser_data!$E$7:$L$267,8,FALSE)*0.65),IF(F973="H",0.038,(0.038*0.65)))</f>
        <v>1.9225447761194031E-2</v>
      </c>
      <c r="L973">
        <f>IF($C973="IE",$K973*CF_231025!$E$16,$K973/VLOOKUP($C973,CF_231025!$A$2:$E$28,5,FALSE))</f>
        <v>7.7902332524170722E-3</v>
      </c>
    </row>
    <row r="974" spans="1:12" x14ac:dyDescent="0.25">
      <c r="A974" t="s">
        <v>136</v>
      </c>
      <c r="B974" t="s">
        <v>1134</v>
      </c>
      <c r="C974" t="str">
        <f t="shared" si="76"/>
        <v>SE</v>
      </c>
      <c r="D974" t="str">
        <f t="shared" si="77"/>
        <v>PEA</v>
      </c>
      <c r="E974" t="str">
        <f t="shared" si="75"/>
        <v>SEPEA</v>
      </c>
      <c r="F974" t="str">
        <f t="shared" si="78"/>
        <v>H</v>
      </c>
      <c r="G974" t="s">
        <v>1122</v>
      </c>
      <c r="H974">
        <v>1</v>
      </c>
      <c r="I974">
        <v>0.17</v>
      </c>
      <c r="J974" t="str">
        <f t="shared" si="79"/>
        <v>SEL000PEAHI0SELFER</v>
      </c>
      <c r="K974">
        <f>_xlfn.IFNA(IF(F974="H",VLOOKUP(E974,Fertiliser_data!$E$7:$L$267,8,FALSE),VLOOKUP(E974,Fertiliser_data!$E$7:$L$267,8,FALSE)*0.65),IF(F974="H",0.038,(0.038*0.65)))</f>
        <v>3.5000000000000001E-3</v>
      </c>
      <c r="L974">
        <f>IF($C974="IE",$K974*CF_231025!$E$16,$K974/VLOOKUP($C974,CF_231025!$A$2:$E$28,5,FALSE))</f>
        <v>1.4182148952855576E-3</v>
      </c>
    </row>
    <row r="975" spans="1:12" x14ac:dyDescent="0.25">
      <c r="A975" t="s">
        <v>136</v>
      </c>
      <c r="B975" t="s">
        <v>1135</v>
      </c>
      <c r="C975" t="str">
        <f t="shared" si="76"/>
        <v>SE</v>
      </c>
      <c r="D975" t="str">
        <f t="shared" si="77"/>
        <v>PEA</v>
      </c>
      <c r="E975" t="str">
        <f t="shared" si="75"/>
        <v>SEPEA</v>
      </c>
      <c r="F975" t="str">
        <f t="shared" si="78"/>
        <v>H</v>
      </c>
      <c r="G975" t="s">
        <v>1122</v>
      </c>
      <c r="H975">
        <v>1</v>
      </c>
      <c r="I975">
        <v>0.17</v>
      </c>
      <c r="J975" t="str">
        <f t="shared" si="79"/>
        <v>SEL000PEAHR0SELFER</v>
      </c>
      <c r="K975">
        <f>_xlfn.IFNA(IF(F975="H",VLOOKUP(E975,Fertiliser_data!$E$7:$L$267,8,FALSE),VLOOKUP(E975,Fertiliser_data!$E$7:$L$267,8,FALSE)*0.65),IF(F975="H",0.038,(0.038*0.65)))</f>
        <v>3.5000000000000001E-3</v>
      </c>
      <c r="L975">
        <f>IF($C975="IE",$K975*CF_231025!$E$16,$K975/VLOOKUP($C975,CF_231025!$A$2:$E$28,5,FALSE))</f>
        <v>1.4182148952855576E-3</v>
      </c>
    </row>
    <row r="976" spans="1:12" x14ac:dyDescent="0.25">
      <c r="A976" t="s">
        <v>136</v>
      </c>
      <c r="B976" t="s">
        <v>1136</v>
      </c>
      <c r="C976" t="str">
        <f t="shared" si="76"/>
        <v>SE</v>
      </c>
      <c r="D976" t="str">
        <f t="shared" si="77"/>
        <v>PEA</v>
      </c>
      <c r="E976" t="str">
        <f t="shared" si="75"/>
        <v>SEPEA</v>
      </c>
      <c r="F976" t="str">
        <f t="shared" si="78"/>
        <v>L</v>
      </c>
      <c r="G976" t="s">
        <v>1122</v>
      </c>
      <c r="H976">
        <v>1</v>
      </c>
      <c r="I976">
        <v>0.06</v>
      </c>
      <c r="J976" t="str">
        <f t="shared" si="79"/>
        <v>SEL000PEALI0SELFER</v>
      </c>
      <c r="K976">
        <f>_xlfn.IFNA(IF(F976="H",VLOOKUP(E976,Fertiliser_data!$E$7:$L$267,8,FALSE),VLOOKUP(E976,Fertiliser_data!$E$7:$L$267,8,FALSE)*0.65),IF(F976="H",0.038,(0.038*0.65)))</f>
        <v>2.2750000000000001E-3</v>
      </c>
      <c r="L976">
        <f>IF($C976="IE",$K976*CF_231025!$E$16,$K976/VLOOKUP($C976,CF_231025!$A$2:$E$28,5,FALSE))</f>
        <v>9.2183968193561251E-4</v>
      </c>
    </row>
    <row r="977" spans="1:12" x14ac:dyDescent="0.25">
      <c r="A977" t="s">
        <v>136</v>
      </c>
      <c r="B977" t="s">
        <v>1137</v>
      </c>
      <c r="C977" t="str">
        <f t="shared" si="76"/>
        <v>SE</v>
      </c>
      <c r="D977" t="str">
        <f t="shared" si="77"/>
        <v>PEA</v>
      </c>
      <c r="E977" t="str">
        <f t="shared" si="75"/>
        <v>SEPEA</v>
      </c>
      <c r="F977" t="str">
        <f t="shared" si="78"/>
        <v>L</v>
      </c>
      <c r="G977" t="s">
        <v>1122</v>
      </c>
      <c r="H977">
        <v>1</v>
      </c>
      <c r="I977">
        <v>0.06</v>
      </c>
      <c r="J977" t="str">
        <f t="shared" si="79"/>
        <v>SEL000PEALR0SELFER</v>
      </c>
      <c r="K977">
        <f>_xlfn.IFNA(IF(F977="H",VLOOKUP(E977,Fertiliser_data!$E$7:$L$267,8,FALSE),VLOOKUP(E977,Fertiliser_data!$E$7:$L$267,8,FALSE)*0.65),IF(F977="H",0.038,(0.038*0.65)))</f>
        <v>2.2750000000000001E-3</v>
      </c>
      <c r="L977">
        <f>IF($C977="IE",$K977*CF_231025!$E$16,$K977/VLOOKUP($C977,CF_231025!$A$2:$E$28,5,FALSE))</f>
        <v>9.2183968193561251E-4</v>
      </c>
    </row>
    <row r="978" spans="1:12" x14ac:dyDescent="0.25">
      <c r="A978" t="s">
        <v>136</v>
      </c>
      <c r="B978" t="s">
        <v>1138</v>
      </c>
      <c r="C978" t="str">
        <f t="shared" si="76"/>
        <v>SE</v>
      </c>
      <c r="D978" t="str">
        <f t="shared" si="77"/>
        <v>OTH</v>
      </c>
      <c r="E978" t="str">
        <f t="shared" si="75"/>
        <v>SEOTH</v>
      </c>
      <c r="F978" t="str">
        <f t="shared" si="78"/>
        <v>H</v>
      </c>
      <c r="G978" t="s">
        <v>1122</v>
      </c>
      <c r="H978">
        <v>1</v>
      </c>
      <c r="I978">
        <v>0.17</v>
      </c>
      <c r="J978" t="str">
        <f t="shared" si="79"/>
        <v>SEL000OTHHI0SELFER</v>
      </c>
      <c r="K978">
        <f>_xlfn.IFNA(IF(F978="H",VLOOKUP(E978,Fertiliser_data!$E$7:$L$267,8,FALSE),VLOOKUP(E978,Fertiliser_data!$E$7:$L$267,8,FALSE)*0.65),IF(F978="H",0.038,(0.038*0.65)))</f>
        <v>3.7999999999999999E-2</v>
      </c>
      <c r="L978">
        <f>IF($C978="IE",$K978*CF_231025!$E$16,$K978/VLOOKUP($C978,CF_231025!$A$2:$E$28,5,FALSE))</f>
        <v>1.5397761720243196E-2</v>
      </c>
    </row>
    <row r="979" spans="1:12" x14ac:dyDescent="0.25">
      <c r="A979" t="s">
        <v>136</v>
      </c>
      <c r="B979" t="s">
        <v>1139</v>
      </c>
      <c r="C979" t="str">
        <f t="shared" si="76"/>
        <v>SE</v>
      </c>
      <c r="D979" t="str">
        <f t="shared" si="77"/>
        <v>OTH</v>
      </c>
      <c r="E979" t="str">
        <f t="shared" si="75"/>
        <v>SEOTH</v>
      </c>
      <c r="F979" t="str">
        <f t="shared" si="78"/>
        <v>H</v>
      </c>
      <c r="G979" t="s">
        <v>1122</v>
      </c>
      <c r="H979">
        <v>1</v>
      </c>
      <c r="I979">
        <v>0.17</v>
      </c>
      <c r="J979" t="str">
        <f t="shared" si="79"/>
        <v>SEL000OTHHR0SELFER</v>
      </c>
      <c r="K979">
        <f>_xlfn.IFNA(IF(F979="H",VLOOKUP(E979,Fertiliser_data!$E$7:$L$267,8,FALSE),VLOOKUP(E979,Fertiliser_data!$E$7:$L$267,8,FALSE)*0.65),IF(F979="H",0.038,(0.038*0.65)))</f>
        <v>3.7999999999999999E-2</v>
      </c>
      <c r="L979">
        <f>IF($C979="IE",$K979*CF_231025!$E$16,$K979/VLOOKUP($C979,CF_231025!$A$2:$E$28,5,FALSE))</f>
        <v>1.5397761720243196E-2</v>
      </c>
    </row>
    <row r="980" spans="1:12" x14ac:dyDescent="0.25">
      <c r="A980" t="s">
        <v>136</v>
      </c>
      <c r="B980" t="s">
        <v>1140</v>
      </c>
      <c r="C980" t="str">
        <f t="shared" si="76"/>
        <v>SE</v>
      </c>
      <c r="D980" t="str">
        <f t="shared" si="77"/>
        <v>OTH</v>
      </c>
      <c r="E980" t="str">
        <f t="shared" si="75"/>
        <v>SEOTH</v>
      </c>
      <c r="F980" t="str">
        <f t="shared" si="78"/>
        <v>L</v>
      </c>
      <c r="G980" t="s">
        <v>1122</v>
      </c>
      <c r="H980">
        <v>1</v>
      </c>
      <c r="I980">
        <v>0.06</v>
      </c>
      <c r="J980" t="str">
        <f t="shared" si="79"/>
        <v>SEL000OTHLI0SELFER</v>
      </c>
      <c r="K980">
        <f>_xlfn.IFNA(IF(F980="H",VLOOKUP(E980,Fertiliser_data!$E$7:$L$267,8,FALSE),VLOOKUP(E980,Fertiliser_data!$E$7:$L$267,8,FALSE)*0.65),IF(F980="H",0.038,(0.038*0.65)))</f>
        <v>2.47E-2</v>
      </c>
      <c r="L980">
        <f>IF($C980="IE",$K980*CF_231025!$E$16,$K980/VLOOKUP($C980,CF_231025!$A$2:$E$28,5,FALSE))</f>
        <v>1.0008545118158078E-2</v>
      </c>
    </row>
    <row r="981" spans="1:12" x14ac:dyDescent="0.25">
      <c r="A981" t="s">
        <v>136</v>
      </c>
      <c r="B981" t="s">
        <v>1141</v>
      </c>
      <c r="C981" t="str">
        <f t="shared" si="76"/>
        <v>SE</v>
      </c>
      <c r="D981" t="str">
        <f t="shared" si="77"/>
        <v>OTH</v>
      </c>
      <c r="E981" t="str">
        <f t="shared" si="75"/>
        <v>SEOTH</v>
      </c>
      <c r="F981" t="str">
        <f t="shared" si="78"/>
        <v>L</v>
      </c>
      <c r="G981" t="s">
        <v>1122</v>
      </c>
      <c r="H981">
        <v>1</v>
      </c>
      <c r="I981">
        <v>0.06</v>
      </c>
      <c r="J981" t="str">
        <f t="shared" si="79"/>
        <v>SEL000OTHLR0SELFER</v>
      </c>
      <c r="K981">
        <f>_xlfn.IFNA(IF(F981="H",VLOOKUP(E981,Fertiliser_data!$E$7:$L$267,8,FALSE),VLOOKUP(E981,Fertiliser_data!$E$7:$L$267,8,FALSE)*0.65),IF(F981="H",0.038,(0.038*0.65)))</f>
        <v>2.47E-2</v>
      </c>
      <c r="L981">
        <f>IF($C981="IE",$K981*CF_231025!$E$16,$K981/VLOOKUP($C981,CF_231025!$A$2:$E$28,5,FALSE))</f>
        <v>1.0008545118158078E-2</v>
      </c>
    </row>
    <row r="982" spans="1:12" x14ac:dyDescent="0.25">
      <c r="A982" t="s">
        <v>136</v>
      </c>
      <c r="B982" t="s">
        <v>1142</v>
      </c>
      <c r="C982" t="str">
        <f t="shared" si="76"/>
        <v>SE</v>
      </c>
      <c r="D982" t="str">
        <f t="shared" si="77"/>
        <v>POT</v>
      </c>
      <c r="E982" t="str">
        <f t="shared" si="75"/>
        <v>SEPOT</v>
      </c>
      <c r="F982" t="str">
        <f t="shared" si="78"/>
        <v>H</v>
      </c>
      <c r="G982" t="s">
        <v>1122</v>
      </c>
      <c r="H982">
        <v>1</v>
      </c>
      <c r="I982">
        <v>0.17</v>
      </c>
      <c r="J982" t="str">
        <f t="shared" si="79"/>
        <v>SEL000POTHI0SELFER</v>
      </c>
      <c r="K982">
        <f>_xlfn.IFNA(IF(F982="H",VLOOKUP(E982,Fertiliser_data!$E$7:$L$267,8,FALSE),VLOOKUP(E982,Fertiliser_data!$E$7:$L$267,8,FALSE)*0.65),IF(F982="H",0.038,(0.038*0.65)))</f>
        <v>6.0289552238805971E-2</v>
      </c>
      <c r="L982">
        <f>IF($C982="IE",$K982*CF_231025!$E$16,$K982/VLOOKUP($C982,CF_231025!$A$2:$E$28,5,FALSE))</f>
        <v>2.4429583147191819E-2</v>
      </c>
    </row>
    <row r="983" spans="1:12" x14ac:dyDescent="0.25">
      <c r="A983" t="s">
        <v>136</v>
      </c>
      <c r="B983" t="s">
        <v>1143</v>
      </c>
      <c r="C983" t="str">
        <f t="shared" si="76"/>
        <v>SE</v>
      </c>
      <c r="D983" t="str">
        <f t="shared" si="77"/>
        <v>POT</v>
      </c>
      <c r="E983" t="str">
        <f t="shared" si="75"/>
        <v>SEPOT</v>
      </c>
      <c r="F983" t="str">
        <f t="shared" si="78"/>
        <v>H</v>
      </c>
      <c r="G983" t="s">
        <v>1122</v>
      </c>
      <c r="H983">
        <v>1</v>
      </c>
      <c r="I983">
        <v>0.17</v>
      </c>
      <c r="J983" t="str">
        <f t="shared" si="79"/>
        <v>SEL000POTHR0SELFER</v>
      </c>
      <c r="K983">
        <f>_xlfn.IFNA(IF(F983="H",VLOOKUP(E983,Fertiliser_data!$E$7:$L$267,8,FALSE),VLOOKUP(E983,Fertiliser_data!$E$7:$L$267,8,FALSE)*0.65),IF(F983="H",0.038,(0.038*0.65)))</f>
        <v>6.0289552238805971E-2</v>
      </c>
      <c r="L983">
        <f>IF($C983="IE",$K983*CF_231025!$E$16,$K983/VLOOKUP($C983,CF_231025!$A$2:$E$28,5,FALSE))</f>
        <v>2.4429583147191819E-2</v>
      </c>
    </row>
    <row r="984" spans="1:12" x14ac:dyDescent="0.25">
      <c r="A984" t="s">
        <v>136</v>
      </c>
      <c r="B984" t="s">
        <v>1144</v>
      </c>
      <c r="C984" t="str">
        <f t="shared" si="76"/>
        <v>SE</v>
      </c>
      <c r="D984" t="str">
        <f t="shared" si="77"/>
        <v>POT</v>
      </c>
      <c r="E984" t="str">
        <f t="shared" si="75"/>
        <v>SEPOT</v>
      </c>
      <c r="F984" t="str">
        <f t="shared" si="78"/>
        <v>L</v>
      </c>
      <c r="G984" t="s">
        <v>1122</v>
      </c>
      <c r="H984">
        <v>1</v>
      </c>
      <c r="I984">
        <v>0.06</v>
      </c>
      <c r="J984" t="str">
        <f t="shared" si="79"/>
        <v>SEL000POTLI0SELFER</v>
      </c>
      <c r="K984">
        <f>_xlfn.IFNA(IF(F984="H",VLOOKUP(E984,Fertiliser_data!$E$7:$L$267,8,FALSE),VLOOKUP(E984,Fertiliser_data!$E$7:$L$267,8,FALSE)*0.65),IF(F984="H",0.038,(0.038*0.65)))</f>
        <v>3.9188208955223881E-2</v>
      </c>
      <c r="L984">
        <f>IF($C984="IE",$K984*CF_231025!$E$16,$K984/VLOOKUP($C984,CF_231025!$A$2:$E$28,5,FALSE))</f>
        <v>1.5879229045674681E-2</v>
      </c>
    </row>
    <row r="985" spans="1:12" x14ac:dyDescent="0.25">
      <c r="A985" t="s">
        <v>136</v>
      </c>
      <c r="B985" t="s">
        <v>1145</v>
      </c>
      <c r="C985" t="str">
        <f t="shared" si="76"/>
        <v>SE</v>
      </c>
      <c r="D985" t="str">
        <f t="shared" si="77"/>
        <v>POT</v>
      </c>
      <c r="E985" t="str">
        <f t="shared" si="75"/>
        <v>SEPOT</v>
      </c>
      <c r="F985" t="str">
        <f t="shared" si="78"/>
        <v>L</v>
      </c>
      <c r="G985" t="s">
        <v>1122</v>
      </c>
      <c r="H985">
        <v>1</v>
      </c>
      <c r="I985">
        <v>0.06</v>
      </c>
      <c r="J985" t="str">
        <f t="shared" si="79"/>
        <v>SEL000POTLR0SELFER</v>
      </c>
      <c r="K985">
        <f>_xlfn.IFNA(IF(F985="H",VLOOKUP(E985,Fertiliser_data!$E$7:$L$267,8,FALSE),VLOOKUP(E985,Fertiliser_data!$E$7:$L$267,8,FALSE)*0.65),IF(F985="H",0.038,(0.038*0.65)))</f>
        <v>3.9188208955223881E-2</v>
      </c>
      <c r="L985">
        <f>IF($C985="IE",$K985*CF_231025!$E$16,$K985/VLOOKUP($C985,CF_231025!$A$2:$E$28,5,FALSE))</f>
        <v>1.5879229045674681E-2</v>
      </c>
    </row>
    <row r="986" spans="1:12" x14ac:dyDescent="0.25">
      <c r="A986" t="s">
        <v>136</v>
      </c>
      <c r="B986" t="s">
        <v>1146</v>
      </c>
      <c r="C986" t="str">
        <f t="shared" si="76"/>
        <v>SE</v>
      </c>
      <c r="D986" t="str">
        <f t="shared" si="77"/>
        <v>OAT</v>
      </c>
      <c r="E986" t="str">
        <f t="shared" si="75"/>
        <v>SEOAT</v>
      </c>
      <c r="F986" t="str">
        <f t="shared" si="78"/>
        <v>H</v>
      </c>
      <c r="G986" t="s">
        <v>1122</v>
      </c>
      <c r="H986">
        <v>1</v>
      </c>
      <c r="I986">
        <v>0.11</v>
      </c>
      <c r="J986" t="str">
        <f t="shared" si="79"/>
        <v>SEL000OATHI0SELFER</v>
      </c>
      <c r="K986">
        <f>_xlfn.IFNA(IF(F986="H",VLOOKUP(E986,Fertiliser_data!$E$7:$L$267,8,FALSE),VLOOKUP(E986,Fertiliser_data!$E$7:$L$267,8,FALSE)*0.65),IF(F986="H",0.038,(0.038*0.65)))</f>
        <v>2.9577611940298506E-2</v>
      </c>
      <c r="L986">
        <f>IF($C986="IE",$K986*CF_231025!$E$16,$K986/VLOOKUP($C986,CF_231025!$A$2:$E$28,5,FALSE))</f>
        <v>1.1984974234487801E-2</v>
      </c>
    </row>
    <row r="987" spans="1:12" x14ac:dyDescent="0.25">
      <c r="A987" t="s">
        <v>136</v>
      </c>
      <c r="B987" t="s">
        <v>1147</v>
      </c>
      <c r="C987" t="str">
        <f t="shared" si="76"/>
        <v>SE</v>
      </c>
      <c r="D987" t="str">
        <f t="shared" si="77"/>
        <v>OAT</v>
      </c>
      <c r="E987" t="str">
        <f t="shared" si="75"/>
        <v>SEOAT</v>
      </c>
      <c r="F987" t="str">
        <f t="shared" si="78"/>
        <v>H</v>
      </c>
      <c r="G987" t="s">
        <v>1122</v>
      </c>
      <c r="H987">
        <v>1</v>
      </c>
      <c r="I987">
        <v>0.11</v>
      </c>
      <c r="J987" t="str">
        <f t="shared" si="79"/>
        <v>SEL000OATHR0SELFER</v>
      </c>
      <c r="K987">
        <f>_xlfn.IFNA(IF(F987="H",VLOOKUP(E987,Fertiliser_data!$E$7:$L$267,8,FALSE),VLOOKUP(E987,Fertiliser_data!$E$7:$L$267,8,FALSE)*0.65),IF(F987="H",0.038,(0.038*0.65)))</f>
        <v>2.9577611940298506E-2</v>
      </c>
      <c r="L987">
        <f>IF($C987="IE",$K987*CF_231025!$E$16,$K987/VLOOKUP($C987,CF_231025!$A$2:$E$28,5,FALSE))</f>
        <v>1.1984974234487801E-2</v>
      </c>
    </row>
    <row r="988" spans="1:12" x14ac:dyDescent="0.25">
      <c r="A988" t="s">
        <v>136</v>
      </c>
      <c r="B988" t="s">
        <v>1148</v>
      </c>
      <c r="C988" t="str">
        <f t="shared" si="76"/>
        <v>SE</v>
      </c>
      <c r="D988" t="str">
        <f t="shared" si="77"/>
        <v>OAT</v>
      </c>
      <c r="E988" t="str">
        <f t="shared" si="75"/>
        <v>SEOAT</v>
      </c>
      <c r="F988" t="str">
        <f t="shared" si="78"/>
        <v>L</v>
      </c>
      <c r="G988" t="s">
        <v>1122</v>
      </c>
      <c r="H988">
        <v>1</v>
      </c>
      <c r="I988">
        <v>0.04</v>
      </c>
      <c r="J988" t="str">
        <f t="shared" si="79"/>
        <v>SEL000OATLI0SELFER</v>
      </c>
      <c r="K988">
        <f>_xlfn.IFNA(IF(F988="H",VLOOKUP(E988,Fertiliser_data!$E$7:$L$267,8,FALSE),VLOOKUP(E988,Fertiliser_data!$E$7:$L$267,8,FALSE)*0.65),IF(F988="H",0.038,(0.038*0.65)))</f>
        <v>1.9225447761194031E-2</v>
      </c>
      <c r="L988">
        <f>IF($C988="IE",$K988*CF_231025!$E$16,$K988/VLOOKUP($C988,CF_231025!$A$2:$E$28,5,FALSE))</f>
        <v>7.7902332524170722E-3</v>
      </c>
    </row>
    <row r="989" spans="1:12" x14ac:dyDescent="0.25">
      <c r="A989" t="s">
        <v>136</v>
      </c>
      <c r="B989" t="s">
        <v>1149</v>
      </c>
      <c r="C989" t="str">
        <f t="shared" si="76"/>
        <v>SE</v>
      </c>
      <c r="D989" t="str">
        <f t="shared" si="77"/>
        <v>OAT</v>
      </c>
      <c r="E989" t="str">
        <f t="shared" si="75"/>
        <v>SEOAT</v>
      </c>
      <c r="F989" t="str">
        <f t="shared" si="78"/>
        <v>L</v>
      </c>
      <c r="G989" t="s">
        <v>1122</v>
      </c>
      <c r="H989">
        <v>1</v>
      </c>
      <c r="I989">
        <v>0.04</v>
      </c>
      <c r="J989" t="str">
        <f t="shared" si="79"/>
        <v>SEL000OATLR0SELFER</v>
      </c>
      <c r="K989">
        <f>_xlfn.IFNA(IF(F989="H",VLOOKUP(E989,Fertiliser_data!$E$7:$L$267,8,FALSE),VLOOKUP(E989,Fertiliser_data!$E$7:$L$267,8,FALSE)*0.65),IF(F989="H",0.038,(0.038*0.65)))</f>
        <v>1.9225447761194031E-2</v>
      </c>
      <c r="L989">
        <f>IF($C989="IE",$K989*CF_231025!$E$16,$K989/VLOOKUP($C989,CF_231025!$A$2:$E$28,5,FALSE))</f>
        <v>7.7902332524170722E-3</v>
      </c>
    </row>
    <row r="990" spans="1:12" x14ac:dyDescent="0.25">
      <c r="A990" t="s">
        <v>136</v>
      </c>
      <c r="B990" t="s">
        <v>1150</v>
      </c>
      <c r="C990" t="str">
        <f t="shared" si="76"/>
        <v>SE</v>
      </c>
      <c r="D990" t="str">
        <f t="shared" si="77"/>
        <v>RAP</v>
      </c>
      <c r="E990" t="str">
        <f t="shared" si="75"/>
        <v>SERAP</v>
      </c>
      <c r="F990" t="str">
        <f t="shared" si="78"/>
        <v>H</v>
      </c>
      <c r="G990" t="s">
        <v>1122</v>
      </c>
      <c r="H990">
        <v>1</v>
      </c>
      <c r="I990">
        <v>0.26</v>
      </c>
      <c r="J990" t="str">
        <f t="shared" si="79"/>
        <v>SEL000RAPHI0SELFER</v>
      </c>
      <c r="K990">
        <f>_xlfn.IFNA(IF(F990="H",VLOOKUP(E990,Fertiliser_data!$E$7:$L$267,8,FALSE),VLOOKUP(E990,Fertiliser_data!$E$7:$L$267,8,FALSE)*0.65),IF(F990="H",0.038,(0.038*0.65)))</f>
        <v>2.9577611940298506E-2</v>
      </c>
      <c r="L990">
        <f>IF($C990="IE",$K990*CF_231025!$E$16,$K990/VLOOKUP($C990,CF_231025!$A$2:$E$28,5,FALSE))</f>
        <v>1.1984974234487801E-2</v>
      </c>
    </row>
    <row r="991" spans="1:12" x14ac:dyDescent="0.25">
      <c r="A991" t="s">
        <v>136</v>
      </c>
      <c r="B991" t="s">
        <v>1151</v>
      </c>
      <c r="C991" t="str">
        <f t="shared" si="76"/>
        <v>SE</v>
      </c>
      <c r="D991" t="str">
        <f t="shared" si="77"/>
        <v>RAP</v>
      </c>
      <c r="E991" t="str">
        <f t="shared" si="75"/>
        <v>SERAP</v>
      </c>
      <c r="F991" t="str">
        <f t="shared" si="78"/>
        <v>H</v>
      </c>
      <c r="G991" t="s">
        <v>1122</v>
      </c>
      <c r="H991">
        <v>1</v>
      </c>
      <c r="I991">
        <v>0.26</v>
      </c>
      <c r="J991" t="str">
        <f t="shared" si="79"/>
        <v>SEL000RAPHR0SELFER</v>
      </c>
      <c r="K991">
        <f>_xlfn.IFNA(IF(F991="H",VLOOKUP(E991,Fertiliser_data!$E$7:$L$267,8,FALSE),VLOOKUP(E991,Fertiliser_data!$E$7:$L$267,8,FALSE)*0.65),IF(F991="H",0.038,(0.038*0.65)))</f>
        <v>2.9577611940298506E-2</v>
      </c>
      <c r="L991">
        <f>IF($C991="IE",$K991*CF_231025!$E$16,$K991/VLOOKUP($C991,CF_231025!$A$2:$E$28,5,FALSE))</f>
        <v>1.1984974234487801E-2</v>
      </c>
    </row>
    <row r="992" spans="1:12" x14ac:dyDescent="0.25">
      <c r="A992" t="s">
        <v>136</v>
      </c>
      <c r="B992" t="s">
        <v>1152</v>
      </c>
      <c r="C992" t="str">
        <f t="shared" si="76"/>
        <v>SE</v>
      </c>
      <c r="D992" t="str">
        <f t="shared" si="77"/>
        <v>RAP</v>
      </c>
      <c r="E992" t="str">
        <f t="shared" si="75"/>
        <v>SERAP</v>
      </c>
      <c r="F992" t="str">
        <f t="shared" si="78"/>
        <v>L</v>
      </c>
      <c r="G992" t="s">
        <v>1122</v>
      </c>
      <c r="H992">
        <v>1</v>
      </c>
      <c r="I992">
        <v>0.1</v>
      </c>
      <c r="J992" t="str">
        <f t="shared" si="79"/>
        <v>SEL000RAPLI0SELFER</v>
      </c>
      <c r="K992">
        <f>_xlfn.IFNA(IF(F992="H",VLOOKUP(E992,Fertiliser_data!$E$7:$L$267,8,FALSE),VLOOKUP(E992,Fertiliser_data!$E$7:$L$267,8,FALSE)*0.65),IF(F992="H",0.038,(0.038*0.65)))</f>
        <v>1.9225447761194031E-2</v>
      </c>
      <c r="L992">
        <f>IF($C992="IE",$K992*CF_231025!$E$16,$K992/VLOOKUP($C992,CF_231025!$A$2:$E$28,5,FALSE))</f>
        <v>7.7902332524170722E-3</v>
      </c>
    </row>
    <row r="993" spans="1:12" x14ac:dyDescent="0.25">
      <c r="A993" t="s">
        <v>136</v>
      </c>
      <c r="B993" t="s">
        <v>1153</v>
      </c>
      <c r="C993" t="str">
        <f t="shared" si="76"/>
        <v>SE</v>
      </c>
      <c r="D993" t="str">
        <f t="shared" si="77"/>
        <v>RAP</v>
      </c>
      <c r="E993" t="str">
        <f t="shared" si="75"/>
        <v>SERAP</v>
      </c>
      <c r="F993" t="str">
        <f t="shared" si="78"/>
        <v>L</v>
      </c>
      <c r="G993" t="s">
        <v>1122</v>
      </c>
      <c r="H993">
        <v>1</v>
      </c>
      <c r="I993">
        <v>0.1</v>
      </c>
      <c r="J993" t="str">
        <f t="shared" si="79"/>
        <v>SEL000RAPLR0SELFER</v>
      </c>
      <c r="K993">
        <f>_xlfn.IFNA(IF(F993="H",VLOOKUP(E993,Fertiliser_data!$E$7:$L$267,8,FALSE),VLOOKUP(E993,Fertiliser_data!$E$7:$L$267,8,FALSE)*0.65),IF(F993="H",0.038,(0.038*0.65)))</f>
        <v>1.9225447761194031E-2</v>
      </c>
      <c r="L993">
        <f>IF($C993="IE",$K993*CF_231025!$E$16,$K993/VLOOKUP($C993,CF_231025!$A$2:$E$28,5,FALSE))</f>
        <v>7.7902332524170722E-3</v>
      </c>
    </row>
    <row r="994" spans="1:12" x14ac:dyDescent="0.25">
      <c r="A994" t="s">
        <v>136</v>
      </c>
      <c r="B994" t="s">
        <v>1154</v>
      </c>
      <c r="C994" t="str">
        <f t="shared" si="76"/>
        <v>SE</v>
      </c>
      <c r="D994" t="str">
        <f t="shared" si="77"/>
        <v>SUG</v>
      </c>
      <c r="E994" t="str">
        <f t="shared" si="75"/>
        <v>SESUG</v>
      </c>
      <c r="F994" t="str">
        <f t="shared" si="78"/>
        <v>H</v>
      </c>
      <c r="G994" t="s">
        <v>1122</v>
      </c>
      <c r="H994">
        <v>1</v>
      </c>
      <c r="I994">
        <v>0.17</v>
      </c>
      <c r="J994" t="str">
        <f t="shared" si="79"/>
        <v>SEL000SUGHI0SELFER</v>
      </c>
      <c r="K994">
        <f>_xlfn.IFNA(IF(F994="H",VLOOKUP(E994,Fertiliser_data!$E$7:$L$267,8,FALSE),VLOOKUP(E994,Fertiliser_data!$E$7:$L$267,8,FALSE)*0.65),IF(F994="H",0.038,(0.038*0.65)))</f>
        <v>3.7677611940298505E-2</v>
      </c>
      <c r="L994">
        <f>IF($C994="IE",$K994*CF_231025!$E$16,$K994/VLOOKUP($C994,CF_231025!$A$2:$E$28,5,FALSE))</f>
        <v>1.5267128706434378E-2</v>
      </c>
    </row>
    <row r="995" spans="1:12" x14ac:dyDescent="0.25">
      <c r="A995" t="s">
        <v>136</v>
      </c>
      <c r="B995" t="s">
        <v>1155</v>
      </c>
      <c r="C995" t="str">
        <f t="shared" si="76"/>
        <v>SE</v>
      </c>
      <c r="D995" t="str">
        <f t="shared" si="77"/>
        <v>SUG</v>
      </c>
      <c r="E995" t="str">
        <f t="shared" si="75"/>
        <v>SESUG</v>
      </c>
      <c r="F995" t="str">
        <f t="shared" si="78"/>
        <v>H</v>
      </c>
      <c r="G995" t="s">
        <v>1122</v>
      </c>
      <c r="H995">
        <v>1</v>
      </c>
      <c r="I995">
        <v>0.17</v>
      </c>
      <c r="J995" t="str">
        <f t="shared" si="79"/>
        <v>SEL000SUGHR0SELFER</v>
      </c>
      <c r="K995">
        <f>_xlfn.IFNA(IF(F995="H",VLOOKUP(E995,Fertiliser_data!$E$7:$L$267,8,FALSE),VLOOKUP(E995,Fertiliser_data!$E$7:$L$267,8,FALSE)*0.65),IF(F995="H",0.038,(0.038*0.65)))</f>
        <v>3.7677611940298505E-2</v>
      </c>
      <c r="L995">
        <f>IF($C995="IE",$K995*CF_231025!$E$16,$K995/VLOOKUP($C995,CF_231025!$A$2:$E$28,5,FALSE))</f>
        <v>1.5267128706434378E-2</v>
      </c>
    </row>
    <row r="996" spans="1:12" x14ac:dyDescent="0.25">
      <c r="A996" t="s">
        <v>136</v>
      </c>
      <c r="B996" t="s">
        <v>1156</v>
      </c>
      <c r="C996" t="str">
        <f t="shared" si="76"/>
        <v>SE</v>
      </c>
      <c r="D996" t="str">
        <f t="shared" si="77"/>
        <v>SUG</v>
      </c>
      <c r="E996" t="str">
        <f t="shared" si="75"/>
        <v>SESUG</v>
      </c>
      <c r="F996" t="str">
        <f t="shared" si="78"/>
        <v>L</v>
      </c>
      <c r="G996" t="s">
        <v>1122</v>
      </c>
      <c r="H996">
        <v>1</v>
      </c>
      <c r="I996">
        <v>0.06</v>
      </c>
      <c r="J996" t="str">
        <f t="shared" si="79"/>
        <v>SEL000SUGLI0SELFER</v>
      </c>
      <c r="K996">
        <f>_xlfn.IFNA(IF(F996="H",VLOOKUP(E996,Fertiliser_data!$E$7:$L$267,8,FALSE),VLOOKUP(E996,Fertiliser_data!$E$7:$L$267,8,FALSE)*0.65),IF(F996="H",0.038,(0.038*0.65)))</f>
        <v>2.449044776119403E-2</v>
      </c>
      <c r="L996">
        <f>IF($C996="IE",$K996*CF_231025!$E$16,$K996/VLOOKUP($C996,CF_231025!$A$2:$E$28,5,FALSE))</f>
        <v>9.9236336591823453E-3</v>
      </c>
    </row>
    <row r="997" spans="1:12" x14ac:dyDescent="0.25">
      <c r="A997" t="s">
        <v>136</v>
      </c>
      <c r="B997" t="s">
        <v>1157</v>
      </c>
      <c r="C997" t="str">
        <f t="shared" si="76"/>
        <v>SE</v>
      </c>
      <c r="D997" t="str">
        <f t="shared" si="77"/>
        <v>SUG</v>
      </c>
      <c r="E997" t="str">
        <f t="shared" si="75"/>
        <v>SESUG</v>
      </c>
      <c r="F997" t="str">
        <f t="shared" si="78"/>
        <v>L</v>
      </c>
      <c r="G997" t="s">
        <v>1122</v>
      </c>
      <c r="H997">
        <v>1</v>
      </c>
      <c r="I997">
        <v>0.06</v>
      </c>
      <c r="J997" t="str">
        <f t="shared" si="79"/>
        <v>SEL000SUGLR0SELFER</v>
      </c>
      <c r="K997">
        <f>_xlfn.IFNA(IF(F997="H",VLOOKUP(E997,Fertiliser_data!$E$7:$L$267,8,FALSE),VLOOKUP(E997,Fertiliser_data!$E$7:$L$267,8,FALSE)*0.65),IF(F997="H",0.038,(0.038*0.65)))</f>
        <v>2.449044776119403E-2</v>
      </c>
      <c r="L997">
        <f>IF($C997="IE",$K997*CF_231025!$E$16,$K997/VLOOKUP($C997,CF_231025!$A$2:$E$28,5,FALSE))</f>
        <v>9.9236336591823453E-3</v>
      </c>
    </row>
    <row r="998" spans="1:12" x14ac:dyDescent="0.25">
      <c r="A998" t="s">
        <v>136</v>
      </c>
      <c r="B998" t="s">
        <v>1158</v>
      </c>
      <c r="C998" t="str">
        <f t="shared" si="76"/>
        <v>SE</v>
      </c>
      <c r="D998" t="str">
        <f t="shared" si="77"/>
        <v>WHE</v>
      </c>
      <c r="E998" t="str">
        <f t="shared" si="75"/>
        <v>SEWHE</v>
      </c>
      <c r="F998" t="str">
        <f t="shared" si="78"/>
        <v>H</v>
      </c>
      <c r="G998" t="s">
        <v>1122</v>
      </c>
      <c r="H998">
        <v>1</v>
      </c>
      <c r="I998">
        <v>0.2</v>
      </c>
      <c r="J998" t="str">
        <f t="shared" si="79"/>
        <v>SEL000WHEHI0SELFER</v>
      </c>
      <c r="K998">
        <f>_xlfn.IFNA(IF(F998="H",VLOOKUP(E998,Fertiliser_data!$E$7:$L$267,8,FALSE),VLOOKUP(E998,Fertiliser_data!$E$7:$L$267,8,FALSE)*0.65),IF(F998="H",0.038,(0.038*0.65)))</f>
        <v>3.8040298507462683E-2</v>
      </c>
      <c r="L998">
        <f>IF($C998="IE",$K998*CF_231025!$E$16,$K998/VLOOKUP($C998,CF_231025!$A$2:$E$28,5,FALSE))</f>
        <v>1.5414090846969299E-2</v>
      </c>
    </row>
    <row r="999" spans="1:12" x14ac:dyDescent="0.25">
      <c r="A999" t="s">
        <v>136</v>
      </c>
      <c r="B999" t="s">
        <v>1159</v>
      </c>
      <c r="C999" t="str">
        <f t="shared" si="76"/>
        <v>SE</v>
      </c>
      <c r="D999" t="str">
        <f t="shared" si="77"/>
        <v>WHE</v>
      </c>
      <c r="E999" t="str">
        <f t="shared" si="75"/>
        <v>SEWHE</v>
      </c>
      <c r="F999" t="str">
        <f t="shared" si="78"/>
        <v>H</v>
      </c>
      <c r="G999" t="s">
        <v>1122</v>
      </c>
      <c r="H999">
        <v>1</v>
      </c>
      <c r="I999">
        <v>0.2</v>
      </c>
      <c r="J999" t="str">
        <f t="shared" si="79"/>
        <v>SEL000WHEHR0SELFER</v>
      </c>
      <c r="K999">
        <f>_xlfn.IFNA(IF(F999="H",VLOOKUP(E999,Fertiliser_data!$E$7:$L$267,8,FALSE),VLOOKUP(E999,Fertiliser_data!$E$7:$L$267,8,FALSE)*0.65),IF(F999="H",0.038,(0.038*0.65)))</f>
        <v>3.8040298507462683E-2</v>
      </c>
      <c r="L999">
        <f>IF($C999="IE",$K999*CF_231025!$E$16,$K999/VLOOKUP($C999,CF_231025!$A$2:$E$28,5,FALSE))</f>
        <v>1.5414090846969299E-2</v>
      </c>
    </row>
    <row r="1000" spans="1:12" x14ac:dyDescent="0.25">
      <c r="A1000" t="s">
        <v>136</v>
      </c>
      <c r="B1000" t="s">
        <v>1160</v>
      </c>
      <c r="C1000" t="str">
        <f t="shared" si="76"/>
        <v>SE</v>
      </c>
      <c r="D1000" t="str">
        <f t="shared" si="77"/>
        <v>WHE</v>
      </c>
      <c r="E1000" t="str">
        <f t="shared" si="75"/>
        <v>SEWHE</v>
      </c>
      <c r="F1000" t="str">
        <f t="shared" si="78"/>
        <v>L</v>
      </c>
      <c r="G1000" t="s">
        <v>1122</v>
      </c>
      <c r="H1000">
        <v>1</v>
      </c>
      <c r="I1000">
        <v>7.0000000000000007E-2</v>
      </c>
      <c r="J1000" t="str">
        <f t="shared" si="79"/>
        <v>SEL000WHELI0SELFER</v>
      </c>
      <c r="K1000">
        <f>_xlfn.IFNA(IF(F1000="H",VLOOKUP(E1000,Fertiliser_data!$E$7:$L$267,8,FALSE),VLOOKUP(E1000,Fertiliser_data!$E$7:$L$267,8,FALSE)*0.65),IF(F1000="H",0.038,(0.038*0.65)))</f>
        <v>2.4726194029850743E-2</v>
      </c>
      <c r="L1000">
        <f>IF($C1000="IE",$K1000*CF_231025!$E$16,$K1000/VLOOKUP($C1000,CF_231025!$A$2:$E$28,5,FALSE))</f>
        <v>1.0019159050530043E-2</v>
      </c>
    </row>
    <row r="1001" spans="1:12" x14ac:dyDescent="0.25">
      <c r="A1001" t="s">
        <v>136</v>
      </c>
      <c r="B1001" t="s">
        <v>1161</v>
      </c>
      <c r="C1001" t="str">
        <f t="shared" si="76"/>
        <v>SE</v>
      </c>
      <c r="D1001" t="str">
        <f t="shared" si="77"/>
        <v>WHE</v>
      </c>
      <c r="E1001" t="str">
        <f t="shared" si="75"/>
        <v>SEWHE</v>
      </c>
      <c r="F1001" t="str">
        <f t="shared" si="78"/>
        <v>L</v>
      </c>
      <c r="G1001" t="s">
        <v>1122</v>
      </c>
      <c r="H1001">
        <v>1</v>
      </c>
      <c r="I1001">
        <v>7.0000000000000007E-2</v>
      </c>
      <c r="J1001" t="str">
        <f t="shared" si="79"/>
        <v>SEL000WHELR0SELFER</v>
      </c>
      <c r="K1001">
        <f>_xlfn.IFNA(IF(F1001="H",VLOOKUP(E1001,Fertiliser_data!$E$7:$L$267,8,FALSE),VLOOKUP(E1001,Fertiliser_data!$E$7:$L$267,8,FALSE)*0.65),IF(F1001="H",0.038,(0.038*0.65)))</f>
        <v>2.4726194029850743E-2</v>
      </c>
      <c r="L1001">
        <f>IF($C1001="IE",$K1001*CF_231025!$E$16,$K1001/VLOOKUP($C1001,CF_231025!$A$2:$E$28,5,FALSE))</f>
        <v>1.0019159050530043E-2</v>
      </c>
    </row>
    <row r="1002" spans="1:12" x14ac:dyDescent="0.25">
      <c r="A1002" t="s">
        <v>136</v>
      </c>
      <c r="B1002" t="s">
        <v>1162</v>
      </c>
      <c r="C1002" t="str">
        <f t="shared" si="76"/>
        <v>SI</v>
      </c>
      <c r="D1002" t="str">
        <f t="shared" si="77"/>
        <v>WHE</v>
      </c>
      <c r="E1002" t="str">
        <f t="shared" si="75"/>
        <v>SIWHE</v>
      </c>
      <c r="F1002" t="str">
        <f t="shared" si="78"/>
        <v>H</v>
      </c>
      <c r="G1002" t="s">
        <v>1163</v>
      </c>
      <c r="H1002">
        <v>1</v>
      </c>
      <c r="I1002">
        <v>0.2</v>
      </c>
      <c r="J1002" t="str">
        <f t="shared" si="79"/>
        <v>SIL000WHEHI0SILFER</v>
      </c>
      <c r="K1002">
        <f>_xlfn.IFNA(IF(F1002="H",VLOOKUP(E1002,Fertiliser_data!$E$7:$L$267,8,FALSE),VLOOKUP(E1002,Fertiliser_data!$E$7:$L$267,8,FALSE)*0.65),IF(F1002="H",0.038,(0.038*0.65)))</f>
        <v>5.6792537313432832E-2</v>
      </c>
      <c r="L1002">
        <f>IF($C1002="IE",$K1002*CF_231025!$E$16,$K1002/VLOOKUP($C1002,CF_231025!$A$2:$E$28,5,FALSE))</f>
        <v>2.1667056898290526E-2</v>
      </c>
    </row>
    <row r="1003" spans="1:12" x14ac:dyDescent="0.25">
      <c r="A1003" t="s">
        <v>136</v>
      </c>
      <c r="B1003" t="s">
        <v>1164</v>
      </c>
      <c r="C1003" t="str">
        <f t="shared" si="76"/>
        <v>SI</v>
      </c>
      <c r="D1003" t="str">
        <f t="shared" si="77"/>
        <v>WHE</v>
      </c>
      <c r="E1003" t="str">
        <f t="shared" si="75"/>
        <v>SIWHE</v>
      </c>
      <c r="F1003" t="str">
        <f t="shared" si="78"/>
        <v>H</v>
      </c>
      <c r="G1003" t="s">
        <v>1163</v>
      </c>
      <c r="H1003">
        <v>1</v>
      </c>
      <c r="I1003">
        <v>0.2</v>
      </c>
      <c r="J1003" t="str">
        <f t="shared" si="79"/>
        <v>SIL000WHEHR0SILFER</v>
      </c>
      <c r="K1003">
        <f>_xlfn.IFNA(IF(F1003="H",VLOOKUP(E1003,Fertiliser_data!$E$7:$L$267,8,FALSE),VLOOKUP(E1003,Fertiliser_data!$E$7:$L$267,8,FALSE)*0.65),IF(F1003="H",0.038,(0.038*0.65)))</f>
        <v>5.6792537313432832E-2</v>
      </c>
      <c r="L1003">
        <f>IF($C1003="IE",$K1003*CF_231025!$E$16,$K1003/VLOOKUP($C1003,CF_231025!$A$2:$E$28,5,FALSE))</f>
        <v>2.1667056898290526E-2</v>
      </c>
    </row>
    <row r="1004" spans="1:12" x14ac:dyDescent="0.25">
      <c r="A1004" t="s">
        <v>136</v>
      </c>
      <c r="B1004" t="s">
        <v>1165</v>
      </c>
      <c r="C1004" t="str">
        <f t="shared" si="76"/>
        <v>SI</v>
      </c>
      <c r="D1004" t="str">
        <f t="shared" si="77"/>
        <v>WHE</v>
      </c>
      <c r="E1004" t="str">
        <f t="shared" si="75"/>
        <v>SIWHE</v>
      </c>
      <c r="F1004" t="str">
        <f t="shared" si="78"/>
        <v>L</v>
      </c>
      <c r="G1004" t="s">
        <v>1163</v>
      </c>
      <c r="H1004">
        <v>1</v>
      </c>
      <c r="I1004">
        <v>7.0000000000000007E-2</v>
      </c>
      <c r="J1004" t="str">
        <f t="shared" si="79"/>
        <v>SIL000WHELI0SILFER</v>
      </c>
      <c r="K1004">
        <f>_xlfn.IFNA(IF(F1004="H",VLOOKUP(E1004,Fertiliser_data!$E$7:$L$267,8,FALSE),VLOOKUP(E1004,Fertiliser_data!$E$7:$L$267,8,FALSE)*0.65),IF(F1004="H",0.038,(0.038*0.65)))</f>
        <v>3.6915149253731343E-2</v>
      </c>
      <c r="L1004">
        <f>IF($C1004="IE",$K1004*CF_231025!$E$16,$K1004/VLOOKUP($C1004,CF_231025!$A$2:$E$28,5,FALSE))</f>
        <v>1.4083586983888842E-2</v>
      </c>
    </row>
    <row r="1005" spans="1:12" x14ac:dyDescent="0.25">
      <c r="A1005" t="s">
        <v>136</v>
      </c>
      <c r="B1005" t="s">
        <v>1166</v>
      </c>
      <c r="C1005" t="str">
        <f t="shared" si="76"/>
        <v>SI</v>
      </c>
      <c r="D1005" t="str">
        <f t="shared" si="77"/>
        <v>WHE</v>
      </c>
      <c r="E1005" t="str">
        <f t="shared" si="75"/>
        <v>SIWHE</v>
      </c>
      <c r="F1005" t="str">
        <f t="shared" si="78"/>
        <v>L</v>
      </c>
      <c r="G1005" t="s">
        <v>1163</v>
      </c>
      <c r="H1005">
        <v>1</v>
      </c>
      <c r="I1005">
        <v>7.0000000000000007E-2</v>
      </c>
      <c r="J1005" t="str">
        <f t="shared" si="79"/>
        <v>SIL000WHELR0SILFER</v>
      </c>
      <c r="K1005">
        <f>_xlfn.IFNA(IF(F1005="H",VLOOKUP(E1005,Fertiliser_data!$E$7:$L$267,8,FALSE),VLOOKUP(E1005,Fertiliser_data!$E$7:$L$267,8,FALSE)*0.65),IF(F1005="H",0.038,(0.038*0.65)))</f>
        <v>3.6915149253731343E-2</v>
      </c>
      <c r="L1005">
        <f>IF($C1005="IE",$K1005*CF_231025!$E$16,$K1005/VLOOKUP($C1005,CF_231025!$A$2:$E$28,5,FALSE))</f>
        <v>1.4083586983888842E-2</v>
      </c>
    </row>
    <row r="1006" spans="1:12" x14ac:dyDescent="0.25">
      <c r="A1006" t="s">
        <v>136</v>
      </c>
      <c r="B1006" t="s">
        <v>1167</v>
      </c>
      <c r="C1006" t="str">
        <f t="shared" si="76"/>
        <v>SI</v>
      </c>
      <c r="D1006" t="str">
        <f t="shared" si="77"/>
        <v>POT</v>
      </c>
      <c r="E1006" t="str">
        <f t="shared" si="75"/>
        <v>SIPOT</v>
      </c>
      <c r="F1006" t="str">
        <f t="shared" si="78"/>
        <v>H</v>
      </c>
      <c r="G1006" t="s">
        <v>1163</v>
      </c>
      <c r="H1006">
        <v>1</v>
      </c>
      <c r="I1006">
        <v>0.17</v>
      </c>
      <c r="J1006" t="str">
        <f t="shared" si="79"/>
        <v>SIL000POTHI0SILFER</v>
      </c>
      <c r="K1006">
        <f>_xlfn.IFNA(IF(F1006="H",VLOOKUP(E1006,Fertiliser_data!$E$7:$L$267,8,FALSE),VLOOKUP(E1006,Fertiliser_data!$E$7:$L$267,8,FALSE)*0.65),IF(F1006="H",0.038,(0.038*0.65)))</f>
        <v>7.2908955223880592E-2</v>
      </c>
      <c r="L1006">
        <f>IF($C1006="IE",$K1006*CF_231025!$E$16,$K1006/VLOOKUP($C1006,CF_231025!$A$2:$E$28,5,FALSE))</f>
        <v>2.7815670085532412E-2</v>
      </c>
    </row>
    <row r="1007" spans="1:12" x14ac:dyDescent="0.25">
      <c r="A1007" t="s">
        <v>136</v>
      </c>
      <c r="B1007" t="s">
        <v>1168</v>
      </c>
      <c r="C1007" t="str">
        <f t="shared" si="76"/>
        <v>SI</v>
      </c>
      <c r="D1007" t="str">
        <f t="shared" si="77"/>
        <v>POT</v>
      </c>
      <c r="E1007" t="str">
        <f t="shared" si="75"/>
        <v>SIPOT</v>
      </c>
      <c r="F1007" t="str">
        <f t="shared" si="78"/>
        <v>H</v>
      </c>
      <c r="G1007" t="s">
        <v>1163</v>
      </c>
      <c r="H1007">
        <v>1</v>
      </c>
      <c r="I1007">
        <v>0.17</v>
      </c>
      <c r="J1007" t="str">
        <f t="shared" si="79"/>
        <v>SIL000POTHR0SILFER</v>
      </c>
      <c r="K1007">
        <f>_xlfn.IFNA(IF(F1007="H",VLOOKUP(E1007,Fertiliser_data!$E$7:$L$267,8,FALSE),VLOOKUP(E1007,Fertiliser_data!$E$7:$L$267,8,FALSE)*0.65),IF(F1007="H",0.038,(0.038*0.65)))</f>
        <v>7.2908955223880592E-2</v>
      </c>
      <c r="L1007">
        <f>IF($C1007="IE",$K1007*CF_231025!$E$16,$K1007/VLOOKUP($C1007,CF_231025!$A$2:$E$28,5,FALSE))</f>
        <v>2.7815670085532412E-2</v>
      </c>
    </row>
    <row r="1008" spans="1:12" x14ac:dyDescent="0.25">
      <c r="A1008" t="s">
        <v>136</v>
      </c>
      <c r="B1008" t="s">
        <v>1169</v>
      </c>
      <c r="C1008" t="str">
        <f t="shared" si="76"/>
        <v>SI</v>
      </c>
      <c r="D1008" t="str">
        <f t="shared" si="77"/>
        <v>POT</v>
      </c>
      <c r="E1008" t="str">
        <f t="shared" si="75"/>
        <v>SIPOT</v>
      </c>
      <c r="F1008" t="str">
        <f t="shared" si="78"/>
        <v>L</v>
      </c>
      <c r="G1008" t="s">
        <v>1163</v>
      </c>
      <c r="H1008">
        <v>1</v>
      </c>
      <c r="I1008">
        <v>0.06</v>
      </c>
      <c r="J1008" t="str">
        <f t="shared" si="79"/>
        <v>SIL000POTLI0SILFER</v>
      </c>
      <c r="K1008">
        <f>_xlfn.IFNA(IF(F1008="H",VLOOKUP(E1008,Fertiliser_data!$E$7:$L$267,8,FALSE),VLOOKUP(E1008,Fertiliser_data!$E$7:$L$267,8,FALSE)*0.65),IF(F1008="H",0.038,(0.038*0.65)))</f>
        <v>4.7390820895522386E-2</v>
      </c>
      <c r="L1008">
        <f>IF($C1008="IE",$K1008*CF_231025!$E$16,$K1008/VLOOKUP($C1008,CF_231025!$A$2:$E$28,5,FALSE))</f>
        <v>1.8080185555596068E-2</v>
      </c>
    </row>
    <row r="1009" spans="1:12" x14ac:dyDescent="0.25">
      <c r="A1009" t="s">
        <v>136</v>
      </c>
      <c r="B1009" t="s">
        <v>1170</v>
      </c>
      <c r="C1009" t="str">
        <f t="shared" si="76"/>
        <v>SI</v>
      </c>
      <c r="D1009" t="str">
        <f t="shared" si="77"/>
        <v>POT</v>
      </c>
      <c r="E1009" t="str">
        <f t="shared" si="75"/>
        <v>SIPOT</v>
      </c>
      <c r="F1009" t="str">
        <f t="shared" si="78"/>
        <v>L</v>
      </c>
      <c r="G1009" t="s">
        <v>1163</v>
      </c>
      <c r="H1009">
        <v>1</v>
      </c>
      <c r="I1009">
        <v>0.06</v>
      </c>
      <c r="J1009" t="str">
        <f t="shared" si="79"/>
        <v>SIL000POTLR0SILFER</v>
      </c>
      <c r="K1009">
        <f>_xlfn.IFNA(IF(F1009="H",VLOOKUP(E1009,Fertiliser_data!$E$7:$L$267,8,FALSE),VLOOKUP(E1009,Fertiliser_data!$E$7:$L$267,8,FALSE)*0.65),IF(F1009="H",0.038,(0.038*0.65)))</f>
        <v>4.7390820895522386E-2</v>
      </c>
      <c r="L1009">
        <f>IF($C1009="IE",$K1009*CF_231025!$E$16,$K1009/VLOOKUP($C1009,CF_231025!$A$2:$E$28,5,FALSE))</f>
        <v>1.8080185555596068E-2</v>
      </c>
    </row>
    <row r="1010" spans="1:12" x14ac:dyDescent="0.25">
      <c r="A1010" t="s">
        <v>136</v>
      </c>
      <c r="B1010" t="s">
        <v>1171</v>
      </c>
      <c r="C1010" t="str">
        <f t="shared" si="76"/>
        <v>SI</v>
      </c>
      <c r="D1010" t="str">
        <f t="shared" si="77"/>
        <v>RYE</v>
      </c>
      <c r="E1010" t="str">
        <f t="shared" si="75"/>
        <v>SIRYE</v>
      </c>
      <c r="F1010" t="str">
        <f t="shared" si="78"/>
        <v>H</v>
      </c>
      <c r="G1010" t="s">
        <v>1163</v>
      </c>
      <c r="H1010">
        <v>1</v>
      </c>
      <c r="I1010">
        <v>0.11</v>
      </c>
      <c r="J1010" t="str">
        <f t="shared" si="79"/>
        <v>SIL000RYEHI0SILFER</v>
      </c>
      <c r="K1010">
        <f>_xlfn.IFNA(IF(F1010="H",VLOOKUP(E1010,Fertiliser_data!$E$7:$L$267,8,FALSE),VLOOKUP(E1010,Fertiliser_data!$E$7:$L$267,8,FALSE)*0.65),IF(F1010="H",0.038,(0.038*0.65)))</f>
        <v>3.7999999999999999E-2</v>
      </c>
      <c r="L1010">
        <f>IF($C1010="IE",$K1010*CF_231025!$E$16,$K1010/VLOOKUP($C1010,CF_231025!$A$2:$E$28,5,FALSE))</f>
        <v>1.4497470989736848E-2</v>
      </c>
    </row>
    <row r="1011" spans="1:12" x14ac:dyDescent="0.25">
      <c r="A1011" t="s">
        <v>136</v>
      </c>
      <c r="B1011" t="s">
        <v>1172</v>
      </c>
      <c r="C1011" t="str">
        <f t="shared" si="76"/>
        <v>SI</v>
      </c>
      <c r="D1011" t="str">
        <f t="shared" si="77"/>
        <v>RYE</v>
      </c>
      <c r="E1011" t="str">
        <f t="shared" si="75"/>
        <v>SIRYE</v>
      </c>
      <c r="F1011" t="str">
        <f t="shared" si="78"/>
        <v>H</v>
      </c>
      <c r="G1011" t="s">
        <v>1163</v>
      </c>
      <c r="H1011">
        <v>1</v>
      </c>
      <c r="I1011">
        <v>0.11</v>
      </c>
      <c r="J1011" t="str">
        <f t="shared" si="79"/>
        <v>SIL000RYEHR0SILFER</v>
      </c>
      <c r="K1011">
        <f>_xlfn.IFNA(IF(F1011="H",VLOOKUP(E1011,Fertiliser_data!$E$7:$L$267,8,FALSE),VLOOKUP(E1011,Fertiliser_data!$E$7:$L$267,8,FALSE)*0.65),IF(F1011="H",0.038,(0.038*0.65)))</f>
        <v>3.7999999999999999E-2</v>
      </c>
      <c r="L1011">
        <f>IF($C1011="IE",$K1011*CF_231025!$E$16,$K1011/VLOOKUP($C1011,CF_231025!$A$2:$E$28,5,FALSE))</f>
        <v>1.4497470989736848E-2</v>
      </c>
    </row>
    <row r="1012" spans="1:12" x14ac:dyDescent="0.25">
      <c r="A1012" t="s">
        <v>136</v>
      </c>
      <c r="B1012" t="s">
        <v>1173</v>
      </c>
      <c r="C1012" t="str">
        <f t="shared" si="76"/>
        <v>SI</v>
      </c>
      <c r="D1012" t="str">
        <f t="shared" si="77"/>
        <v>RYE</v>
      </c>
      <c r="E1012" t="str">
        <f t="shared" si="75"/>
        <v>SIRYE</v>
      </c>
      <c r="F1012" t="str">
        <f t="shared" si="78"/>
        <v>L</v>
      </c>
      <c r="G1012" t="s">
        <v>1163</v>
      </c>
      <c r="H1012">
        <v>1</v>
      </c>
      <c r="I1012">
        <v>0.04</v>
      </c>
      <c r="J1012" t="str">
        <f t="shared" si="79"/>
        <v>SIL000RYELI0SILFER</v>
      </c>
      <c r="K1012">
        <f>_xlfn.IFNA(IF(F1012="H",VLOOKUP(E1012,Fertiliser_data!$E$7:$L$267,8,FALSE),VLOOKUP(E1012,Fertiliser_data!$E$7:$L$267,8,FALSE)*0.65),IF(F1012="H",0.038,(0.038*0.65)))</f>
        <v>2.47E-2</v>
      </c>
      <c r="L1012">
        <f>IF($C1012="IE",$K1012*CF_231025!$E$16,$K1012/VLOOKUP($C1012,CF_231025!$A$2:$E$28,5,FALSE))</f>
        <v>9.4233561433289502E-3</v>
      </c>
    </row>
    <row r="1013" spans="1:12" x14ac:dyDescent="0.25">
      <c r="A1013" t="s">
        <v>136</v>
      </c>
      <c r="B1013" t="s">
        <v>1174</v>
      </c>
      <c r="C1013" t="str">
        <f t="shared" si="76"/>
        <v>SI</v>
      </c>
      <c r="D1013" t="str">
        <f t="shared" si="77"/>
        <v>RYE</v>
      </c>
      <c r="E1013" t="str">
        <f t="shared" si="75"/>
        <v>SIRYE</v>
      </c>
      <c r="F1013" t="str">
        <f t="shared" si="78"/>
        <v>L</v>
      </c>
      <c r="G1013" t="s">
        <v>1163</v>
      </c>
      <c r="H1013">
        <v>1</v>
      </c>
      <c r="I1013">
        <v>0.04</v>
      </c>
      <c r="J1013" t="str">
        <f t="shared" si="79"/>
        <v>SIL000RYELR0SILFER</v>
      </c>
      <c r="K1013">
        <f>_xlfn.IFNA(IF(F1013="H",VLOOKUP(E1013,Fertiliser_data!$E$7:$L$267,8,FALSE),VLOOKUP(E1013,Fertiliser_data!$E$7:$L$267,8,FALSE)*0.65),IF(F1013="H",0.038,(0.038*0.65)))</f>
        <v>2.47E-2</v>
      </c>
      <c r="L1013">
        <f>IF($C1013="IE",$K1013*CF_231025!$E$16,$K1013/VLOOKUP($C1013,CF_231025!$A$2:$E$28,5,FALSE))</f>
        <v>9.4233561433289502E-3</v>
      </c>
    </row>
    <row r="1014" spans="1:12" x14ac:dyDescent="0.25">
      <c r="A1014" t="s">
        <v>136</v>
      </c>
      <c r="B1014" t="s">
        <v>1175</v>
      </c>
      <c r="C1014" t="str">
        <f t="shared" si="76"/>
        <v>SI</v>
      </c>
      <c r="D1014" t="str">
        <f t="shared" si="77"/>
        <v>RAP</v>
      </c>
      <c r="E1014" t="str">
        <f t="shared" si="75"/>
        <v>SIRAP</v>
      </c>
      <c r="F1014" t="str">
        <f t="shared" si="78"/>
        <v>H</v>
      </c>
      <c r="G1014" t="s">
        <v>1163</v>
      </c>
      <c r="H1014">
        <v>1</v>
      </c>
      <c r="I1014">
        <v>0.26</v>
      </c>
      <c r="J1014" t="str">
        <f t="shared" si="79"/>
        <v>SIL000RAPHI0SILFER</v>
      </c>
      <c r="K1014">
        <f>_xlfn.IFNA(IF(F1014="H",VLOOKUP(E1014,Fertiliser_data!$E$7:$L$267,8,FALSE),VLOOKUP(E1014,Fertiliser_data!$E$7:$L$267,8,FALSE)*0.65),IF(F1014="H",0.038,(0.038*0.65)))</f>
        <v>5.9201492537313424E-2</v>
      </c>
      <c r="L1014">
        <f>IF($C1014="IE",$K1014*CF_231025!$E$16,$K1014/VLOOKUP($C1014,CF_231025!$A$2:$E$28,5,FALSE))</f>
        <v>2.2586103173916416E-2</v>
      </c>
    </row>
    <row r="1015" spans="1:12" x14ac:dyDescent="0.25">
      <c r="A1015" t="s">
        <v>136</v>
      </c>
      <c r="B1015" t="s">
        <v>1176</v>
      </c>
      <c r="C1015" t="str">
        <f t="shared" si="76"/>
        <v>SI</v>
      </c>
      <c r="D1015" t="str">
        <f t="shared" si="77"/>
        <v>RAP</v>
      </c>
      <c r="E1015" t="str">
        <f t="shared" si="75"/>
        <v>SIRAP</v>
      </c>
      <c r="F1015" t="str">
        <f t="shared" si="78"/>
        <v>H</v>
      </c>
      <c r="G1015" t="s">
        <v>1163</v>
      </c>
      <c r="H1015">
        <v>1</v>
      </c>
      <c r="I1015">
        <v>0.26</v>
      </c>
      <c r="J1015" t="str">
        <f t="shared" si="79"/>
        <v>SIL000RAPHR0SILFER</v>
      </c>
      <c r="K1015">
        <f>_xlfn.IFNA(IF(F1015="H",VLOOKUP(E1015,Fertiliser_data!$E$7:$L$267,8,FALSE),VLOOKUP(E1015,Fertiliser_data!$E$7:$L$267,8,FALSE)*0.65),IF(F1015="H",0.038,(0.038*0.65)))</f>
        <v>5.9201492537313424E-2</v>
      </c>
      <c r="L1015">
        <f>IF($C1015="IE",$K1015*CF_231025!$E$16,$K1015/VLOOKUP($C1015,CF_231025!$A$2:$E$28,5,FALSE))</f>
        <v>2.2586103173916416E-2</v>
      </c>
    </row>
    <row r="1016" spans="1:12" x14ac:dyDescent="0.25">
      <c r="A1016" t="s">
        <v>136</v>
      </c>
      <c r="B1016" t="s">
        <v>1177</v>
      </c>
      <c r="C1016" t="str">
        <f t="shared" si="76"/>
        <v>SI</v>
      </c>
      <c r="D1016" t="str">
        <f t="shared" si="77"/>
        <v>RAP</v>
      </c>
      <c r="E1016" t="str">
        <f t="shared" si="75"/>
        <v>SIRAP</v>
      </c>
      <c r="F1016" t="str">
        <f t="shared" si="78"/>
        <v>L</v>
      </c>
      <c r="G1016" t="s">
        <v>1163</v>
      </c>
      <c r="H1016">
        <v>1</v>
      </c>
      <c r="I1016">
        <v>0.1</v>
      </c>
      <c r="J1016" t="str">
        <f t="shared" si="79"/>
        <v>SIL000RAPLI0SILFER</v>
      </c>
      <c r="K1016">
        <f>_xlfn.IFNA(IF(F1016="H",VLOOKUP(E1016,Fertiliser_data!$E$7:$L$267,8,FALSE),VLOOKUP(E1016,Fertiliser_data!$E$7:$L$267,8,FALSE)*0.65),IF(F1016="H",0.038,(0.038*0.65)))</f>
        <v>3.8480970149253724E-2</v>
      </c>
      <c r="L1016">
        <f>IF($C1016="IE",$K1016*CF_231025!$E$16,$K1016/VLOOKUP($C1016,CF_231025!$A$2:$E$28,5,FALSE))</f>
        <v>1.4680967063045671E-2</v>
      </c>
    </row>
    <row r="1017" spans="1:12" x14ac:dyDescent="0.25">
      <c r="A1017" t="s">
        <v>136</v>
      </c>
      <c r="B1017" t="s">
        <v>1178</v>
      </c>
      <c r="C1017" t="str">
        <f t="shared" si="76"/>
        <v>SI</v>
      </c>
      <c r="D1017" t="str">
        <f t="shared" si="77"/>
        <v>RAP</v>
      </c>
      <c r="E1017" t="str">
        <f t="shared" si="75"/>
        <v>SIRAP</v>
      </c>
      <c r="F1017" t="str">
        <f t="shared" si="78"/>
        <v>L</v>
      </c>
      <c r="G1017" t="s">
        <v>1163</v>
      </c>
      <c r="H1017">
        <v>1</v>
      </c>
      <c r="I1017">
        <v>0.1</v>
      </c>
      <c r="J1017" t="str">
        <f t="shared" si="79"/>
        <v>SIL000RAPLR0SILFER</v>
      </c>
      <c r="K1017">
        <f>_xlfn.IFNA(IF(F1017="H",VLOOKUP(E1017,Fertiliser_data!$E$7:$L$267,8,FALSE),VLOOKUP(E1017,Fertiliser_data!$E$7:$L$267,8,FALSE)*0.65),IF(F1017="H",0.038,(0.038*0.65)))</f>
        <v>3.8480970149253724E-2</v>
      </c>
      <c r="L1017">
        <f>IF($C1017="IE",$K1017*CF_231025!$E$16,$K1017/VLOOKUP($C1017,CF_231025!$A$2:$E$28,5,FALSE))</f>
        <v>1.4680967063045671E-2</v>
      </c>
    </row>
    <row r="1018" spans="1:12" x14ac:dyDescent="0.25">
      <c r="A1018" t="s">
        <v>136</v>
      </c>
      <c r="B1018" t="s">
        <v>1179</v>
      </c>
      <c r="C1018" t="str">
        <f t="shared" si="76"/>
        <v>SI</v>
      </c>
      <c r="D1018" t="str">
        <f t="shared" si="77"/>
        <v>OTH</v>
      </c>
      <c r="E1018" t="str">
        <f t="shared" si="75"/>
        <v>SIOTH</v>
      </c>
      <c r="F1018" t="str">
        <f t="shared" si="78"/>
        <v>H</v>
      </c>
      <c r="G1018" t="s">
        <v>1163</v>
      </c>
      <c r="H1018">
        <v>1</v>
      </c>
      <c r="I1018">
        <v>0.17</v>
      </c>
      <c r="J1018" t="str">
        <f t="shared" si="79"/>
        <v>SIL000OTHHI0SILFER</v>
      </c>
      <c r="K1018">
        <f>_xlfn.IFNA(IF(F1018="H",VLOOKUP(E1018,Fertiliser_data!$E$7:$L$267,8,FALSE),VLOOKUP(E1018,Fertiliser_data!$E$7:$L$267,8,FALSE)*0.65),IF(F1018="H",0.038,(0.038*0.65)))</f>
        <v>3.7999999999999999E-2</v>
      </c>
      <c r="L1018">
        <f>IF($C1018="IE",$K1018*CF_231025!$E$16,$K1018/VLOOKUP($C1018,CF_231025!$A$2:$E$28,5,FALSE))</f>
        <v>1.4497470989736848E-2</v>
      </c>
    </row>
    <row r="1019" spans="1:12" x14ac:dyDescent="0.25">
      <c r="A1019" t="s">
        <v>136</v>
      </c>
      <c r="B1019" t="s">
        <v>1180</v>
      </c>
      <c r="C1019" t="str">
        <f t="shared" si="76"/>
        <v>SI</v>
      </c>
      <c r="D1019" t="str">
        <f t="shared" si="77"/>
        <v>OTH</v>
      </c>
      <c r="E1019" t="str">
        <f t="shared" si="75"/>
        <v>SIOTH</v>
      </c>
      <c r="F1019" t="str">
        <f t="shared" si="78"/>
        <v>H</v>
      </c>
      <c r="G1019" t="s">
        <v>1163</v>
      </c>
      <c r="H1019">
        <v>1</v>
      </c>
      <c r="I1019">
        <v>0.17</v>
      </c>
      <c r="J1019" t="str">
        <f t="shared" si="79"/>
        <v>SIL000OTHHR0SILFER</v>
      </c>
      <c r="K1019">
        <f>_xlfn.IFNA(IF(F1019="H",VLOOKUP(E1019,Fertiliser_data!$E$7:$L$267,8,FALSE),VLOOKUP(E1019,Fertiliser_data!$E$7:$L$267,8,FALSE)*0.65),IF(F1019="H",0.038,(0.038*0.65)))</f>
        <v>3.7999999999999999E-2</v>
      </c>
      <c r="L1019">
        <f>IF($C1019="IE",$K1019*CF_231025!$E$16,$K1019/VLOOKUP($C1019,CF_231025!$A$2:$E$28,5,FALSE))</f>
        <v>1.4497470989736848E-2</v>
      </c>
    </row>
    <row r="1020" spans="1:12" x14ac:dyDescent="0.25">
      <c r="A1020" t="s">
        <v>136</v>
      </c>
      <c r="B1020" t="s">
        <v>1181</v>
      </c>
      <c r="C1020" t="str">
        <f t="shared" si="76"/>
        <v>SI</v>
      </c>
      <c r="D1020" t="str">
        <f t="shared" si="77"/>
        <v>OTH</v>
      </c>
      <c r="E1020" t="str">
        <f t="shared" si="75"/>
        <v>SIOTH</v>
      </c>
      <c r="F1020" t="str">
        <f t="shared" si="78"/>
        <v>L</v>
      </c>
      <c r="G1020" t="s">
        <v>1163</v>
      </c>
      <c r="H1020">
        <v>1</v>
      </c>
      <c r="I1020">
        <v>0.06</v>
      </c>
      <c r="J1020" t="str">
        <f t="shared" si="79"/>
        <v>SIL000OTHLI0SILFER</v>
      </c>
      <c r="K1020">
        <f>_xlfn.IFNA(IF(F1020="H",VLOOKUP(E1020,Fertiliser_data!$E$7:$L$267,8,FALSE),VLOOKUP(E1020,Fertiliser_data!$E$7:$L$267,8,FALSE)*0.65),IF(F1020="H",0.038,(0.038*0.65)))</f>
        <v>2.47E-2</v>
      </c>
      <c r="L1020">
        <f>IF($C1020="IE",$K1020*CF_231025!$E$16,$K1020/VLOOKUP($C1020,CF_231025!$A$2:$E$28,5,FALSE))</f>
        <v>9.4233561433289502E-3</v>
      </c>
    </row>
    <row r="1021" spans="1:12" x14ac:dyDescent="0.25">
      <c r="A1021" t="s">
        <v>136</v>
      </c>
      <c r="B1021" t="s">
        <v>1182</v>
      </c>
      <c r="C1021" t="str">
        <f t="shared" si="76"/>
        <v>SI</v>
      </c>
      <c r="D1021" t="str">
        <f t="shared" si="77"/>
        <v>OTH</v>
      </c>
      <c r="E1021" t="str">
        <f t="shared" si="75"/>
        <v>SIOTH</v>
      </c>
      <c r="F1021" t="str">
        <f t="shared" si="78"/>
        <v>L</v>
      </c>
      <c r="G1021" t="s">
        <v>1163</v>
      </c>
      <c r="H1021">
        <v>1</v>
      </c>
      <c r="I1021">
        <v>0.06</v>
      </c>
      <c r="J1021" t="str">
        <f t="shared" si="79"/>
        <v>SIL000OTHLR0SILFER</v>
      </c>
      <c r="K1021">
        <f>_xlfn.IFNA(IF(F1021="H",VLOOKUP(E1021,Fertiliser_data!$E$7:$L$267,8,FALSE),VLOOKUP(E1021,Fertiliser_data!$E$7:$L$267,8,FALSE)*0.65),IF(F1021="H",0.038,(0.038*0.65)))</f>
        <v>2.47E-2</v>
      </c>
      <c r="L1021">
        <f>IF($C1021="IE",$K1021*CF_231025!$E$16,$K1021/VLOOKUP($C1021,CF_231025!$A$2:$E$28,5,FALSE))</f>
        <v>9.4233561433289502E-3</v>
      </c>
    </row>
    <row r="1022" spans="1:12" x14ac:dyDescent="0.25">
      <c r="A1022" t="s">
        <v>136</v>
      </c>
      <c r="B1022" t="s">
        <v>1183</v>
      </c>
      <c r="C1022" t="str">
        <f t="shared" si="76"/>
        <v>SI</v>
      </c>
      <c r="D1022" t="str">
        <f t="shared" si="77"/>
        <v>OTO</v>
      </c>
      <c r="E1022" t="str">
        <f t="shared" si="75"/>
        <v>SIOTO</v>
      </c>
      <c r="F1022" t="str">
        <f t="shared" si="78"/>
        <v>H</v>
      </c>
      <c r="G1022" t="s">
        <v>1163</v>
      </c>
      <c r="H1022">
        <v>1</v>
      </c>
      <c r="I1022">
        <v>0.17</v>
      </c>
      <c r="J1022" t="str">
        <f t="shared" si="79"/>
        <v>SIL000OTOHI0SILFER</v>
      </c>
      <c r="K1022">
        <f>_xlfn.IFNA(IF(F1022="H",VLOOKUP(E1022,Fertiliser_data!$E$7:$L$267,8,FALSE),VLOOKUP(E1022,Fertiliser_data!$E$7:$L$267,8,FALSE)*0.65),IF(F1022="H",0.038,(0.038*0.65)))</f>
        <v>2.7213432835820891E-2</v>
      </c>
      <c r="L1022">
        <f>IF($C1022="IE",$K1022*CF_231025!$E$16,$K1022/VLOOKUP($C1022,CF_231025!$A$2:$E$28,5,FALSE))</f>
        <v>1.0382261922854356E-2</v>
      </c>
    </row>
    <row r="1023" spans="1:12" x14ac:dyDescent="0.25">
      <c r="A1023" t="s">
        <v>136</v>
      </c>
      <c r="B1023" t="s">
        <v>1184</v>
      </c>
      <c r="C1023" t="str">
        <f t="shared" si="76"/>
        <v>SI</v>
      </c>
      <c r="D1023" t="str">
        <f t="shared" si="77"/>
        <v>OTO</v>
      </c>
      <c r="E1023" t="str">
        <f t="shared" si="75"/>
        <v>SIOTO</v>
      </c>
      <c r="F1023" t="str">
        <f t="shared" si="78"/>
        <v>H</v>
      </c>
      <c r="G1023" t="s">
        <v>1163</v>
      </c>
      <c r="H1023">
        <v>1</v>
      </c>
      <c r="I1023">
        <v>0.17</v>
      </c>
      <c r="J1023" t="str">
        <f t="shared" si="79"/>
        <v>SIL000OTOHR0SILFER</v>
      </c>
      <c r="K1023">
        <f>_xlfn.IFNA(IF(F1023="H",VLOOKUP(E1023,Fertiliser_data!$E$7:$L$267,8,FALSE),VLOOKUP(E1023,Fertiliser_data!$E$7:$L$267,8,FALSE)*0.65),IF(F1023="H",0.038,(0.038*0.65)))</f>
        <v>2.7213432835820891E-2</v>
      </c>
      <c r="L1023">
        <f>IF($C1023="IE",$K1023*CF_231025!$E$16,$K1023/VLOOKUP($C1023,CF_231025!$A$2:$E$28,5,FALSE))</f>
        <v>1.0382261922854356E-2</v>
      </c>
    </row>
    <row r="1024" spans="1:12" x14ac:dyDescent="0.25">
      <c r="A1024" t="s">
        <v>136</v>
      </c>
      <c r="B1024" t="s">
        <v>1185</v>
      </c>
      <c r="C1024" t="str">
        <f t="shared" si="76"/>
        <v>SI</v>
      </c>
      <c r="D1024" t="str">
        <f t="shared" si="77"/>
        <v>OTO</v>
      </c>
      <c r="E1024" t="str">
        <f t="shared" si="75"/>
        <v>SIOTO</v>
      </c>
      <c r="F1024" t="str">
        <f t="shared" si="78"/>
        <v>L</v>
      </c>
      <c r="G1024" t="s">
        <v>1163</v>
      </c>
      <c r="H1024">
        <v>1</v>
      </c>
      <c r="I1024">
        <v>0.06</v>
      </c>
      <c r="J1024" t="str">
        <f t="shared" si="79"/>
        <v>SIL000OTOLI0SILFER</v>
      </c>
      <c r="K1024">
        <f>_xlfn.IFNA(IF(F1024="H",VLOOKUP(E1024,Fertiliser_data!$E$7:$L$267,8,FALSE),VLOOKUP(E1024,Fertiliser_data!$E$7:$L$267,8,FALSE)*0.65),IF(F1024="H",0.038,(0.038*0.65)))</f>
        <v>1.7688731343283581E-2</v>
      </c>
      <c r="L1024">
        <f>IF($C1024="IE",$K1024*CF_231025!$E$16,$K1024/VLOOKUP($C1024,CF_231025!$A$2:$E$28,5,FALSE))</f>
        <v>6.7484702498553321E-3</v>
      </c>
    </row>
    <row r="1025" spans="1:12" x14ac:dyDescent="0.25">
      <c r="A1025" t="s">
        <v>136</v>
      </c>
      <c r="B1025" t="s">
        <v>1186</v>
      </c>
      <c r="C1025" t="str">
        <f t="shared" si="76"/>
        <v>SI</v>
      </c>
      <c r="D1025" t="str">
        <f t="shared" si="77"/>
        <v>OTO</v>
      </c>
      <c r="E1025" t="str">
        <f t="shared" si="75"/>
        <v>SIOTO</v>
      </c>
      <c r="F1025" t="str">
        <f t="shared" si="78"/>
        <v>L</v>
      </c>
      <c r="G1025" t="s">
        <v>1163</v>
      </c>
      <c r="H1025">
        <v>1</v>
      </c>
      <c r="I1025">
        <v>0.06</v>
      </c>
      <c r="J1025" t="str">
        <f t="shared" si="79"/>
        <v>SIL000OTOLR0SILFER</v>
      </c>
      <c r="K1025">
        <f>_xlfn.IFNA(IF(F1025="H",VLOOKUP(E1025,Fertiliser_data!$E$7:$L$267,8,FALSE),VLOOKUP(E1025,Fertiliser_data!$E$7:$L$267,8,FALSE)*0.65),IF(F1025="H",0.038,(0.038*0.65)))</f>
        <v>1.7688731343283581E-2</v>
      </c>
      <c r="L1025">
        <f>IF($C1025="IE",$K1025*CF_231025!$E$16,$K1025/VLOOKUP($C1025,CF_231025!$A$2:$E$28,5,FALSE))</f>
        <v>6.7484702498553321E-3</v>
      </c>
    </row>
    <row r="1026" spans="1:12" x14ac:dyDescent="0.25">
      <c r="A1026" t="s">
        <v>136</v>
      </c>
      <c r="B1026" t="s">
        <v>1187</v>
      </c>
      <c r="C1026" t="str">
        <f t="shared" si="76"/>
        <v>SI</v>
      </c>
      <c r="D1026" t="str">
        <f t="shared" si="77"/>
        <v>BRL</v>
      </c>
      <c r="E1026" t="str">
        <f t="shared" ref="E1026:E1081" si="80">C1026&amp;D1026</f>
        <v>SIBRL</v>
      </c>
      <c r="F1026" t="str">
        <f t="shared" si="78"/>
        <v>H</v>
      </c>
      <c r="G1026" t="s">
        <v>1163</v>
      </c>
      <c r="H1026">
        <v>1</v>
      </c>
      <c r="I1026">
        <v>0.15</v>
      </c>
      <c r="J1026" t="str">
        <f t="shared" si="79"/>
        <v>SIL000BRLHI0SILFER</v>
      </c>
      <c r="K1026">
        <f>_xlfn.IFNA(IF(F1026="H",VLOOKUP(E1026,Fertiliser_data!$E$7:$L$267,8,FALSE),VLOOKUP(E1026,Fertiliser_data!$E$7:$L$267,8,FALSE)*0.65),IF(F1026="H",0.038,(0.038*0.65)))</f>
        <v>6.984626865671642E-2</v>
      </c>
      <c r="L1026">
        <f>IF($C1026="IE",$K1026*CF_231025!$E$16,$K1026/VLOOKUP($C1026,CF_231025!$A$2:$E$28,5,FALSE))</f>
        <v>2.664721719979243E-2</v>
      </c>
    </row>
    <row r="1027" spans="1:12" x14ac:dyDescent="0.25">
      <c r="A1027" t="s">
        <v>136</v>
      </c>
      <c r="B1027" t="s">
        <v>1188</v>
      </c>
      <c r="C1027" t="str">
        <f t="shared" ref="C1027:C1081" si="81">LEFT(B1027,2)</f>
        <v>SI</v>
      </c>
      <c r="D1027" t="str">
        <f t="shared" ref="D1027:D1081" si="82">MID(B1027,7,3)</f>
        <v>BRL</v>
      </c>
      <c r="E1027" t="str">
        <f t="shared" si="80"/>
        <v>SIBRL</v>
      </c>
      <c r="F1027" t="str">
        <f t="shared" ref="F1027:F1081" si="83">MID(B1027,10,1)</f>
        <v>H</v>
      </c>
      <c r="G1027" t="s">
        <v>1163</v>
      </c>
      <c r="H1027">
        <v>1</v>
      </c>
      <c r="I1027">
        <v>0.15</v>
      </c>
      <c r="J1027" t="str">
        <f t="shared" ref="J1027:J1081" si="84">B1027&amp;G1027</f>
        <v>SIL000BRLHR0SILFER</v>
      </c>
      <c r="K1027">
        <f>_xlfn.IFNA(IF(F1027="H",VLOOKUP(E1027,Fertiliser_data!$E$7:$L$267,8,FALSE),VLOOKUP(E1027,Fertiliser_data!$E$7:$L$267,8,FALSE)*0.65),IF(F1027="H",0.038,(0.038*0.65)))</f>
        <v>6.984626865671642E-2</v>
      </c>
      <c r="L1027">
        <f>IF($C1027="IE",$K1027*CF_231025!$E$16,$K1027/VLOOKUP($C1027,CF_231025!$A$2:$E$28,5,FALSE))</f>
        <v>2.664721719979243E-2</v>
      </c>
    </row>
    <row r="1028" spans="1:12" x14ac:dyDescent="0.25">
      <c r="A1028" t="s">
        <v>136</v>
      </c>
      <c r="B1028" t="s">
        <v>1189</v>
      </c>
      <c r="C1028" t="str">
        <f t="shared" si="81"/>
        <v>SI</v>
      </c>
      <c r="D1028" t="str">
        <f t="shared" si="82"/>
        <v>BRL</v>
      </c>
      <c r="E1028" t="str">
        <f t="shared" si="80"/>
        <v>SIBRL</v>
      </c>
      <c r="F1028" t="str">
        <f t="shared" si="83"/>
        <v>L</v>
      </c>
      <c r="G1028" t="s">
        <v>1163</v>
      </c>
      <c r="H1028">
        <v>1</v>
      </c>
      <c r="I1028">
        <v>0.06</v>
      </c>
      <c r="J1028" t="str">
        <f t="shared" si="84"/>
        <v>SIL000BRLLI0SILFER</v>
      </c>
      <c r="K1028">
        <f>_xlfn.IFNA(IF(F1028="H",VLOOKUP(E1028,Fertiliser_data!$E$7:$L$267,8,FALSE),VLOOKUP(E1028,Fertiliser_data!$E$7:$L$267,8,FALSE)*0.65),IF(F1028="H",0.038,(0.038*0.65)))</f>
        <v>4.5400074626865676E-2</v>
      </c>
      <c r="L1028">
        <f>IF($C1028="IE",$K1028*CF_231025!$E$16,$K1028/VLOOKUP($C1028,CF_231025!$A$2:$E$28,5,FALSE))</f>
        <v>1.732069117986508E-2</v>
      </c>
    </row>
    <row r="1029" spans="1:12" x14ac:dyDescent="0.25">
      <c r="A1029" t="s">
        <v>136</v>
      </c>
      <c r="B1029" t="s">
        <v>1190</v>
      </c>
      <c r="C1029" t="str">
        <f t="shared" si="81"/>
        <v>SI</v>
      </c>
      <c r="D1029" t="str">
        <f t="shared" si="82"/>
        <v>BRL</v>
      </c>
      <c r="E1029" t="str">
        <f t="shared" si="80"/>
        <v>SIBRL</v>
      </c>
      <c r="F1029" t="str">
        <f t="shared" si="83"/>
        <v>L</v>
      </c>
      <c r="G1029" t="s">
        <v>1163</v>
      </c>
      <c r="H1029">
        <v>1</v>
      </c>
      <c r="I1029">
        <v>0.06</v>
      </c>
      <c r="J1029" t="str">
        <f t="shared" si="84"/>
        <v>SIL000BRLLR0SILFER</v>
      </c>
      <c r="K1029">
        <f>_xlfn.IFNA(IF(F1029="H",VLOOKUP(E1029,Fertiliser_data!$E$7:$L$267,8,FALSE),VLOOKUP(E1029,Fertiliser_data!$E$7:$L$267,8,FALSE)*0.65),IF(F1029="H",0.038,(0.038*0.65)))</f>
        <v>4.5400074626865676E-2</v>
      </c>
      <c r="L1029">
        <f>IF($C1029="IE",$K1029*CF_231025!$E$16,$K1029/VLOOKUP($C1029,CF_231025!$A$2:$E$28,5,FALSE))</f>
        <v>1.732069117986508E-2</v>
      </c>
    </row>
    <row r="1030" spans="1:12" x14ac:dyDescent="0.25">
      <c r="A1030" t="s">
        <v>136</v>
      </c>
      <c r="B1030" t="s">
        <v>1191</v>
      </c>
      <c r="C1030" t="str">
        <f t="shared" si="81"/>
        <v>SI</v>
      </c>
      <c r="D1030" t="str">
        <f t="shared" si="82"/>
        <v>GRP</v>
      </c>
      <c r="E1030" t="str">
        <f t="shared" si="80"/>
        <v>SIGRP</v>
      </c>
      <c r="F1030" t="str">
        <f t="shared" si="83"/>
        <v>H</v>
      </c>
      <c r="G1030" t="s">
        <v>1163</v>
      </c>
      <c r="H1030">
        <v>1</v>
      </c>
      <c r="I1030">
        <v>0.17</v>
      </c>
      <c r="J1030" t="str">
        <f t="shared" si="84"/>
        <v>SIL000GRPHI0SILFER</v>
      </c>
      <c r="K1030">
        <f>_xlfn.IFNA(IF(F1030="H",VLOOKUP(E1030,Fertiliser_data!$E$7:$L$267,8,FALSE),VLOOKUP(E1030,Fertiliser_data!$E$7:$L$267,8,FALSE)*0.65),IF(F1030="H",0.038,(0.038*0.65)))</f>
        <v>1.8553731343283583E-2</v>
      </c>
      <c r="L1030">
        <f>IF($C1030="IE",$K1030*CF_231025!$E$16,$K1030/VLOOKUP($C1030,CF_231025!$A$2:$E$28,5,FALSE))</f>
        <v>7.0784784710690796E-3</v>
      </c>
    </row>
    <row r="1031" spans="1:12" x14ac:dyDescent="0.25">
      <c r="A1031" t="s">
        <v>136</v>
      </c>
      <c r="B1031" t="s">
        <v>1192</v>
      </c>
      <c r="C1031" t="str">
        <f t="shared" si="81"/>
        <v>SI</v>
      </c>
      <c r="D1031" t="str">
        <f t="shared" si="82"/>
        <v>GRP</v>
      </c>
      <c r="E1031" t="str">
        <f t="shared" si="80"/>
        <v>SIGRP</v>
      </c>
      <c r="F1031" t="str">
        <f t="shared" si="83"/>
        <v>H</v>
      </c>
      <c r="G1031" t="s">
        <v>1163</v>
      </c>
      <c r="H1031">
        <v>1</v>
      </c>
      <c r="I1031">
        <v>0.17</v>
      </c>
      <c r="J1031" t="str">
        <f t="shared" si="84"/>
        <v>SIL000GRPHR0SILFER</v>
      </c>
      <c r="K1031">
        <f>_xlfn.IFNA(IF(F1031="H",VLOOKUP(E1031,Fertiliser_data!$E$7:$L$267,8,FALSE),VLOOKUP(E1031,Fertiliser_data!$E$7:$L$267,8,FALSE)*0.65),IF(F1031="H",0.038,(0.038*0.65)))</f>
        <v>1.8553731343283583E-2</v>
      </c>
      <c r="L1031">
        <f>IF($C1031="IE",$K1031*CF_231025!$E$16,$K1031/VLOOKUP($C1031,CF_231025!$A$2:$E$28,5,FALSE))</f>
        <v>7.0784784710690796E-3</v>
      </c>
    </row>
    <row r="1032" spans="1:12" x14ac:dyDescent="0.25">
      <c r="A1032" t="s">
        <v>136</v>
      </c>
      <c r="B1032" t="s">
        <v>1193</v>
      </c>
      <c r="C1032" t="str">
        <f t="shared" si="81"/>
        <v>SI</v>
      </c>
      <c r="D1032" t="str">
        <f t="shared" si="82"/>
        <v>GRP</v>
      </c>
      <c r="E1032" t="str">
        <f t="shared" si="80"/>
        <v>SIGRP</v>
      </c>
      <c r="F1032" t="str">
        <f t="shared" si="83"/>
        <v>L</v>
      </c>
      <c r="G1032" t="s">
        <v>1163</v>
      </c>
      <c r="H1032">
        <v>1</v>
      </c>
      <c r="I1032">
        <v>0.06</v>
      </c>
      <c r="J1032" t="str">
        <f t="shared" si="84"/>
        <v>SIL000GRPLI0SILFER</v>
      </c>
      <c r="K1032">
        <f>_xlfn.IFNA(IF(F1032="H",VLOOKUP(E1032,Fertiliser_data!$E$7:$L$267,8,FALSE),VLOOKUP(E1032,Fertiliser_data!$E$7:$L$267,8,FALSE)*0.65),IF(F1032="H",0.038,(0.038*0.65)))</f>
        <v>1.205992537313433E-2</v>
      </c>
      <c r="L1032">
        <f>IF($C1032="IE",$K1032*CF_231025!$E$16,$K1032/VLOOKUP($C1032,CF_231025!$A$2:$E$28,5,FALSE))</f>
        <v>4.6010110061949017E-3</v>
      </c>
    </row>
    <row r="1033" spans="1:12" x14ac:dyDescent="0.25">
      <c r="A1033" t="s">
        <v>136</v>
      </c>
      <c r="B1033" t="s">
        <v>1194</v>
      </c>
      <c r="C1033" t="str">
        <f t="shared" si="81"/>
        <v>SI</v>
      </c>
      <c r="D1033" t="str">
        <f t="shared" si="82"/>
        <v>GRP</v>
      </c>
      <c r="E1033" t="str">
        <f t="shared" si="80"/>
        <v>SIGRP</v>
      </c>
      <c r="F1033" t="str">
        <f t="shared" si="83"/>
        <v>L</v>
      </c>
      <c r="G1033" t="s">
        <v>1163</v>
      </c>
      <c r="H1033">
        <v>1</v>
      </c>
      <c r="I1033">
        <v>0.06</v>
      </c>
      <c r="J1033" t="str">
        <f t="shared" si="84"/>
        <v>SIL000GRPLR0SILFER</v>
      </c>
      <c r="K1033">
        <f>_xlfn.IFNA(IF(F1033="H",VLOOKUP(E1033,Fertiliser_data!$E$7:$L$267,8,FALSE),VLOOKUP(E1033,Fertiliser_data!$E$7:$L$267,8,FALSE)*0.65),IF(F1033="H",0.038,(0.038*0.65)))</f>
        <v>1.205992537313433E-2</v>
      </c>
      <c r="L1033">
        <f>IF($C1033="IE",$K1033*CF_231025!$E$16,$K1033/VLOOKUP($C1033,CF_231025!$A$2:$E$28,5,FALSE))</f>
        <v>4.6010110061949017E-3</v>
      </c>
    </row>
    <row r="1034" spans="1:12" x14ac:dyDescent="0.25">
      <c r="A1034" t="s">
        <v>136</v>
      </c>
      <c r="B1034" t="s">
        <v>1195</v>
      </c>
      <c r="C1034" t="str">
        <f t="shared" si="81"/>
        <v>SI</v>
      </c>
      <c r="D1034" t="str">
        <f t="shared" si="82"/>
        <v>CER</v>
      </c>
      <c r="E1034" t="str">
        <f t="shared" si="80"/>
        <v>SICER</v>
      </c>
      <c r="F1034" t="str">
        <f t="shared" si="83"/>
        <v>H</v>
      </c>
      <c r="G1034" t="s">
        <v>1163</v>
      </c>
      <c r="H1034">
        <v>1</v>
      </c>
      <c r="I1034">
        <v>0.17</v>
      </c>
      <c r="J1034" t="str">
        <f t="shared" si="84"/>
        <v>SIL000CERHI0SILFER</v>
      </c>
      <c r="K1034">
        <f>_xlfn.IFNA(IF(F1034="H",VLOOKUP(E1034,Fertiliser_data!$E$7:$L$267,8,FALSE),VLOOKUP(E1034,Fertiliser_data!$E$7:$L$267,8,FALSE)*0.65),IF(F1034="H",0.038,(0.038*0.65)))</f>
        <v>3.497910447761194E-2</v>
      </c>
      <c r="L1034">
        <f>IF($C1034="IE",$K1034*CF_231025!$E$16,$K1034/VLOOKUP($C1034,CF_231025!$A$2:$E$28,5,FALSE))</f>
        <v>1.3344961905556669E-2</v>
      </c>
    </row>
    <row r="1035" spans="1:12" x14ac:dyDescent="0.25">
      <c r="A1035" t="s">
        <v>136</v>
      </c>
      <c r="B1035" t="s">
        <v>1196</v>
      </c>
      <c r="C1035" t="str">
        <f t="shared" si="81"/>
        <v>SI</v>
      </c>
      <c r="D1035" t="str">
        <f t="shared" si="82"/>
        <v>CER</v>
      </c>
      <c r="E1035" t="str">
        <f t="shared" si="80"/>
        <v>SICER</v>
      </c>
      <c r="F1035" t="str">
        <f t="shared" si="83"/>
        <v>H</v>
      </c>
      <c r="G1035" t="s">
        <v>1163</v>
      </c>
      <c r="H1035">
        <v>1</v>
      </c>
      <c r="I1035">
        <v>0.17</v>
      </c>
      <c r="J1035" t="str">
        <f t="shared" si="84"/>
        <v>SIL000CERHR0SILFER</v>
      </c>
      <c r="K1035">
        <f>_xlfn.IFNA(IF(F1035="H",VLOOKUP(E1035,Fertiliser_data!$E$7:$L$267,8,FALSE),VLOOKUP(E1035,Fertiliser_data!$E$7:$L$267,8,FALSE)*0.65),IF(F1035="H",0.038,(0.038*0.65)))</f>
        <v>3.497910447761194E-2</v>
      </c>
      <c r="L1035">
        <f>IF($C1035="IE",$K1035*CF_231025!$E$16,$K1035/VLOOKUP($C1035,CF_231025!$A$2:$E$28,5,FALSE))</f>
        <v>1.3344961905556669E-2</v>
      </c>
    </row>
    <row r="1036" spans="1:12" x14ac:dyDescent="0.25">
      <c r="A1036" t="s">
        <v>136</v>
      </c>
      <c r="B1036" t="s">
        <v>1197</v>
      </c>
      <c r="C1036" t="str">
        <f t="shared" si="81"/>
        <v>SI</v>
      </c>
      <c r="D1036" t="str">
        <f t="shared" si="82"/>
        <v>CER</v>
      </c>
      <c r="E1036" t="str">
        <f t="shared" si="80"/>
        <v>SICER</v>
      </c>
      <c r="F1036" t="str">
        <f t="shared" si="83"/>
        <v>L</v>
      </c>
      <c r="G1036" t="s">
        <v>1163</v>
      </c>
      <c r="H1036">
        <v>1</v>
      </c>
      <c r="I1036">
        <v>0.06</v>
      </c>
      <c r="J1036" t="str">
        <f t="shared" si="84"/>
        <v>SIL000CERLI0SILFER</v>
      </c>
      <c r="K1036">
        <f>_xlfn.IFNA(IF(F1036="H",VLOOKUP(E1036,Fertiliser_data!$E$7:$L$267,8,FALSE),VLOOKUP(E1036,Fertiliser_data!$E$7:$L$267,8,FALSE)*0.65),IF(F1036="H",0.038,(0.038*0.65)))</f>
        <v>2.2736417910447761E-2</v>
      </c>
      <c r="L1036">
        <f>IF($C1036="IE",$K1036*CF_231025!$E$16,$K1036/VLOOKUP($C1036,CF_231025!$A$2:$E$28,5,FALSE))</f>
        <v>8.6742252386118341E-3</v>
      </c>
    </row>
    <row r="1037" spans="1:12" x14ac:dyDescent="0.25">
      <c r="A1037" t="s">
        <v>136</v>
      </c>
      <c r="B1037" t="s">
        <v>1198</v>
      </c>
      <c r="C1037" t="str">
        <f t="shared" si="81"/>
        <v>SI</v>
      </c>
      <c r="D1037" t="str">
        <f t="shared" si="82"/>
        <v>CER</v>
      </c>
      <c r="E1037" t="str">
        <f t="shared" si="80"/>
        <v>SICER</v>
      </c>
      <c r="F1037" t="str">
        <f t="shared" si="83"/>
        <v>L</v>
      </c>
      <c r="G1037" t="s">
        <v>1163</v>
      </c>
      <c r="H1037">
        <v>1</v>
      </c>
      <c r="I1037">
        <v>0.06</v>
      </c>
      <c r="J1037" t="str">
        <f t="shared" si="84"/>
        <v>SIL000CERLR0SILFER</v>
      </c>
      <c r="K1037">
        <f>_xlfn.IFNA(IF(F1037="H",VLOOKUP(E1037,Fertiliser_data!$E$7:$L$267,8,FALSE),VLOOKUP(E1037,Fertiliser_data!$E$7:$L$267,8,FALSE)*0.65),IF(F1037="H",0.038,(0.038*0.65)))</f>
        <v>2.2736417910447761E-2</v>
      </c>
      <c r="L1037">
        <f>IF($C1037="IE",$K1037*CF_231025!$E$16,$K1037/VLOOKUP($C1037,CF_231025!$A$2:$E$28,5,FALSE))</f>
        <v>8.6742252386118341E-3</v>
      </c>
    </row>
    <row r="1038" spans="1:12" x14ac:dyDescent="0.25">
      <c r="A1038" t="s">
        <v>136</v>
      </c>
      <c r="B1038" t="s">
        <v>1199</v>
      </c>
      <c r="C1038" t="str">
        <f t="shared" si="81"/>
        <v>SI</v>
      </c>
      <c r="D1038" t="str">
        <f t="shared" si="82"/>
        <v>MAI</v>
      </c>
      <c r="E1038" t="str">
        <f t="shared" si="80"/>
        <v>SIMAI</v>
      </c>
      <c r="F1038" t="str">
        <f t="shared" si="83"/>
        <v>H</v>
      </c>
      <c r="G1038" t="s">
        <v>1163</v>
      </c>
      <c r="H1038">
        <v>1</v>
      </c>
      <c r="I1038">
        <v>0.16</v>
      </c>
      <c r="J1038" t="str">
        <f t="shared" si="84"/>
        <v>SIL000MAIHI0SILFER</v>
      </c>
      <c r="K1038">
        <f>_xlfn.IFNA(IF(F1038="H",VLOOKUP(E1038,Fertiliser_data!$E$7:$L$267,8,FALSE),VLOOKUP(E1038,Fertiliser_data!$E$7:$L$267,8,FALSE)*0.65),IF(F1038="H",0.038,(0.038*0.65)))</f>
        <v>5.7201492537313429E-2</v>
      </c>
      <c r="L1038">
        <f>IF($C1038="IE",$K1038*CF_231025!$E$16,$K1038/VLOOKUP($C1038,CF_231025!$A$2:$E$28,5,FALSE))</f>
        <v>2.1823078384982902E-2</v>
      </c>
    </row>
    <row r="1039" spans="1:12" x14ac:dyDescent="0.25">
      <c r="A1039" t="s">
        <v>136</v>
      </c>
      <c r="B1039" t="s">
        <v>1200</v>
      </c>
      <c r="C1039" t="str">
        <f t="shared" si="81"/>
        <v>SI</v>
      </c>
      <c r="D1039" t="str">
        <f t="shared" si="82"/>
        <v>MAI</v>
      </c>
      <c r="E1039" t="str">
        <f t="shared" si="80"/>
        <v>SIMAI</v>
      </c>
      <c r="F1039" t="str">
        <f t="shared" si="83"/>
        <v>H</v>
      </c>
      <c r="G1039" t="s">
        <v>1163</v>
      </c>
      <c r="H1039">
        <v>1</v>
      </c>
      <c r="I1039">
        <v>0.16</v>
      </c>
      <c r="J1039" t="str">
        <f t="shared" si="84"/>
        <v>SIL000MAIHR0SILFER</v>
      </c>
      <c r="K1039">
        <f>_xlfn.IFNA(IF(F1039="H",VLOOKUP(E1039,Fertiliser_data!$E$7:$L$267,8,FALSE),VLOOKUP(E1039,Fertiliser_data!$E$7:$L$267,8,FALSE)*0.65),IF(F1039="H",0.038,(0.038*0.65)))</f>
        <v>5.7201492537313429E-2</v>
      </c>
      <c r="L1039">
        <f>IF($C1039="IE",$K1039*CF_231025!$E$16,$K1039/VLOOKUP($C1039,CF_231025!$A$2:$E$28,5,FALSE))</f>
        <v>2.1823078384982902E-2</v>
      </c>
    </row>
    <row r="1040" spans="1:12" x14ac:dyDescent="0.25">
      <c r="A1040" t="s">
        <v>136</v>
      </c>
      <c r="B1040" t="s">
        <v>1201</v>
      </c>
      <c r="C1040" t="str">
        <f t="shared" si="81"/>
        <v>SI</v>
      </c>
      <c r="D1040" t="str">
        <f t="shared" si="82"/>
        <v>MAI</v>
      </c>
      <c r="E1040" t="str">
        <f t="shared" si="80"/>
        <v>SIMAI</v>
      </c>
      <c r="F1040" t="str">
        <f t="shared" si="83"/>
        <v>L</v>
      </c>
      <c r="G1040" t="s">
        <v>1163</v>
      </c>
      <c r="H1040">
        <v>1</v>
      </c>
      <c r="I1040">
        <v>0.06</v>
      </c>
      <c r="J1040" t="str">
        <f t="shared" si="84"/>
        <v>SIL000MAILI0SILFER</v>
      </c>
      <c r="K1040">
        <f>_xlfn.IFNA(IF(F1040="H",VLOOKUP(E1040,Fertiliser_data!$E$7:$L$267,8,FALSE),VLOOKUP(E1040,Fertiliser_data!$E$7:$L$267,8,FALSE)*0.65),IF(F1040="H",0.038,(0.038*0.65)))</f>
        <v>3.7180970149253728E-2</v>
      </c>
      <c r="L1040">
        <f>IF($C1040="IE",$K1040*CF_231025!$E$16,$K1040/VLOOKUP($C1040,CF_231025!$A$2:$E$28,5,FALSE))</f>
        <v>1.4185000950238886E-2</v>
      </c>
    </row>
    <row r="1041" spans="1:12" x14ac:dyDescent="0.25">
      <c r="A1041" t="s">
        <v>136</v>
      </c>
      <c r="B1041" t="s">
        <v>1202</v>
      </c>
      <c r="C1041" t="str">
        <f t="shared" si="81"/>
        <v>SI</v>
      </c>
      <c r="D1041" t="str">
        <f t="shared" si="82"/>
        <v>MAI</v>
      </c>
      <c r="E1041" t="str">
        <f t="shared" si="80"/>
        <v>SIMAI</v>
      </c>
      <c r="F1041" t="str">
        <f t="shared" si="83"/>
        <v>L</v>
      </c>
      <c r="G1041" t="s">
        <v>1163</v>
      </c>
      <c r="H1041">
        <v>1</v>
      </c>
      <c r="I1041">
        <v>0.06</v>
      </c>
      <c r="J1041" t="str">
        <f t="shared" si="84"/>
        <v>SIL000MAILR0SILFER</v>
      </c>
      <c r="K1041">
        <f>_xlfn.IFNA(IF(F1041="H",VLOOKUP(E1041,Fertiliser_data!$E$7:$L$267,8,FALSE),VLOOKUP(E1041,Fertiliser_data!$E$7:$L$267,8,FALSE)*0.65),IF(F1041="H",0.038,(0.038*0.65)))</f>
        <v>3.7180970149253728E-2</v>
      </c>
      <c r="L1041">
        <f>IF($C1041="IE",$K1041*CF_231025!$E$16,$K1041/VLOOKUP($C1041,CF_231025!$A$2:$E$28,5,FALSE))</f>
        <v>1.4185000950238886E-2</v>
      </c>
    </row>
    <row r="1042" spans="1:12" x14ac:dyDescent="0.25">
      <c r="A1042" t="s">
        <v>136</v>
      </c>
      <c r="B1042" t="s">
        <v>1203</v>
      </c>
      <c r="C1042" t="str">
        <f t="shared" si="81"/>
        <v>SK</v>
      </c>
      <c r="D1042" t="str">
        <f t="shared" si="82"/>
        <v>MAI</v>
      </c>
      <c r="E1042" t="str">
        <f t="shared" si="80"/>
        <v>SKMAI</v>
      </c>
      <c r="F1042" t="str">
        <f t="shared" si="83"/>
        <v>H</v>
      </c>
      <c r="G1042" t="s">
        <v>1204</v>
      </c>
      <c r="H1042">
        <v>1</v>
      </c>
      <c r="I1042">
        <v>0.16</v>
      </c>
      <c r="J1042" t="str">
        <f t="shared" si="84"/>
        <v>SKL000MAIHI0SKLFER</v>
      </c>
      <c r="K1042">
        <f>_xlfn.IFNA(IF(F1042="H",VLOOKUP(E1042,Fertiliser_data!$E$7:$L$267,8,FALSE),VLOOKUP(E1042,Fertiliser_data!$E$7:$L$267,8,FALSE)*0.65),IF(F1042="H",0.038,(0.038*0.65)))</f>
        <v>4.5622388059701494E-2</v>
      </c>
      <c r="L1042">
        <f>IF($C1042="IE",$K1042*CF_231025!$E$16,$K1042/VLOOKUP($C1042,CF_231025!$A$2:$E$28,5,FALSE))</f>
        <v>1.3323716051942528E-2</v>
      </c>
    </row>
    <row r="1043" spans="1:12" x14ac:dyDescent="0.25">
      <c r="A1043" t="s">
        <v>136</v>
      </c>
      <c r="B1043" t="s">
        <v>1205</v>
      </c>
      <c r="C1043" t="str">
        <f t="shared" si="81"/>
        <v>SK</v>
      </c>
      <c r="D1043" t="str">
        <f t="shared" si="82"/>
        <v>MAI</v>
      </c>
      <c r="E1043" t="str">
        <f t="shared" si="80"/>
        <v>SKMAI</v>
      </c>
      <c r="F1043" t="str">
        <f t="shared" si="83"/>
        <v>H</v>
      </c>
      <c r="G1043" t="s">
        <v>1204</v>
      </c>
      <c r="H1043">
        <v>1</v>
      </c>
      <c r="I1043">
        <v>0.16</v>
      </c>
      <c r="J1043" t="str">
        <f t="shared" si="84"/>
        <v>SKL000MAIHR0SKLFER</v>
      </c>
      <c r="K1043">
        <f>_xlfn.IFNA(IF(F1043="H",VLOOKUP(E1043,Fertiliser_data!$E$7:$L$267,8,FALSE),VLOOKUP(E1043,Fertiliser_data!$E$7:$L$267,8,FALSE)*0.65),IF(F1043="H",0.038,(0.038*0.65)))</f>
        <v>4.5622388059701494E-2</v>
      </c>
      <c r="L1043">
        <f>IF($C1043="IE",$K1043*CF_231025!$E$16,$K1043/VLOOKUP($C1043,CF_231025!$A$2:$E$28,5,FALSE))</f>
        <v>1.3323716051942528E-2</v>
      </c>
    </row>
    <row r="1044" spans="1:12" x14ac:dyDescent="0.25">
      <c r="A1044" t="s">
        <v>136</v>
      </c>
      <c r="B1044" t="s">
        <v>1206</v>
      </c>
      <c r="C1044" t="str">
        <f t="shared" si="81"/>
        <v>SK</v>
      </c>
      <c r="D1044" t="str">
        <f t="shared" si="82"/>
        <v>MAI</v>
      </c>
      <c r="E1044" t="str">
        <f t="shared" si="80"/>
        <v>SKMAI</v>
      </c>
      <c r="F1044" t="str">
        <f t="shared" si="83"/>
        <v>L</v>
      </c>
      <c r="G1044" t="s">
        <v>1204</v>
      </c>
      <c r="H1044">
        <v>1</v>
      </c>
      <c r="I1044">
        <v>0.06</v>
      </c>
      <c r="J1044" t="str">
        <f t="shared" si="84"/>
        <v>SKL000MAILI0SKLFER</v>
      </c>
      <c r="K1044">
        <f>_xlfn.IFNA(IF(F1044="H",VLOOKUP(E1044,Fertiliser_data!$E$7:$L$267,8,FALSE),VLOOKUP(E1044,Fertiliser_data!$E$7:$L$267,8,FALSE)*0.65),IF(F1044="H",0.038,(0.038*0.65)))</f>
        <v>2.9654552238805972E-2</v>
      </c>
      <c r="L1044">
        <f>IF($C1044="IE",$K1044*CF_231025!$E$16,$K1044/VLOOKUP($C1044,CF_231025!$A$2:$E$28,5,FALSE))</f>
        <v>8.6604154337626433E-3</v>
      </c>
    </row>
    <row r="1045" spans="1:12" x14ac:dyDescent="0.25">
      <c r="A1045" t="s">
        <v>136</v>
      </c>
      <c r="B1045" t="s">
        <v>1207</v>
      </c>
      <c r="C1045" t="str">
        <f t="shared" si="81"/>
        <v>SK</v>
      </c>
      <c r="D1045" t="str">
        <f t="shared" si="82"/>
        <v>MAI</v>
      </c>
      <c r="E1045" t="str">
        <f t="shared" si="80"/>
        <v>SKMAI</v>
      </c>
      <c r="F1045" t="str">
        <f t="shared" si="83"/>
        <v>L</v>
      </c>
      <c r="G1045" t="s">
        <v>1204</v>
      </c>
      <c r="H1045">
        <v>1</v>
      </c>
      <c r="I1045">
        <v>0.06</v>
      </c>
      <c r="J1045" t="str">
        <f t="shared" si="84"/>
        <v>SKL000MAILR0SKLFER</v>
      </c>
      <c r="K1045">
        <f>_xlfn.IFNA(IF(F1045="H",VLOOKUP(E1045,Fertiliser_data!$E$7:$L$267,8,FALSE),VLOOKUP(E1045,Fertiliser_data!$E$7:$L$267,8,FALSE)*0.65),IF(F1045="H",0.038,(0.038*0.65)))</f>
        <v>2.9654552238805972E-2</v>
      </c>
      <c r="L1045">
        <f>IF($C1045="IE",$K1045*CF_231025!$E$16,$K1045/VLOOKUP($C1045,CF_231025!$A$2:$E$28,5,FALSE))</f>
        <v>8.6604154337626433E-3</v>
      </c>
    </row>
    <row r="1046" spans="1:12" x14ac:dyDescent="0.25">
      <c r="A1046" t="s">
        <v>136</v>
      </c>
      <c r="B1046" t="s">
        <v>1208</v>
      </c>
      <c r="C1046" t="str">
        <f t="shared" si="81"/>
        <v>SK</v>
      </c>
      <c r="D1046" t="str">
        <f t="shared" si="82"/>
        <v>OTO</v>
      </c>
      <c r="E1046" t="str">
        <f t="shared" si="80"/>
        <v>SKOTO</v>
      </c>
      <c r="F1046" t="str">
        <f t="shared" si="83"/>
        <v>H</v>
      </c>
      <c r="G1046" t="s">
        <v>1204</v>
      </c>
      <c r="H1046">
        <v>1</v>
      </c>
      <c r="I1046">
        <v>0.17</v>
      </c>
      <c r="J1046" t="str">
        <f t="shared" si="84"/>
        <v>SKL000OTOHI0SKLFER</v>
      </c>
      <c r="K1046">
        <f>_xlfn.IFNA(IF(F1046="H",VLOOKUP(E1046,Fertiliser_data!$E$7:$L$267,8,FALSE),VLOOKUP(E1046,Fertiliser_data!$E$7:$L$267,8,FALSE)*0.65),IF(F1046="H",0.038,(0.038*0.65)))</f>
        <v>3.7999999999999999E-2</v>
      </c>
      <c r="L1046">
        <f>IF($C1046="IE",$K1046*CF_231025!$E$16,$K1046/VLOOKUP($C1046,CF_231025!$A$2:$E$28,5,FALSE))</f>
        <v>1.1097648139577216E-2</v>
      </c>
    </row>
    <row r="1047" spans="1:12" x14ac:dyDescent="0.25">
      <c r="A1047" t="s">
        <v>136</v>
      </c>
      <c r="B1047" t="s">
        <v>1209</v>
      </c>
      <c r="C1047" t="str">
        <f t="shared" si="81"/>
        <v>SK</v>
      </c>
      <c r="D1047" t="str">
        <f t="shared" si="82"/>
        <v>OTO</v>
      </c>
      <c r="E1047" t="str">
        <f t="shared" si="80"/>
        <v>SKOTO</v>
      </c>
      <c r="F1047" t="str">
        <f t="shared" si="83"/>
        <v>H</v>
      </c>
      <c r="G1047" t="s">
        <v>1204</v>
      </c>
      <c r="H1047">
        <v>1</v>
      </c>
      <c r="I1047">
        <v>0.17</v>
      </c>
      <c r="J1047" t="str">
        <f t="shared" si="84"/>
        <v>SKL000OTOHR0SKLFER</v>
      </c>
      <c r="K1047">
        <f>_xlfn.IFNA(IF(F1047="H",VLOOKUP(E1047,Fertiliser_data!$E$7:$L$267,8,FALSE),VLOOKUP(E1047,Fertiliser_data!$E$7:$L$267,8,FALSE)*0.65),IF(F1047="H",0.038,(0.038*0.65)))</f>
        <v>3.7999999999999999E-2</v>
      </c>
      <c r="L1047">
        <f>IF($C1047="IE",$K1047*CF_231025!$E$16,$K1047/VLOOKUP($C1047,CF_231025!$A$2:$E$28,5,FALSE))</f>
        <v>1.1097648139577216E-2</v>
      </c>
    </row>
    <row r="1048" spans="1:12" x14ac:dyDescent="0.25">
      <c r="A1048" t="s">
        <v>136</v>
      </c>
      <c r="B1048" t="s">
        <v>1210</v>
      </c>
      <c r="C1048" t="str">
        <f t="shared" si="81"/>
        <v>SK</v>
      </c>
      <c r="D1048" t="str">
        <f t="shared" si="82"/>
        <v>OTO</v>
      </c>
      <c r="E1048" t="str">
        <f t="shared" si="80"/>
        <v>SKOTO</v>
      </c>
      <c r="F1048" t="str">
        <f t="shared" si="83"/>
        <v>L</v>
      </c>
      <c r="G1048" t="s">
        <v>1204</v>
      </c>
      <c r="H1048">
        <v>1</v>
      </c>
      <c r="I1048">
        <v>0.06</v>
      </c>
      <c r="J1048" t="str">
        <f t="shared" si="84"/>
        <v>SKL000OTOLI0SKLFER</v>
      </c>
      <c r="K1048">
        <f>_xlfn.IFNA(IF(F1048="H",VLOOKUP(E1048,Fertiliser_data!$E$7:$L$267,8,FALSE),VLOOKUP(E1048,Fertiliser_data!$E$7:$L$267,8,FALSE)*0.65),IF(F1048="H",0.038,(0.038*0.65)))</f>
        <v>2.47E-2</v>
      </c>
      <c r="L1048">
        <f>IF($C1048="IE",$K1048*CF_231025!$E$16,$K1048/VLOOKUP($C1048,CF_231025!$A$2:$E$28,5,FALSE))</f>
        <v>7.2134712907251904E-3</v>
      </c>
    </row>
    <row r="1049" spans="1:12" x14ac:dyDescent="0.25">
      <c r="A1049" t="s">
        <v>136</v>
      </c>
      <c r="B1049" t="s">
        <v>1211</v>
      </c>
      <c r="C1049" t="str">
        <f t="shared" si="81"/>
        <v>SK</v>
      </c>
      <c r="D1049" t="str">
        <f t="shared" si="82"/>
        <v>OTO</v>
      </c>
      <c r="E1049" t="str">
        <f t="shared" si="80"/>
        <v>SKOTO</v>
      </c>
      <c r="F1049" t="str">
        <f t="shared" si="83"/>
        <v>L</v>
      </c>
      <c r="G1049" t="s">
        <v>1204</v>
      </c>
      <c r="H1049">
        <v>1</v>
      </c>
      <c r="I1049">
        <v>0.06</v>
      </c>
      <c r="J1049" t="str">
        <f t="shared" si="84"/>
        <v>SKL000OTOLR0SKLFER</v>
      </c>
      <c r="K1049">
        <f>_xlfn.IFNA(IF(F1049="H",VLOOKUP(E1049,Fertiliser_data!$E$7:$L$267,8,FALSE),VLOOKUP(E1049,Fertiliser_data!$E$7:$L$267,8,FALSE)*0.65),IF(F1049="H",0.038,(0.038*0.65)))</f>
        <v>2.47E-2</v>
      </c>
      <c r="L1049">
        <f>IF($C1049="IE",$K1049*CF_231025!$E$16,$K1049/VLOOKUP($C1049,CF_231025!$A$2:$E$28,5,FALSE))</f>
        <v>7.2134712907251904E-3</v>
      </c>
    </row>
    <row r="1050" spans="1:12" x14ac:dyDescent="0.25">
      <c r="A1050" t="s">
        <v>136</v>
      </c>
      <c r="B1050" t="s">
        <v>1212</v>
      </c>
      <c r="C1050" t="str">
        <f t="shared" si="81"/>
        <v>SK</v>
      </c>
      <c r="D1050" t="str">
        <f t="shared" si="82"/>
        <v>SUN</v>
      </c>
      <c r="E1050" t="str">
        <f t="shared" si="80"/>
        <v>SKSUN</v>
      </c>
      <c r="F1050" t="str">
        <f t="shared" si="83"/>
        <v>H</v>
      </c>
      <c r="G1050" t="s">
        <v>1204</v>
      </c>
      <c r="H1050">
        <v>1</v>
      </c>
      <c r="I1050">
        <v>0.19</v>
      </c>
      <c r="J1050" t="str">
        <f t="shared" si="84"/>
        <v>SKL000SUNHI0SKLFER</v>
      </c>
      <c r="K1050">
        <f>_xlfn.IFNA(IF(F1050="H",VLOOKUP(E1050,Fertiliser_data!$E$7:$L$267,8,FALSE),VLOOKUP(E1050,Fertiliser_data!$E$7:$L$267,8,FALSE)*0.65),IF(F1050="H",0.038,(0.038*0.65)))</f>
        <v>4.0631343283582089E-2</v>
      </c>
      <c r="L1050">
        <f>IF($C1050="IE",$K1050*CF_231025!$E$16,$K1050/VLOOKUP($C1050,CF_231025!$A$2:$E$28,5,FALSE))</f>
        <v>1.1866114505251789E-2</v>
      </c>
    </row>
    <row r="1051" spans="1:12" x14ac:dyDescent="0.25">
      <c r="A1051" t="s">
        <v>136</v>
      </c>
      <c r="B1051" t="s">
        <v>1213</v>
      </c>
      <c r="C1051" t="str">
        <f t="shared" si="81"/>
        <v>SK</v>
      </c>
      <c r="D1051" t="str">
        <f t="shared" si="82"/>
        <v>SUN</v>
      </c>
      <c r="E1051" t="str">
        <f t="shared" si="80"/>
        <v>SKSUN</v>
      </c>
      <c r="F1051" t="str">
        <f t="shared" si="83"/>
        <v>H</v>
      </c>
      <c r="G1051" t="s">
        <v>1204</v>
      </c>
      <c r="H1051">
        <v>1</v>
      </c>
      <c r="I1051">
        <v>0.19</v>
      </c>
      <c r="J1051" t="str">
        <f t="shared" si="84"/>
        <v>SKL000SUNHR0SKLFER</v>
      </c>
      <c r="K1051">
        <f>_xlfn.IFNA(IF(F1051="H",VLOOKUP(E1051,Fertiliser_data!$E$7:$L$267,8,FALSE),VLOOKUP(E1051,Fertiliser_data!$E$7:$L$267,8,FALSE)*0.65),IF(F1051="H",0.038,(0.038*0.65)))</f>
        <v>4.0631343283582089E-2</v>
      </c>
      <c r="L1051">
        <f>IF($C1051="IE",$K1051*CF_231025!$E$16,$K1051/VLOOKUP($C1051,CF_231025!$A$2:$E$28,5,FALSE))</f>
        <v>1.1866114505251789E-2</v>
      </c>
    </row>
    <row r="1052" spans="1:12" x14ac:dyDescent="0.25">
      <c r="A1052" t="s">
        <v>136</v>
      </c>
      <c r="B1052" t="s">
        <v>1214</v>
      </c>
      <c r="C1052" t="str">
        <f t="shared" si="81"/>
        <v>SK</v>
      </c>
      <c r="D1052" t="str">
        <f t="shared" si="82"/>
        <v>SUN</v>
      </c>
      <c r="E1052" t="str">
        <f t="shared" si="80"/>
        <v>SKSUN</v>
      </c>
      <c r="F1052" t="str">
        <f t="shared" si="83"/>
        <v>L</v>
      </c>
      <c r="G1052" t="s">
        <v>1204</v>
      </c>
      <c r="H1052">
        <v>1</v>
      </c>
      <c r="I1052">
        <v>7.0000000000000007E-2</v>
      </c>
      <c r="J1052" t="str">
        <f t="shared" si="84"/>
        <v>SKL000SUNLI0SKLFER</v>
      </c>
      <c r="K1052">
        <f>_xlfn.IFNA(IF(F1052="H",VLOOKUP(E1052,Fertiliser_data!$E$7:$L$267,8,FALSE),VLOOKUP(E1052,Fertiliser_data!$E$7:$L$267,8,FALSE)*0.65),IF(F1052="H",0.038,(0.038*0.65)))</f>
        <v>2.6410373134328358E-2</v>
      </c>
      <c r="L1052">
        <f>IF($C1052="IE",$K1052*CF_231025!$E$16,$K1052/VLOOKUP($C1052,CF_231025!$A$2:$E$28,5,FALSE))</f>
        <v>7.7129744284136631E-3</v>
      </c>
    </row>
    <row r="1053" spans="1:12" x14ac:dyDescent="0.25">
      <c r="A1053" t="s">
        <v>136</v>
      </c>
      <c r="B1053" t="s">
        <v>1215</v>
      </c>
      <c r="C1053" t="str">
        <f t="shared" si="81"/>
        <v>SK</v>
      </c>
      <c r="D1053" t="str">
        <f t="shared" si="82"/>
        <v>SUN</v>
      </c>
      <c r="E1053" t="str">
        <f t="shared" si="80"/>
        <v>SKSUN</v>
      </c>
      <c r="F1053" t="str">
        <f t="shared" si="83"/>
        <v>L</v>
      </c>
      <c r="G1053" t="s">
        <v>1204</v>
      </c>
      <c r="H1053">
        <v>1</v>
      </c>
      <c r="I1053">
        <v>7.0000000000000007E-2</v>
      </c>
      <c r="J1053" t="str">
        <f t="shared" si="84"/>
        <v>SKL000SUNLR0SKLFER</v>
      </c>
      <c r="K1053">
        <f>_xlfn.IFNA(IF(F1053="H",VLOOKUP(E1053,Fertiliser_data!$E$7:$L$267,8,FALSE),VLOOKUP(E1053,Fertiliser_data!$E$7:$L$267,8,FALSE)*0.65),IF(F1053="H",0.038,(0.038*0.65)))</f>
        <v>2.6410373134328358E-2</v>
      </c>
      <c r="L1053">
        <f>IF($C1053="IE",$K1053*CF_231025!$E$16,$K1053/VLOOKUP($C1053,CF_231025!$A$2:$E$28,5,FALSE))</f>
        <v>7.7129744284136631E-3</v>
      </c>
    </row>
    <row r="1054" spans="1:12" x14ac:dyDescent="0.25">
      <c r="A1054" t="s">
        <v>136</v>
      </c>
      <c r="B1054" t="s">
        <v>1216</v>
      </c>
      <c r="C1054" t="str">
        <f t="shared" si="81"/>
        <v>SK</v>
      </c>
      <c r="D1054" t="str">
        <f t="shared" si="82"/>
        <v>RYE</v>
      </c>
      <c r="E1054" t="str">
        <f t="shared" si="80"/>
        <v>SKRYE</v>
      </c>
      <c r="F1054" t="str">
        <f t="shared" si="83"/>
        <v>H</v>
      </c>
      <c r="G1054" t="s">
        <v>1204</v>
      </c>
      <c r="H1054">
        <v>1</v>
      </c>
      <c r="I1054">
        <v>0.11</v>
      </c>
      <c r="J1054" t="str">
        <f t="shared" si="84"/>
        <v>SKL000RYEHI0SKLFER</v>
      </c>
      <c r="K1054">
        <f>_xlfn.IFNA(IF(F1054="H",VLOOKUP(E1054,Fertiliser_data!$E$7:$L$267,8,FALSE),VLOOKUP(E1054,Fertiliser_data!$E$7:$L$267,8,FALSE)*0.65),IF(F1054="H",0.038,(0.038*0.65)))</f>
        <v>2.5395522388059703E-2</v>
      </c>
      <c r="L1054">
        <f>IF($C1054="IE",$K1054*CF_231025!$E$16,$K1054/VLOOKUP($C1054,CF_231025!$A$2:$E$28,5,FALSE))</f>
        <v>7.4165939943011128E-3</v>
      </c>
    </row>
    <row r="1055" spans="1:12" x14ac:dyDescent="0.25">
      <c r="A1055" t="s">
        <v>136</v>
      </c>
      <c r="B1055" t="s">
        <v>1217</v>
      </c>
      <c r="C1055" t="str">
        <f t="shared" si="81"/>
        <v>SK</v>
      </c>
      <c r="D1055" t="str">
        <f t="shared" si="82"/>
        <v>RYE</v>
      </c>
      <c r="E1055" t="str">
        <f t="shared" si="80"/>
        <v>SKRYE</v>
      </c>
      <c r="F1055" t="str">
        <f t="shared" si="83"/>
        <v>H</v>
      </c>
      <c r="G1055" t="s">
        <v>1204</v>
      </c>
      <c r="H1055">
        <v>1</v>
      </c>
      <c r="I1055">
        <v>0.11</v>
      </c>
      <c r="J1055" t="str">
        <f t="shared" si="84"/>
        <v>SKL000RYEHR0SKLFER</v>
      </c>
      <c r="K1055">
        <f>_xlfn.IFNA(IF(F1055="H",VLOOKUP(E1055,Fertiliser_data!$E$7:$L$267,8,FALSE),VLOOKUP(E1055,Fertiliser_data!$E$7:$L$267,8,FALSE)*0.65),IF(F1055="H",0.038,(0.038*0.65)))</f>
        <v>2.5395522388059703E-2</v>
      </c>
      <c r="L1055">
        <f>IF($C1055="IE",$K1055*CF_231025!$E$16,$K1055/VLOOKUP($C1055,CF_231025!$A$2:$E$28,5,FALSE))</f>
        <v>7.4165939943011128E-3</v>
      </c>
    </row>
    <row r="1056" spans="1:12" x14ac:dyDescent="0.25">
      <c r="A1056" t="s">
        <v>136</v>
      </c>
      <c r="B1056" t="s">
        <v>1218</v>
      </c>
      <c r="C1056" t="str">
        <f t="shared" si="81"/>
        <v>SK</v>
      </c>
      <c r="D1056" t="str">
        <f t="shared" si="82"/>
        <v>RYE</v>
      </c>
      <c r="E1056" t="str">
        <f t="shared" si="80"/>
        <v>SKRYE</v>
      </c>
      <c r="F1056" t="str">
        <f t="shared" si="83"/>
        <v>L</v>
      </c>
      <c r="G1056" t="s">
        <v>1204</v>
      </c>
      <c r="H1056">
        <v>1</v>
      </c>
      <c r="I1056">
        <v>0.04</v>
      </c>
      <c r="J1056" t="str">
        <f t="shared" si="84"/>
        <v>SKL000RYELI0SKLFER</v>
      </c>
      <c r="K1056">
        <f>_xlfn.IFNA(IF(F1056="H",VLOOKUP(E1056,Fertiliser_data!$E$7:$L$267,8,FALSE),VLOOKUP(E1056,Fertiliser_data!$E$7:$L$267,8,FALSE)*0.65),IF(F1056="H",0.038,(0.038*0.65)))</f>
        <v>1.6507089552238806E-2</v>
      </c>
      <c r="L1056">
        <f>IF($C1056="IE",$K1056*CF_231025!$E$16,$K1056/VLOOKUP($C1056,CF_231025!$A$2:$E$28,5,FALSE))</f>
        <v>4.8207860962957236E-3</v>
      </c>
    </row>
    <row r="1057" spans="1:12" x14ac:dyDescent="0.25">
      <c r="A1057" t="s">
        <v>136</v>
      </c>
      <c r="B1057" t="s">
        <v>1219</v>
      </c>
      <c r="C1057" t="str">
        <f t="shared" si="81"/>
        <v>SK</v>
      </c>
      <c r="D1057" t="str">
        <f t="shared" si="82"/>
        <v>RYE</v>
      </c>
      <c r="E1057" t="str">
        <f t="shared" si="80"/>
        <v>SKRYE</v>
      </c>
      <c r="F1057" t="str">
        <f t="shared" si="83"/>
        <v>L</v>
      </c>
      <c r="G1057" t="s">
        <v>1204</v>
      </c>
      <c r="H1057">
        <v>1</v>
      </c>
      <c r="I1057">
        <v>0.04</v>
      </c>
      <c r="J1057" t="str">
        <f t="shared" si="84"/>
        <v>SKL000RYELR0SKLFER</v>
      </c>
      <c r="K1057">
        <f>_xlfn.IFNA(IF(F1057="H",VLOOKUP(E1057,Fertiliser_data!$E$7:$L$267,8,FALSE),VLOOKUP(E1057,Fertiliser_data!$E$7:$L$267,8,FALSE)*0.65),IF(F1057="H",0.038,(0.038*0.65)))</f>
        <v>1.6507089552238806E-2</v>
      </c>
      <c r="L1057">
        <f>IF($C1057="IE",$K1057*CF_231025!$E$16,$K1057/VLOOKUP($C1057,CF_231025!$A$2:$E$28,5,FALSE))</f>
        <v>4.8207860962957236E-3</v>
      </c>
    </row>
    <row r="1058" spans="1:12" x14ac:dyDescent="0.25">
      <c r="A1058" t="s">
        <v>136</v>
      </c>
      <c r="B1058" t="s">
        <v>1220</v>
      </c>
      <c r="C1058" t="str">
        <f t="shared" si="81"/>
        <v>SK</v>
      </c>
      <c r="D1058" t="str">
        <f t="shared" si="82"/>
        <v>OTH</v>
      </c>
      <c r="E1058" t="str">
        <f t="shared" si="80"/>
        <v>SKOTH</v>
      </c>
      <c r="F1058" t="str">
        <f t="shared" si="83"/>
        <v>H</v>
      </c>
      <c r="G1058" t="s">
        <v>1204</v>
      </c>
      <c r="H1058">
        <v>1</v>
      </c>
      <c r="I1058">
        <v>0.17</v>
      </c>
      <c r="J1058" t="str">
        <f t="shared" si="84"/>
        <v>SKL000OTHHI0SKLFER</v>
      </c>
      <c r="K1058">
        <f>_xlfn.IFNA(IF(F1058="H",VLOOKUP(E1058,Fertiliser_data!$E$7:$L$267,8,FALSE),VLOOKUP(E1058,Fertiliser_data!$E$7:$L$267,8,FALSE)*0.65),IF(F1058="H",0.038,(0.038*0.65)))</f>
        <v>3.7999999999999999E-2</v>
      </c>
      <c r="L1058">
        <f>IF($C1058="IE",$K1058*CF_231025!$E$16,$K1058/VLOOKUP($C1058,CF_231025!$A$2:$E$28,5,FALSE))</f>
        <v>1.1097648139577216E-2</v>
      </c>
    </row>
    <row r="1059" spans="1:12" x14ac:dyDescent="0.25">
      <c r="A1059" t="s">
        <v>136</v>
      </c>
      <c r="B1059" t="s">
        <v>1221</v>
      </c>
      <c r="C1059" t="str">
        <f t="shared" si="81"/>
        <v>SK</v>
      </c>
      <c r="D1059" t="str">
        <f t="shared" si="82"/>
        <v>OTH</v>
      </c>
      <c r="E1059" t="str">
        <f t="shared" si="80"/>
        <v>SKOTH</v>
      </c>
      <c r="F1059" t="str">
        <f t="shared" si="83"/>
        <v>H</v>
      </c>
      <c r="G1059" t="s">
        <v>1204</v>
      </c>
      <c r="H1059">
        <v>1</v>
      </c>
      <c r="I1059">
        <v>0.17</v>
      </c>
      <c r="J1059" t="str">
        <f t="shared" si="84"/>
        <v>SKL000OTHHR0SKLFER</v>
      </c>
      <c r="K1059">
        <f>_xlfn.IFNA(IF(F1059="H",VLOOKUP(E1059,Fertiliser_data!$E$7:$L$267,8,FALSE),VLOOKUP(E1059,Fertiliser_data!$E$7:$L$267,8,FALSE)*0.65),IF(F1059="H",0.038,(0.038*0.65)))</f>
        <v>3.7999999999999999E-2</v>
      </c>
      <c r="L1059">
        <f>IF($C1059="IE",$K1059*CF_231025!$E$16,$K1059/VLOOKUP($C1059,CF_231025!$A$2:$E$28,5,FALSE))</f>
        <v>1.1097648139577216E-2</v>
      </c>
    </row>
    <row r="1060" spans="1:12" x14ac:dyDescent="0.25">
      <c r="A1060" t="s">
        <v>136</v>
      </c>
      <c r="B1060" t="s">
        <v>1222</v>
      </c>
      <c r="C1060" t="str">
        <f t="shared" si="81"/>
        <v>SK</v>
      </c>
      <c r="D1060" t="str">
        <f t="shared" si="82"/>
        <v>OTH</v>
      </c>
      <c r="E1060" t="str">
        <f t="shared" si="80"/>
        <v>SKOTH</v>
      </c>
      <c r="F1060" t="str">
        <f t="shared" si="83"/>
        <v>L</v>
      </c>
      <c r="G1060" t="s">
        <v>1204</v>
      </c>
      <c r="H1060">
        <v>1</v>
      </c>
      <c r="I1060">
        <v>0.06</v>
      </c>
      <c r="J1060" t="str">
        <f t="shared" si="84"/>
        <v>SKL000OTHLI0SKLFER</v>
      </c>
      <c r="K1060">
        <f>_xlfn.IFNA(IF(F1060="H",VLOOKUP(E1060,Fertiliser_data!$E$7:$L$267,8,FALSE),VLOOKUP(E1060,Fertiliser_data!$E$7:$L$267,8,FALSE)*0.65),IF(F1060="H",0.038,(0.038*0.65)))</f>
        <v>2.47E-2</v>
      </c>
      <c r="L1060">
        <f>IF($C1060="IE",$K1060*CF_231025!$E$16,$K1060/VLOOKUP($C1060,CF_231025!$A$2:$E$28,5,FALSE))</f>
        <v>7.2134712907251904E-3</v>
      </c>
    </row>
    <row r="1061" spans="1:12" x14ac:dyDescent="0.25">
      <c r="A1061" t="s">
        <v>136</v>
      </c>
      <c r="B1061" t="s">
        <v>1223</v>
      </c>
      <c r="C1061" t="str">
        <f t="shared" si="81"/>
        <v>SK</v>
      </c>
      <c r="D1061" t="str">
        <f t="shared" si="82"/>
        <v>OTH</v>
      </c>
      <c r="E1061" t="str">
        <f t="shared" si="80"/>
        <v>SKOTH</v>
      </c>
      <c r="F1061" t="str">
        <f t="shared" si="83"/>
        <v>L</v>
      </c>
      <c r="G1061" t="s">
        <v>1204</v>
      </c>
      <c r="H1061">
        <v>1</v>
      </c>
      <c r="I1061">
        <v>0.06</v>
      </c>
      <c r="J1061" t="str">
        <f t="shared" si="84"/>
        <v>SKL000OTHLR0SKLFER</v>
      </c>
      <c r="K1061">
        <f>_xlfn.IFNA(IF(F1061="H",VLOOKUP(E1061,Fertiliser_data!$E$7:$L$267,8,FALSE),VLOOKUP(E1061,Fertiliser_data!$E$7:$L$267,8,FALSE)*0.65),IF(F1061="H",0.038,(0.038*0.65)))</f>
        <v>2.47E-2</v>
      </c>
      <c r="L1061">
        <f>IF($C1061="IE",$K1061*CF_231025!$E$16,$K1061/VLOOKUP($C1061,CF_231025!$A$2:$E$28,5,FALSE))</f>
        <v>7.2134712907251904E-3</v>
      </c>
    </row>
    <row r="1062" spans="1:12" x14ac:dyDescent="0.25">
      <c r="A1062" t="s">
        <v>136</v>
      </c>
      <c r="B1062" t="s">
        <v>1224</v>
      </c>
      <c r="C1062" t="str">
        <f t="shared" si="81"/>
        <v>SK</v>
      </c>
      <c r="D1062" t="str">
        <f t="shared" si="82"/>
        <v>SUG</v>
      </c>
      <c r="E1062" t="str">
        <f t="shared" si="80"/>
        <v>SKSUG</v>
      </c>
      <c r="F1062" t="str">
        <f t="shared" si="83"/>
        <v>H</v>
      </c>
      <c r="G1062" t="s">
        <v>1204</v>
      </c>
      <c r="H1062">
        <v>1</v>
      </c>
      <c r="I1062">
        <v>0.17</v>
      </c>
      <c r="J1062" t="str">
        <f t="shared" si="84"/>
        <v>SKL000SUGHI0SKLFER</v>
      </c>
      <c r="K1062">
        <f>_xlfn.IFNA(IF(F1062="H",VLOOKUP(E1062,Fertiliser_data!$E$7:$L$267,8,FALSE),VLOOKUP(E1062,Fertiliser_data!$E$7:$L$267,8,FALSE)*0.65),IF(F1062="H",0.038,(0.038*0.65)))</f>
        <v>5.3922388059701488E-2</v>
      </c>
      <c r="L1062">
        <f>IF($C1062="IE",$K1062*CF_231025!$E$16,$K1062/VLOOKUP($C1062,CF_231025!$A$2:$E$28,5,FALSE))</f>
        <v>1.5747676040323868E-2</v>
      </c>
    </row>
    <row r="1063" spans="1:12" x14ac:dyDescent="0.25">
      <c r="A1063" t="s">
        <v>136</v>
      </c>
      <c r="B1063" t="s">
        <v>1225</v>
      </c>
      <c r="C1063" t="str">
        <f t="shared" si="81"/>
        <v>SK</v>
      </c>
      <c r="D1063" t="str">
        <f t="shared" si="82"/>
        <v>SUG</v>
      </c>
      <c r="E1063" t="str">
        <f t="shared" si="80"/>
        <v>SKSUG</v>
      </c>
      <c r="F1063" t="str">
        <f t="shared" si="83"/>
        <v>H</v>
      </c>
      <c r="G1063" t="s">
        <v>1204</v>
      </c>
      <c r="H1063">
        <v>1</v>
      </c>
      <c r="I1063">
        <v>0.17</v>
      </c>
      <c r="J1063" t="str">
        <f t="shared" si="84"/>
        <v>SKL000SUGHR0SKLFER</v>
      </c>
      <c r="K1063">
        <f>_xlfn.IFNA(IF(F1063="H",VLOOKUP(E1063,Fertiliser_data!$E$7:$L$267,8,FALSE),VLOOKUP(E1063,Fertiliser_data!$E$7:$L$267,8,FALSE)*0.65),IF(F1063="H",0.038,(0.038*0.65)))</f>
        <v>5.3922388059701488E-2</v>
      </c>
      <c r="L1063">
        <f>IF($C1063="IE",$K1063*CF_231025!$E$16,$K1063/VLOOKUP($C1063,CF_231025!$A$2:$E$28,5,FALSE))</f>
        <v>1.5747676040323868E-2</v>
      </c>
    </row>
    <row r="1064" spans="1:12" x14ac:dyDescent="0.25">
      <c r="A1064" t="s">
        <v>136</v>
      </c>
      <c r="B1064" t="s">
        <v>1226</v>
      </c>
      <c r="C1064" t="str">
        <f t="shared" si="81"/>
        <v>SK</v>
      </c>
      <c r="D1064" t="str">
        <f t="shared" si="82"/>
        <v>SUG</v>
      </c>
      <c r="E1064" t="str">
        <f t="shared" si="80"/>
        <v>SKSUG</v>
      </c>
      <c r="F1064" t="str">
        <f t="shared" si="83"/>
        <v>L</v>
      </c>
      <c r="G1064" t="s">
        <v>1204</v>
      </c>
      <c r="H1064">
        <v>1</v>
      </c>
      <c r="I1064">
        <v>0.06</v>
      </c>
      <c r="J1064" t="str">
        <f t="shared" si="84"/>
        <v>SKL000SUGLI0SKLFER</v>
      </c>
      <c r="K1064">
        <f>_xlfn.IFNA(IF(F1064="H",VLOOKUP(E1064,Fertiliser_data!$E$7:$L$267,8,FALSE),VLOOKUP(E1064,Fertiliser_data!$E$7:$L$267,8,FALSE)*0.65),IF(F1064="H",0.038,(0.038*0.65)))</f>
        <v>3.5049552238805966E-2</v>
      </c>
      <c r="L1064">
        <f>IF($C1064="IE",$K1064*CF_231025!$E$16,$K1064/VLOOKUP($C1064,CF_231025!$A$2:$E$28,5,FALSE))</f>
        <v>1.0235989426210512E-2</v>
      </c>
    </row>
    <row r="1065" spans="1:12" x14ac:dyDescent="0.25">
      <c r="A1065" t="s">
        <v>136</v>
      </c>
      <c r="B1065" t="s">
        <v>1227</v>
      </c>
      <c r="C1065" t="str">
        <f t="shared" si="81"/>
        <v>SK</v>
      </c>
      <c r="D1065" t="str">
        <f t="shared" si="82"/>
        <v>SUG</v>
      </c>
      <c r="E1065" t="str">
        <f t="shared" si="80"/>
        <v>SKSUG</v>
      </c>
      <c r="F1065" t="str">
        <f t="shared" si="83"/>
        <v>L</v>
      </c>
      <c r="G1065" t="s">
        <v>1204</v>
      </c>
      <c r="H1065">
        <v>1</v>
      </c>
      <c r="I1065">
        <v>0.06</v>
      </c>
      <c r="J1065" t="str">
        <f t="shared" si="84"/>
        <v>SKL000SUGLR0SKLFER</v>
      </c>
      <c r="K1065">
        <f>_xlfn.IFNA(IF(F1065="H",VLOOKUP(E1065,Fertiliser_data!$E$7:$L$267,8,FALSE),VLOOKUP(E1065,Fertiliser_data!$E$7:$L$267,8,FALSE)*0.65),IF(F1065="H",0.038,(0.038*0.65)))</f>
        <v>3.5049552238805966E-2</v>
      </c>
      <c r="L1065">
        <f>IF($C1065="IE",$K1065*CF_231025!$E$16,$K1065/VLOOKUP($C1065,CF_231025!$A$2:$E$28,5,FALSE))</f>
        <v>1.0235989426210512E-2</v>
      </c>
    </row>
    <row r="1066" spans="1:12" x14ac:dyDescent="0.25">
      <c r="A1066" t="s">
        <v>136</v>
      </c>
      <c r="B1066" t="s">
        <v>1228</v>
      </c>
      <c r="C1066" t="str">
        <f t="shared" si="81"/>
        <v>SK</v>
      </c>
      <c r="D1066" t="str">
        <f t="shared" si="82"/>
        <v>RAP</v>
      </c>
      <c r="E1066" t="str">
        <f t="shared" si="80"/>
        <v>SKRAP</v>
      </c>
      <c r="F1066" t="str">
        <f t="shared" si="83"/>
        <v>H</v>
      </c>
      <c r="G1066" t="s">
        <v>1204</v>
      </c>
      <c r="H1066">
        <v>1</v>
      </c>
      <c r="I1066">
        <v>0.26</v>
      </c>
      <c r="J1066" t="str">
        <f t="shared" si="84"/>
        <v>SKL000RAPHI0SKLFER</v>
      </c>
      <c r="K1066">
        <f>_xlfn.IFNA(IF(F1066="H",VLOOKUP(E1066,Fertiliser_data!$E$7:$L$267,8,FALSE),VLOOKUP(E1066,Fertiliser_data!$E$7:$L$267,8,FALSE)*0.65),IF(F1066="H",0.038,(0.038*0.65)))</f>
        <v>5.4376119402985069E-2</v>
      </c>
      <c r="L1066">
        <f>IF($C1066="IE",$K1066*CF_231025!$E$16,$K1066/VLOOKUP($C1066,CF_231025!$A$2:$E$28,5,FALSE))</f>
        <v>1.5880185271841207E-2</v>
      </c>
    </row>
    <row r="1067" spans="1:12" x14ac:dyDescent="0.25">
      <c r="A1067" t="s">
        <v>136</v>
      </c>
      <c r="B1067" t="s">
        <v>1229</v>
      </c>
      <c r="C1067" t="str">
        <f t="shared" si="81"/>
        <v>SK</v>
      </c>
      <c r="D1067" t="str">
        <f t="shared" si="82"/>
        <v>RAP</v>
      </c>
      <c r="E1067" t="str">
        <f t="shared" si="80"/>
        <v>SKRAP</v>
      </c>
      <c r="F1067" t="str">
        <f t="shared" si="83"/>
        <v>H</v>
      </c>
      <c r="G1067" t="s">
        <v>1204</v>
      </c>
      <c r="H1067">
        <v>1</v>
      </c>
      <c r="I1067">
        <v>0.26</v>
      </c>
      <c r="J1067" t="str">
        <f t="shared" si="84"/>
        <v>SKL000RAPHR0SKLFER</v>
      </c>
      <c r="K1067">
        <f>_xlfn.IFNA(IF(F1067="H",VLOOKUP(E1067,Fertiliser_data!$E$7:$L$267,8,FALSE),VLOOKUP(E1067,Fertiliser_data!$E$7:$L$267,8,FALSE)*0.65),IF(F1067="H",0.038,(0.038*0.65)))</f>
        <v>5.4376119402985069E-2</v>
      </c>
      <c r="L1067">
        <f>IF($C1067="IE",$K1067*CF_231025!$E$16,$K1067/VLOOKUP($C1067,CF_231025!$A$2:$E$28,5,FALSE))</f>
        <v>1.5880185271841207E-2</v>
      </c>
    </row>
    <row r="1068" spans="1:12" x14ac:dyDescent="0.25">
      <c r="A1068" t="s">
        <v>136</v>
      </c>
      <c r="B1068" t="s">
        <v>1230</v>
      </c>
      <c r="C1068" t="str">
        <f t="shared" si="81"/>
        <v>SK</v>
      </c>
      <c r="D1068" t="str">
        <f t="shared" si="82"/>
        <v>RAP</v>
      </c>
      <c r="E1068" t="str">
        <f t="shared" si="80"/>
        <v>SKRAP</v>
      </c>
      <c r="F1068" t="str">
        <f t="shared" si="83"/>
        <v>L</v>
      </c>
      <c r="G1068" t="s">
        <v>1204</v>
      </c>
      <c r="H1068">
        <v>1</v>
      </c>
      <c r="I1068">
        <v>0.1</v>
      </c>
      <c r="J1068" t="str">
        <f t="shared" si="84"/>
        <v>SKL000RAPLI0SKLFER</v>
      </c>
      <c r="K1068">
        <f>_xlfn.IFNA(IF(F1068="H",VLOOKUP(E1068,Fertiliser_data!$E$7:$L$267,8,FALSE),VLOOKUP(E1068,Fertiliser_data!$E$7:$L$267,8,FALSE)*0.65),IF(F1068="H",0.038,(0.038*0.65)))</f>
        <v>3.5344477611940296E-2</v>
      </c>
      <c r="L1068">
        <f>IF($C1068="IE",$K1068*CF_231025!$E$16,$K1068/VLOOKUP($C1068,CF_231025!$A$2:$E$28,5,FALSE))</f>
        <v>1.0322120426696784E-2</v>
      </c>
    </row>
    <row r="1069" spans="1:12" x14ac:dyDescent="0.25">
      <c r="A1069" t="s">
        <v>136</v>
      </c>
      <c r="B1069" t="s">
        <v>1231</v>
      </c>
      <c r="C1069" t="str">
        <f t="shared" si="81"/>
        <v>SK</v>
      </c>
      <c r="D1069" t="str">
        <f t="shared" si="82"/>
        <v>RAP</v>
      </c>
      <c r="E1069" t="str">
        <f t="shared" si="80"/>
        <v>SKRAP</v>
      </c>
      <c r="F1069" t="str">
        <f t="shared" si="83"/>
        <v>L</v>
      </c>
      <c r="G1069" t="s">
        <v>1204</v>
      </c>
      <c r="H1069">
        <v>1</v>
      </c>
      <c r="I1069">
        <v>0.1</v>
      </c>
      <c r="J1069" t="str">
        <f t="shared" si="84"/>
        <v>SKL000RAPLR0SKLFER</v>
      </c>
      <c r="K1069">
        <f>_xlfn.IFNA(IF(F1069="H",VLOOKUP(E1069,Fertiliser_data!$E$7:$L$267,8,FALSE),VLOOKUP(E1069,Fertiliser_data!$E$7:$L$267,8,FALSE)*0.65),IF(F1069="H",0.038,(0.038*0.65)))</f>
        <v>3.5344477611940296E-2</v>
      </c>
      <c r="L1069">
        <f>IF($C1069="IE",$K1069*CF_231025!$E$16,$K1069/VLOOKUP($C1069,CF_231025!$A$2:$E$28,5,FALSE))</f>
        <v>1.0322120426696784E-2</v>
      </c>
    </row>
    <row r="1070" spans="1:12" x14ac:dyDescent="0.25">
      <c r="A1070" t="s">
        <v>136</v>
      </c>
      <c r="B1070" t="s">
        <v>1232</v>
      </c>
      <c r="C1070" t="str">
        <f t="shared" si="81"/>
        <v>SK</v>
      </c>
      <c r="D1070" t="str">
        <f t="shared" si="82"/>
        <v>BRL</v>
      </c>
      <c r="E1070" t="str">
        <f t="shared" si="80"/>
        <v>SKBRL</v>
      </c>
      <c r="F1070" t="str">
        <f t="shared" si="83"/>
        <v>H</v>
      </c>
      <c r="G1070" t="s">
        <v>1204</v>
      </c>
      <c r="H1070">
        <v>1</v>
      </c>
      <c r="I1070">
        <v>0.15</v>
      </c>
      <c r="J1070" t="str">
        <f t="shared" si="84"/>
        <v>SKL000BRLHI0SKLFER</v>
      </c>
      <c r="K1070">
        <f>_xlfn.IFNA(IF(F1070="H",VLOOKUP(E1070,Fertiliser_data!$E$7:$L$267,8,FALSE),VLOOKUP(E1070,Fertiliser_data!$E$7:$L$267,8,FALSE)*0.65),IF(F1070="H",0.038,(0.038*0.65)))</f>
        <v>2.5395522388059703E-2</v>
      </c>
      <c r="L1070">
        <f>IF($C1070="IE",$K1070*CF_231025!$E$16,$K1070/VLOOKUP($C1070,CF_231025!$A$2:$E$28,5,FALSE))</f>
        <v>7.4165939943011128E-3</v>
      </c>
    </row>
    <row r="1071" spans="1:12" x14ac:dyDescent="0.25">
      <c r="A1071" t="s">
        <v>136</v>
      </c>
      <c r="B1071" t="s">
        <v>1233</v>
      </c>
      <c r="C1071" t="str">
        <f t="shared" si="81"/>
        <v>SK</v>
      </c>
      <c r="D1071" t="str">
        <f t="shared" si="82"/>
        <v>BRL</v>
      </c>
      <c r="E1071" t="str">
        <f t="shared" si="80"/>
        <v>SKBRL</v>
      </c>
      <c r="F1071" t="str">
        <f t="shared" si="83"/>
        <v>H</v>
      </c>
      <c r="G1071" t="s">
        <v>1204</v>
      </c>
      <c r="H1071">
        <v>1</v>
      </c>
      <c r="I1071">
        <v>0.15</v>
      </c>
      <c r="J1071" t="str">
        <f t="shared" si="84"/>
        <v>SKL000BRLHR0SKLFER</v>
      </c>
      <c r="K1071">
        <f>_xlfn.IFNA(IF(F1071="H",VLOOKUP(E1071,Fertiliser_data!$E$7:$L$267,8,FALSE),VLOOKUP(E1071,Fertiliser_data!$E$7:$L$267,8,FALSE)*0.65),IF(F1071="H",0.038,(0.038*0.65)))</f>
        <v>2.5395522388059703E-2</v>
      </c>
      <c r="L1071">
        <f>IF($C1071="IE",$K1071*CF_231025!$E$16,$K1071/VLOOKUP($C1071,CF_231025!$A$2:$E$28,5,FALSE))</f>
        <v>7.4165939943011128E-3</v>
      </c>
    </row>
    <row r="1072" spans="1:12" x14ac:dyDescent="0.25">
      <c r="A1072" t="s">
        <v>136</v>
      </c>
      <c r="B1072" t="s">
        <v>1234</v>
      </c>
      <c r="C1072" t="str">
        <f t="shared" si="81"/>
        <v>SK</v>
      </c>
      <c r="D1072" t="str">
        <f t="shared" si="82"/>
        <v>BRL</v>
      </c>
      <c r="E1072" t="str">
        <f t="shared" si="80"/>
        <v>SKBRL</v>
      </c>
      <c r="F1072" t="str">
        <f t="shared" si="83"/>
        <v>L</v>
      </c>
      <c r="G1072" t="s">
        <v>1204</v>
      </c>
      <c r="H1072">
        <v>1</v>
      </c>
      <c r="I1072">
        <v>0.06</v>
      </c>
      <c r="J1072" t="str">
        <f t="shared" si="84"/>
        <v>SKL000BRLLI0SKLFER</v>
      </c>
      <c r="K1072">
        <f>_xlfn.IFNA(IF(F1072="H",VLOOKUP(E1072,Fertiliser_data!$E$7:$L$267,8,FALSE),VLOOKUP(E1072,Fertiliser_data!$E$7:$L$267,8,FALSE)*0.65),IF(F1072="H",0.038,(0.038*0.65)))</f>
        <v>1.6507089552238806E-2</v>
      </c>
      <c r="L1072">
        <f>IF($C1072="IE",$K1072*CF_231025!$E$16,$K1072/VLOOKUP($C1072,CF_231025!$A$2:$E$28,5,FALSE))</f>
        <v>4.8207860962957236E-3</v>
      </c>
    </row>
    <row r="1073" spans="1:12" x14ac:dyDescent="0.25">
      <c r="A1073" t="s">
        <v>136</v>
      </c>
      <c r="B1073" t="s">
        <v>1235</v>
      </c>
      <c r="C1073" t="str">
        <f t="shared" si="81"/>
        <v>SK</v>
      </c>
      <c r="D1073" t="str">
        <f t="shared" si="82"/>
        <v>BRL</v>
      </c>
      <c r="E1073" t="str">
        <f t="shared" si="80"/>
        <v>SKBRL</v>
      </c>
      <c r="F1073" t="str">
        <f t="shared" si="83"/>
        <v>L</v>
      </c>
      <c r="G1073" t="s">
        <v>1204</v>
      </c>
      <c r="H1073">
        <v>1</v>
      </c>
      <c r="I1073">
        <v>0.06</v>
      </c>
      <c r="J1073" t="str">
        <f t="shared" si="84"/>
        <v>SKL000BRLLR0SKLFER</v>
      </c>
      <c r="K1073">
        <f>_xlfn.IFNA(IF(F1073="H",VLOOKUP(E1073,Fertiliser_data!$E$7:$L$267,8,FALSE),VLOOKUP(E1073,Fertiliser_data!$E$7:$L$267,8,FALSE)*0.65),IF(F1073="H",0.038,(0.038*0.65)))</f>
        <v>1.6507089552238806E-2</v>
      </c>
      <c r="L1073">
        <f>IF($C1073="IE",$K1073*CF_231025!$E$16,$K1073/VLOOKUP($C1073,CF_231025!$A$2:$E$28,5,FALSE))</f>
        <v>4.8207860962957236E-3</v>
      </c>
    </row>
    <row r="1074" spans="1:12" x14ac:dyDescent="0.25">
      <c r="A1074" t="s">
        <v>136</v>
      </c>
      <c r="B1074" t="s">
        <v>1236</v>
      </c>
      <c r="C1074" t="str">
        <f t="shared" si="81"/>
        <v>SK</v>
      </c>
      <c r="D1074" t="str">
        <f t="shared" si="82"/>
        <v>SOY</v>
      </c>
      <c r="E1074" t="str">
        <f t="shared" si="80"/>
        <v>SKSOY</v>
      </c>
      <c r="F1074" t="str">
        <f t="shared" si="83"/>
        <v>H</v>
      </c>
      <c r="G1074" t="s">
        <v>1204</v>
      </c>
      <c r="H1074">
        <v>1</v>
      </c>
      <c r="I1074">
        <v>0.17</v>
      </c>
      <c r="J1074" t="str">
        <f t="shared" si="84"/>
        <v>SKL000SOYHI0SKLFER</v>
      </c>
      <c r="K1074">
        <f>_xlfn.IFNA(IF(F1074="H",VLOOKUP(E1074,Fertiliser_data!$E$7:$L$267,8,FALSE),VLOOKUP(E1074,Fertiliser_data!$E$7:$L$267,8,FALSE)*0.65),IF(F1074="H",0.038,(0.038*0.65)))</f>
        <v>4.0034328358208957E-2</v>
      </c>
      <c r="L1074">
        <f>IF($C1074="IE",$K1074*CF_231025!$E$16,$K1074/VLOOKUP($C1074,CF_231025!$A$2:$E$28,5,FALSE))</f>
        <v>1.1691760253255289E-2</v>
      </c>
    </row>
    <row r="1075" spans="1:12" x14ac:dyDescent="0.25">
      <c r="A1075" t="s">
        <v>136</v>
      </c>
      <c r="B1075" t="s">
        <v>1237</v>
      </c>
      <c r="C1075" t="str">
        <f t="shared" si="81"/>
        <v>SK</v>
      </c>
      <c r="D1075" t="str">
        <f t="shared" si="82"/>
        <v>SOY</v>
      </c>
      <c r="E1075" t="str">
        <f t="shared" si="80"/>
        <v>SKSOY</v>
      </c>
      <c r="F1075" t="str">
        <f t="shared" si="83"/>
        <v>H</v>
      </c>
      <c r="G1075" t="s">
        <v>1204</v>
      </c>
      <c r="H1075">
        <v>1</v>
      </c>
      <c r="I1075">
        <v>0.17</v>
      </c>
      <c r="J1075" t="str">
        <f t="shared" si="84"/>
        <v>SKL000SOYHR0SKLFER</v>
      </c>
      <c r="K1075">
        <f>_xlfn.IFNA(IF(F1075="H",VLOOKUP(E1075,Fertiliser_data!$E$7:$L$267,8,FALSE),VLOOKUP(E1075,Fertiliser_data!$E$7:$L$267,8,FALSE)*0.65),IF(F1075="H",0.038,(0.038*0.65)))</f>
        <v>4.0034328358208957E-2</v>
      </c>
      <c r="L1075">
        <f>IF($C1075="IE",$K1075*CF_231025!$E$16,$K1075/VLOOKUP($C1075,CF_231025!$A$2:$E$28,5,FALSE))</f>
        <v>1.1691760253255289E-2</v>
      </c>
    </row>
    <row r="1076" spans="1:12" x14ac:dyDescent="0.25">
      <c r="A1076" t="s">
        <v>136</v>
      </c>
      <c r="B1076" t="s">
        <v>1238</v>
      </c>
      <c r="C1076" t="str">
        <f t="shared" si="81"/>
        <v>SK</v>
      </c>
      <c r="D1076" t="str">
        <f t="shared" si="82"/>
        <v>SOY</v>
      </c>
      <c r="E1076" t="str">
        <f t="shared" si="80"/>
        <v>SKSOY</v>
      </c>
      <c r="F1076" t="str">
        <f t="shared" si="83"/>
        <v>L</v>
      </c>
      <c r="G1076" t="s">
        <v>1204</v>
      </c>
      <c r="H1076">
        <v>1</v>
      </c>
      <c r="I1076">
        <v>0.06</v>
      </c>
      <c r="J1076" t="str">
        <f t="shared" si="84"/>
        <v>SKL000SOYLI0SKLFER</v>
      </c>
      <c r="K1076">
        <f>_xlfn.IFNA(IF(F1076="H",VLOOKUP(E1076,Fertiliser_data!$E$7:$L$267,8,FALSE),VLOOKUP(E1076,Fertiliser_data!$E$7:$L$267,8,FALSE)*0.65),IF(F1076="H",0.038,(0.038*0.65)))</f>
        <v>2.6022313432835821E-2</v>
      </c>
      <c r="L1076">
        <f>IF($C1076="IE",$K1076*CF_231025!$E$16,$K1076/VLOOKUP($C1076,CF_231025!$A$2:$E$28,5,FALSE))</f>
        <v>7.5996441646159381E-3</v>
      </c>
    </row>
    <row r="1077" spans="1:12" x14ac:dyDescent="0.25">
      <c r="A1077" t="s">
        <v>136</v>
      </c>
      <c r="B1077" t="s">
        <v>1239</v>
      </c>
      <c r="C1077" t="str">
        <f t="shared" si="81"/>
        <v>SK</v>
      </c>
      <c r="D1077" t="str">
        <f t="shared" si="82"/>
        <v>SOY</v>
      </c>
      <c r="E1077" t="str">
        <f t="shared" si="80"/>
        <v>SKSOY</v>
      </c>
      <c r="F1077" t="str">
        <f t="shared" si="83"/>
        <v>L</v>
      </c>
      <c r="G1077" t="s">
        <v>1204</v>
      </c>
      <c r="H1077">
        <v>1</v>
      </c>
      <c r="I1077">
        <v>0.06</v>
      </c>
      <c r="J1077" t="str">
        <f t="shared" si="84"/>
        <v>SKL000SOYLR0SKLFER</v>
      </c>
      <c r="K1077">
        <f>_xlfn.IFNA(IF(F1077="H",VLOOKUP(E1077,Fertiliser_data!$E$7:$L$267,8,FALSE),VLOOKUP(E1077,Fertiliser_data!$E$7:$L$267,8,FALSE)*0.65),IF(F1077="H",0.038,(0.038*0.65)))</f>
        <v>2.6022313432835821E-2</v>
      </c>
      <c r="L1077">
        <f>IF($C1077="IE",$K1077*CF_231025!$E$16,$K1077/VLOOKUP($C1077,CF_231025!$A$2:$E$28,5,FALSE))</f>
        <v>7.5996441646159381E-3</v>
      </c>
    </row>
    <row r="1078" spans="1:12" x14ac:dyDescent="0.25">
      <c r="A1078" t="s">
        <v>136</v>
      </c>
      <c r="B1078" t="s">
        <v>1240</v>
      </c>
      <c r="C1078" t="str">
        <f t="shared" si="81"/>
        <v>SK</v>
      </c>
      <c r="D1078" t="str">
        <f t="shared" si="82"/>
        <v>WHE</v>
      </c>
      <c r="E1078" t="str">
        <f t="shared" si="80"/>
        <v>SKWHE</v>
      </c>
      <c r="F1078" t="str">
        <f t="shared" si="83"/>
        <v>H</v>
      </c>
      <c r="G1078" t="s">
        <v>1204</v>
      </c>
      <c r="H1078">
        <v>1</v>
      </c>
      <c r="I1078">
        <v>0.2</v>
      </c>
      <c r="J1078" t="str">
        <f t="shared" si="84"/>
        <v>SKL000WHEHI0SKLFER</v>
      </c>
      <c r="K1078">
        <f>_xlfn.IFNA(IF(F1078="H",VLOOKUP(E1078,Fertiliser_data!$E$7:$L$267,8,FALSE),VLOOKUP(E1078,Fertiliser_data!$E$7:$L$267,8,FALSE)*0.65),IF(F1078="H",0.038,(0.038*0.65)))</f>
        <v>4.6405970149253732E-2</v>
      </c>
      <c r="L1078">
        <f>IF($C1078="IE",$K1078*CF_231025!$E$16,$K1078/VLOOKUP($C1078,CF_231025!$A$2:$E$28,5,FALSE))</f>
        <v>1.3552556007687934E-2</v>
      </c>
    </row>
    <row r="1079" spans="1:12" x14ac:dyDescent="0.25">
      <c r="A1079" t="s">
        <v>136</v>
      </c>
      <c r="B1079" t="s">
        <v>1241</v>
      </c>
      <c r="C1079" t="str">
        <f t="shared" si="81"/>
        <v>SK</v>
      </c>
      <c r="D1079" t="str">
        <f t="shared" si="82"/>
        <v>WHE</v>
      </c>
      <c r="E1079" t="str">
        <f t="shared" si="80"/>
        <v>SKWHE</v>
      </c>
      <c r="F1079" t="str">
        <f t="shared" si="83"/>
        <v>H</v>
      </c>
      <c r="G1079" t="s">
        <v>1204</v>
      </c>
      <c r="H1079">
        <v>1</v>
      </c>
      <c r="I1079">
        <v>0.2</v>
      </c>
      <c r="J1079" t="str">
        <f t="shared" si="84"/>
        <v>SKL000WHEHR0SKLFER</v>
      </c>
      <c r="K1079">
        <f>_xlfn.IFNA(IF(F1079="H",VLOOKUP(E1079,Fertiliser_data!$E$7:$L$267,8,FALSE),VLOOKUP(E1079,Fertiliser_data!$E$7:$L$267,8,FALSE)*0.65),IF(F1079="H",0.038,(0.038*0.65)))</f>
        <v>4.6405970149253732E-2</v>
      </c>
      <c r="L1079">
        <f>IF($C1079="IE",$K1079*CF_231025!$E$16,$K1079/VLOOKUP($C1079,CF_231025!$A$2:$E$28,5,FALSE))</f>
        <v>1.3552556007687934E-2</v>
      </c>
    </row>
    <row r="1080" spans="1:12" x14ac:dyDescent="0.25">
      <c r="A1080" t="s">
        <v>136</v>
      </c>
      <c r="B1080" t="s">
        <v>1242</v>
      </c>
      <c r="C1080" t="str">
        <f t="shared" si="81"/>
        <v>SK</v>
      </c>
      <c r="D1080" t="str">
        <f t="shared" si="82"/>
        <v>WHE</v>
      </c>
      <c r="E1080" t="str">
        <f t="shared" si="80"/>
        <v>SKWHE</v>
      </c>
      <c r="F1080" t="str">
        <f t="shared" si="83"/>
        <v>L</v>
      </c>
      <c r="G1080" t="s">
        <v>1204</v>
      </c>
      <c r="H1080">
        <v>1</v>
      </c>
      <c r="I1080">
        <v>7.0000000000000007E-2</v>
      </c>
      <c r="J1080" t="str">
        <f t="shared" si="84"/>
        <v>SKL000WHELI0SKLFER</v>
      </c>
      <c r="K1080">
        <f>_xlfn.IFNA(IF(F1080="H",VLOOKUP(E1080,Fertiliser_data!$E$7:$L$267,8,FALSE),VLOOKUP(E1080,Fertiliser_data!$E$7:$L$267,8,FALSE)*0.65),IF(F1080="H",0.038,(0.038*0.65)))</f>
        <v>3.0163880597014928E-2</v>
      </c>
      <c r="L1080">
        <f>IF($C1080="IE",$K1080*CF_231025!$E$16,$K1080/VLOOKUP($C1080,CF_231025!$A$2:$E$28,5,FALSE))</f>
        <v>8.8091614049971585E-3</v>
      </c>
    </row>
    <row r="1081" spans="1:12" x14ac:dyDescent="0.25">
      <c r="A1081" t="s">
        <v>136</v>
      </c>
      <c r="B1081" t="s">
        <v>1243</v>
      </c>
      <c r="C1081" t="str">
        <f t="shared" si="81"/>
        <v>SK</v>
      </c>
      <c r="D1081" t="str">
        <f t="shared" si="82"/>
        <v>WHE</v>
      </c>
      <c r="E1081" t="str">
        <f t="shared" si="80"/>
        <v>SKWHE</v>
      </c>
      <c r="F1081" t="str">
        <f t="shared" si="83"/>
        <v>L</v>
      </c>
      <c r="G1081" t="s">
        <v>1204</v>
      </c>
      <c r="H1081">
        <v>1</v>
      </c>
      <c r="I1081">
        <v>7.0000000000000007E-2</v>
      </c>
      <c r="J1081" t="str">
        <f t="shared" si="84"/>
        <v>SKL000WHELR0SKLFER</v>
      </c>
      <c r="K1081">
        <f>_xlfn.IFNA(IF(F1081="H",VLOOKUP(E1081,Fertiliser_data!$E$7:$L$267,8,FALSE),VLOOKUP(E1081,Fertiliser_data!$E$7:$L$267,8,FALSE)*0.65),IF(F1081="H",0.038,(0.038*0.65)))</f>
        <v>3.0163880597014928E-2</v>
      </c>
      <c r="L1081">
        <f>IF($C1081="IE",$K1081*CF_231025!$E$16,$K1081/VLOOKUP($C1081,CF_231025!$A$2:$E$28,5,FALSE))</f>
        <v>8.8091614049971585E-3</v>
      </c>
    </row>
  </sheetData>
  <autoFilter ref="A1:L1081" xr:uid="{AEA920C5-2029-4678-8507-C0885DCB712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DDF0-ACBE-4753-B4C7-769A91210D92}">
  <dimension ref="A1:F28"/>
  <sheetViews>
    <sheetView workbookViewId="0">
      <selection activeCell="D2" sqref="D2"/>
    </sheetView>
  </sheetViews>
  <sheetFormatPr defaultRowHeight="15" x14ac:dyDescent="0.25"/>
  <cols>
    <col min="3" max="3" width="12" bestFit="1" customWidth="1"/>
  </cols>
  <sheetData>
    <row r="1" spans="1:6" x14ac:dyDescent="0.25">
      <c r="C1" t="s">
        <v>1281</v>
      </c>
      <c r="D1" t="s">
        <v>1282</v>
      </c>
      <c r="E1" t="s">
        <v>1283</v>
      </c>
    </row>
    <row r="2" spans="1:6" x14ac:dyDescent="0.25">
      <c r="A2" t="s">
        <v>1250</v>
      </c>
      <c r="B2" t="s">
        <v>85</v>
      </c>
      <c r="C2">
        <v>0.104076</v>
      </c>
      <c r="D2">
        <v>0.41242612298182901</v>
      </c>
      <c r="E2">
        <v>3.9627399494775837</v>
      </c>
    </row>
    <row r="3" spans="1:6" x14ac:dyDescent="0.25">
      <c r="A3" t="s">
        <v>1251</v>
      </c>
      <c r="B3" t="s">
        <v>86</v>
      </c>
      <c r="C3">
        <v>0.1359689</v>
      </c>
      <c r="D3">
        <v>0.379320196879184</v>
      </c>
      <c r="E3">
        <v>2.7897570464950734</v>
      </c>
    </row>
    <row r="4" spans="1:6" x14ac:dyDescent="0.25">
      <c r="A4" t="s">
        <v>1252</v>
      </c>
      <c r="B4" t="s">
        <v>87</v>
      </c>
      <c r="C4">
        <v>0.374726</v>
      </c>
      <c r="D4">
        <v>0.96158656384994801</v>
      </c>
      <c r="E4">
        <v>2.5661058049079806</v>
      </c>
    </row>
    <row r="5" spans="1:6" x14ac:dyDescent="0.25">
      <c r="A5" t="s">
        <v>1253</v>
      </c>
      <c r="B5" t="s">
        <v>89</v>
      </c>
      <c r="C5">
        <v>1.0065333333333334E-2</v>
      </c>
      <c r="D5">
        <v>9.6122901173792005E-2</v>
      </c>
      <c r="E5">
        <v>9.5498974540129815</v>
      </c>
    </row>
    <row r="6" spans="1:6" x14ac:dyDescent="0.25">
      <c r="A6" t="s">
        <v>1254</v>
      </c>
      <c r="B6" t="s">
        <v>90</v>
      </c>
      <c r="C6">
        <v>0.32542900000000002</v>
      </c>
      <c r="D6">
        <v>1.08615719062113</v>
      </c>
      <c r="E6">
        <v>3.3376164712460472</v>
      </c>
    </row>
    <row r="7" spans="1:6" x14ac:dyDescent="0.25">
      <c r="A7" t="s">
        <v>1255</v>
      </c>
      <c r="B7" t="s">
        <v>95</v>
      </c>
      <c r="C7">
        <v>1.3493869999999999</v>
      </c>
      <c r="D7">
        <v>4.2329006973185299</v>
      </c>
      <c r="E7">
        <v>3.1369063858763502</v>
      </c>
    </row>
    <row r="8" spans="1:6" x14ac:dyDescent="0.25">
      <c r="A8" t="s">
        <v>1256</v>
      </c>
      <c r="B8" t="s">
        <v>91</v>
      </c>
      <c r="C8">
        <v>0.21723999999999999</v>
      </c>
      <c r="D8">
        <v>0.74058058721063103</v>
      </c>
      <c r="E8">
        <v>3.4090433953720818</v>
      </c>
    </row>
    <row r="9" spans="1:6" x14ac:dyDescent="0.25">
      <c r="A9" t="s">
        <v>1258</v>
      </c>
      <c r="B9" t="s">
        <v>92</v>
      </c>
      <c r="C9">
        <v>5.1723999999999999E-2</v>
      </c>
      <c r="D9">
        <v>0.16719771198961</v>
      </c>
      <c r="E9">
        <v>3.2324977184597095</v>
      </c>
    </row>
    <row r="10" spans="1:6" x14ac:dyDescent="0.25">
      <c r="A10" t="s">
        <v>1257</v>
      </c>
      <c r="B10" t="s">
        <v>110</v>
      </c>
      <c r="C10">
        <v>1.202941</v>
      </c>
      <c r="D10">
        <v>3.57699117769033</v>
      </c>
      <c r="E10">
        <v>2.9735383345403723</v>
      </c>
    </row>
    <row r="11" spans="1:6" x14ac:dyDescent="0.25">
      <c r="A11" t="s">
        <v>1259</v>
      </c>
      <c r="B11" t="s">
        <v>93</v>
      </c>
      <c r="C11">
        <v>0.15856799999999999</v>
      </c>
      <c r="D11">
        <v>0.53501225635243299</v>
      </c>
      <c r="E11">
        <v>3.3740241180593373</v>
      </c>
    </row>
    <row r="12" spans="1:6" x14ac:dyDescent="0.25">
      <c r="A12" t="s">
        <v>1260</v>
      </c>
      <c r="B12" t="s">
        <v>94</v>
      </c>
      <c r="C12">
        <v>2.1527259999999999</v>
      </c>
      <c r="D12">
        <v>6.1250517653966599</v>
      </c>
      <c r="E12">
        <v>2.8452537691265216</v>
      </c>
    </row>
    <row r="13" spans="1:6" x14ac:dyDescent="0.25">
      <c r="A13" t="s">
        <v>1277</v>
      </c>
      <c r="B13" t="s">
        <v>96</v>
      </c>
      <c r="C13">
        <v>0.23882600000000001</v>
      </c>
      <c r="D13">
        <v>0.70726111807224401</v>
      </c>
      <c r="E13">
        <v>2.9614075438697798</v>
      </c>
    </row>
    <row r="14" spans="1:6" x14ac:dyDescent="0.25">
      <c r="A14" t="s">
        <v>1261</v>
      </c>
      <c r="B14" t="s">
        <v>88</v>
      </c>
      <c r="C14">
        <v>0.117215</v>
      </c>
      <c r="D14">
        <v>0.33306745190548598</v>
      </c>
      <c r="E14">
        <v>2.8415087821992575</v>
      </c>
    </row>
    <row r="15" spans="1:6" x14ac:dyDescent="0.25">
      <c r="A15" t="s">
        <v>1262</v>
      </c>
      <c r="B15" t="s">
        <v>97</v>
      </c>
      <c r="C15">
        <v>0.50683699999999998</v>
      </c>
      <c r="D15">
        <v>1.3537732816364401</v>
      </c>
      <c r="E15">
        <v>2.6710229948414188</v>
      </c>
    </row>
    <row r="16" spans="1:6" x14ac:dyDescent="0.25">
      <c r="A16" t="s">
        <v>1263</v>
      </c>
      <c r="B16" s="8" t="s">
        <v>98</v>
      </c>
      <c r="C16" s="8">
        <v>0.44523200000000002</v>
      </c>
      <c r="D16" s="8">
        <v>0.213645488567581</v>
      </c>
      <c r="E16" s="8">
        <v>2.0839756691570055</v>
      </c>
      <c r="F16" t="s">
        <v>1284</v>
      </c>
    </row>
    <row r="17" spans="1:5" x14ac:dyDescent="0.25">
      <c r="A17" t="s">
        <v>1264</v>
      </c>
      <c r="B17" t="s">
        <v>99</v>
      </c>
      <c r="C17">
        <v>0.67241499999999998</v>
      </c>
      <c r="D17">
        <v>2.9931130563844102</v>
      </c>
      <c r="E17">
        <v>4.4512883507720833</v>
      </c>
    </row>
    <row r="18" spans="1:5" x14ac:dyDescent="0.25">
      <c r="A18" t="s">
        <v>1265</v>
      </c>
      <c r="B18" t="s">
        <v>101</v>
      </c>
      <c r="C18">
        <v>0.211616</v>
      </c>
      <c r="D18">
        <v>0.59210346973386196</v>
      </c>
      <c r="E18">
        <v>2.7980089867205789</v>
      </c>
    </row>
    <row r="19" spans="1:5" x14ac:dyDescent="0.25">
      <c r="A19" t="s">
        <v>1266</v>
      </c>
      <c r="B19" t="s">
        <v>102</v>
      </c>
      <c r="C19">
        <v>1.4347E-2</v>
      </c>
      <c r="D19">
        <v>2.3363171884191399E-2</v>
      </c>
      <c r="E19">
        <v>1.6284360412763226</v>
      </c>
    </row>
    <row r="20" spans="1:5" x14ac:dyDescent="0.25">
      <c r="A20" t="s">
        <v>1267</v>
      </c>
      <c r="B20" t="s">
        <v>100</v>
      </c>
      <c r="C20">
        <v>9.8955000000000001E-2</v>
      </c>
      <c r="D20">
        <v>0.306076774267943</v>
      </c>
      <c r="E20">
        <v>3.0930905388099945</v>
      </c>
    </row>
    <row r="21" spans="1:5" x14ac:dyDescent="0.25">
      <c r="A21" t="s">
        <v>1268</v>
      </c>
      <c r="B21" t="s">
        <v>103</v>
      </c>
      <c r="C21">
        <v>6.3066666666666664E-4</v>
      </c>
      <c r="D21">
        <v>4.5589714892206997E-3</v>
      </c>
      <c r="E21">
        <v>7.2288131435846195</v>
      </c>
    </row>
    <row r="22" spans="1:5" x14ac:dyDescent="0.25">
      <c r="A22" t="s">
        <v>1269</v>
      </c>
      <c r="B22" t="s">
        <v>104</v>
      </c>
      <c r="C22">
        <v>0.21759999999999999</v>
      </c>
      <c r="D22">
        <v>0.34390734595065298</v>
      </c>
      <c r="E22">
        <v>1.5804565530820449</v>
      </c>
    </row>
    <row r="23" spans="1:5" x14ac:dyDescent="0.25">
      <c r="A23" t="s">
        <v>1270</v>
      </c>
      <c r="B23" t="s">
        <v>105</v>
      </c>
      <c r="C23">
        <v>1.1945049999999999</v>
      </c>
      <c r="D23">
        <v>3.4030759556577799</v>
      </c>
      <c r="E23">
        <v>2.8489424118423785</v>
      </c>
    </row>
    <row r="24" spans="1:5" x14ac:dyDescent="0.25">
      <c r="A24" t="s">
        <v>1271</v>
      </c>
      <c r="B24" t="s">
        <v>106</v>
      </c>
      <c r="C24">
        <v>0.113598</v>
      </c>
      <c r="D24">
        <v>0.38899410305010501</v>
      </c>
      <c r="E24">
        <v>3.4243041519226129</v>
      </c>
    </row>
    <row r="25" spans="1:5" x14ac:dyDescent="0.25">
      <c r="A25" t="s">
        <v>1272</v>
      </c>
      <c r="B25" t="s">
        <v>107</v>
      </c>
      <c r="C25">
        <v>0.61453000000000002</v>
      </c>
      <c r="D25">
        <v>1.8232066410196901</v>
      </c>
      <c r="E25">
        <v>2.9668309781779407</v>
      </c>
    </row>
    <row r="26" spans="1:5" x14ac:dyDescent="0.25">
      <c r="A26" t="s">
        <v>1275</v>
      </c>
      <c r="B26" t="s">
        <v>111</v>
      </c>
      <c r="C26">
        <v>0.21279999999999999</v>
      </c>
      <c r="D26">
        <v>0.52516723838952095</v>
      </c>
      <c r="E26">
        <v>2.4678911578454934</v>
      </c>
    </row>
    <row r="27" spans="1:5" x14ac:dyDescent="0.25">
      <c r="A27" t="s">
        <v>1274</v>
      </c>
      <c r="B27" t="s">
        <v>109</v>
      </c>
      <c r="C27">
        <v>3.2326000000000001E-2</v>
      </c>
      <c r="D27">
        <v>8.4731192141692099E-2</v>
      </c>
      <c r="E27">
        <v>2.6211468211870352</v>
      </c>
    </row>
    <row r="28" spans="1:5" x14ac:dyDescent="0.25">
      <c r="A28" t="s">
        <v>1273</v>
      </c>
      <c r="B28" t="s">
        <v>108</v>
      </c>
      <c r="C28">
        <v>0.14053099999999999</v>
      </c>
      <c r="D28">
        <v>0.48119907324827499</v>
      </c>
      <c r="E28">
        <v>3.4241489297612273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5"/>
  <sheetViews>
    <sheetView topLeftCell="A256" workbookViewId="0">
      <selection activeCell="E13" sqref="E13"/>
    </sheetView>
  </sheetViews>
  <sheetFormatPr defaultRowHeight="15" x14ac:dyDescent="0.25"/>
  <cols>
    <col min="2" max="2" width="65" bestFit="1" customWidth="1"/>
    <col min="3" max="3" width="41.42578125" bestFit="1" customWidth="1"/>
    <col min="4" max="4" width="12" bestFit="1" customWidth="1"/>
  </cols>
  <sheetData>
    <row r="1" spans="1:7" x14ac:dyDescent="0.25">
      <c r="A1" s="1" t="s">
        <v>2</v>
      </c>
      <c r="B1" s="1" t="s">
        <v>1</v>
      </c>
      <c r="C1" s="1" t="s">
        <v>123</v>
      </c>
      <c r="D1" s="1" t="s">
        <v>124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85</v>
      </c>
      <c r="B2" t="s">
        <v>44</v>
      </c>
      <c r="C2" t="s">
        <v>44</v>
      </c>
      <c r="D2">
        <v>100</v>
      </c>
      <c r="E2">
        <v>59</v>
      </c>
      <c r="F2">
        <v>4</v>
      </c>
      <c r="G2">
        <v>9</v>
      </c>
    </row>
    <row r="3" spans="1:7" x14ac:dyDescent="0.25">
      <c r="A3" t="s">
        <v>85</v>
      </c>
      <c r="B3" t="s">
        <v>45</v>
      </c>
      <c r="C3" t="s">
        <v>45</v>
      </c>
      <c r="D3">
        <v>100</v>
      </c>
      <c r="E3">
        <v>36</v>
      </c>
      <c r="F3">
        <v>5</v>
      </c>
      <c r="G3">
        <v>11</v>
      </c>
    </row>
    <row r="4" spans="1:7" x14ac:dyDescent="0.25">
      <c r="A4" t="s">
        <v>85</v>
      </c>
      <c r="B4" t="s">
        <v>46</v>
      </c>
      <c r="C4" t="s">
        <v>113</v>
      </c>
      <c r="D4">
        <v>100</v>
      </c>
      <c r="E4">
        <v>115</v>
      </c>
      <c r="F4">
        <v>19</v>
      </c>
      <c r="G4">
        <v>39</v>
      </c>
    </row>
    <row r="5" spans="1:7" x14ac:dyDescent="0.25">
      <c r="A5" t="s">
        <v>85</v>
      </c>
      <c r="B5" t="s">
        <v>47</v>
      </c>
    </row>
    <row r="6" spans="1:7" x14ac:dyDescent="0.25">
      <c r="A6" t="s">
        <v>85</v>
      </c>
      <c r="B6" t="s">
        <v>48</v>
      </c>
    </row>
    <row r="7" spans="1:7" x14ac:dyDescent="0.25">
      <c r="A7" t="s">
        <v>85</v>
      </c>
      <c r="B7" t="s">
        <v>49</v>
      </c>
    </row>
    <row r="8" spans="1:7" x14ac:dyDescent="0.25">
      <c r="A8" t="s">
        <v>85</v>
      </c>
      <c r="B8" t="s">
        <v>50</v>
      </c>
      <c r="C8" t="s">
        <v>50</v>
      </c>
      <c r="D8">
        <v>100</v>
      </c>
      <c r="E8">
        <v>59</v>
      </c>
      <c r="F8">
        <v>4</v>
      </c>
      <c r="G8">
        <v>9</v>
      </c>
    </row>
    <row r="9" spans="1:7" x14ac:dyDescent="0.25">
      <c r="A9" t="s">
        <v>85</v>
      </c>
      <c r="B9" t="s">
        <v>51</v>
      </c>
    </row>
    <row r="10" spans="1:7" x14ac:dyDescent="0.25">
      <c r="A10" t="s">
        <v>85</v>
      </c>
      <c r="B10" t="s">
        <v>52</v>
      </c>
      <c r="C10" t="s">
        <v>52</v>
      </c>
      <c r="D10">
        <v>100</v>
      </c>
      <c r="E10">
        <v>88</v>
      </c>
      <c r="F10">
        <v>20</v>
      </c>
      <c r="G10">
        <v>49</v>
      </c>
    </row>
    <row r="11" spans="1:7" x14ac:dyDescent="0.25">
      <c r="A11" t="s">
        <v>85</v>
      </c>
      <c r="B11" t="s">
        <v>53</v>
      </c>
      <c r="C11" t="s">
        <v>114</v>
      </c>
      <c r="D11">
        <v>100</v>
      </c>
      <c r="E11">
        <v>118</v>
      </c>
      <c r="F11">
        <v>4</v>
      </c>
      <c r="G11">
        <v>12</v>
      </c>
    </row>
    <row r="12" spans="1:7" x14ac:dyDescent="0.25">
      <c r="A12" t="s">
        <v>86</v>
      </c>
      <c r="B12" t="s">
        <v>44</v>
      </c>
      <c r="C12" t="s">
        <v>44</v>
      </c>
      <c r="D12">
        <v>100</v>
      </c>
      <c r="E12">
        <v>130</v>
      </c>
      <c r="F12">
        <v>2</v>
      </c>
      <c r="G12">
        <v>22</v>
      </c>
    </row>
    <row r="13" spans="1:7" x14ac:dyDescent="0.25">
      <c r="A13" t="s">
        <v>86</v>
      </c>
      <c r="B13" t="s">
        <v>54</v>
      </c>
    </row>
    <row r="14" spans="1:7" x14ac:dyDescent="0.25">
      <c r="A14" t="s">
        <v>86</v>
      </c>
      <c r="B14" t="s">
        <v>55</v>
      </c>
      <c r="C14" t="s">
        <v>55</v>
      </c>
      <c r="D14">
        <v>100</v>
      </c>
      <c r="E14">
        <v>132</v>
      </c>
      <c r="F14">
        <v>17</v>
      </c>
      <c r="G14">
        <v>64</v>
      </c>
    </row>
    <row r="15" spans="1:7" x14ac:dyDescent="0.25">
      <c r="A15" t="s">
        <v>86</v>
      </c>
      <c r="B15" t="s">
        <v>46</v>
      </c>
      <c r="C15" t="s">
        <v>113</v>
      </c>
      <c r="D15">
        <v>100</v>
      </c>
      <c r="E15">
        <v>53</v>
      </c>
      <c r="F15">
        <v>7</v>
      </c>
      <c r="G15">
        <v>19</v>
      </c>
    </row>
    <row r="16" spans="1:7" x14ac:dyDescent="0.25">
      <c r="A16" t="s">
        <v>86</v>
      </c>
      <c r="B16" t="s">
        <v>48</v>
      </c>
    </row>
    <row r="17" spans="1:7" x14ac:dyDescent="0.25">
      <c r="A17" t="s">
        <v>86</v>
      </c>
      <c r="B17" t="s">
        <v>56</v>
      </c>
      <c r="C17" t="s">
        <v>115</v>
      </c>
      <c r="D17">
        <v>95.238095238095241</v>
      </c>
      <c r="E17">
        <v>135</v>
      </c>
      <c r="F17">
        <v>17</v>
      </c>
      <c r="G17">
        <v>65</v>
      </c>
    </row>
    <row r="18" spans="1:7" x14ac:dyDescent="0.25">
      <c r="A18" t="s">
        <v>86</v>
      </c>
      <c r="B18" t="s">
        <v>57</v>
      </c>
      <c r="C18" t="s">
        <v>57</v>
      </c>
      <c r="D18">
        <v>100</v>
      </c>
      <c r="E18">
        <v>183</v>
      </c>
      <c r="F18">
        <v>15</v>
      </c>
      <c r="G18">
        <v>133</v>
      </c>
    </row>
    <row r="19" spans="1:7" x14ac:dyDescent="0.25">
      <c r="A19" t="s">
        <v>86</v>
      </c>
      <c r="B19" t="s">
        <v>49</v>
      </c>
    </row>
    <row r="20" spans="1:7" x14ac:dyDescent="0.25">
      <c r="A20" t="s">
        <v>86</v>
      </c>
      <c r="B20" t="s">
        <v>52</v>
      </c>
      <c r="C20" t="s">
        <v>52</v>
      </c>
      <c r="D20">
        <v>100</v>
      </c>
      <c r="E20">
        <v>124</v>
      </c>
      <c r="F20">
        <v>12</v>
      </c>
      <c r="G20">
        <v>105</v>
      </c>
    </row>
    <row r="21" spans="1:7" x14ac:dyDescent="0.25">
      <c r="A21" t="s">
        <v>86</v>
      </c>
      <c r="B21" t="s">
        <v>53</v>
      </c>
      <c r="C21" t="s">
        <v>114</v>
      </c>
      <c r="D21">
        <v>100</v>
      </c>
      <c r="E21">
        <v>182</v>
      </c>
      <c r="F21">
        <v>3</v>
      </c>
      <c r="G21">
        <v>19</v>
      </c>
    </row>
    <row r="22" spans="1:7" x14ac:dyDescent="0.25">
      <c r="A22" t="s">
        <v>87</v>
      </c>
      <c r="B22" t="s">
        <v>44</v>
      </c>
      <c r="C22" t="s">
        <v>44</v>
      </c>
      <c r="D22">
        <v>100</v>
      </c>
      <c r="E22">
        <v>15</v>
      </c>
      <c r="F22">
        <v>5</v>
      </c>
      <c r="G22">
        <v>1</v>
      </c>
    </row>
    <row r="23" spans="1:7" x14ac:dyDescent="0.25">
      <c r="A23" t="s">
        <v>87</v>
      </c>
      <c r="B23" t="s">
        <v>45</v>
      </c>
      <c r="C23" t="s">
        <v>45</v>
      </c>
      <c r="D23">
        <v>100</v>
      </c>
      <c r="E23">
        <v>15</v>
      </c>
      <c r="F23">
        <v>5</v>
      </c>
      <c r="G23">
        <v>1</v>
      </c>
    </row>
    <row r="24" spans="1:7" x14ac:dyDescent="0.25">
      <c r="A24" t="s">
        <v>87</v>
      </c>
      <c r="B24" t="s">
        <v>46</v>
      </c>
      <c r="C24" t="s">
        <v>113</v>
      </c>
      <c r="D24">
        <v>100</v>
      </c>
      <c r="E24">
        <v>125</v>
      </c>
      <c r="F24">
        <v>7</v>
      </c>
      <c r="G24">
        <v>12</v>
      </c>
    </row>
    <row r="25" spans="1:7" x14ac:dyDescent="0.25">
      <c r="A25" t="s">
        <v>87</v>
      </c>
      <c r="B25" t="s">
        <v>48</v>
      </c>
    </row>
    <row r="26" spans="1:7" x14ac:dyDescent="0.25">
      <c r="A26" t="s">
        <v>87</v>
      </c>
      <c r="B26" t="s">
        <v>58</v>
      </c>
    </row>
    <row r="27" spans="1:7" x14ac:dyDescent="0.25">
      <c r="A27" t="s">
        <v>87</v>
      </c>
      <c r="B27" t="s">
        <v>59</v>
      </c>
      <c r="C27" t="s">
        <v>116</v>
      </c>
      <c r="D27">
        <v>94.117647058823536</v>
      </c>
      <c r="E27">
        <v>10</v>
      </c>
      <c r="F27">
        <v>4</v>
      </c>
      <c r="G27">
        <v>5</v>
      </c>
    </row>
    <row r="28" spans="1:7" x14ac:dyDescent="0.25">
      <c r="A28" t="s">
        <v>87</v>
      </c>
      <c r="B28" t="s">
        <v>57</v>
      </c>
      <c r="C28" t="s">
        <v>57</v>
      </c>
      <c r="D28">
        <v>100</v>
      </c>
      <c r="E28">
        <v>278</v>
      </c>
      <c r="F28">
        <v>82</v>
      </c>
      <c r="G28">
        <v>139</v>
      </c>
    </row>
    <row r="29" spans="1:7" x14ac:dyDescent="0.25">
      <c r="A29" t="s">
        <v>87</v>
      </c>
      <c r="B29" t="s">
        <v>49</v>
      </c>
    </row>
    <row r="30" spans="1:7" x14ac:dyDescent="0.25">
      <c r="A30" t="s">
        <v>87</v>
      </c>
      <c r="B30" t="s">
        <v>60</v>
      </c>
      <c r="C30" t="s">
        <v>60</v>
      </c>
      <c r="D30">
        <v>100</v>
      </c>
      <c r="E30">
        <v>20</v>
      </c>
      <c r="F30">
        <v>5</v>
      </c>
      <c r="G30">
        <v>1</v>
      </c>
    </row>
    <row r="31" spans="1:7" x14ac:dyDescent="0.25">
      <c r="A31" t="s">
        <v>87</v>
      </c>
      <c r="B31" t="s">
        <v>53</v>
      </c>
      <c r="C31" t="s">
        <v>114</v>
      </c>
      <c r="D31">
        <v>100</v>
      </c>
      <c r="E31">
        <v>119</v>
      </c>
      <c r="F31">
        <v>10</v>
      </c>
      <c r="G31">
        <v>7</v>
      </c>
    </row>
    <row r="32" spans="1:7" x14ac:dyDescent="0.25">
      <c r="A32" t="s">
        <v>88</v>
      </c>
      <c r="B32" t="s">
        <v>44</v>
      </c>
      <c r="C32" t="s">
        <v>44</v>
      </c>
      <c r="D32">
        <v>100</v>
      </c>
      <c r="E32">
        <v>66</v>
      </c>
      <c r="F32">
        <v>5</v>
      </c>
      <c r="G32">
        <v>12</v>
      </c>
    </row>
    <row r="33" spans="1:7" x14ac:dyDescent="0.25">
      <c r="A33" t="s">
        <v>88</v>
      </c>
      <c r="B33" t="s">
        <v>61</v>
      </c>
    </row>
    <row r="34" spans="1:7" x14ac:dyDescent="0.25">
      <c r="A34" t="s">
        <v>88</v>
      </c>
      <c r="B34" t="s">
        <v>45</v>
      </c>
      <c r="C34" t="s">
        <v>45</v>
      </c>
      <c r="D34">
        <v>100</v>
      </c>
      <c r="E34">
        <v>36</v>
      </c>
      <c r="F34">
        <v>16</v>
      </c>
      <c r="G34">
        <v>38</v>
      </c>
    </row>
    <row r="35" spans="1:7" x14ac:dyDescent="0.25">
      <c r="A35" t="s">
        <v>88</v>
      </c>
      <c r="B35" t="s">
        <v>46</v>
      </c>
      <c r="C35" t="s">
        <v>113</v>
      </c>
      <c r="D35">
        <v>100</v>
      </c>
      <c r="E35">
        <v>135</v>
      </c>
      <c r="F35">
        <v>12</v>
      </c>
      <c r="G35">
        <v>21</v>
      </c>
    </row>
    <row r="36" spans="1:7" x14ac:dyDescent="0.25">
      <c r="A36" t="s">
        <v>88</v>
      </c>
      <c r="B36" t="s">
        <v>62</v>
      </c>
      <c r="C36" t="s">
        <v>62</v>
      </c>
      <c r="D36">
        <v>100</v>
      </c>
      <c r="E36">
        <v>54</v>
      </c>
      <c r="F36">
        <v>16</v>
      </c>
      <c r="G36">
        <v>45</v>
      </c>
    </row>
    <row r="37" spans="1:7" x14ac:dyDescent="0.25">
      <c r="A37" t="s">
        <v>88</v>
      </c>
      <c r="B37" t="s">
        <v>48</v>
      </c>
    </row>
    <row r="38" spans="1:7" x14ac:dyDescent="0.25">
      <c r="A38" t="s">
        <v>88</v>
      </c>
      <c r="B38" t="s">
        <v>49</v>
      </c>
    </row>
    <row r="39" spans="1:7" x14ac:dyDescent="0.25">
      <c r="A39" t="s">
        <v>88</v>
      </c>
      <c r="B39" t="s">
        <v>51</v>
      </c>
    </row>
    <row r="40" spans="1:7" x14ac:dyDescent="0.25">
      <c r="A40" t="s">
        <v>88</v>
      </c>
      <c r="B40" t="s">
        <v>60</v>
      </c>
      <c r="C40" t="s">
        <v>60</v>
      </c>
      <c r="D40">
        <v>100</v>
      </c>
      <c r="E40">
        <v>54</v>
      </c>
      <c r="F40">
        <v>16</v>
      </c>
      <c r="G40">
        <v>44</v>
      </c>
    </row>
    <row r="41" spans="1:7" x14ac:dyDescent="0.25">
      <c r="A41" t="s">
        <v>88</v>
      </c>
      <c r="B41" t="s">
        <v>53</v>
      </c>
      <c r="C41" t="s">
        <v>114</v>
      </c>
      <c r="D41">
        <v>100</v>
      </c>
      <c r="E41">
        <v>123</v>
      </c>
      <c r="F41">
        <v>11</v>
      </c>
      <c r="G41">
        <v>21</v>
      </c>
    </row>
    <row r="42" spans="1:7" x14ac:dyDescent="0.25">
      <c r="A42" t="s">
        <v>89</v>
      </c>
      <c r="B42" t="s">
        <v>63</v>
      </c>
    </row>
    <row r="43" spans="1:7" x14ac:dyDescent="0.25">
      <c r="A43" t="s">
        <v>89</v>
      </c>
      <c r="B43" t="s">
        <v>44</v>
      </c>
      <c r="C43" t="s">
        <v>44</v>
      </c>
      <c r="D43">
        <v>100</v>
      </c>
      <c r="E43">
        <v>50</v>
      </c>
      <c r="F43">
        <v>14</v>
      </c>
      <c r="G43">
        <v>6</v>
      </c>
    </row>
    <row r="44" spans="1:7" x14ac:dyDescent="0.25">
      <c r="A44" t="s">
        <v>89</v>
      </c>
      <c r="B44" t="s">
        <v>45</v>
      </c>
      <c r="C44" t="s">
        <v>45</v>
      </c>
      <c r="D44">
        <v>100</v>
      </c>
      <c r="E44">
        <v>55</v>
      </c>
      <c r="F44">
        <v>14</v>
      </c>
      <c r="G44">
        <v>6</v>
      </c>
    </row>
    <row r="45" spans="1:7" x14ac:dyDescent="0.25">
      <c r="A45" t="s">
        <v>89</v>
      </c>
      <c r="B45" t="s">
        <v>64</v>
      </c>
      <c r="C45" t="s">
        <v>64</v>
      </c>
      <c r="D45">
        <v>100</v>
      </c>
      <c r="E45">
        <v>54</v>
      </c>
      <c r="F45">
        <v>14</v>
      </c>
      <c r="G45">
        <v>6</v>
      </c>
    </row>
    <row r="46" spans="1:7" x14ac:dyDescent="0.25">
      <c r="A46" t="s">
        <v>89</v>
      </c>
      <c r="B46" t="s">
        <v>62</v>
      </c>
      <c r="C46" t="s">
        <v>62</v>
      </c>
      <c r="D46">
        <v>100</v>
      </c>
      <c r="E46">
        <v>222</v>
      </c>
      <c r="F46">
        <v>103</v>
      </c>
      <c r="G46">
        <v>0</v>
      </c>
    </row>
    <row r="47" spans="1:7" x14ac:dyDescent="0.25">
      <c r="A47" t="s">
        <v>89</v>
      </c>
      <c r="B47" t="s">
        <v>65</v>
      </c>
      <c r="C47" t="s">
        <v>65</v>
      </c>
      <c r="D47">
        <v>100</v>
      </c>
      <c r="E47">
        <v>55</v>
      </c>
      <c r="F47">
        <v>14</v>
      </c>
      <c r="G47">
        <v>6</v>
      </c>
    </row>
    <row r="48" spans="1:7" x14ac:dyDescent="0.25">
      <c r="A48" t="s">
        <v>89</v>
      </c>
      <c r="B48" t="s">
        <v>48</v>
      </c>
    </row>
    <row r="49" spans="1:7" x14ac:dyDescent="0.25">
      <c r="A49" t="s">
        <v>89</v>
      </c>
      <c r="B49" t="s">
        <v>57</v>
      </c>
      <c r="C49" t="s">
        <v>57</v>
      </c>
      <c r="D49">
        <v>100</v>
      </c>
      <c r="E49">
        <v>297</v>
      </c>
      <c r="F49">
        <v>82</v>
      </c>
      <c r="G49">
        <v>6</v>
      </c>
    </row>
    <row r="50" spans="1:7" x14ac:dyDescent="0.25">
      <c r="A50" t="s">
        <v>89</v>
      </c>
      <c r="B50" t="s">
        <v>66</v>
      </c>
      <c r="C50" t="s">
        <v>117</v>
      </c>
      <c r="D50">
        <v>85.333333333333329</v>
      </c>
      <c r="E50">
        <v>56</v>
      </c>
      <c r="F50">
        <v>14</v>
      </c>
      <c r="G50">
        <v>6</v>
      </c>
    </row>
    <row r="51" spans="1:7" x14ac:dyDescent="0.25">
      <c r="A51" t="s">
        <v>89</v>
      </c>
      <c r="B51" t="s">
        <v>53</v>
      </c>
      <c r="C51" t="s">
        <v>114</v>
      </c>
      <c r="D51">
        <v>100</v>
      </c>
      <c r="E51">
        <v>60</v>
      </c>
      <c r="F51">
        <v>11</v>
      </c>
      <c r="G51">
        <v>27</v>
      </c>
    </row>
    <row r="52" spans="1:7" x14ac:dyDescent="0.25">
      <c r="A52" t="s">
        <v>90</v>
      </c>
      <c r="B52" t="s">
        <v>44</v>
      </c>
      <c r="C52" t="s">
        <v>44</v>
      </c>
      <c r="D52">
        <v>100</v>
      </c>
      <c r="E52">
        <v>95</v>
      </c>
      <c r="F52">
        <v>6</v>
      </c>
      <c r="G52">
        <v>8</v>
      </c>
    </row>
    <row r="53" spans="1:7" x14ac:dyDescent="0.25">
      <c r="A53" t="s">
        <v>90</v>
      </c>
      <c r="B53" t="s">
        <v>46</v>
      </c>
      <c r="C53" t="s">
        <v>113</v>
      </c>
      <c r="D53">
        <v>100</v>
      </c>
      <c r="E53">
        <v>175</v>
      </c>
      <c r="F53">
        <v>9</v>
      </c>
      <c r="G53">
        <v>12</v>
      </c>
    </row>
    <row r="54" spans="1:7" x14ac:dyDescent="0.25">
      <c r="A54" t="s">
        <v>90</v>
      </c>
      <c r="B54" t="s">
        <v>67</v>
      </c>
      <c r="C54" t="s">
        <v>67</v>
      </c>
      <c r="D54">
        <v>100</v>
      </c>
      <c r="E54">
        <v>93</v>
      </c>
      <c r="F54">
        <v>6</v>
      </c>
      <c r="G54">
        <v>8</v>
      </c>
    </row>
    <row r="55" spans="1:7" x14ac:dyDescent="0.25">
      <c r="A55" t="s">
        <v>90</v>
      </c>
      <c r="B55" t="s">
        <v>48</v>
      </c>
    </row>
    <row r="56" spans="1:7" x14ac:dyDescent="0.25">
      <c r="A56" t="s">
        <v>90</v>
      </c>
      <c r="B56" t="s">
        <v>68</v>
      </c>
    </row>
    <row r="57" spans="1:7" x14ac:dyDescent="0.25">
      <c r="A57" t="s">
        <v>90</v>
      </c>
      <c r="B57" t="s">
        <v>59</v>
      </c>
      <c r="C57" t="s">
        <v>116</v>
      </c>
      <c r="D57">
        <v>94.117647058823536</v>
      </c>
      <c r="E57">
        <v>42</v>
      </c>
      <c r="F57">
        <v>3</v>
      </c>
      <c r="G57">
        <v>4</v>
      </c>
    </row>
    <row r="58" spans="1:7" x14ac:dyDescent="0.25">
      <c r="A58" t="s">
        <v>90</v>
      </c>
      <c r="B58" t="s">
        <v>49</v>
      </c>
    </row>
    <row r="59" spans="1:7" x14ac:dyDescent="0.25">
      <c r="A59" t="s">
        <v>90</v>
      </c>
      <c r="B59" t="s">
        <v>50</v>
      </c>
      <c r="C59" t="s">
        <v>50</v>
      </c>
      <c r="D59">
        <v>100</v>
      </c>
      <c r="E59">
        <v>93</v>
      </c>
      <c r="F59">
        <v>6</v>
      </c>
      <c r="G59">
        <v>8</v>
      </c>
    </row>
    <row r="60" spans="1:7" x14ac:dyDescent="0.25">
      <c r="A60" t="s">
        <v>90</v>
      </c>
      <c r="B60" t="s">
        <v>52</v>
      </c>
      <c r="C60" t="s">
        <v>52</v>
      </c>
      <c r="D60">
        <v>100</v>
      </c>
      <c r="E60">
        <v>163</v>
      </c>
      <c r="F60">
        <v>13</v>
      </c>
      <c r="G60">
        <v>28</v>
      </c>
    </row>
    <row r="61" spans="1:7" x14ac:dyDescent="0.25">
      <c r="A61" t="s">
        <v>90</v>
      </c>
      <c r="B61" t="s">
        <v>53</v>
      </c>
      <c r="C61" t="s">
        <v>114</v>
      </c>
      <c r="D61">
        <v>100</v>
      </c>
      <c r="E61">
        <v>180</v>
      </c>
      <c r="F61">
        <v>10</v>
      </c>
      <c r="G61">
        <v>8</v>
      </c>
    </row>
    <row r="62" spans="1:7" x14ac:dyDescent="0.25">
      <c r="A62" t="s">
        <v>91</v>
      </c>
      <c r="B62" t="s">
        <v>44</v>
      </c>
      <c r="C62" t="s">
        <v>44</v>
      </c>
      <c r="D62">
        <v>100</v>
      </c>
      <c r="E62">
        <v>95</v>
      </c>
      <c r="F62">
        <v>7</v>
      </c>
      <c r="G62">
        <v>28</v>
      </c>
    </row>
    <row r="63" spans="1:7" x14ac:dyDescent="0.25">
      <c r="A63" t="s">
        <v>91</v>
      </c>
      <c r="B63" t="s">
        <v>69</v>
      </c>
      <c r="C63" t="s">
        <v>118</v>
      </c>
      <c r="D63">
        <v>100</v>
      </c>
      <c r="E63">
        <v>0</v>
      </c>
      <c r="F63">
        <v>8</v>
      </c>
      <c r="G63">
        <v>23</v>
      </c>
    </row>
    <row r="64" spans="1:7" x14ac:dyDescent="0.25">
      <c r="A64" t="s">
        <v>91</v>
      </c>
      <c r="B64" t="s">
        <v>70</v>
      </c>
      <c r="C64" t="s">
        <v>119</v>
      </c>
      <c r="D64">
        <v>100</v>
      </c>
      <c r="E64">
        <v>92</v>
      </c>
      <c r="F64">
        <v>7</v>
      </c>
      <c r="G64">
        <v>28</v>
      </c>
    </row>
    <row r="65" spans="1:7" x14ac:dyDescent="0.25">
      <c r="A65" t="s">
        <v>91</v>
      </c>
      <c r="B65" t="s">
        <v>67</v>
      </c>
      <c r="C65" t="s">
        <v>67</v>
      </c>
      <c r="D65">
        <v>100</v>
      </c>
      <c r="E65">
        <v>95</v>
      </c>
      <c r="F65">
        <v>7</v>
      </c>
      <c r="G65">
        <v>29</v>
      </c>
    </row>
    <row r="66" spans="1:7" x14ac:dyDescent="0.25">
      <c r="A66" t="s">
        <v>91</v>
      </c>
      <c r="B66" t="s">
        <v>48</v>
      </c>
    </row>
    <row r="67" spans="1:7" x14ac:dyDescent="0.25">
      <c r="A67" t="s">
        <v>91</v>
      </c>
      <c r="B67" t="s">
        <v>57</v>
      </c>
      <c r="C67" t="s">
        <v>57</v>
      </c>
      <c r="D67">
        <v>100</v>
      </c>
      <c r="E67">
        <v>125</v>
      </c>
      <c r="F67">
        <v>20</v>
      </c>
      <c r="G67">
        <v>71</v>
      </c>
    </row>
    <row r="68" spans="1:7" x14ac:dyDescent="0.25">
      <c r="A68" t="s">
        <v>91</v>
      </c>
      <c r="B68" t="s">
        <v>49</v>
      </c>
    </row>
    <row r="69" spans="1:7" x14ac:dyDescent="0.25">
      <c r="A69" t="s">
        <v>91</v>
      </c>
      <c r="B69" t="s">
        <v>50</v>
      </c>
      <c r="C69" t="s">
        <v>50</v>
      </c>
      <c r="D69">
        <v>100</v>
      </c>
      <c r="E69">
        <v>93</v>
      </c>
      <c r="F69">
        <v>7</v>
      </c>
      <c r="G69">
        <v>28</v>
      </c>
    </row>
    <row r="70" spans="1:7" x14ac:dyDescent="0.25">
      <c r="A70" t="s">
        <v>91</v>
      </c>
      <c r="B70" t="s">
        <v>52</v>
      </c>
      <c r="C70" t="s">
        <v>52</v>
      </c>
      <c r="D70">
        <v>100</v>
      </c>
      <c r="E70">
        <v>112</v>
      </c>
      <c r="F70">
        <v>11</v>
      </c>
      <c r="G70">
        <v>45</v>
      </c>
    </row>
    <row r="71" spans="1:7" x14ac:dyDescent="0.25">
      <c r="A71" t="s">
        <v>91</v>
      </c>
      <c r="B71" t="s">
        <v>53</v>
      </c>
      <c r="C71" t="s">
        <v>114</v>
      </c>
      <c r="D71">
        <v>100</v>
      </c>
      <c r="E71">
        <v>141</v>
      </c>
      <c r="F71">
        <v>8</v>
      </c>
      <c r="G71">
        <v>30</v>
      </c>
    </row>
    <row r="72" spans="1:7" x14ac:dyDescent="0.25">
      <c r="A72" t="s">
        <v>92</v>
      </c>
      <c r="B72" t="s">
        <v>44</v>
      </c>
      <c r="C72" t="s">
        <v>44</v>
      </c>
      <c r="D72">
        <v>100</v>
      </c>
      <c r="E72">
        <v>27</v>
      </c>
      <c r="F72">
        <v>1</v>
      </c>
      <c r="G72">
        <v>2</v>
      </c>
    </row>
    <row r="73" spans="1:7" x14ac:dyDescent="0.25">
      <c r="A73" t="s">
        <v>92</v>
      </c>
      <c r="B73" t="s">
        <v>69</v>
      </c>
      <c r="C73" t="s">
        <v>118</v>
      </c>
      <c r="D73">
        <v>100</v>
      </c>
      <c r="E73">
        <v>37</v>
      </c>
      <c r="F73">
        <v>14</v>
      </c>
      <c r="G73">
        <v>11</v>
      </c>
    </row>
    <row r="74" spans="1:7" x14ac:dyDescent="0.25">
      <c r="A74" t="s">
        <v>92</v>
      </c>
      <c r="B74" t="s">
        <v>67</v>
      </c>
      <c r="C74" t="s">
        <v>67</v>
      </c>
      <c r="D74">
        <v>100</v>
      </c>
      <c r="E74">
        <v>27</v>
      </c>
      <c r="F74">
        <v>1</v>
      </c>
      <c r="G74">
        <v>2</v>
      </c>
    </row>
    <row r="75" spans="1:7" x14ac:dyDescent="0.25">
      <c r="A75" t="s">
        <v>92</v>
      </c>
      <c r="B75" t="s">
        <v>48</v>
      </c>
    </row>
    <row r="76" spans="1:7" x14ac:dyDescent="0.25">
      <c r="A76" t="s">
        <v>92</v>
      </c>
      <c r="B76" t="s">
        <v>68</v>
      </c>
    </row>
    <row r="77" spans="1:7" x14ac:dyDescent="0.25">
      <c r="A77" t="s">
        <v>92</v>
      </c>
      <c r="B77" t="s">
        <v>59</v>
      </c>
      <c r="C77" t="s">
        <v>116</v>
      </c>
      <c r="D77">
        <v>94.117647058823536</v>
      </c>
      <c r="E77">
        <v>36</v>
      </c>
      <c r="F77">
        <v>13</v>
      </c>
      <c r="G77">
        <v>11</v>
      </c>
    </row>
    <row r="78" spans="1:7" x14ac:dyDescent="0.25">
      <c r="A78" t="s">
        <v>92</v>
      </c>
      <c r="B78" t="s">
        <v>57</v>
      </c>
      <c r="C78" t="s">
        <v>57</v>
      </c>
      <c r="D78">
        <v>100</v>
      </c>
      <c r="E78">
        <v>27</v>
      </c>
      <c r="F78">
        <v>1</v>
      </c>
      <c r="G78">
        <v>2</v>
      </c>
    </row>
    <row r="79" spans="1:7" x14ac:dyDescent="0.25">
      <c r="A79" t="s">
        <v>92</v>
      </c>
      <c r="B79" t="s">
        <v>49</v>
      </c>
    </row>
    <row r="80" spans="1:7" x14ac:dyDescent="0.25">
      <c r="A80" t="s">
        <v>92</v>
      </c>
      <c r="B80" t="s">
        <v>50</v>
      </c>
      <c r="C80" t="s">
        <v>50</v>
      </c>
      <c r="D80">
        <v>100</v>
      </c>
      <c r="E80">
        <v>26</v>
      </c>
      <c r="F80">
        <v>1</v>
      </c>
      <c r="G80">
        <v>2</v>
      </c>
    </row>
    <row r="81" spans="1:7" x14ac:dyDescent="0.25">
      <c r="A81" t="s">
        <v>92</v>
      </c>
      <c r="B81" t="s">
        <v>53</v>
      </c>
      <c r="C81" t="s">
        <v>114</v>
      </c>
      <c r="D81">
        <v>100</v>
      </c>
      <c r="E81">
        <v>136</v>
      </c>
      <c r="F81">
        <v>11</v>
      </c>
      <c r="G81">
        <v>31</v>
      </c>
    </row>
    <row r="82" spans="1:7" x14ac:dyDescent="0.25">
      <c r="A82" t="s">
        <v>93</v>
      </c>
      <c r="B82" t="s">
        <v>44</v>
      </c>
      <c r="C82" t="s">
        <v>44</v>
      </c>
      <c r="D82">
        <v>100</v>
      </c>
      <c r="E82">
        <v>111</v>
      </c>
      <c r="F82">
        <v>1</v>
      </c>
      <c r="G82">
        <v>2</v>
      </c>
    </row>
    <row r="83" spans="1:7" x14ac:dyDescent="0.25">
      <c r="A83" t="s">
        <v>93</v>
      </c>
      <c r="B83" t="s">
        <v>69</v>
      </c>
      <c r="C83" t="s">
        <v>118</v>
      </c>
      <c r="D83">
        <v>100</v>
      </c>
      <c r="E83">
        <v>40</v>
      </c>
      <c r="F83">
        <v>10</v>
      </c>
      <c r="G83">
        <v>17</v>
      </c>
    </row>
    <row r="84" spans="1:7" x14ac:dyDescent="0.25">
      <c r="A84" t="s">
        <v>93</v>
      </c>
      <c r="B84" t="s">
        <v>70</v>
      </c>
      <c r="C84" t="s">
        <v>119</v>
      </c>
      <c r="D84">
        <v>100</v>
      </c>
      <c r="E84">
        <v>110</v>
      </c>
      <c r="F84">
        <v>1</v>
      </c>
      <c r="G84">
        <v>2</v>
      </c>
    </row>
    <row r="85" spans="1:7" x14ac:dyDescent="0.25">
      <c r="A85" t="s">
        <v>93</v>
      </c>
      <c r="B85" t="s">
        <v>67</v>
      </c>
      <c r="C85" t="s">
        <v>67</v>
      </c>
      <c r="D85">
        <v>100</v>
      </c>
      <c r="E85">
        <v>110</v>
      </c>
      <c r="F85">
        <v>1</v>
      </c>
      <c r="G85">
        <v>2</v>
      </c>
    </row>
    <row r="86" spans="1:7" x14ac:dyDescent="0.25">
      <c r="A86" t="s">
        <v>93</v>
      </c>
      <c r="B86" t="s">
        <v>48</v>
      </c>
    </row>
    <row r="87" spans="1:7" x14ac:dyDescent="0.25">
      <c r="A87" t="s">
        <v>93</v>
      </c>
      <c r="B87" t="s">
        <v>57</v>
      </c>
      <c r="C87" t="s">
        <v>57</v>
      </c>
      <c r="D87">
        <v>100</v>
      </c>
      <c r="E87">
        <v>70</v>
      </c>
      <c r="F87">
        <v>29</v>
      </c>
      <c r="G87">
        <v>60</v>
      </c>
    </row>
    <row r="88" spans="1:7" x14ac:dyDescent="0.25">
      <c r="A88" t="s">
        <v>93</v>
      </c>
      <c r="B88" t="s">
        <v>49</v>
      </c>
    </row>
    <row r="89" spans="1:7" x14ac:dyDescent="0.25">
      <c r="A89" t="s">
        <v>93</v>
      </c>
      <c r="B89" t="s">
        <v>50</v>
      </c>
      <c r="C89" t="s">
        <v>50</v>
      </c>
      <c r="D89">
        <v>100</v>
      </c>
      <c r="E89">
        <v>111</v>
      </c>
      <c r="F89">
        <v>1</v>
      </c>
      <c r="G89">
        <v>2</v>
      </c>
    </row>
    <row r="90" spans="1:7" x14ac:dyDescent="0.25">
      <c r="A90" t="s">
        <v>93</v>
      </c>
      <c r="B90" t="s">
        <v>71</v>
      </c>
      <c r="C90" t="s">
        <v>71</v>
      </c>
      <c r="D90">
        <v>100</v>
      </c>
      <c r="E90">
        <v>33</v>
      </c>
      <c r="F90">
        <v>7</v>
      </c>
      <c r="G90">
        <v>51</v>
      </c>
    </row>
    <row r="91" spans="1:7" x14ac:dyDescent="0.25">
      <c r="A91" t="s">
        <v>93</v>
      </c>
      <c r="B91" t="s">
        <v>53</v>
      </c>
      <c r="C91" t="s">
        <v>114</v>
      </c>
      <c r="D91">
        <v>100</v>
      </c>
      <c r="E91">
        <v>93</v>
      </c>
      <c r="F91">
        <v>2</v>
      </c>
      <c r="G91">
        <v>3</v>
      </c>
    </row>
    <row r="92" spans="1:7" x14ac:dyDescent="0.25">
      <c r="A92" t="s">
        <v>94</v>
      </c>
      <c r="B92" t="s">
        <v>44</v>
      </c>
      <c r="C92" t="s">
        <v>44</v>
      </c>
      <c r="D92">
        <v>100</v>
      </c>
      <c r="E92">
        <v>6</v>
      </c>
      <c r="F92">
        <v>9</v>
      </c>
      <c r="G92">
        <v>17</v>
      </c>
    </row>
    <row r="93" spans="1:7" x14ac:dyDescent="0.25">
      <c r="A93" t="s">
        <v>94</v>
      </c>
      <c r="B93" t="s">
        <v>45</v>
      </c>
      <c r="C93" t="s">
        <v>45</v>
      </c>
      <c r="D93">
        <v>100</v>
      </c>
      <c r="E93">
        <v>33</v>
      </c>
      <c r="F93">
        <v>7</v>
      </c>
      <c r="G93">
        <v>21</v>
      </c>
    </row>
    <row r="94" spans="1:7" x14ac:dyDescent="0.25">
      <c r="A94" t="s">
        <v>94</v>
      </c>
      <c r="B94" t="s">
        <v>46</v>
      </c>
      <c r="C94" t="s">
        <v>113</v>
      </c>
      <c r="D94">
        <v>100</v>
      </c>
      <c r="E94">
        <v>152</v>
      </c>
      <c r="F94">
        <v>16</v>
      </c>
      <c r="G94">
        <v>30</v>
      </c>
    </row>
    <row r="95" spans="1:7" x14ac:dyDescent="0.25">
      <c r="A95" t="s">
        <v>94</v>
      </c>
      <c r="B95" t="s">
        <v>48</v>
      </c>
    </row>
    <row r="96" spans="1:7" x14ac:dyDescent="0.25">
      <c r="A96" t="s">
        <v>94</v>
      </c>
      <c r="B96" t="s">
        <v>59</v>
      </c>
      <c r="C96" t="s">
        <v>116</v>
      </c>
      <c r="D96">
        <v>94.117647058823536</v>
      </c>
      <c r="E96">
        <v>6</v>
      </c>
      <c r="F96">
        <v>18</v>
      </c>
      <c r="G96">
        <v>32</v>
      </c>
    </row>
    <row r="97" spans="1:7" x14ac:dyDescent="0.25">
      <c r="A97" t="s">
        <v>94</v>
      </c>
      <c r="B97" t="s">
        <v>57</v>
      </c>
      <c r="C97" t="s">
        <v>57</v>
      </c>
      <c r="D97">
        <v>100</v>
      </c>
      <c r="E97">
        <v>62</v>
      </c>
      <c r="F97">
        <v>15</v>
      </c>
      <c r="G97">
        <v>42</v>
      </c>
    </row>
    <row r="98" spans="1:7" x14ac:dyDescent="0.25">
      <c r="A98" t="s">
        <v>94</v>
      </c>
      <c r="B98" t="s">
        <v>49</v>
      </c>
    </row>
    <row r="99" spans="1:7" x14ac:dyDescent="0.25">
      <c r="A99" t="s">
        <v>94</v>
      </c>
      <c r="B99" t="s">
        <v>52</v>
      </c>
      <c r="C99" t="s">
        <v>52</v>
      </c>
      <c r="D99">
        <v>100</v>
      </c>
      <c r="E99">
        <v>104</v>
      </c>
      <c r="F99">
        <v>22</v>
      </c>
      <c r="G99">
        <v>64</v>
      </c>
    </row>
    <row r="100" spans="1:7" x14ac:dyDescent="0.25">
      <c r="A100" t="s">
        <v>94</v>
      </c>
      <c r="B100" t="s">
        <v>60</v>
      </c>
      <c r="C100" t="s">
        <v>60</v>
      </c>
      <c r="D100">
        <v>100</v>
      </c>
      <c r="E100">
        <v>57</v>
      </c>
      <c r="F100">
        <v>15</v>
      </c>
      <c r="G100">
        <v>35</v>
      </c>
    </row>
    <row r="101" spans="1:7" x14ac:dyDescent="0.25">
      <c r="A101" t="s">
        <v>94</v>
      </c>
      <c r="B101" t="s">
        <v>53</v>
      </c>
      <c r="C101" t="s">
        <v>114</v>
      </c>
      <c r="D101">
        <v>100</v>
      </c>
      <c r="E101">
        <v>172</v>
      </c>
      <c r="F101">
        <v>8</v>
      </c>
      <c r="G101">
        <v>14</v>
      </c>
    </row>
    <row r="102" spans="1:7" x14ac:dyDescent="0.25">
      <c r="A102" t="s">
        <v>95</v>
      </c>
      <c r="B102" t="s">
        <v>44</v>
      </c>
      <c r="C102" t="s">
        <v>44</v>
      </c>
      <c r="D102">
        <v>100</v>
      </c>
      <c r="E102">
        <v>92</v>
      </c>
      <c r="F102">
        <v>5</v>
      </c>
      <c r="G102">
        <v>14</v>
      </c>
    </row>
    <row r="103" spans="1:7" x14ac:dyDescent="0.25">
      <c r="A103" t="s">
        <v>95</v>
      </c>
      <c r="B103" t="s">
        <v>45</v>
      </c>
      <c r="C103" t="s">
        <v>45</v>
      </c>
      <c r="D103">
        <v>100</v>
      </c>
      <c r="E103">
        <v>41</v>
      </c>
      <c r="F103">
        <v>3</v>
      </c>
      <c r="G103">
        <v>48</v>
      </c>
    </row>
    <row r="104" spans="1:7" x14ac:dyDescent="0.25">
      <c r="A104" t="s">
        <v>95</v>
      </c>
      <c r="B104" t="s">
        <v>46</v>
      </c>
      <c r="C104" t="s">
        <v>113</v>
      </c>
      <c r="D104">
        <v>100</v>
      </c>
      <c r="E104">
        <v>116</v>
      </c>
      <c r="F104">
        <v>17</v>
      </c>
      <c r="G104">
        <v>43</v>
      </c>
    </row>
    <row r="105" spans="1:7" x14ac:dyDescent="0.25">
      <c r="A105" t="s">
        <v>95</v>
      </c>
      <c r="B105" t="s">
        <v>67</v>
      </c>
      <c r="C105" t="s">
        <v>67</v>
      </c>
      <c r="D105">
        <v>100</v>
      </c>
      <c r="E105">
        <v>90</v>
      </c>
      <c r="F105">
        <v>5</v>
      </c>
      <c r="G105">
        <v>14</v>
      </c>
    </row>
    <row r="106" spans="1:7" x14ac:dyDescent="0.25">
      <c r="A106" t="s">
        <v>95</v>
      </c>
      <c r="B106" t="s">
        <v>48</v>
      </c>
    </row>
    <row r="107" spans="1:7" x14ac:dyDescent="0.25">
      <c r="A107" t="s">
        <v>95</v>
      </c>
      <c r="B107" t="s">
        <v>57</v>
      </c>
      <c r="C107" t="s">
        <v>57</v>
      </c>
      <c r="D107">
        <v>100</v>
      </c>
      <c r="E107">
        <v>115</v>
      </c>
      <c r="F107">
        <v>29</v>
      </c>
      <c r="G107">
        <v>135</v>
      </c>
    </row>
    <row r="108" spans="1:7" x14ac:dyDescent="0.25">
      <c r="A108" t="s">
        <v>95</v>
      </c>
      <c r="B108" t="s">
        <v>49</v>
      </c>
    </row>
    <row r="109" spans="1:7" x14ac:dyDescent="0.25">
      <c r="A109" t="s">
        <v>95</v>
      </c>
      <c r="B109" t="s">
        <v>50</v>
      </c>
      <c r="C109" t="s">
        <v>50</v>
      </c>
      <c r="D109">
        <v>100</v>
      </c>
      <c r="E109">
        <v>91</v>
      </c>
      <c r="F109">
        <v>5</v>
      </c>
      <c r="G109">
        <v>14</v>
      </c>
    </row>
    <row r="110" spans="1:7" x14ac:dyDescent="0.25">
      <c r="A110" t="s">
        <v>95</v>
      </c>
      <c r="B110" t="s">
        <v>52</v>
      </c>
      <c r="C110" t="s">
        <v>52</v>
      </c>
      <c r="D110">
        <v>100</v>
      </c>
      <c r="E110">
        <v>122</v>
      </c>
      <c r="F110">
        <v>24</v>
      </c>
      <c r="G110">
        <v>115</v>
      </c>
    </row>
    <row r="111" spans="1:7" x14ac:dyDescent="0.25">
      <c r="A111" t="s">
        <v>95</v>
      </c>
      <c r="B111" t="s">
        <v>53</v>
      </c>
      <c r="C111" t="s">
        <v>114</v>
      </c>
      <c r="D111">
        <v>100</v>
      </c>
      <c r="E111">
        <v>146</v>
      </c>
      <c r="F111">
        <v>5</v>
      </c>
      <c r="G111">
        <v>12</v>
      </c>
    </row>
    <row r="112" spans="1:7" x14ac:dyDescent="0.25">
      <c r="A112" t="s">
        <v>96</v>
      </c>
      <c r="B112" t="s">
        <v>44</v>
      </c>
      <c r="C112" t="s">
        <v>44</v>
      </c>
      <c r="D112">
        <v>100</v>
      </c>
      <c r="E112">
        <v>105</v>
      </c>
      <c r="F112">
        <v>12</v>
      </c>
      <c r="G112">
        <v>4</v>
      </c>
    </row>
    <row r="113" spans="1:7" x14ac:dyDescent="0.25">
      <c r="A113" t="s">
        <v>96</v>
      </c>
      <c r="B113" t="s">
        <v>45</v>
      </c>
      <c r="C113" t="s">
        <v>45</v>
      </c>
      <c r="D113">
        <v>100</v>
      </c>
      <c r="E113">
        <v>53</v>
      </c>
      <c r="F113">
        <v>8</v>
      </c>
      <c r="G113">
        <v>8</v>
      </c>
    </row>
    <row r="114" spans="1:7" x14ac:dyDescent="0.25">
      <c r="A114" t="s">
        <v>96</v>
      </c>
      <c r="B114" t="s">
        <v>46</v>
      </c>
      <c r="C114" t="s">
        <v>113</v>
      </c>
      <c r="D114">
        <v>100</v>
      </c>
      <c r="E114">
        <v>288</v>
      </c>
      <c r="F114">
        <v>12</v>
      </c>
      <c r="G114">
        <v>8</v>
      </c>
    </row>
    <row r="115" spans="1:7" x14ac:dyDescent="0.25">
      <c r="A115" t="s">
        <v>96</v>
      </c>
      <c r="B115" t="s">
        <v>67</v>
      </c>
      <c r="C115" t="s">
        <v>67</v>
      </c>
      <c r="D115">
        <v>100</v>
      </c>
      <c r="E115">
        <v>105</v>
      </c>
      <c r="F115">
        <v>12</v>
      </c>
      <c r="G115">
        <v>4</v>
      </c>
    </row>
    <row r="116" spans="1:7" x14ac:dyDescent="0.25">
      <c r="A116" t="s">
        <v>96</v>
      </c>
      <c r="B116" t="s">
        <v>62</v>
      </c>
      <c r="C116" t="s">
        <v>62</v>
      </c>
      <c r="D116">
        <v>100</v>
      </c>
      <c r="E116">
        <v>58</v>
      </c>
      <c r="F116">
        <v>12</v>
      </c>
      <c r="G116">
        <v>15</v>
      </c>
    </row>
    <row r="117" spans="1:7" x14ac:dyDescent="0.25">
      <c r="A117" t="s">
        <v>96</v>
      </c>
      <c r="B117" t="s">
        <v>48</v>
      </c>
    </row>
    <row r="118" spans="1:7" x14ac:dyDescent="0.25">
      <c r="A118" t="s">
        <v>96</v>
      </c>
      <c r="B118" t="s">
        <v>58</v>
      </c>
    </row>
    <row r="119" spans="1:7" x14ac:dyDescent="0.25">
      <c r="A119" t="s">
        <v>96</v>
      </c>
      <c r="B119" t="s">
        <v>72</v>
      </c>
    </row>
    <row r="120" spans="1:7" x14ac:dyDescent="0.25">
      <c r="A120" t="s">
        <v>96</v>
      </c>
      <c r="B120" t="s">
        <v>60</v>
      </c>
      <c r="C120" t="s">
        <v>60</v>
      </c>
      <c r="D120">
        <v>100</v>
      </c>
      <c r="E120">
        <v>58</v>
      </c>
      <c r="F120">
        <v>13</v>
      </c>
      <c r="G120">
        <v>15</v>
      </c>
    </row>
    <row r="121" spans="1:7" x14ac:dyDescent="0.25">
      <c r="A121" t="s">
        <v>96</v>
      </c>
      <c r="B121" t="s">
        <v>53</v>
      </c>
      <c r="C121" t="s">
        <v>114</v>
      </c>
      <c r="D121">
        <v>100</v>
      </c>
      <c r="E121">
        <v>60</v>
      </c>
      <c r="F121">
        <v>6</v>
      </c>
      <c r="G121">
        <v>1</v>
      </c>
    </row>
    <row r="122" spans="1:7" x14ac:dyDescent="0.25">
      <c r="A122" t="s">
        <v>97</v>
      </c>
      <c r="B122" t="s">
        <v>73</v>
      </c>
      <c r="C122" t="s">
        <v>73</v>
      </c>
      <c r="D122">
        <v>100</v>
      </c>
      <c r="E122">
        <v>45</v>
      </c>
      <c r="F122">
        <v>1</v>
      </c>
      <c r="G122">
        <v>2</v>
      </c>
    </row>
    <row r="123" spans="1:7" x14ac:dyDescent="0.25">
      <c r="A123" t="s">
        <v>97</v>
      </c>
      <c r="B123" t="s">
        <v>44</v>
      </c>
      <c r="C123" t="s">
        <v>44</v>
      </c>
      <c r="D123">
        <v>100</v>
      </c>
      <c r="E123">
        <v>32</v>
      </c>
      <c r="F123">
        <v>1</v>
      </c>
      <c r="G123">
        <v>1</v>
      </c>
    </row>
    <row r="124" spans="1:7" x14ac:dyDescent="0.25">
      <c r="A124" t="s">
        <v>97</v>
      </c>
      <c r="B124" t="s">
        <v>45</v>
      </c>
      <c r="C124" t="s">
        <v>45</v>
      </c>
      <c r="D124">
        <v>100</v>
      </c>
      <c r="E124">
        <v>45</v>
      </c>
      <c r="F124">
        <v>1</v>
      </c>
      <c r="G124">
        <v>2</v>
      </c>
    </row>
    <row r="125" spans="1:7" x14ac:dyDescent="0.25">
      <c r="A125" t="s">
        <v>97</v>
      </c>
      <c r="B125" t="s">
        <v>46</v>
      </c>
      <c r="C125" t="s">
        <v>113</v>
      </c>
      <c r="D125">
        <v>100</v>
      </c>
      <c r="E125">
        <v>140</v>
      </c>
      <c r="F125">
        <v>12</v>
      </c>
      <c r="G125">
        <v>31</v>
      </c>
    </row>
    <row r="126" spans="1:7" x14ac:dyDescent="0.25">
      <c r="A126" t="s">
        <v>97</v>
      </c>
      <c r="B126" t="s">
        <v>48</v>
      </c>
    </row>
    <row r="127" spans="1:7" x14ac:dyDescent="0.25">
      <c r="A127" t="s">
        <v>97</v>
      </c>
      <c r="B127" t="s">
        <v>49</v>
      </c>
    </row>
    <row r="128" spans="1:7" x14ac:dyDescent="0.25">
      <c r="A128" t="s">
        <v>97</v>
      </c>
      <c r="B128" t="s">
        <v>50</v>
      </c>
      <c r="C128" t="s">
        <v>50</v>
      </c>
      <c r="D128">
        <v>100</v>
      </c>
      <c r="E128">
        <v>34</v>
      </c>
      <c r="F128">
        <v>1</v>
      </c>
      <c r="G128">
        <v>2</v>
      </c>
    </row>
    <row r="129" spans="1:7" x14ac:dyDescent="0.25">
      <c r="A129" t="s">
        <v>97</v>
      </c>
      <c r="B129" t="s">
        <v>51</v>
      </c>
    </row>
    <row r="130" spans="1:7" x14ac:dyDescent="0.25">
      <c r="A130" t="s">
        <v>97</v>
      </c>
      <c r="B130" t="s">
        <v>60</v>
      </c>
      <c r="C130" t="s">
        <v>60</v>
      </c>
      <c r="D130">
        <v>100</v>
      </c>
      <c r="E130">
        <v>52</v>
      </c>
      <c r="F130">
        <v>1</v>
      </c>
      <c r="G130">
        <v>2</v>
      </c>
    </row>
    <row r="131" spans="1:7" x14ac:dyDescent="0.25">
      <c r="A131" t="s">
        <v>97</v>
      </c>
      <c r="B131" t="s">
        <v>53</v>
      </c>
      <c r="C131" t="s">
        <v>114</v>
      </c>
      <c r="D131">
        <v>100</v>
      </c>
      <c r="E131">
        <v>138</v>
      </c>
      <c r="F131">
        <v>13</v>
      </c>
      <c r="G131">
        <v>13</v>
      </c>
    </row>
    <row r="132" spans="1:7" x14ac:dyDescent="0.25">
      <c r="A132" t="s">
        <v>98</v>
      </c>
      <c r="B132" t="s">
        <v>44</v>
      </c>
      <c r="C132" t="s">
        <v>44</v>
      </c>
      <c r="D132">
        <v>100</v>
      </c>
      <c r="E132">
        <v>128</v>
      </c>
      <c r="F132">
        <v>32</v>
      </c>
      <c r="G132">
        <v>77</v>
      </c>
    </row>
    <row r="133" spans="1:7" x14ac:dyDescent="0.25">
      <c r="A133" t="s">
        <v>98</v>
      </c>
      <c r="B133" t="s">
        <v>69</v>
      </c>
      <c r="C133" t="s">
        <v>118</v>
      </c>
      <c r="D133">
        <v>100</v>
      </c>
      <c r="E133">
        <v>9</v>
      </c>
      <c r="F133">
        <v>16</v>
      </c>
      <c r="G133">
        <v>48</v>
      </c>
    </row>
    <row r="134" spans="1:7" x14ac:dyDescent="0.25">
      <c r="A134" t="s">
        <v>98</v>
      </c>
      <c r="B134" t="s">
        <v>74</v>
      </c>
      <c r="C134" t="s">
        <v>120</v>
      </c>
      <c r="D134">
        <v>100</v>
      </c>
      <c r="E134">
        <v>171</v>
      </c>
      <c r="F134">
        <v>48</v>
      </c>
      <c r="G134">
        <v>93</v>
      </c>
    </row>
    <row r="135" spans="1:7" x14ac:dyDescent="0.25">
      <c r="A135" t="s">
        <v>98</v>
      </c>
      <c r="B135" t="s">
        <v>75</v>
      </c>
      <c r="C135" t="s">
        <v>75</v>
      </c>
      <c r="D135">
        <v>100</v>
      </c>
      <c r="E135">
        <v>166</v>
      </c>
      <c r="F135">
        <v>46</v>
      </c>
      <c r="G135">
        <v>90</v>
      </c>
    </row>
    <row r="136" spans="1:7" x14ac:dyDescent="0.25">
      <c r="A136" t="s">
        <v>98</v>
      </c>
      <c r="B136" t="s">
        <v>76</v>
      </c>
      <c r="C136" t="s">
        <v>76</v>
      </c>
      <c r="D136">
        <v>100</v>
      </c>
      <c r="E136">
        <v>168</v>
      </c>
      <c r="F136">
        <v>47</v>
      </c>
      <c r="G136">
        <v>92</v>
      </c>
    </row>
    <row r="137" spans="1:7" x14ac:dyDescent="0.25">
      <c r="A137" t="s">
        <v>98</v>
      </c>
      <c r="B137" t="s">
        <v>67</v>
      </c>
      <c r="C137" t="s">
        <v>67</v>
      </c>
      <c r="D137">
        <v>100</v>
      </c>
      <c r="E137">
        <v>125</v>
      </c>
      <c r="F137">
        <v>32</v>
      </c>
      <c r="G137">
        <v>76</v>
      </c>
    </row>
    <row r="138" spans="1:7" x14ac:dyDescent="0.25">
      <c r="A138" t="s">
        <v>98</v>
      </c>
      <c r="B138" t="s">
        <v>48</v>
      </c>
    </row>
    <row r="139" spans="1:7" x14ac:dyDescent="0.25">
      <c r="A139" t="s">
        <v>98</v>
      </c>
      <c r="B139" t="s">
        <v>57</v>
      </c>
      <c r="C139" t="s">
        <v>57</v>
      </c>
      <c r="D139">
        <v>100</v>
      </c>
      <c r="E139">
        <v>119</v>
      </c>
      <c r="F139">
        <v>112</v>
      </c>
      <c r="G139">
        <v>237</v>
      </c>
    </row>
    <row r="140" spans="1:7" x14ac:dyDescent="0.25">
      <c r="A140" t="s">
        <v>98</v>
      </c>
      <c r="B140" t="s">
        <v>49</v>
      </c>
    </row>
    <row r="141" spans="1:7" x14ac:dyDescent="0.25">
      <c r="A141" t="s">
        <v>98</v>
      </c>
      <c r="B141" t="s">
        <v>53</v>
      </c>
      <c r="C141" t="s">
        <v>114</v>
      </c>
      <c r="D141">
        <v>100</v>
      </c>
      <c r="E141">
        <v>192</v>
      </c>
      <c r="F141">
        <v>29</v>
      </c>
      <c r="G141">
        <v>85</v>
      </c>
    </row>
    <row r="142" spans="1:7" x14ac:dyDescent="0.25">
      <c r="A142" t="s">
        <v>99</v>
      </c>
      <c r="B142" t="s">
        <v>44</v>
      </c>
      <c r="C142" t="s">
        <v>44</v>
      </c>
      <c r="D142">
        <v>100</v>
      </c>
      <c r="E142">
        <v>93</v>
      </c>
      <c r="F142">
        <v>14</v>
      </c>
      <c r="G142">
        <v>3</v>
      </c>
    </row>
    <row r="143" spans="1:7" x14ac:dyDescent="0.25">
      <c r="A143" t="s">
        <v>99</v>
      </c>
      <c r="B143" t="s">
        <v>45</v>
      </c>
      <c r="C143" t="s">
        <v>45</v>
      </c>
      <c r="D143">
        <v>100</v>
      </c>
      <c r="E143">
        <v>57</v>
      </c>
      <c r="F143">
        <v>6</v>
      </c>
      <c r="G143">
        <v>23</v>
      </c>
    </row>
    <row r="144" spans="1:7" x14ac:dyDescent="0.25">
      <c r="A144" t="s">
        <v>99</v>
      </c>
      <c r="B144" t="s">
        <v>46</v>
      </c>
      <c r="C144" t="s">
        <v>113</v>
      </c>
      <c r="D144">
        <v>100</v>
      </c>
      <c r="E144">
        <v>209</v>
      </c>
      <c r="F144">
        <v>23</v>
      </c>
      <c r="G144">
        <v>56</v>
      </c>
    </row>
    <row r="145" spans="1:7" x14ac:dyDescent="0.25">
      <c r="A145" t="s">
        <v>99</v>
      </c>
      <c r="B145" t="s">
        <v>67</v>
      </c>
      <c r="C145" t="s">
        <v>67</v>
      </c>
      <c r="D145">
        <v>100</v>
      </c>
      <c r="E145">
        <v>93</v>
      </c>
      <c r="F145">
        <v>14</v>
      </c>
      <c r="G145">
        <v>3</v>
      </c>
    </row>
    <row r="146" spans="1:7" x14ac:dyDescent="0.25">
      <c r="A146" t="s">
        <v>99</v>
      </c>
      <c r="B146" t="s">
        <v>62</v>
      </c>
      <c r="C146" t="s">
        <v>62</v>
      </c>
      <c r="D146">
        <v>100</v>
      </c>
      <c r="E146">
        <v>49</v>
      </c>
      <c r="F146">
        <v>5</v>
      </c>
      <c r="G146">
        <v>8</v>
      </c>
    </row>
    <row r="147" spans="1:7" x14ac:dyDescent="0.25">
      <c r="A147" t="s">
        <v>99</v>
      </c>
      <c r="B147" t="s">
        <v>48</v>
      </c>
    </row>
    <row r="148" spans="1:7" x14ac:dyDescent="0.25">
      <c r="A148" t="s">
        <v>99</v>
      </c>
      <c r="B148" t="s">
        <v>77</v>
      </c>
      <c r="C148" t="s">
        <v>77</v>
      </c>
      <c r="D148">
        <v>100</v>
      </c>
      <c r="E148">
        <v>93</v>
      </c>
      <c r="F148">
        <v>14</v>
      </c>
      <c r="G148">
        <v>3</v>
      </c>
    </row>
    <row r="149" spans="1:7" x14ac:dyDescent="0.25">
      <c r="A149" t="s">
        <v>99</v>
      </c>
      <c r="B149" t="s">
        <v>51</v>
      </c>
    </row>
    <row r="150" spans="1:7" x14ac:dyDescent="0.25">
      <c r="A150" t="s">
        <v>99</v>
      </c>
      <c r="B150" t="s">
        <v>60</v>
      </c>
      <c r="C150" t="s">
        <v>60</v>
      </c>
      <c r="D150">
        <v>100</v>
      </c>
      <c r="E150">
        <v>48</v>
      </c>
      <c r="F150">
        <v>5</v>
      </c>
      <c r="G150">
        <v>8</v>
      </c>
    </row>
    <row r="151" spans="1:7" x14ac:dyDescent="0.25">
      <c r="A151" t="s">
        <v>99</v>
      </c>
      <c r="B151" t="s">
        <v>53</v>
      </c>
      <c r="C151" t="s">
        <v>114</v>
      </c>
      <c r="D151">
        <v>100</v>
      </c>
      <c r="E151">
        <v>112</v>
      </c>
      <c r="F151">
        <v>13</v>
      </c>
      <c r="G151">
        <v>2</v>
      </c>
    </row>
    <row r="152" spans="1:7" x14ac:dyDescent="0.25">
      <c r="A152" t="s">
        <v>100</v>
      </c>
      <c r="B152" t="s">
        <v>44</v>
      </c>
      <c r="C152" t="s">
        <v>44</v>
      </c>
      <c r="D152">
        <v>100</v>
      </c>
      <c r="E152">
        <v>16</v>
      </c>
      <c r="F152">
        <v>8</v>
      </c>
      <c r="G152">
        <v>11</v>
      </c>
    </row>
    <row r="153" spans="1:7" x14ac:dyDescent="0.25">
      <c r="A153" t="s">
        <v>100</v>
      </c>
      <c r="B153" t="s">
        <v>69</v>
      </c>
      <c r="C153" t="s">
        <v>118</v>
      </c>
      <c r="D153">
        <v>100</v>
      </c>
      <c r="E153">
        <v>19</v>
      </c>
      <c r="F153">
        <v>15</v>
      </c>
      <c r="G153">
        <v>22</v>
      </c>
    </row>
    <row r="154" spans="1:7" x14ac:dyDescent="0.25">
      <c r="A154" t="s">
        <v>100</v>
      </c>
      <c r="B154" t="s">
        <v>78</v>
      </c>
      <c r="C154" t="s">
        <v>121</v>
      </c>
      <c r="D154">
        <v>80</v>
      </c>
      <c r="E154">
        <v>72</v>
      </c>
      <c r="F154">
        <v>9</v>
      </c>
      <c r="G154">
        <v>21</v>
      </c>
    </row>
    <row r="155" spans="1:7" x14ac:dyDescent="0.25">
      <c r="A155" t="s">
        <v>100</v>
      </c>
      <c r="B155" t="s">
        <v>67</v>
      </c>
      <c r="C155" t="s">
        <v>67</v>
      </c>
      <c r="D155">
        <v>100</v>
      </c>
      <c r="E155">
        <v>17</v>
      </c>
      <c r="F155">
        <v>8</v>
      </c>
      <c r="G155">
        <v>11</v>
      </c>
    </row>
    <row r="156" spans="1:7" x14ac:dyDescent="0.25">
      <c r="A156" t="s">
        <v>100</v>
      </c>
      <c r="B156" t="s">
        <v>48</v>
      </c>
    </row>
    <row r="157" spans="1:7" x14ac:dyDescent="0.25">
      <c r="A157" t="s">
        <v>100</v>
      </c>
      <c r="B157" t="s">
        <v>59</v>
      </c>
      <c r="C157" t="s">
        <v>116</v>
      </c>
      <c r="D157">
        <v>94.117647058823536</v>
      </c>
      <c r="E157">
        <v>21</v>
      </c>
      <c r="F157">
        <v>13</v>
      </c>
      <c r="G157">
        <v>21</v>
      </c>
    </row>
    <row r="158" spans="1:7" x14ac:dyDescent="0.25">
      <c r="A158" t="s">
        <v>100</v>
      </c>
      <c r="B158" t="s">
        <v>57</v>
      </c>
      <c r="C158" t="s">
        <v>57</v>
      </c>
      <c r="D158">
        <v>100</v>
      </c>
      <c r="E158">
        <v>22</v>
      </c>
      <c r="F158">
        <v>21</v>
      </c>
      <c r="G158">
        <v>31</v>
      </c>
    </row>
    <row r="159" spans="1:7" x14ac:dyDescent="0.25">
      <c r="A159" t="s">
        <v>100</v>
      </c>
      <c r="B159" t="s">
        <v>49</v>
      </c>
    </row>
    <row r="160" spans="1:7" x14ac:dyDescent="0.25">
      <c r="A160" t="s">
        <v>100</v>
      </c>
      <c r="B160" t="s">
        <v>50</v>
      </c>
      <c r="C160" t="s">
        <v>50</v>
      </c>
      <c r="D160">
        <v>100</v>
      </c>
      <c r="E160">
        <v>18</v>
      </c>
      <c r="F160">
        <v>7</v>
      </c>
      <c r="G160">
        <v>11</v>
      </c>
    </row>
    <row r="161" spans="1:7" x14ac:dyDescent="0.25">
      <c r="A161" t="s">
        <v>100</v>
      </c>
      <c r="B161" t="s">
        <v>53</v>
      </c>
      <c r="C161" t="s">
        <v>114</v>
      </c>
      <c r="D161">
        <v>100</v>
      </c>
      <c r="E161">
        <v>113</v>
      </c>
      <c r="F161">
        <v>12</v>
      </c>
      <c r="G161">
        <v>33</v>
      </c>
    </row>
    <row r="162" spans="1:7" x14ac:dyDescent="0.25">
      <c r="A162" t="s">
        <v>101</v>
      </c>
      <c r="B162" t="s">
        <v>44</v>
      </c>
      <c r="C162" t="s">
        <v>44</v>
      </c>
      <c r="D162">
        <v>100</v>
      </c>
      <c r="E162">
        <v>27</v>
      </c>
      <c r="F162">
        <v>5</v>
      </c>
      <c r="G162">
        <v>28</v>
      </c>
    </row>
    <row r="163" spans="1:7" x14ac:dyDescent="0.25">
      <c r="A163" t="s">
        <v>101</v>
      </c>
      <c r="B163" t="s">
        <v>69</v>
      </c>
      <c r="C163" t="s">
        <v>118</v>
      </c>
      <c r="D163">
        <v>100</v>
      </c>
      <c r="E163">
        <v>5</v>
      </c>
      <c r="F163">
        <v>7</v>
      </c>
      <c r="G163">
        <v>18</v>
      </c>
    </row>
    <row r="164" spans="1:7" x14ac:dyDescent="0.25">
      <c r="A164" t="s">
        <v>101</v>
      </c>
      <c r="B164" t="s">
        <v>79</v>
      </c>
      <c r="C164" t="s">
        <v>79</v>
      </c>
      <c r="D164">
        <v>100</v>
      </c>
      <c r="E164">
        <v>40</v>
      </c>
      <c r="F164">
        <v>7</v>
      </c>
      <c r="G164">
        <v>35</v>
      </c>
    </row>
    <row r="165" spans="1:7" x14ac:dyDescent="0.25">
      <c r="A165" t="s">
        <v>101</v>
      </c>
      <c r="B165" t="s">
        <v>78</v>
      </c>
      <c r="C165" t="s">
        <v>121</v>
      </c>
      <c r="D165">
        <v>80</v>
      </c>
      <c r="E165">
        <v>69</v>
      </c>
      <c r="F165">
        <v>10</v>
      </c>
      <c r="G165">
        <v>21</v>
      </c>
    </row>
    <row r="166" spans="1:7" x14ac:dyDescent="0.25">
      <c r="A166" t="s">
        <v>101</v>
      </c>
      <c r="B166" t="s">
        <v>67</v>
      </c>
      <c r="C166" t="s">
        <v>67</v>
      </c>
      <c r="D166">
        <v>100</v>
      </c>
      <c r="E166">
        <v>25</v>
      </c>
      <c r="F166">
        <v>4</v>
      </c>
      <c r="G166">
        <v>27</v>
      </c>
    </row>
    <row r="167" spans="1:7" x14ac:dyDescent="0.25">
      <c r="A167" t="s">
        <v>101</v>
      </c>
      <c r="B167" t="s">
        <v>48</v>
      </c>
    </row>
    <row r="168" spans="1:7" x14ac:dyDescent="0.25">
      <c r="A168" t="s">
        <v>101</v>
      </c>
      <c r="B168" t="s">
        <v>59</v>
      </c>
      <c r="C168" t="s">
        <v>116</v>
      </c>
      <c r="D168">
        <v>94.117647058823536</v>
      </c>
      <c r="E168">
        <v>5</v>
      </c>
      <c r="F168">
        <v>7</v>
      </c>
      <c r="G168">
        <v>18</v>
      </c>
    </row>
    <row r="169" spans="1:7" x14ac:dyDescent="0.25">
      <c r="A169" t="s">
        <v>101</v>
      </c>
      <c r="B169" t="s">
        <v>49</v>
      </c>
    </row>
    <row r="170" spans="1:7" x14ac:dyDescent="0.25">
      <c r="A170" t="s">
        <v>101</v>
      </c>
      <c r="B170" t="s">
        <v>50</v>
      </c>
      <c r="C170" t="s">
        <v>50</v>
      </c>
      <c r="D170">
        <v>100</v>
      </c>
      <c r="E170">
        <v>22</v>
      </c>
      <c r="F170">
        <v>4</v>
      </c>
      <c r="G170">
        <v>26</v>
      </c>
    </row>
    <row r="171" spans="1:7" x14ac:dyDescent="0.25">
      <c r="A171" t="s">
        <v>101</v>
      </c>
      <c r="B171" t="s">
        <v>53</v>
      </c>
      <c r="C171" t="s">
        <v>114</v>
      </c>
      <c r="D171">
        <v>100</v>
      </c>
      <c r="E171">
        <v>99</v>
      </c>
      <c r="F171">
        <v>11</v>
      </c>
      <c r="G171">
        <v>23</v>
      </c>
    </row>
    <row r="172" spans="1:7" x14ac:dyDescent="0.25">
      <c r="A172" t="s">
        <v>102</v>
      </c>
      <c r="B172" t="s">
        <v>73</v>
      </c>
      <c r="C172" t="s">
        <v>73</v>
      </c>
      <c r="D172">
        <v>100</v>
      </c>
      <c r="E172">
        <v>88</v>
      </c>
      <c r="F172">
        <v>8</v>
      </c>
      <c r="G172">
        <v>15</v>
      </c>
    </row>
    <row r="173" spans="1:7" x14ac:dyDescent="0.25">
      <c r="A173" t="s">
        <v>102</v>
      </c>
      <c r="B173" t="s">
        <v>44</v>
      </c>
      <c r="C173" t="s">
        <v>44</v>
      </c>
      <c r="D173">
        <v>100</v>
      </c>
      <c r="E173">
        <v>130</v>
      </c>
      <c r="F173">
        <v>6</v>
      </c>
      <c r="G173">
        <v>7</v>
      </c>
    </row>
    <row r="174" spans="1:7" x14ac:dyDescent="0.25">
      <c r="A174" t="s">
        <v>102</v>
      </c>
      <c r="B174" t="s">
        <v>45</v>
      </c>
      <c r="C174" t="s">
        <v>45</v>
      </c>
      <c r="D174">
        <v>100</v>
      </c>
      <c r="E174">
        <v>95</v>
      </c>
      <c r="F174">
        <v>9</v>
      </c>
      <c r="G174">
        <v>18</v>
      </c>
    </row>
    <row r="175" spans="1:7" x14ac:dyDescent="0.25">
      <c r="A175" t="s">
        <v>102</v>
      </c>
      <c r="B175" t="s">
        <v>67</v>
      </c>
      <c r="C175" t="s">
        <v>67</v>
      </c>
      <c r="D175">
        <v>100</v>
      </c>
      <c r="E175">
        <v>113</v>
      </c>
      <c r="F175">
        <v>6</v>
      </c>
      <c r="G175">
        <v>7</v>
      </c>
    </row>
    <row r="176" spans="1:7" x14ac:dyDescent="0.25">
      <c r="A176" t="s">
        <v>102</v>
      </c>
      <c r="B176" t="s">
        <v>48</v>
      </c>
    </row>
    <row r="177" spans="1:7" x14ac:dyDescent="0.25">
      <c r="A177" t="s">
        <v>102</v>
      </c>
      <c r="B177" t="s">
        <v>59</v>
      </c>
      <c r="C177" t="s">
        <v>116</v>
      </c>
      <c r="D177">
        <v>94.117647058823536</v>
      </c>
      <c r="E177">
        <v>16</v>
      </c>
      <c r="F177">
        <v>9</v>
      </c>
      <c r="G177">
        <v>12</v>
      </c>
    </row>
    <row r="178" spans="1:7" x14ac:dyDescent="0.25">
      <c r="A178" t="s">
        <v>102</v>
      </c>
      <c r="B178" t="s">
        <v>57</v>
      </c>
      <c r="C178" t="s">
        <v>57</v>
      </c>
      <c r="D178">
        <v>100</v>
      </c>
      <c r="E178">
        <v>234</v>
      </c>
      <c r="F178">
        <v>26</v>
      </c>
      <c r="G178">
        <v>53</v>
      </c>
    </row>
    <row r="179" spans="1:7" x14ac:dyDescent="0.25">
      <c r="A179" t="s">
        <v>102</v>
      </c>
      <c r="B179" t="s">
        <v>49</v>
      </c>
    </row>
    <row r="180" spans="1:7" x14ac:dyDescent="0.25">
      <c r="A180" t="s">
        <v>102</v>
      </c>
      <c r="B180" t="s">
        <v>50</v>
      </c>
      <c r="C180" t="s">
        <v>50</v>
      </c>
      <c r="D180">
        <v>100</v>
      </c>
      <c r="E180">
        <v>221</v>
      </c>
      <c r="F180">
        <v>12</v>
      </c>
      <c r="G180">
        <v>12</v>
      </c>
    </row>
    <row r="181" spans="1:7" x14ac:dyDescent="0.25">
      <c r="A181" t="s">
        <v>102</v>
      </c>
      <c r="B181" t="s">
        <v>53</v>
      </c>
      <c r="C181" t="s">
        <v>114</v>
      </c>
      <c r="D181">
        <v>100</v>
      </c>
      <c r="E181">
        <v>258</v>
      </c>
      <c r="F181">
        <v>6</v>
      </c>
      <c r="G181">
        <v>6</v>
      </c>
    </row>
    <row r="182" spans="1:7" x14ac:dyDescent="0.25">
      <c r="A182" t="s">
        <v>103</v>
      </c>
      <c r="B182" t="s">
        <v>45</v>
      </c>
      <c r="C182" t="s">
        <v>45</v>
      </c>
      <c r="D182">
        <v>100</v>
      </c>
      <c r="E182">
        <v>231</v>
      </c>
      <c r="F182">
        <v>39</v>
      </c>
      <c r="G182">
        <v>40</v>
      </c>
    </row>
    <row r="183" spans="1:7" x14ac:dyDescent="0.25">
      <c r="A183" t="s">
        <v>103</v>
      </c>
      <c r="B183" t="s">
        <v>48</v>
      </c>
    </row>
    <row r="184" spans="1:7" x14ac:dyDescent="0.25">
      <c r="A184" t="s">
        <v>103</v>
      </c>
      <c r="B184" t="s">
        <v>57</v>
      </c>
      <c r="C184" t="s">
        <v>57</v>
      </c>
      <c r="D184">
        <v>100</v>
      </c>
      <c r="E184">
        <v>746</v>
      </c>
      <c r="F184">
        <v>122</v>
      </c>
      <c r="G184">
        <v>167</v>
      </c>
    </row>
    <row r="185" spans="1:7" x14ac:dyDescent="0.25">
      <c r="A185" t="s">
        <v>103</v>
      </c>
      <c r="B185" t="s">
        <v>80</v>
      </c>
    </row>
    <row r="186" spans="1:7" x14ac:dyDescent="0.25">
      <c r="A186" t="s">
        <v>104</v>
      </c>
      <c r="B186" t="s">
        <v>44</v>
      </c>
      <c r="C186" t="s">
        <v>44</v>
      </c>
      <c r="D186">
        <v>100</v>
      </c>
      <c r="E186">
        <v>29</v>
      </c>
      <c r="F186">
        <v>0</v>
      </c>
      <c r="G186">
        <v>4</v>
      </c>
    </row>
    <row r="187" spans="1:7" x14ac:dyDescent="0.25">
      <c r="A187" t="s">
        <v>104</v>
      </c>
      <c r="B187" t="s">
        <v>75</v>
      </c>
      <c r="C187" t="s">
        <v>75</v>
      </c>
      <c r="D187">
        <v>100</v>
      </c>
      <c r="E187">
        <v>115</v>
      </c>
      <c r="F187">
        <v>10</v>
      </c>
      <c r="G187">
        <v>78</v>
      </c>
    </row>
    <row r="188" spans="1:7" x14ac:dyDescent="0.25">
      <c r="A188" t="s">
        <v>104</v>
      </c>
      <c r="B188" t="s">
        <v>55</v>
      </c>
      <c r="C188" t="s">
        <v>55</v>
      </c>
      <c r="D188">
        <v>100</v>
      </c>
      <c r="E188">
        <v>114</v>
      </c>
      <c r="F188">
        <v>10</v>
      </c>
      <c r="G188">
        <v>77</v>
      </c>
    </row>
    <row r="189" spans="1:7" x14ac:dyDescent="0.25">
      <c r="A189" t="s">
        <v>104</v>
      </c>
      <c r="B189" t="s">
        <v>46</v>
      </c>
      <c r="C189" t="s">
        <v>113</v>
      </c>
      <c r="D189">
        <v>100</v>
      </c>
      <c r="E189">
        <v>29</v>
      </c>
      <c r="F189">
        <v>2</v>
      </c>
      <c r="G189">
        <v>8</v>
      </c>
    </row>
    <row r="190" spans="1:7" x14ac:dyDescent="0.25">
      <c r="A190" t="s">
        <v>104</v>
      </c>
      <c r="B190" t="s">
        <v>81</v>
      </c>
      <c r="C190" t="s">
        <v>122</v>
      </c>
      <c r="D190">
        <v>100</v>
      </c>
      <c r="E190">
        <v>114</v>
      </c>
      <c r="F190">
        <v>10</v>
      </c>
      <c r="G190">
        <v>77</v>
      </c>
    </row>
    <row r="191" spans="1:7" x14ac:dyDescent="0.25">
      <c r="A191" t="s">
        <v>104</v>
      </c>
      <c r="B191" t="s">
        <v>48</v>
      </c>
    </row>
    <row r="192" spans="1:7" x14ac:dyDescent="0.25">
      <c r="A192" t="s">
        <v>104</v>
      </c>
      <c r="B192" t="s">
        <v>82</v>
      </c>
      <c r="C192" t="s">
        <v>82</v>
      </c>
      <c r="D192">
        <v>100</v>
      </c>
      <c r="E192">
        <v>52</v>
      </c>
      <c r="F192">
        <v>7</v>
      </c>
      <c r="G192">
        <v>61</v>
      </c>
    </row>
    <row r="193" spans="1:7" x14ac:dyDescent="0.25">
      <c r="A193" t="s">
        <v>104</v>
      </c>
      <c r="B193" t="s">
        <v>57</v>
      </c>
      <c r="C193" t="s">
        <v>57</v>
      </c>
      <c r="D193">
        <v>100</v>
      </c>
      <c r="E193">
        <v>151</v>
      </c>
      <c r="F193">
        <v>20</v>
      </c>
      <c r="G193">
        <v>167</v>
      </c>
    </row>
    <row r="194" spans="1:7" x14ac:dyDescent="0.25">
      <c r="A194" t="s">
        <v>104</v>
      </c>
      <c r="B194" t="s">
        <v>52</v>
      </c>
      <c r="C194" t="s">
        <v>52</v>
      </c>
      <c r="D194">
        <v>100</v>
      </c>
      <c r="E194">
        <v>120</v>
      </c>
      <c r="F194">
        <v>8</v>
      </c>
      <c r="G194">
        <v>32</v>
      </c>
    </row>
    <row r="195" spans="1:7" x14ac:dyDescent="0.25">
      <c r="A195" t="s">
        <v>104</v>
      </c>
      <c r="B195" t="s">
        <v>53</v>
      </c>
      <c r="C195" t="s">
        <v>114</v>
      </c>
      <c r="D195">
        <v>100</v>
      </c>
      <c r="E195">
        <v>133</v>
      </c>
      <c r="F195">
        <v>1</v>
      </c>
      <c r="G195">
        <v>4</v>
      </c>
    </row>
    <row r="196" spans="1:7" x14ac:dyDescent="0.25">
      <c r="A196" t="s">
        <v>105</v>
      </c>
      <c r="B196" t="s">
        <v>44</v>
      </c>
      <c r="C196" t="s">
        <v>44</v>
      </c>
      <c r="D196">
        <v>100</v>
      </c>
      <c r="E196">
        <v>54</v>
      </c>
      <c r="F196">
        <v>7</v>
      </c>
      <c r="G196">
        <v>18</v>
      </c>
    </row>
    <row r="197" spans="1:7" x14ac:dyDescent="0.25">
      <c r="A197" t="s">
        <v>105</v>
      </c>
      <c r="B197" t="s">
        <v>46</v>
      </c>
      <c r="C197" t="s">
        <v>113</v>
      </c>
      <c r="D197">
        <v>100</v>
      </c>
      <c r="E197">
        <v>128</v>
      </c>
      <c r="F197">
        <v>21</v>
      </c>
      <c r="G197">
        <v>82</v>
      </c>
    </row>
    <row r="198" spans="1:7" x14ac:dyDescent="0.25">
      <c r="A198" t="s">
        <v>105</v>
      </c>
      <c r="B198" t="s">
        <v>70</v>
      </c>
      <c r="C198" t="s">
        <v>119</v>
      </c>
      <c r="D198">
        <v>100</v>
      </c>
      <c r="E198">
        <v>53</v>
      </c>
      <c r="F198">
        <v>8</v>
      </c>
      <c r="G198">
        <v>19</v>
      </c>
    </row>
    <row r="199" spans="1:7" x14ac:dyDescent="0.25">
      <c r="A199" t="s">
        <v>105</v>
      </c>
      <c r="B199" t="s">
        <v>67</v>
      </c>
      <c r="C199" t="s">
        <v>67</v>
      </c>
      <c r="D199">
        <v>100</v>
      </c>
      <c r="E199">
        <v>54</v>
      </c>
      <c r="F199">
        <v>7</v>
      </c>
      <c r="G199">
        <v>17</v>
      </c>
    </row>
    <row r="200" spans="1:7" x14ac:dyDescent="0.25">
      <c r="A200" t="s">
        <v>105</v>
      </c>
      <c r="B200" t="s">
        <v>48</v>
      </c>
    </row>
    <row r="201" spans="1:7" x14ac:dyDescent="0.25">
      <c r="A201" t="s">
        <v>105</v>
      </c>
      <c r="B201" t="s">
        <v>57</v>
      </c>
      <c r="C201" t="s">
        <v>57</v>
      </c>
      <c r="D201">
        <v>100</v>
      </c>
      <c r="E201">
        <v>15</v>
      </c>
      <c r="F201">
        <v>5</v>
      </c>
      <c r="G201">
        <v>14</v>
      </c>
    </row>
    <row r="202" spans="1:7" x14ac:dyDescent="0.25">
      <c r="A202" t="s">
        <v>105</v>
      </c>
      <c r="B202" t="s">
        <v>49</v>
      </c>
    </row>
    <row r="203" spans="1:7" x14ac:dyDescent="0.25">
      <c r="A203" t="s">
        <v>105</v>
      </c>
      <c r="B203" t="s">
        <v>50</v>
      </c>
      <c r="C203" t="s">
        <v>50</v>
      </c>
      <c r="D203">
        <v>100</v>
      </c>
      <c r="E203">
        <v>54</v>
      </c>
      <c r="F203">
        <v>7</v>
      </c>
      <c r="G203">
        <v>17</v>
      </c>
    </row>
    <row r="204" spans="1:7" x14ac:dyDescent="0.25">
      <c r="A204" t="s">
        <v>105</v>
      </c>
      <c r="B204" t="s">
        <v>52</v>
      </c>
      <c r="C204" t="s">
        <v>52</v>
      </c>
      <c r="D204">
        <v>100</v>
      </c>
      <c r="E204">
        <v>149</v>
      </c>
      <c r="F204">
        <v>24</v>
      </c>
      <c r="G204">
        <v>64</v>
      </c>
    </row>
    <row r="205" spans="1:7" x14ac:dyDescent="0.25">
      <c r="A205" t="s">
        <v>105</v>
      </c>
      <c r="B205" t="s">
        <v>53</v>
      </c>
      <c r="C205" t="s">
        <v>114</v>
      </c>
      <c r="D205">
        <v>100</v>
      </c>
      <c r="E205">
        <v>80</v>
      </c>
      <c r="F205">
        <v>14</v>
      </c>
      <c r="G205">
        <v>38</v>
      </c>
    </row>
    <row r="206" spans="1:7" x14ac:dyDescent="0.25">
      <c r="A206" t="s">
        <v>106</v>
      </c>
      <c r="B206" t="s">
        <v>63</v>
      </c>
    </row>
    <row r="207" spans="1:7" x14ac:dyDescent="0.25">
      <c r="A207" t="s">
        <v>106</v>
      </c>
      <c r="B207" t="s">
        <v>45</v>
      </c>
      <c r="C207" t="s">
        <v>45</v>
      </c>
      <c r="D207">
        <v>100</v>
      </c>
      <c r="E207">
        <v>45</v>
      </c>
      <c r="F207">
        <v>11</v>
      </c>
      <c r="G207">
        <v>16</v>
      </c>
    </row>
    <row r="208" spans="1:7" x14ac:dyDescent="0.25">
      <c r="A208" t="s">
        <v>106</v>
      </c>
      <c r="B208" t="s">
        <v>46</v>
      </c>
      <c r="C208" t="s">
        <v>113</v>
      </c>
      <c r="D208">
        <v>100</v>
      </c>
      <c r="E208">
        <v>217</v>
      </c>
      <c r="F208">
        <v>29</v>
      </c>
      <c r="G208">
        <v>61</v>
      </c>
    </row>
    <row r="209" spans="1:7" x14ac:dyDescent="0.25">
      <c r="A209" t="s">
        <v>106</v>
      </c>
      <c r="B209" t="s">
        <v>67</v>
      </c>
      <c r="C209" t="s">
        <v>67</v>
      </c>
      <c r="D209">
        <v>100</v>
      </c>
      <c r="E209">
        <v>173</v>
      </c>
      <c r="F209">
        <v>1</v>
      </c>
      <c r="G209">
        <v>1</v>
      </c>
    </row>
    <row r="210" spans="1:7" x14ac:dyDescent="0.25">
      <c r="A210" t="s">
        <v>106</v>
      </c>
      <c r="B210" t="s">
        <v>62</v>
      </c>
      <c r="C210" t="s">
        <v>62</v>
      </c>
      <c r="D210">
        <v>100</v>
      </c>
      <c r="E210">
        <v>63</v>
      </c>
      <c r="F210">
        <v>7</v>
      </c>
      <c r="G210">
        <v>20</v>
      </c>
    </row>
    <row r="211" spans="1:7" x14ac:dyDescent="0.25">
      <c r="A211" t="s">
        <v>106</v>
      </c>
      <c r="B211" t="s">
        <v>48</v>
      </c>
    </row>
    <row r="212" spans="1:7" x14ac:dyDescent="0.25">
      <c r="A212" t="s">
        <v>106</v>
      </c>
      <c r="B212" t="s">
        <v>83</v>
      </c>
    </row>
    <row r="213" spans="1:7" x14ac:dyDescent="0.25">
      <c r="A213" t="s">
        <v>106</v>
      </c>
      <c r="B213" t="s">
        <v>84</v>
      </c>
    </row>
    <row r="214" spans="1:7" x14ac:dyDescent="0.25">
      <c r="A214" t="s">
        <v>106</v>
      </c>
      <c r="B214" t="s">
        <v>77</v>
      </c>
      <c r="C214" t="s">
        <v>77</v>
      </c>
      <c r="D214">
        <v>100</v>
      </c>
      <c r="E214">
        <v>168</v>
      </c>
      <c r="F214">
        <v>1</v>
      </c>
      <c r="G214">
        <v>1</v>
      </c>
    </row>
    <row r="215" spans="1:7" x14ac:dyDescent="0.25">
      <c r="A215" t="s">
        <v>106</v>
      </c>
      <c r="B215" t="s">
        <v>53</v>
      </c>
      <c r="C215" t="s">
        <v>114</v>
      </c>
      <c r="D215">
        <v>100</v>
      </c>
      <c r="E215">
        <v>73</v>
      </c>
      <c r="F215">
        <v>13</v>
      </c>
      <c r="G215">
        <v>10</v>
      </c>
    </row>
    <row r="216" spans="1:7" x14ac:dyDescent="0.25">
      <c r="A216" t="s">
        <v>107</v>
      </c>
      <c r="B216" t="s">
        <v>44</v>
      </c>
      <c r="C216" t="s">
        <v>44</v>
      </c>
      <c r="D216">
        <v>100</v>
      </c>
      <c r="E216">
        <v>15</v>
      </c>
      <c r="F216">
        <v>3</v>
      </c>
      <c r="G216">
        <v>0</v>
      </c>
    </row>
    <row r="217" spans="1:7" x14ac:dyDescent="0.25">
      <c r="A217" t="s">
        <v>107</v>
      </c>
      <c r="B217" t="s">
        <v>45</v>
      </c>
      <c r="C217" t="s">
        <v>45</v>
      </c>
      <c r="D217">
        <v>100</v>
      </c>
      <c r="E217">
        <v>13</v>
      </c>
      <c r="F217">
        <v>4</v>
      </c>
      <c r="G217">
        <v>10</v>
      </c>
    </row>
    <row r="218" spans="1:7" x14ac:dyDescent="0.25">
      <c r="A218" t="s">
        <v>107</v>
      </c>
      <c r="B218" t="s">
        <v>46</v>
      </c>
      <c r="C218" t="s">
        <v>113</v>
      </c>
      <c r="D218">
        <v>100</v>
      </c>
      <c r="E218">
        <v>88</v>
      </c>
      <c r="F218">
        <v>14</v>
      </c>
      <c r="G218">
        <v>7</v>
      </c>
    </row>
    <row r="219" spans="1:7" x14ac:dyDescent="0.25">
      <c r="A219" t="s">
        <v>107</v>
      </c>
      <c r="B219" t="s">
        <v>67</v>
      </c>
      <c r="C219" t="s">
        <v>67</v>
      </c>
      <c r="D219">
        <v>100</v>
      </c>
      <c r="E219">
        <v>15</v>
      </c>
      <c r="F219">
        <v>3</v>
      </c>
      <c r="G219">
        <v>0</v>
      </c>
    </row>
    <row r="220" spans="1:7" x14ac:dyDescent="0.25">
      <c r="A220" t="s">
        <v>107</v>
      </c>
      <c r="B220" t="s">
        <v>48</v>
      </c>
    </row>
    <row r="221" spans="1:7" x14ac:dyDescent="0.25">
      <c r="A221" t="s">
        <v>107</v>
      </c>
      <c r="B221" t="s">
        <v>57</v>
      </c>
      <c r="C221" t="s">
        <v>57</v>
      </c>
      <c r="D221">
        <v>100</v>
      </c>
      <c r="E221">
        <v>42</v>
      </c>
      <c r="F221">
        <v>11</v>
      </c>
      <c r="G221">
        <v>23</v>
      </c>
    </row>
    <row r="222" spans="1:7" x14ac:dyDescent="0.25">
      <c r="A222" t="s">
        <v>107</v>
      </c>
      <c r="B222" t="s">
        <v>49</v>
      </c>
    </row>
    <row r="223" spans="1:7" x14ac:dyDescent="0.25">
      <c r="A223" t="s">
        <v>107</v>
      </c>
      <c r="B223" t="s">
        <v>51</v>
      </c>
    </row>
    <row r="224" spans="1:7" x14ac:dyDescent="0.25">
      <c r="A224" t="s">
        <v>107</v>
      </c>
      <c r="B224" t="s">
        <v>60</v>
      </c>
      <c r="C224" t="s">
        <v>60</v>
      </c>
      <c r="D224">
        <v>100</v>
      </c>
      <c r="E224">
        <v>8</v>
      </c>
      <c r="F224">
        <v>4</v>
      </c>
      <c r="G224">
        <v>4</v>
      </c>
    </row>
    <row r="225" spans="1:7" x14ac:dyDescent="0.25">
      <c r="A225" t="s">
        <v>107</v>
      </c>
      <c r="B225" t="s">
        <v>53</v>
      </c>
      <c r="C225" t="s">
        <v>114</v>
      </c>
      <c r="D225">
        <v>100</v>
      </c>
      <c r="E225">
        <v>81</v>
      </c>
      <c r="F225">
        <v>18</v>
      </c>
      <c r="G225">
        <v>11</v>
      </c>
    </row>
    <row r="226" spans="1:7" x14ac:dyDescent="0.25">
      <c r="A226" t="s">
        <v>108</v>
      </c>
      <c r="B226" t="s">
        <v>44</v>
      </c>
      <c r="C226" t="s">
        <v>44</v>
      </c>
      <c r="D226">
        <v>100</v>
      </c>
      <c r="E226">
        <v>70</v>
      </c>
      <c r="F226">
        <v>5</v>
      </c>
      <c r="G226">
        <v>10</v>
      </c>
    </row>
    <row r="227" spans="1:7" x14ac:dyDescent="0.25">
      <c r="A227" t="s">
        <v>108</v>
      </c>
      <c r="B227" t="s">
        <v>46</v>
      </c>
      <c r="C227" t="s">
        <v>113</v>
      </c>
      <c r="D227">
        <v>100</v>
      </c>
      <c r="E227">
        <v>119</v>
      </c>
      <c r="F227">
        <v>15</v>
      </c>
      <c r="G227">
        <v>13</v>
      </c>
    </row>
    <row r="228" spans="1:7" x14ac:dyDescent="0.25">
      <c r="A228" t="s">
        <v>108</v>
      </c>
      <c r="B228" t="s">
        <v>67</v>
      </c>
      <c r="C228" t="s">
        <v>67</v>
      </c>
      <c r="D228">
        <v>100</v>
      </c>
      <c r="E228">
        <v>70</v>
      </c>
      <c r="F228">
        <v>5</v>
      </c>
      <c r="G228">
        <v>10</v>
      </c>
    </row>
    <row r="229" spans="1:7" x14ac:dyDescent="0.25">
      <c r="A229" t="s">
        <v>108</v>
      </c>
      <c r="B229" t="s">
        <v>48</v>
      </c>
    </row>
    <row r="230" spans="1:7" x14ac:dyDescent="0.25">
      <c r="A230" t="s">
        <v>108</v>
      </c>
      <c r="B230" t="s">
        <v>49</v>
      </c>
    </row>
    <row r="231" spans="1:7" x14ac:dyDescent="0.25">
      <c r="A231" t="s">
        <v>108</v>
      </c>
      <c r="B231" t="s">
        <v>50</v>
      </c>
      <c r="C231" t="s">
        <v>50</v>
      </c>
      <c r="D231">
        <v>100</v>
      </c>
      <c r="E231">
        <v>70</v>
      </c>
      <c r="F231">
        <v>5</v>
      </c>
      <c r="G231">
        <v>10</v>
      </c>
    </row>
    <row r="232" spans="1:7" x14ac:dyDescent="0.25">
      <c r="A232" t="s">
        <v>108</v>
      </c>
      <c r="B232" t="s">
        <v>51</v>
      </c>
    </row>
    <row r="233" spans="1:7" x14ac:dyDescent="0.25">
      <c r="A233" t="s">
        <v>108</v>
      </c>
      <c r="B233" t="s">
        <v>52</v>
      </c>
      <c r="C233" t="s">
        <v>52</v>
      </c>
      <c r="D233">
        <v>100</v>
      </c>
      <c r="E233">
        <v>119</v>
      </c>
      <c r="F233">
        <v>18</v>
      </c>
      <c r="G233">
        <v>47</v>
      </c>
    </row>
    <row r="234" spans="1:7" x14ac:dyDescent="0.25">
      <c r="A234" t="s">
        <v>108</v>
      </c>
      <c r="B234" t="s">
        <v>60</v>
      </c>
      <c r="C234" t="s">
        <v>60</v>
      </c>
      <c r="D234">
        <v>100</v>
      </c>
      <c r="E234">
        <v>113</v>
      </c>
      <c r="F234">
        <v>9</v>
      </c>
      <c r="G234">
        <v>12</v>
      </c>
    </row>
    <row r="235" spans="1:7" x14ac:dyDescent="0.25">
      <c r="A235" t="s">
        <v>108</v>
      </c>
      <c r="B235" t="s">
        <v>53</v>
      </c>
      <c r="C235" t="s">
        <v>114</v>
      </c>
      <c r="D235">
        <v>100</v>
      </c>
      <c r="E235">
        <v>130</v>
      </c>
      <c r="F235">
        <v>10</v>
      </c>
      <c r="G235">
        <v>13</v>
      </c>
    </row>
    <row r="236" spans="1:7" x14ac:dyDescent="0.25">
      <c r="A236" t="s">
        <v>109</v>
      </c>
      <c r="B236" t="s">
        <v>73</v>
      </c>
      <c r="C236" t="s">
        <v>73</v>
      </c>
      <c r="D236">
        <v>100</v>
      </c>
      <c r="E236">
        <v>31</v>
      </c>
      <c r="F236">
        <v>9</v>
      </c>
      <c r="G236">
        <v>24</v>
      </c>
    </row>
    <row r="237" spans="1:7" x14ac:dyDescent="0.25">
      <c r="A237" t="s">
        <v>109</v>
      </c>
      <c r="B237" t="s">
        <v>44</v>
      </c>
      <c r="C237" t="s">
        <v>44</v>
      </c>
      <c r="D237">
        <v>100</v>
      </c>
      <c r="E237">
        <v>170</v>
      </c>
      <c r="F237">
        <v>19</v>
      </c>
      <c r="G237">
        <v>48</v>
      </c>
    </row>
    <row r="238" spans="1:7" x14ac:dyDescent="0.25">
      <c r="A238" t="s">
        <v>109</v>
      </c>
      <c r="B238" t="s">
        <v>78</v>
      </c>
      <c r="C238" t="s">
        <v>121</v>
      </c>
      <c r="D238">
        <v>80</v>
      </c>
      <c r="E238">
        <v>81</v>
      </c>
      <c r="F238">
        <v>12</v>
      </c>
      <c r="G238">
        <v>24</v>
      </c>
    </row>
    <row r="239" spans="1:7" x14ac:dyDescent="0.25">
      <c r="A239" t="s">
        <v>109</v>
      </c>
      <c r="B239" t="s">
        <v>45</v>
      </c>
      <c r="C239" t="s">
        <v>45</v>
      </c>
      <c r="D239">
        <v>100</v>
      </c>
      <c r="E239">
        <v>31</v>
      </c>
      <c r="F239">
        <v>9</v>
      </c>
      <c r="G239">
        <v>24</v>
      </c>
    </row>
    <row r="240" spans="1:7" x14ac:dyDescent="0.25">
      <c r="A240" t="s">
        <v>109</v>
      </c>
      <c r="B240" t="s">
        <v>46</v>
      </c>
      <c r="C240" t="s">
        <v>113</v>
      </c>
      <c r="D240">
        <v>100</v>
      </c>
      <c r="E240">
        <v>133</v>
      </c>
      <c r="F240">
        <v>19</v>
      </c>
      <c r="G240">
        <v>40</v>
      </c>
    </row>
    <row r="241" spans="1:7" x14ac:dyDescent="0.25">
      <c r="A241" t="s">
        <v>109</v>
      </c>
      <c r="B241" t="s">
        <v>48</v>
      </c>
    </row>
    <row r="242" spans="1:7" x14ac:dyDescent="0.25">
      <c r="A242" t="s">
        <v>109</v>
      </c>
      <c r="B242" t="s">
        <v>68</v>
      </c>
    </row>
    <row r="243" spans="1:7" x14ac:dyDescent="0.25">
      <c r="A243" t="s">
        <v>109</v>
      </c>
      <c r="B243" t="s">
        <v>57</v>
      </c>
      <c r="C243" t="s">
        <v>57</v>
      </c>
      <c r="D243">
        <v>100</v>
      </c>
      <c r="E243">
        <v>128</v>
      </c>
      <c r="F243">
        <v>29</v>
      </c>
      <c r="G243">
        <v>101</v>
      </c>
    </row>
    <row r="244" spans="1:7" x14ac:dyDescent="0.25">
      <c r="A244" t="s">
        <v>109</v>
      </c>
      <c r="B244" t="s">
        <v>49</v>
      </c>
    </row>
    <row r="245" spans="1:7" x14ac:dyDescent="0.25">
      <c r="A245" t="s">
        <v>109</v>
      </c>
      <c r="B245" t="s">
        <v>53</v>
      </c>
      <c r="C245" t="s">
        <v>114</v>
      </c>
      <c r="D245">
        <v>100</v>
      </c>
      <c r="E245">
        <v>139</v>
      </c>
      <c r="F245">
        <v>15</v>
      </c>
      <c r="G245">
        <v>39</v>
      </c>
    </row>
    <row r="246" spans="1:7" x14ac:dyDescent="0.25">
      <c r="A246" t="s">
        <v>110</v>
      </c>
      <c r="B246" t="s">
        <v>63</v>
      </c>
    </row>
    <row r="247" spans="1:7" x14ac:dyDescent="0.25">
      <c r="A247" t="s">
        <v>110</v>
      </c>
      <c r="B247" t="s">
        <v>44</v>
      </c>
      <c r="C247" t="s">
        <v>44</v>
      </c>
      <c r="D247">
        <v>100</v>
      </c>
      <c r="E247">
        <v>69</v>
      </c>
      <c r="F247">
        <v>4</v>
      </c>
      <c r="G247">
        <v>42</v>
      </c>
    </row>
    <row r="248" spans="1:7" x14ac:dyDescent="0.25">
      <c r="A248" t="s">
        <v>110</v>
      </c>
      <c r="B248" t="s">
        <v>45</v>
      </c>
      <c r="C248" t="s">
        <v>45</v>
      </c>
      <c r="D248">
        <v>100</v>
      </c>
      <c r="E248">
        <v>19</v>
      </c>
      <c r="F248">
        <v>8</v>
      </c>
      <c r="G248">
        <v>10</v>
      </c>
    </row>
    <row r="249" spans="1:7" x14ac:dyDescent="0.25">
      <c r="A249" t="s">
        <v>110</v>
      </c>
      <c r="B249" t="s">
        <v>46</v>
      </c>
      <c r="C249" t="s">
        <v>113</v>
      </c>
      <c r="D249">
        <v>100</v>
      </c>
      <c r="E249">
        <v>252</v>
      </c>
      <c r="F249">
        <v>44</v>
      </c>
      <c r="G249">
        <v>63</v>
      </c>
    </row>
    <row r="250" spans="1:7" x14ac:dyDescent="0.25">
      <c r="A250" t="s">
        <v>110</v>
      </c>
      <c r="B250" t="s">
        <v>67</v>
      </c>
      <c r="C250" t="s">
        <v>67</v>
      </c>
      <c r="D250">
        <v>100</v>
      </c>
      <c r="E250">
        <v>69</v>
      </c>
      <c r="F250">
        <v>4</v>
      </c>
      <c r="G250">
        <v>42</v>
      </c>
    </row>
    <row r="251" spans="1:7" x14ac:dyDescent="0.25">
      <c r="A251" t="s">
        <v>110</v>
      </c>
      <c r="B251" t="s">
        <v>62</v>
      </c>
      <c r="C251" t="s">
        <v>62</v>
      </c>
      <c r="D251">
        <v>100</v>
      </c>
      <c r="E251">
        <v>12</v>
      </c>
      <c r="F251">
        <v>5</v>
      </c>
      <c r="G251">
        <v>3</v>
      </c>
    </row>
    <row r="252" spans="1:7" x14ac:dyDescent="0.25">
      <c r="A252" t="s">
        <v>110</v>
      </c>
      <c r="B252" t="s">
        <v>48</v>
      </c>
    </row>
    <row r="253" spans="1:7" x14ac:dyDescent="0.25">
      <c r="A253" t="s">
        <v>110</v>
      </c>
      <c r="B253" t="s">
        <v>58</v>
      </c>
    </row>
    <row r="254" spans="1:7" x14ac:dyDescent="0.25">
      <c r="A254" t="s">
        <v>110</v>
      </c>
      <c r="B254" t="s">
        <v>60</v>
      </c>
      <c r="C254" t="s">
        <v>60</v>
      </c>
      <c r="D254">
        <v>100</v>
      </c>
      <c r="E254">
        <v>12</v>
      </c>
      <c r="F254">
        <v>5</v>
      </c>
      <c r="G254">
        <v>3</v>
      </c>
    </row>
    <row r="255" spans="1:7" x14ac:dyDescent="0.25">
      <c r="A255" t="s">
        <v>110</v>
      </c>
      <c r="B255" t="s">
        <v>53</v>
      </c>
      <c r="C255" t="s">
        <v>114</v>
      </c>
      <c r="D255">
        <v>100</v>
      </c>
      <c r="E255">
        <v>149</v>
      </c>
      <c r="F255">
        <v>24</v>
      </c>
      <c r="G255">
        <v>37</v>
      </c>
    </row>
    <row r="256" spans="1:7" x14ac:dyDescent="0.25">
      <c r="A256" t="s">
        <v>111</v>
      </c>
      <c r="B256" t="s">
        <v>44</v>
      </c>
      <c r="C256" t="s">
        <v>44</v>
      </c>
      <c r="D256">
        <v>100</v>
      </c>
      <c r="E256">
        <v>82</v>
      </c>
      <c r="F256">
        <v>5</v>
      </c>
      <c r="G256">
        <v>13</v>
      </c>
    </row>
    <row r="257" spans="1:7" x14ac:dyDescent="0.25">
      <c r="A257" t="s">
        <v>111</v>
      </c>
      <c r="B257" t="s">
        <v>69</v>
      </c>
      <c r="C257" t="s">
        <v>118</v>
      </c>
      <c r="D257">
        <v>100</v>
      </c>
      <c r="E257">
        <v>0</v>
      </c>
      <c r="F257">
        <v>7</v>
      </c>
      <c r="G257">
        <v>0</v>
      </c>
    </row>
    <row r="258" spans="1:7" x14ac:dyDescent="0.25">
      <c r="A258" t="s">
        <v>111</v>
      </c>
      <c r="B258" t="s">
        <v>67</v>
      </c>
      <c r="C258" t="s">
        <v>67</v>
      </c>
      <c r="D258">
        <v>100</v>
      </c>
      <c r="E258">
        <v>82</v>
      </c>
      <c r="F258">
        <v>5</v>
      </c>
      <c r="G258">
        <v>13</v>
      </c>
    </row>
    <row r="259" spans="1:7" x14ac:dyDescent="0.25">
      <c r="A259" t="s">
        <v>111</v>
      </c>
      <c r="B259" t="s">
        <v>48</v>
      </c>
    </row>
    <row r="260" spans="1:7" x14ac:dyDescent="0.25">
      <c r="A260" t="s">
        <v>111</v>
      </c>
      <c r="B260" t="s">
        <v>59</v>
      </c>
      <c r="C260" t="s">
        <v>116</v>
      </c>
      <c r="D260">
        <v>94.117647058823536</v>
      </c>
      <c r="E260">
        <v>0</v>
      </c>
      <c r="F260">
        <v>7</v>
      </c>
      <c r="G260">
        <v>0</v>
      </c>
    </row>
    <row r="261" spans="1:7" x14ac:dyDescent="0.25">
      <c r="A261" t="s">
        <v>111</v>
      </c>
      <c r="B261" t="s">
        <v>57</v>
      </c>
      <c r="C261" t="s">
        <v>57</v>
      </c>
      <c r="D261">
        <v>100</v>
      </c>
      <c r="E261">
        <v>74</v>
      </c>
      <c r="F261">
        <v>20</v>
      </c>
      <c r="G261">
        <v>141</v>
      </c>
    </row>
    <row r="262" spans="1:7" x14ac:dyDescent="0.25">
      <c r="A262" t="s">
        <v>111</v>
      </c>
      <c r="B262" t="s">
        <v>49</v>
      </c>
    </row>
    <row r="263" spans="1:7" x14ac:dyDescent="0.25">
      <c r="A263" t="s">
        <v>111</v>
      </c>
      <c r="B263" t="s">
        <v>50</v>
      </c>
      <c r="C263" t="s">
        <v>50</v>
      </c>
      <c r="D263">
        <v>100</v>
      </c>
      <c r="E263">
        <v>82</v>
      </c>
      <c r="F263">
        <v>5</v>
      </c>
      <c r="G263">
        <v>13</v>
      </c>
    </row>
    <row r="264" spans="1:7" x14ac:dyDescent="0.25">
      <c r="A264" t="s">
        <v>111</v>
      </c>
      <c r="B264" t="s">
        <v>52</v>
      </c>
      <c r="C264" t="s">
        <v>52</v>
      </c>
      <c r="D264">
        <v>100</v>
      </c>
      <c r="E264">
        <v>82</v>
      </c>
      <c r="F264">
        <v>12</v>
      </c>
      <c r="G264">
        <v>36</v>
      </c>
    </row>
    <row r="265" spans="1:7" x14ac:dyDescent="0.25">
      <c r="A265" t="s">
        <v>111</v>
      </c>
      <c r="B265" t="s">
        <v>53</v>
      </c>
      <c r="C265" t="s">
        <v>114</v>
      </c>
      <c r="D265">
        <v>100</v>
      </c>
      <c r="E265">
        <v>107</v>
      </c>
      <c r="F265">
        <v>7</v>
      </c>
      <c r="G26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Fertiliser_data</vt:lpstr>
      <vt:lpstr>cc</vt:lpstr>
      <vt:lpstr>IAR</vt:lpstr>
      <vt:lpstr>CF_231025</vt:lpstr>
      <vt:lpstr>Match_Log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Sridharan, Vignesh</cp:lastModifiedBy>
  <dcterms:created xsi:type="dcterms:W3CDTF">2025-08-22T10:01:33Z</dcterms:created>
  <dcterms:modified xsi:type="dcterms:W3CDTF">2025-11-25T18:50:03Z</dcterms:modified>
</cp:coreProperties>
</file>