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3" documentId="8_{4CF8DE36-D5CE-4F9E-8CB8-40DE6989DD69}" xr6:coauthVersionLast="47" xr6:coauthVersionMax="47" xr10:uidLastSave="{D991296C-C2D9-40FC-8048-0A491D43E7BC}"/>
  <bookViews>
    <workbookView xWindow="3990" yWindow="2100" windowWidth="21600" windowHeight="11205" xr2:uid="{BF686B3B-4E50-4D66-B6FF-2A2B110EF8FD}"/>
  </bookViews>
  <sheets>
    <sheet name="Livestock footpri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2" l="1"/>
  <c r="D61" i="2"/>
  <c r="C61" i="2"/>
  <c r="B61" i="2"/>
  <c r="D57" i="2"/>
  <c r="D63" i="2" s="1"/>
  <c r="C57" i="2"/>
  <c r="F57" i="2" s="1"/>
  <c r="F63" i="2" s="1"/>
  <c r="B57" i="2"/>
  <c r="B63" i="2" s="1"/>
  <c r="G56" i="2"/>
  <c r="F56" i="2"/>
  <c r="D56" i="2"/>
  <c r="C56" i="2"/>
  <c r="B56" i="2"/>
  <c r="E56" i="2" s="1"/>
  <c r="G55" i="2"/>
  <c r="D55" i="2"/>
  <c r="C55" i="2"/>
  <c r="F55" i="2" s="1"/>
  <c r="F61" i="2" s="1"/>
  <c r="B55" i="2"/>
  <c r="E55" i="2" s="1"/>
  <c r="E61" i="2" s="1"/>
  <c r="F54" i="2"/>
  <c r="F62" i="2" s="1"/>
  <c r="E54" i="2"/>
  <c r="E62" i="2" s="1"/>
  <c r="D54" i="2"/>
  <c r="D62" i="2" s="1"/>
  <c r="C54" i="2"/>
  <c r="C62" i="2" s="1"/>
  <c r="B54" i="2"/>
  <c r="B62" i="2" s="1"/>
  <c r="G53" i="2"/>
  <c r="H53" i="2" s="1"/>
  <c r="F53" i="2"/>
  <c r="E53" i="2"/>
  <c r="D53" i="2"/>
  <c r="C53" i="2"/>
  <c r="B53" i="2"/>
  <c r="D52" i="2"/>
  <c r="G52" i="2" s="1"/>
  <c r="C52" i="2"/>
  <c r="C60" i="2" s="1"/>
  <c r="B52" i="2"/>
  <c r="B60" i="2" s="1"/>
  <c r="F49" i="2"/>
  <c r="G49" i="2" s="1"/>
  <c r="G24" i="2"/>
  <c r="H24" i="2" s="1"/>
  <c r="F24" i="2"/>
  <c r="G23" i="2"/>
  <c r="F23" i="2"/>
  <c r="G22" i="2"/>
  <c r="H22" i="2" s="1"/>
  <c r="F22" i="2"/>
  <c r="G21" i="2"/>
  <c r="F21" i="2"/>
  <c r="G6" i="2"/>
  <c r="H6" i="2" s="1"/>
  <c r="D6" i="2"/>
  <c r="D5" i="2"/>
  <c r="G5" i="2" s="1"/>
  <c r="H5" i="2" s="1"/>
  <c r="G4" i="2"/>
  <c r="H4" i="2" s="1"/>
  <c r="H23" i="2" s="1"/>
  <c r="D4" i="2"/>
  <c r="D3" i="2"/>
  <c r="G3" i="2" s="1"/>
  <c r="H3" i="2" s="1"/>
  <c r="D2" i="2"/>
  <c r="G2" i="2" s="1"/>
  <c r="H2" i="2" s="1"/>
  <c r="H55" i="2" l="1"/>
  <c r="H56" i="2"/>
  <c r="H21" i="2"/>
  <c r="G60" i="2"/>
  <c r="E52" i="2"/>
  <c r="E60" i="2" s="1"/>
  <c r="G54" i="2"/>
  <c r="F52" i="2"/>
  <c r="F60" i="2" s="1"/>
  <c r="G61" i="2"/>
  <c r="G57" i="2"/>
  <c r="E57" i="2"/>
  <c r="E63" i="2" s="1"/>
  <c r="D60" i="2"/>
  <c r="H54" i="2" l="1"/>
  <c r="H62" i="2" s="1"/>
  <c r="G62" i="2"/>
  <c r="G63" i="2"/>
  <c r="H57" i="2"/>
  <c r="H63" i="2" s="1"/>
  <c r="H52" i="2"/>
  <c r="H60" i="2" s="1"/>
  <c r="H61" i="2"/>
</calcChain>
</file>

<file path=xl/sharedStrings.xml><?xml version="1.0" encoding="utf-8"?>
<sst xmlns="http://schemas.openxmlformats.org/spreadsheetml/2006/main" count="173" uniqueCount="88">
  <si>
    <t>Livestock Type</t>
  </si>
  <si>
    <t>Livestock Unit (LSU) per Head</t>
  </si>
  <si>
    <t>Average Density (LSU/ha UAA)</t>
  </si>
  <si>
    <t>Notes</t>
  </si>
  <si>
    <t>Source</t>
  </si>
  <si>
    <t>land use per LSU (ha/LSU)</t>
  </si>
  <si>
    <t>land use per LSU (1000sqkm/million LSU)</t>
  </si>
  <si>
    <t>Bovine (Cattle)</t>
  </si>
  <si>
    <t>0.3–0.5</t>
  </si>
  <si>
    <t>Includes dairy and beef cattle; densities vary by region</t>
  </si>
  <si>
    <t>Eurostat Glossary: Livestock density index</t>
  </si>
  <si>
    <t>Sheep</t>
  </si>
  <si>
    <t>0.1–0.3</t>
  </si>
  <si>
    <t>Typically found in extensive grazing systems</t>
  </si>
  <si>
    <t>Eurostat Glossary: Grazing livestock density index</t>
  </si>
  <si>
    <t>Goats</t>
  </si>
  <si>
    <t>0.05–0.2</t>
  </si>
  <si>
    <t>Often in Mediterranean regions; densities vary</t>
  </si>
  <si>
    <t>Pigs</t>
  </si>
  <si>
    <t>0.5–1.5</t>
  </si>
  <si>
    <t>Higher densities in intensive farming regions</t>
  </si>
  <si>
    <t>Poultry</t>
  </si>
  <si>
    <t>0.5–2.0</t>
  </si>
  <si>
    <t>Intensive production systems lead to higher densities</t>
  </si>
  <si>
    <t>Livestock Product</t>
  </si>
  <si>
    <t>GHG Emissions (kg CO₂e/kg product)</t>
  </si>
  <si>
    <t>Main GHG Sources</t>
  </si>
  <si>
    <t>Beef</t>
  </si>
  <si>
    <t>Enteric CH₄, feed-related N₂O, manure CH₄/N₂O</t>
  </si>
  <si>
    <t>European Commission Study</t>
  </si>
  <si>
    <t>Sheep/Goat Meat</t>
  </si>
  <si>
    <t>Enteric CH₄, manure N₂O, feed CO₂</t>
  </si>
  <si>
    <t>Pork</t>
  </si>
  <si>
    <t>Feed production CO₂/N₂O, manure CH₄/N₂O</t>
  </si>
  <si>
    <t>Feed production CO₂/N₂O, manure N₂O</t>
  </si>
  <si>
    <t>Cow Milk</t>
  </si>
  <si>
    <t>Enteric CH₄, feed CO₂/N₂O, manure CH₄/N₂O</t>
  </si>
  <si>
    <t>Sheep/Goat Milk</t>
  </si>
  <si>
    <t>Eggs</t>
  </si>
  <si>
    <t>Total Livestock (million head)</t>
  </si>
  <si>
    <t>Average Carcass Weight (kg/animal)</t>
  </si>
  <si>
    <t>Total Meat Production (million tonnes)</t>
  </si>
  <si>
    <t>max meat production in a year (beef over estimated)</t>
  </si>
  <si>
    <t>total LSU capacity in 2018</t>
  </si>
  <si>
    <t>land footprint (1000 sq km)</t>
  </si>
  <si>
    <t>Cattle</t>
  </si>
  <si>
    <t>Eurostat</t>
  </si>
  <si>
    <t>Sheep/Goats</t>
  </si>
  <si>
    <t>Land Footprint (m²/kg product)</t>
  </si>
  <si>
    <t>20–30</t>
  </si>
  <si>
    <t>Includes grazing and feed crops</t>
  </si>
  <si>
    <t>JRC Technical Report</t>
  </si>
  <si>
    <t>8–12</t>
  </si>
  <si>
    <t>Primarily feed crops</t>
  </si>
  <si>
    <t>5–8</t>
  </si>
  <si>
    <t>High feed conversion efficiency</t>
  </si>
  <si>
    <t>Sheep/Goat</t>
  </si>
  <si>
    <t>15–25</t>
  </si>
  <si>
    <t>Often raised on marginal lands</t>
  </si>
  <si>
    <t>European Parliament Briefing</t>
  </si>
  <si>
    <t>Emission Source</t>
  </si>
  <si>
    <t>Emission Factor (kg CH₄/head/year)</t>
  </si>
  <si>
    <t>Dairy Cattle</t>
  </si>
  <si>
    <t>Enteric Fermentation</t>
  </si>
  <si>
    <t>Higher emissions due to greater feed intake and milk production</t>
  </si>
  <si>
    <t>EEA Report</t>
  </si>
  <si>
    <t>Beef Cattle</t>
  </si>
  <si>
    <t>Lower emissions compared to dairy cattle</t>
  </si>
  <si>
    <t>Moderate emissions</t>
  </si>
  <si>
    <t>IPCC Guidelines</t>
  </si>
  <si>
    <t>Lower emissions</t>
  </si>
  <si>
    <t>Manure Management</t>
  </si>
  <si>
    <t>Emissions primarily from manure storage and handling</t>
  </si>
  <si>
    <t>Minimal emissions due to efficient feed conversion and manure management</t>
  </si>
  <si>
    <t>CH₄ Emissions (kg/head/year)</t>
  </si>
  <si>
    <t>N₂O Emissions (kg/head/year)</t>
  </si>
  <si>
    <t>CO₂ Emissions (kg/head/year)</t>
  </si>
  <si>
    <t>GGELS (2010)</t>
  </si>
  <si>
    <t>CH₄(Mton/Million LSU)</t>
  </si>
  <si>
    <t>N₂O  (Mton/Million LSU)</t>
  </si>
  <si>
    <t>CO₂ ((Mton/Million LSU))</t>
  </si>
  <si>
    <t>CH₄(Mton/Million LSU)in CO2e</t>
  </si>
  <si>
    <t>Total CO2e</t>
  </si>
  <si>
    <t>N₂O  (Mton/Million LSU) in CO2e</t>
  </si>
  <si>
    <t>CO₂ ((Mton/Million LSU))in CO2e</t>
  </si>
  <si>
    <t>Source (deductions)</t>
  </si>
  <si>
    <t>Bovine</t>
  </si>
  <si>
    <t>Sheep &amp; Goats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</si>
</sst>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1" fillId="0" borderId="0"/>
  </cellStyleXfs>
  <cellXfs count="19">
    <xf numFmtId="0" fontId="0" fillId="0" borderId="0" xfId="0"/>
    <xf numFmtId="0" fontId="5" fillId="0" borderId="0" xfId="2" applyFont="1" applyAlignment="1">
      <alignment horizontal="center" vertical="center" wrapText="1"/>
    </xf>
    <xf numFmtId="0" fontId="4" fillId="0" borderId="0" xfId="2"/>
    <xf numFmtId="0" fontId="4" fillId="0" borderId="0" xfId="2" applyAlignment="1">
      <alignment vertical="center" wrapText="1"/>
    </xf>
    <xf numFmtId="0" fontId="3" fillId="0" borderId="0" xfId="1" applyAlignment="1">
      <alignment vertical="center" wrapText="1"/>
    </xf>
    <xf numFmtId="0" fontId="5" fillId="0" borderId="0" xfId="2" applyFont="1" applyAlignment="1">
      <alignment vertical="center" wrapText="1"/>
    </xf>
    <xf numFmtId="3" fontId="4" fillId="0" borderId="0" xfId="2" applyNumberFormat="1" applyAlignment="1">
      <alignment vertical="center" wrapText="1"/>
    </xf>
    <xf numFmtId="0" fontId="2" fillId="0" borderId="1" xfId="2" applyFont="1" applyBorder="1" applyAlignment="1">
      <alignment horizontal="left" vertical="top"/>
    </xf>
    <xf numFmtId="0" fontId="4" fillId="0" borderId="1" xfId="2" applyBorder="1" applyAlignment="1">
      <alignment horizontal="left" vertical="top"/>
    </xf>
    <xf numFmtId="0" fontId="3" fillId="0" borderId="1" xfId="1" applyBorder="1" applyAlignment="1">
      <alignment horizontal="left" vertical="top"/>
    </xf>
    <xf numFmtId="0" fontId="4" fillId="0" borderId="2" xfId="2" applyBorder="1" applyAlignment="1">
      <alignment horizontal="left" vertical="top"/>
    </xf>
    <xf numFmtId="0" fontId="4" fillId="0" borderId="1" xfId="2" applyBorder="1" applyAlignment="1">
      <alignment horizontal="left"/>
    </xf>
    <xf numFmtId="164" fontId="4" fillId="0" borderId="1" xfId="2" applyNumberFormat="1" applyBorder="1" applyAlignment="1">
      <alignment horizontal="left"/>
    </xf>
    <xf numFmtId="164" fontId="4" fillId="0" borderId="1" xfId="2" applyNumberFormat="1" applyBorder="1"/>
    <xf numFmtId="0" fontId="4" fillId="0" borderId="0" xfId="2" applyAlignment="1">
      <alignment horizontal="left"/>
    </xf>
    <xf numFmtId="164" fontId="4" fillId="0" borderId="0" xfId="2" applyNumberFormat="1" applyAlignment="1">
      <alignment horizontal="left"/>
    </xf>
    <xf numFmtId="164" fontId="4" fillId="0" borderId="0" xfId="2" applyNumberFormat="1"/>
    <xf numFmtId="0" fontId="3" fillId="0" borderId="0" xfId="1" applyBorder="1" applyAlignment="1">
      <alignment horizontal="left" vertical="top"/>
    </xf>
    <xf numFmtId="2" fontId="4" fillId="0" borderId="0" xfId="2" applyNumberFormat="1"/>
  </cellXfs>
  <cellStyles count="4">
    <cellStyle name="Hyperlink" xfId="1" builtinId="8"/>
    <cellStyle name="Normal" xfId="0" builtinId="0"/>
    <cellStyle name="Normal 2" xfId="2" xr:uid="{B2E59874-B4D1-4239-9F02-0AE16E85A4C0}"/>
    <cellStyle name="Normal 2 2" xfId="3" xr:uid="{643D080A-0E0F-4921-BBFA-35B2F55989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c.europa.eu/eurostat/statistics-explained/index.php?title=Agricultural_production_-_livestock_and_meat" TargetMode="External"/><Relationship Id="rId18" Type="http://schemas.openxmlformats.org/officeDocument/2006/relationships/hyperlink" Target="https://publications.jrc.ec.europa.eu/repository/bitstream/JRC128072/JRC128072_01.pdf" TargetMode="External"/><Relationship Id="rId26" Type="http://schemas.openxmlformats.org/officeDocument/2006/relationships/hyperlink" Target="https://www.ipcc-nggip.iges.or.jp/public/2006gl/pdf/4_Volume4/V4_10_Ch10_Livestock.pdf" TargetMode="External"/><Relationship Id="rId3" Type="http://schemas.openxmlformats.org/officeDocument/2006/relationships/hyperlink" Target="https://ec.europa.eu/eurostat/statistics-explained/index.php?title=Glossary:Grazing_livestock_density_index" TargetMode="External"/><Relationship Id="rId21" Type="http://schemas.openxmlformats.org/officeDocument/2006/relationships/hyperlink" Target="https://www.eea.europa.eu/publications/methane-emissions-in-the-eu" TargetMode="External"/><Relationship Id="rId34" Type="http://schemas.openxmlformats.org/officeDocument/2006/relationships/hyperlink" Target="https://agriculture.ec.europa.eu/system/files/2020-02/ext-study-livestock-gas-exec-sum_2010_en_0.pdf" TargetMode="External"/><Relationship Id="rId7" Type="http://schemas.openxmlformats.org/officeDocument/2006/relationships/hyperlink" Target="https://agriculture.ec.europa.eu/system/files/2020-02/ext-study-livestock-gas-exec-sum_2010_en_0.pdf" TargetMode="External"/><Relationship Id="rId12" Type="http://schemas.openxmlformats.org/officeDocument/2006/relationships/hyperlink" Target="https://agriculture.ec.europa.eu/system/files/2020-02/ext-study-livestock-gas-exec-sum_2010_en_0.pdf" TargetMode="External"/><Relationship Id="rId17" Type="http://schemas.openxmlformats.org/officeDocument/2006/relationships/hyperlink" Target="https://publications.jrc.ec.europa.eu/repository/bitstream/JRC128072/JRC128072_01.pdf" TargetMode="External"/><Relationship Id="rId25" Type="http://schemas.openxmlformats.org/officeDocument/2006/relationships/hyperlink" Target="https://www.ipcc-nggip.iges.or.jp/public/2006gl/pdf/4_Volume4/V4_10_Ch10_Livestock.pdf" TargetMode="External"/><Relationship Id="rId33" Type="http://schemas.openxmlformats.org/officeDocument/2006/relationships/hyperlink" Target="https://agriculture.ec.europa.eu/system/files/2020-02/ext-study-livestock-gas-exec-sum_2010_en_0.pdf" TargetMode="External"/><Relationship Id="rId2" Type="http://schemas.openxmlformats.org/officeDocument/2006/relationships/hyperlink" Target="https://ec.europa.eu/eurostat/statistics-explained/index.php?title=Glossary:Grazing_livestock_density_index" TargetMode="External"/><Relationship Id="rId16" Type="http://schemas.openxmlformats.org/officeDocument/2006/relationships/hyperlink" Target="https://ec.europa.eu/eurostat/statistics-explained/index.php?title=Agricultural_production_-_livestock_and_meat" TargetMode="External"/><Relationship Id="rId20" Type="http://schemas.openxmlformats.org/officeDocument/2006/relationships/hyperlink" Target="https://www.europarl.europa.eu/RegData/etudes/BRIE/2017/608663/EPRS_BRI%282017%29608663_EN.pdf" TargetMode="External"/><Relationship Id="rId29" Type="http://schemas.openxmlformats.org/officeDocument/2006/relationships/hyperlink" Target="https://agriculture.ec.europa.eu/system/files/2020-02/ext-study-livestock-gas-exec-sum_2010_en_0.pdf" TargetMode="External"/><Relationship Id="rId1" Type="http://schemas.openxmlformats.org/officeDocument/2006/relationships/hyperlink" Target="https://ec.europa.eu/eurostat/statistics-explained/index.php?title=Glossary:Livestock_density_index" TargetMode="External"/><Relationship Id="rId6" Type="http://schemas.openxmlformats.org/officeDocument/2006/relationships/hyperlink" Target="https://agriculture.ec.europa.eu/system/files/2020-02/ext-study-livestock-gas-exec-sum_2010_en_0.pdf" TargetMode="External"/><Relationship Id="rId11" Type="http://schemas.openxmlformats.org/officeDocument/2006/relationships/hyperlink" Target="https://agriculture.ec.europa.eu/system/files/2020-02/ext-study-livestock-gas-exec-sum_2010_en_0.pdf" TargetMode="External"/><Relationship Id="rId24" Type="http://schemas.openxmlformats.org/officeDocument/2006/relationships/hyperlink" Target="https://www.ipcc-nggip.iges.or.jp/public/2006gl/pdf/4_Volume4/V4_10_Ch10_Livestock.pdf" TargetMode="External"/><Relationship Id="rId32" Type="http://schemas.openxmlformats.org/officeDocument/2006/relationships/hyperlink" Target="https://agriculture.ec.europa.eu/system/files/2020-02/ext-study-livestock-gas-exec-sum_2010_en_0.pdf" TargetMode="External"/><Relationship Id="rId5" Type="http://schemas.openxmlformats.org/officeDocument/2006/relationships/hyperlink" Target="https://ec.europa.eu/eurostat/statistics-explained/index.php?title=Glossary:Livestock_density_index" TargetMode="External"/><Relationship Id="rId15" Type="http://schemas.openxmlformats.org/officeDocument/2006/relationships/hyperlink" Target="https://ec.europa.eu/eurostat/statistics-explained/index.php?title=Agricultural_production_-_livestock_and_meat" TargetMode="External"/><Relationship Id="rId23" Type="http://schemas.openxmlformats.org/officeDocument/2006/relationships/hyperlink" Target="https://www.ipcc-nggip.iges.or.jp/public/2006gl/pdf/4_Volume4/V4_10_Ch10_Livestock.pdf" TargetMode="External"/><Relationship Id="rId28" Type="http://schemas.openxmlformats.org/officeDocument/2006/relationships/hyperlink" Target="https://agriculture.ec.europa.eu/system/files/2020-02/ext-study-livestock-gas-exec-sum_2010_en_0.pdf" TargetMode="External"/><Relationship Id="rId10" Type="http://schemas.openxmlformats.org/officeDocument/2006/relationships/hyperlink" Target="https://agriculture.ec.europa.eu/system/files/2020-02/ext-study-livestock-gas-exec-sum_2010_en_0.pdf" TargetMode="External"/><Relationship Id="rId19" Type="http://schemas.openxmlformats.org/officeDocument/2006/relationships/hyperlink" Target="https://publications.jrc.ec.europa.eu/repository/bitstream/JRC128072/JRC128072_01.pdf" TargetMode="External"/><Relationship Id="rId31" Type="http://schemas.openxmlformats.org/officeDocument/2006/relationships/hyperlink" Target="https://agriculture.ec.europa.eu/system/files/2020-02/ext-study-livestock-gas-exec-sum_2010_en_0.pdf" TargetMode="External"/><Relationship Id="rId4" Type="http://schemas.openxmlformats.org/officeDocument/2006/relationships/hyperlink" Target="https://ec.europa.eu/eurostat/statistics-explained/index.php?title=Glossary:Livestock_density_index" TargetMode="External"/><Relationship Id="rId9" Type="http://schemas.openxmlformats.org/officeDocument/2006/relationships/hyperlink" Target="https://agriculture.ec.europa.eu/system/files/2020-02/ext-study-livestock-gas-exec-sum_2010_en_0.pdf" TargetMode="External"/><Relationship Id="rId14" Type="http://schemas.openxmlformats.org/officeDocument/2006/relationships/hyperlink" Target="https://ec.europa.eu/eurostat/statistics-explained/index.php?title=Agricultural_production_-_livestock_and_meat" TargetMode="External"/><Relationship Id="rId22" Type="http://schemas.openxmlformats.org/officeDocument/2006/relationships/hyperlink" Target="https://www.eea.europa.eu/publications/methane-emissions-in-the-eu" TargetMode="External"/><Relationship Id="rId27" Type="http://schemas.openxmlformats.org/officeDocument/2006/relationships/hyperlink" Target="https://agriculture.ec.europa.eu/system/files/2020-02/ext-study-livestock-gas-exec-sum_2010_en_0.pdf" TargetMode="External"/><Relationship Id="rId30" Type="http://schemas.openxmlformats.org/officeDocument/2006/relationships/hyperlink" Target="https://agriculture.ec.europa.eu/system/files/2020-02/ext-study-livestock-gas-exec-sum_2010_en_0.pdf" TargetMode="External"/><Relationship Id="rId8" Type="http://schemas.openxmlformats.org/officeDocument/2006/relationships/hyperlink" Target="https://agriculture.ec.europa.eu/system/files/2020-02/ext-study-livestock-gas-exec-sum_2010_en_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431A-CA91-4EC1-8541-261FC61875D3}">
  <dimension ref="A1:I7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defaultColWidth="48.140625" defaultRowHeight="15" x14ac:dyDescent="0.25"/>
  <cols>
    <col min="1" max="1" width="14.42578125" style="2" bestFit="1" customWidth="1"/>
    <col min="2" max="2" width="26" style="2" bestFit="1" customWidth="1"/>
    <col min="3" max="3" width="26.140625" style="2" bestFit="1" customWidth="1"/>
    <col min="4" max="4" width="27.5703125" style="2" bestFit="1" customWidth="1"/>
    <col min="5" max="5" width="26.5703125" style="2" bestFit="1" customWidth="1"/>
    <col min="6" max="6" width="27.5703125" style="2" bestFit="1" customWidth="1"/>
    <col min="7" max="7" width="28.140625" style="2" bestFit="1" customWidth="1"/>
    <col min="8" max="8" width="12.7109375" style="2" customWidth="1"/>
    <col min="9" max="9" width="18" style="2" bestFit="1" customWidth="1"/>
    <col min="10" max="16384" width="48.140625" style="2"/>
  </cols>
  <sheetData>
    <row r="1" spans="1:8" ht="60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 x14ac:dyDescent="0.25">
      <c r="A2" s="3" t="s">
        <v>7</v>
      </c>
      <c r="B2" s="3">
        <v>1</v>
      </c>
      <c r="C2" s="3" t="s">
        <v>8</v>
      </c>
      <c r="D2" s="3">
        <f>(0.3+0.5)/2</f>
        <v>0.4</v>
      </c>
      <c r="E2" s="3" t="s">
        <v>9</v>
      </c>
      <c r="F2" s="4" t="s">
        <v>10</v>
      </c>
      <c r="G2" s="2">
        <f>1/D2</f>
        <v>2.5</v>
      </c>
      <c r="H2" s="2">
        <f>G2/10</f>
        <v>0.25</v>
      </c>
    </row>
    <row r="3" spans="1:8" ht="30" x14ac:dyDescent="0.25">
      <c r="A3" s="3" t="s">
        <v>11</v>
      </c>
      <c r="B3" s="3">
        <v>0.1</v>
      </c>
      <c r="C3" s="3" t="s">
        <v>12</v>
      </c>
      <c r="D3" s="3">
        <f>(0.1+0.3)/2</f>
        <v>0.2</v>
      </c>
      <c r="E3" s="3" t="s">
        <v>13</v>
      </c>
      <c r="F3" s="4" t="s">
        <v>14</v>
      </c>
      <c r="G3" s="2">
        <f t="shared" ref="G3:G6" si="0">1/D3</f>
        <v>5</v>
      </c>
      <c r="H3" s="2">
        <f t="shared" ref="H3:H6" si="1">G3/10</f>
        <v>0.5</v>
      </c>
    </row>
    <row r="4" spans="1:8" ht="30" x14ac:dyDescent="0.25">
      <c r="A4" s="3" t="s">
        <v>15</v>
      </c>
      <c r="B4" s="3">
        <v>0.1</v>
      </c>
      <c r="C4" s="3" t="s">
        <v>16</v>
      </c>
      <c r="D4" s="3">
        <f>(0.05+0.2)/2</f>
        <v>0.125</v>
      </c>
      <c r="E4" s="3" t="s">
        <v>17</v>
      </c>
      <c r="F4" s="4" t="s">
        <v>14</v>
      </c>
      <c r="G4" s="2">
        <f t="shared" si="0"/>
        <v>8</v>
      </c>
      <c r="H4" s="2">
        <f t="shared" si="1"/>
        <v>0.8</v>
      </c>
    </row>
    <row r="5" spans="1:8" ht="30" x14ac:dyDescent="0.25">
      <c r="A5" s="3" t="s">
        <v>18</v>
      </c>
      <c r="B5" s="3">
        <v>0.3</v>
      </c>
      <c r="C5" s="3" t="s">
        <v>19</v>
      </c>
      <c r="D5" s="3">
        <f>(0.5+1.5)/2</f>
        <v>1</v>
      </c>
      <c r="E5" s="3" t="s">
        <v>20</v>
      </c>
      <c r="F5" s="4" t="s">
        <v>10</v>
      </c>
      <c r="G5" s="2">
        <f t="shared" si="0"/>
        <v>1</v>
      </c>
      <c r="H5" s="2">
        <f t="shared" si="1"/>
        <v>0.1</v>
      </c>
    </row>
    <row r="6" spans="1:8" ht="45" x14ac:dyDescent="0.25">
      <c r="A6" s="3" t="s">
        <v>21</v>
      </c>
      <c r="B6" s="3">
        <v>1.4E-2</v>
      </c>
      <c r="C6" s="3" t="s">
        <v>22</v>
      </c>
      <c r="D6" s="3">
        <f>(0.5+2)/2</f>
        <v>1.25</v>
      </c>
      <c r="E6" s="3" t="s">
        <v>23</v>
      </c>
      <c r="F6" s="4" t="s">
        <v>10</v>
      </c>
      <c r="G6" s="2">
        <f t="shared" si="0"/>
        <v>0.8</v>
      </c>
      <c r="H6" s="2">
        <f t="shared" si="1"/>
        <v>0.08</v>
      </c>
    </row>
    <row r="9" spans="1:8" ht="30" x14ac:dyDescent="0.25">
      <c r="A9" s="1" t="s">
        <v>24</v>
      </c>
      <c r="B9" s="1" t="s">
        <v>25</v>
      </c>
      <c r="C9" s="1" t="s">
        <v>26</v>
      </c>
      <c r="D9" s="1" t="s">
        <v>4</v>
      </c>
    </row>
    <row r="10" spans="1:8" ht="30" x14ac:dyDescent="0.25">
      <c r="A10" s="5" t="s">
        <v>27</v>
      </c>
      <c r="B10" s="3">
        <v>22.2</v>
      </c>
      <c r="C10" s="3" t="s">
        <v>28</v>
      </c>
      <c r="D10" s="4" t="s">
        <v>29</v>
      </c>
    </row>
    <row r="11" spans="1:8" ht="30" x14ac:dyDescent="0.25">
      <c r="A11" s="5" t="s">
        <v>30</v>
      </c>
      <c r="B11" s="3">
        <v>20.3</v>
      </c>
      <c r="C11" s="3" t="s">
        <v>31</v>
      </c>
      <c r="D11" s="4" t="s">
        <v>29</v>
      </c>
    </row>
    <row r="12" spans="1:8" ht="30" x14ac:dyDescent="0.25">
      <c r="A12" s="5" t="s">
        <v>32</v>
      </c>
      <c r="B12" s="3">
        <v>7.5</v>
      </c>
      <c r="C12" s="3" t="s">
        <v>33</v>
      </c>
      <c r="D12" s="4" t="s">
        <v>29</v>
      </c>
    </row>
    <row r="13" spans="1:8" ht="30" x14ac:dyDescent="0.25">
      <c r="A13" s="5" t="s">
        <v>21</v>
      </c>
      <c r="B13" s="3">
        <v>4.9000000000000004</v>
      </c>
      <c r="C13" s="3" t="s">
        <v>34</v>
      </c>
      <c r="D13" s="4" t="s">
        <v>29</v>
      </c>
    </row>
    <row r="14" spans="1:8" ht="30" x14ac:dyDescent="0.25">
      <c r="A14" s="5" t="s">
        <v>35</v>
      </c>
      <c r="B14" s="3">
        <v>1.4</v>
      </c>
      <c r="C14" s="3" t="s">
        <v>36</v>
      </c>
      <c r="D14" s="4" t="s">
        <v>29</v>
      </c>
    </row>
    <row r="15" spans="1:8" ht="30" x14ac:dyDescent="0.25">
      <c r="A15" s="5" t="s">
        <v>37</v>
      </c>
      <c r="B15" s="3">
        <v>2.9</v>
      </c>
      <c r="C15" s="3" t="s">
        <v>36</v>
      </c>
      <c r="D15" s="4" t="s">
        <v>29</v>
      </c>
    </row>
    <row r="16" spans="1:8" ht="30" x14ac:dyDescent="0.25">
      <c r="A16" s="5" t="s">
        <v>38</v>
      </c>
      <c r="B16" s="3">
        <v>4.8</v>
      </c>
      <c r="C16" s="3" t="s">
        <v>34</v>
      </c>
      <c r="D16" s="4" t="s">
        <v>29</v>
      </c>
    </row>
    <row r="20" spans="1:8" ht="45" x14ac:dyDescent="0.25">
      <c r="A20" s="1" t="s">
        <v>0</v>
      </c>
      <c r="B20" s="1" t="s">
        <v>39</v>
      </c>
      <c r="C20" s="1" t="s">
        <v>40</v>
      </c>
      <c r="D20" s="1" t="s">
        <v>41</v>
      </c>
      <c r="E20" s="1" t="s">
        <v>4</v>
      </c>
      <c r="F20" s="1" t="s">
        <v>42</v>
      </c>
      <c r="G20" s="1" t="s">
        <v>43</v>
      </c>
      <c r="H20" s="1" t="s">
        <v>44</v>
      </c>
    </row>
    <row r="21" spans="1:8" x14ac:dyDescent="0.25">
      <c r="A21" s="5" t="s">
        <v>45</v>
      </c>
      <c r="B21" s="3">
        <v>75</v>
      </c>
      <c r="C21" s="3">
        <v>300</v>
      </c>
      <c r="D21" s="3">
        <v>6.5</v>
      </c>
      <c r="E21" s="4" t="s">
        <v>46</v>
      </c>
      <c r="F21" s="2">
        <f>B21*C21/1000</f>
        <v>22.5</v>
      </c>
      <c r="G21" s="2">
        <f>B21*B2</f>
        <v>75</v>
      </c>
      <c r="H21" s="2">
        <f>G21*H2</f>
        <v>18.75</v>
      </c>
    </row>
    <row r="22" spans="1:8" x14ac:dyDescent="0.25">
      <c r="A22" s="5" t="s">
        <v>18</v>
      </c>
      <c r="B22" s="3">
        <v>134</v>
      </c>
      <c r="C22" s="3">
        <v>95</v>
      </c>
      <c r="D22" s="3">
        <v>12.7</v>
      </c>
      <c r="E22" s="4" t="s">
        <v>46</v>
      </c>
      <c r="F22" s="2">
        <f t="shared" ref="F22:F24" si="2">B22*C22/1000</f>
        <v>12.73</v>
      </c>
      <c r="G22" s="2">
        <f>B22*B5</f>
        <v>40.199999999999996</v>
      </c>
      <c r="H22" s="2">
        <f>G22*H5</f>
        <v>4.0199999999999996</v>
      </c>
    </row>
    <row r="23" spans="1:8" x14ac:dyDescent="0.25">
      <c r="A23" s="5" t="s">
        <v>47</v>
      </c>
      <c r="B23" s="3">
        <v>80</v>
      </c>
      <c r="C23" s="3">
        <v>20</v>
      </c>
      <c r="D23" s="3">
        <v>1.6</v>
      </c>
      <c r="E23" s="4" t="s">
        <v>46</v>
      </c>
      <c r="F23" s="2">
        <f t="shared" si="2"/>
        <v>1.6</v>
      </c>
      <c r="G23" s="2">
        <f>B23*B3</f>
        <v>8</v>
      </c>
      <c r="H23" s="2">
        <f>G23*AVERAGE(H4:H5)</f>
        <v>3.6</v>
      </c>
    </row>
    <row r="24" spans="1:8" x14ac:dyDescent="0.25">
      <c r="A24" s="5" t="s">
        <v>21</v>
      </c>
      <c r="B24" s="6">
        <v>1500</v>
      </c>
      <c r="C24" s="3">
        <v>1.5</v>
      </c>
      <c r="D24" s="3">
        <v>2.2999999999999998</v>
      </c>
      <c r="E24" s="4" t="s">
        <v>46</v>
      </c>
      <c r="F24" s="2">
        <f t="shared" si="2"/>
        <v>2.25</v>
      </c>
      <c r="G24" s="2">
        <f>B24*B6</f>
        <v>21</v>
      </c>
      <c r="H24" s="2">
        <f>G24*H6</f>
        <v>1.68</v>
      </c>
    </row>
    <row r="27" spans="1:8" ht="30" x14ac:dyDescent="0.25">
      <c r="A27" s="1" t="s">
        <v>0</v>
      </c>
      <c r="B27" s="1" t="s">
        <v>48</v>
      </c>
      <c r="C27" s="1" t="s">
        <v>3</v>
      </c>
      <c r="D27" s="1" t="s">
        <v>4</v>
      </c>
    </row>
    <row r="28" spans="1:8" ht="30" x14ac:dyDescent="0.25">
      <c r="A28" s="5" t="s">
        <v>27</v>
      </c>
      <c r="B28" s="3" t="s">
        <v>49</v>
      </c>
      <c r="C28" s="3" t="s">
        <v>50</v>
      </c>
      <c r="D28" s="4" t="s">
        <v>51</v>
      </c>
    </row>
    <row r="29" spans="1:8" x14ac:dyDescent="0.25">
      <c r="A29" s="5" t="s">
        <v>32</v>
      </c>
      <c r="B29" s="3" t="s">
        <v>52</v>
      </c>
      <c r="C29" s="3" t="s">
        <v>53</v>
      </c>
      <c r="D29" s="4" t="s">
        <v>51</v>
      </c>
    </row>
    <row r="30" spans="1:8" ht="30" x14ac:dyDescent="0.25">
      <c r="A30" s="5" t="s">
        <v>21</v>
      </c>
      <c r="B30" s="3" t="s">
        <v>54</v>
      </c>
      <c r="C30" s="3" t="s">
        <v>55</v>
      </c>
      <c r="D30" s="4" t="s">
        <v>51</v>
      </c>
    </row>
    <row r="31" spans="1:8" ht="30" x14ac:dyDescent="0.25">
      <c r="A31" s="5" t="s">
        <v>56</v>
      </c>
      <c r="B31" s="3" t="s">
        <v>57</v>
      </c>
      <c r="C31" s="3" t="s">
        <v>58</v>
      </c>
      <c r="D31" s="4" t="s">
        <v>59</v>
      </c>
    </row>
    <row r="34" spans="1:8" ht="30" x14ac:dyDescent="0.25">
      <c r="A34" s="1" t="s">
        <v>0</v>
      </c>
      <c r="B34" s="1" t="s">
        <v>60</v>
      </c>
      <c r="C34" s="1" t="s">
        <v>61</v>
      </c>
      <c r="D34" s="1" t="s">
        <v>3</v>
      </c>
      <c r="E34" s="1" t="s">
        <v>4</v>
      </c>
    </row>
    <row r="35" spans="1:8" ht="45" x14ac:dyDescent="0.25">
      <c r="A35" s="5" t="s">
        <v>62</v>
      </c>
      <c r="B35" s="3" t="s">
        <v>63</v>
      </c>
      <c r="C35" s="3">
        <v>120</v>
      </c>
      <c r="D35" s="3" t="s">
        <v>64</v>
      </c>
      <c r="E35" s="4" t="s">
        <v>65</v>
      </c>
    </row>
    <row r="36" spans="1:8" ht="30" x14ac:dyDescent="0.25">
      <c r="A36" s="5" t="s">
        <v>66</v>
      </c>
      <c r="B36" s="3" t="s">
        <v>63</v>
      </c>
      <c r="C36" s="3">
        <v>60</v>
      </c>
      <c r="D36" s="3" t="s">
        <v>67</v>
      </c>
      <c r="E36" s="4" t="s">
        <v>65</v>
      </c>
    </row>
    <row r="37" spans="1:8" x14ac:dyDescent="0.25">
      <c r="A37" s="5" t="s">
        <v>11</v>
      </c>
      <c r="B37" s="3" t="s">
        <v>63</v>
      </c>
      <c r="C37" s="3">
        <v>8</v>
      </c>
      <c r="D37" s="3" t="s">
        <v>68</v>
      </c>
      <c r="E37" s="4" t="s">
        <v>69</v>
      </c>
    </row>
    <row r="38" spans="1:8" x14ac:dyDescent="0.25">
      <c r="A38" s="5" t="s">
        <v>15</v>
      </c>
      <c r="B38" s="3" t="s">
        <v>63</v>
      </c>
      <c r="C38" s="3">
        <v>5</v>
      </c>
      <c r="D38" s="3" t="s">
        <v>70</v>
      </c>
      <c r="E38" s="4" t="s">
        <v>69</v>
      </c>
    </row>
    <row r="39" spans="1:8" ht="30" x14ac:dyDescent="0.25">
      <c r="A39" s="5" t="s">
        <v>18</v>
      </c>
      <c r="B39" s="3" t="s">
        <v>71</v>
      </c>
      <c r="C39" s="3">
        <v>1.5</v>
      </c>
      <c r="D39" s="3" t="s">
        <v>72</v>
      </c>
      <c r="E39" s="4" t="s">
        <v>69</v>
      </c>
    </row>
    <row r="40" spans="1:8" ht="45" x14ac:dyDescent="0.25">
      <c r="A40" s="5" t="s">
        <v>21</v>
      </c>
      <c r="B40" s="3" t="s">
        <v>71</v>
      </c>
      <c r="C40" s="3">
        <v>0.1</v>
      </c>
      <c r="D40" s="3" t="s">
        <v>73</v>
      </c>
      <c r="E40" s="4" t="s">
        <v>69</v>
      </c>
    </row>
    <row r="43" spans="1:8" x14ac:dyDescent="0.25">
      <c r="A43" s="7" t="s">
        <v>0</v>
      </c>
      <c r="B43" s="7" t="s">
        <v>74</v>
      </c>
      <c r="C43" s="7" t="s">
        <v>75</v>
      </c>
      <c r="D43" s="7" t="s">
        <v>76</v>
      </c>
      <c r="E43" s="7" t="s">
        <v>4</v>
      </c>
    </row>
    <row r="44" spans="1:8" x14ac:dyDescent="0.25">
      <c r="A44" s="8" t="s">
        <v>62</v>
      </c>
      <c r="B44" s="8">
        <v>120</v>
      </c>
      <c r="C44" s="8">
        <v>1.8</v>
      </c>
      <c r="D44" s="8">
        <v>327</v>
      </c>
      <c r="E44" s="9" t="s">
        <v>77</v>
      </c>
    </row>
    <row r="45" spans="1:8" x14ac:dyDescent="0.25">
      <c r="A45" s="8" t="s">
        <v>66</v>
      </c>
      <c r="B45" s="8">
        <v>60</v>
      </c>
      <c r="C45" s="8">
        <v>1.2</v>
      </c>
      <c r="D45" s="8">
        <v>300</v>
      </c>
      <c r="E45" s="9" t="s">
        <v>77</v>
      </c>
      <c r="G45" s="10"/>
      <c r="H45" s="10"/>
    </row>
    <row r="46" spans="1:8" x14ac:dyDescent="0.25">
      <c r="A46" s="8" t="s">
        <v>18</v>
      </c>
      <c r="B46" s="8">
        <v>1.5</v>
      </c>
      <c r="C46" s="8">
        <v>0.3</v>
      </c>
      <c r="D46" s="8">
        <v>100</v>
      </c>
      <c r="E46" s="9" t="s">
        <v>77</v>
      </c>
      <c r="G46" s="10"/>
    </row>
    <row r="47" spans="1:8" x14ac:dyDescent="0.25">
      <c r="A47" s="8" t="s">
        <v>11</v>
      </c>
      <c r="B47" s="8">
        <v>8</v>
      </c>
      <c r="C47" s="8">
        <v>0.2</v>
      </c>
      <c r="D47" s="8">
        <v>80</v>
      </c>
      <c r="E47" s="9" t="s">
        <v>77</v>
      </c>
    </row>
    <row r="48" spans="1:8" x14ac:dyDescent="0.25">
      <c r="A48" s="8" t="s">
        <v>15</v>
      </c>
      <c r="B48" s="8">
        <v>5</v>
      </c>
      <c r="C48" s="8">
        <v>0.1</v>
      </c>
      <c r="D48" s="8">
        <v>50</v>
      </c>
      <c r="E48" s="9" t="s">
        <v>77</v>
      </c>
    </row>
    <row r="49" spans="1:9" x14ac:dyDescent="0.25">
      <c r="A49" s="8" t="s">
        <v>21</v>
      </c>
      <c r="B49" s="8">
        <v>0.03</v>
      </c>
      <c r="C49" s="8">
        <v>0.02</v>
      </c>
      <c r="D49" s="8">
        <v>30</v>
      </c>
      <c r="E49" s="9" t="s">
        <v>77</v>
      </c>
      <c r="F49" s="2">
        <f>D49/1000</f>
        <v>0.03</v>
      </c>
      <c r="G49" s="2">
        <f>F49/0.014</f>
        <v>2.1428571428571428</v>
      </c>
    </row>
    <row r="51" spans="1:9" x14ac:dyDescent="0.25">
      <c r="A51" s="7" t="s">
        <v>0</v>
      </c>
      <c r="B51" s="7" t="s">
        <v>78</v>
      </c>
      <c r="C51" s="7" t="s">
        <v>79</v>
      </c>
      <c r="D51" s="7" t="s">
        <v>80</v>
      </c>
      <c r="E51" s="7" t="s">
        <v>81</v>
      </c>
      <c r="F51" s="7" t="s">
        <v>79</v>
      </c>
      <c r="G51" s="7" t="s">
        <v>80</v>
      </c>
      <c r="H51" s="7" t="s">
        <v>82</v>
      </c>
      <c r="I51" s="7" t="s">
        <v>4</v>
      </c>
    </row>
    <row r="52" spans="1:9" x14ac:dyDescent="0.25">
      <c r="A52" s="11" t="s">
        <v>62</v>
      </c>
      <c r="B52" s="12">
        <f>(B44/1000)/$B2</f>
        <v>0.12</v>
      </c>
      <c r="C52" s="12">
        <f t="shared" ref="C52:D52" si="3">(C44/1000)/$B2</f>
        <v>1.8E-3</v>
      </c>
      <c r="D52" s="12">
        <f t="shared" si="3"/>
        <v>0.32700000000000001</v>
      </c>
      <c r="E52" s="12">
        <f>B52*27</f>
        <v>3.2399999999999998</v>
      </c>
      <c r="F52" s="12">
        <f>C52*273</f>
        <v>0.4914</v>
      </c>
      <c r="G52" s="12">
        <f>D52</f>
        <v>0.32700000000000001</v>
      </c>
      <c r="H52" s="13">
        <f>G52+F52+E52</f>
        <v>4.0583999999999998</v>
      </c>
      <c r="I52" s="9" t="s">
        <v>77</v>
      </c>
    </row>
    <row r="53" spans="1:9" x14ac:dyDescent="0.25">
      <c r="A53" s="11" t="s">
        <v>66</v>
      </c>
      <c r="B53" s="12">
        <f>(B45/1000)/$B2</f>
        <v>0.06</v>
      </c>
      <c r="C53" s="12">
        <f t="shared" ref="C53:D53" si="4">(C45/1000)/$B2</f>
        <v>1.1999999999999999E-3</v>
      </c>
      <c r="D53" s="12">
        <f t="shared" si="4"/>
        <v>0.3</v>
      </c>
      <c r="E53" s="12">
        <f t="shared" ref="E53:E57" si="5">B53*27</f>
        <v>1.6199999999999999</v>
      </c>
      <c r="F53" s="12">
        <f t="shared" ref="F53:F57" si="6">C53*273</f>
        <v>0.32759999999999995</v>
      </c>
      <c r="G53" s="12">
        <f t="shared" ref="G53:G57" si="7">D53</f>
        <v>0.3</v>
      </c>
      <c r="H53" s="13">
        <f t="shared" ref="H53:H57" si="8">G53+F53+E53</f>
        <v>2.2475999999999998</v>
      </c>
      <c r="I53" s="9" t="s">
        <v>77</v>
      </c>
    </row>
    <row r="54" spans="1:9" x14ac:dyDescent="0.25">
      <c r="A54" s="11" t="s">
        <v>18</v>
      </c>
      <c r="B54" s="12">
        <f>(B46/1000)/$B5</f>
        <v>5.0000000000000001E-3</v>
      </c>
      <c r="C54" s="12">
        <f t="shared" ref="C54:D54" si="9">(C46/1000)/$B5</f>
        <v>1E-3</v>
      </c>
      <c r="D54" s="12">
        <f t="shared" si="9"/>
        <v>0.33333333333333337</v>
      </c>
      <c r="E54" s="12">
        <f t="shared" si="5"/>
        <v>0.13500000000000001</v>
      </c>
      <c r="F54" s="12">
        <f t="shared" si="6"/>
        <v>0.27300000000000002</v>
      </c>
      <c r="G54" s="12">
        <f t="shared" si="7"/>
        <v>0.33333333333333337</v>
      </c>
      <c r="H54" s="13">
        <f t="shared" si="8"/>
        <v>0.7413333333333334</v>
      </c>
      <c r="I54" s="9" t="s">
        <v>77</v>
      </c>
    </row>
    <row r="55" spans="1:9" x14ac:dyDescent="0.25">
      <c r="A55" s="11" t="s">
        <v>11</v>
      </c>
      <c r="B55" s="12">
        <f>(B47/1000)/$B3</f>
        <v>0.08</v>
      </c>
      <c r="C55" s="12">
        <f t="shared" ref="C55:D56" si="10">(C47/1000)/$B3</f>
        <v>2E-3</v>
      </c>
      <c r="D55" s="12">
        <f t="shared" si="10"/>
        <v>0.79999999999999993</v>
      </c>
      <c r="E55" s="12">
        <f t="shared" si="5"/>
        <v>2.16</v>
      </c>
      <c r="F55" s="12">
        <f t="shared" si="6"/>
        <v>0.54600000000000004</v>
      </c>
      <c r="G55" s="12">
        <f t="shared" si="7"/>
        <v>0.79999999999999993</v>
      </c>
      <c r="H55" s="13">
        <f t="shared" si="8"/>
        <v>3.5060000000000002</v>
      </c>
      <c r="I55" s="9" t="s">
        <v>77</v>
      </c>
    </row>
    <row r="56" spans="1:9" x14ac:dyDescent="0.25">
      <c r="A56" s="11" t="s">
        <v>15</v>
      </c>
      <c r="B56" s="12">
        <f>(B48/1000)/$B4</f>
        <v>4.9999999999999996E-2</v>
      </c>
      <c r="C56" s="12">
        <f t="shared" si="10"/>
        <v>1E-3</v>
      </c>
      <c r="D56" s="12">
        <f t="shared" si="10"/>
        <v>0.5</v>
      </c>
      <c r="E56" s="12">
        <f t="shared" si="5"/>
        <v>1.3499999999999999</v>
      </c>
      <c r="F56" s="12">
        <f t="shared" si="6"/>
        <v>0.27300000000000002</v>
      </c>
      <c r="G56" s="12">
        <f t="shared" si="7"/>
        <v>0.5</v>
      </c>
      <c r="H56" s="13">
        <f t="shared" si="8"/>
        <v>2.1229999999999998</v>
      </c>
      <c r="I56" s="9" t="s">
        <v>77</v>
      </c>
    </row>
    <row r="57" spans="1:9" x14ac:dyDescent="0.25">
      <c r="A57" s="11" t="s">
        <v>21</v>
      </c>
      <c r="B57" s="12">
        <f>(B49/1000)/$B6</f>
        <v>2.1428571428571425E-3</v>
      </c>
      <c r="C57" s="12">
        <f t="shared" ref="C57:D57" si="11">(C49/1000)/$B6</f>
        <v>1.4285714285714286E-3</v>
      </c>
      <c r="D57" s="12">
        <f t="shared" si="11"/>
        <v>2.1428571428571428</v>
      </c>
      <c r="E57" s="12">
        <f t="shared" si="5"/>
        <v>5.785714285714285E-2</v>
      </c>
      <c r="F57" s="12">
        <f t="shared" si="6"/>
        <v>0.39</v>
      </c>
      <c r="G57" s="12">
        <f t="shared" si="7"/>
        <v>2.1428571428571428</v>
      </c>
      <c r="H57" s="13">
        <f t="shared" si="8"/>
        <v>2.5907142857142857</v>
      </c>
      <c r="I57" s="9" t="s">
        <v>77</v>
      </c>
    </row>
    <row r="58" spans="1:9" x14ac:dyDescent="0.25">
      <c r="A58" s="14"/>
      <c r="B58" s="15"/>
      <c r="C58" s="15"/>
      <c r="D58" s="15"/>
      <c r="E58" s="15"/>
      <c r="F58" s="15"/>
      <c r="G58" s="15"/>
      <c r="H58" s="16"/>
      <c r="I58" s="17"/>
    </row>
    <row r="59" spans="1:9" x14ac:dyDescent="0.25">
      <c r="A59" s="7" t="s">
        <v>0</v>
      </c>
      <c r="B59" s="7" t="s">
        <v>78</v>
      </c>
      <c r="C59" s="7" t="s">
        <v>79</v>
      </c>
      <c r="D59" s="7" t="s">
        <v>80</v>
      </c>
      <c r="E59" s="7" t="s">
        <v>81</v>
      </c>
      <c r="F59" s="7" t="s">
        <v>83</v>
      </c>
      <c r="G59" s="7" t="s">
        <v>84</v>
      </c>
      <c r="H59" s="7" t="s">
        <v>82</v>
      </c>
      <c r="I59" s="7" t="s">
        <v>85</v>
      </c>
    </row>
    <row r="60" spans="1:9" x14ac:dyDescent="0.25">
      <c r="A60" s="11" t="s">
        <v>86</v>
      </c>
      <c r="B60" s="13">
        <f>AVERAGE(B52:B53)</f>
        <v>0.09</v>
      </c>
      <c r="C60" s="13">
        <f t="shared" ref="C60:H60" si="12">AVERAGE(C52:C53)</f>
        <v>1.5E-3</v>
      </c>
      <c r="D60" s="13">
        <f t="shared" si="12"/>
        <v>0.3135</v>
      </c>
      <c r="E60" s="13">
        <f t="shared" si="12"/>
        <v>2.4299999999999997</v>
      </c>
      <c r="F60" s="13">
        <f t="shared" si="12"/>
        <v>0.40949999999999998</v>
      </c>
      <c r="G60" s="13">
        <f t="shared" si="12"/>
        <v>0.3135</v>
      </c>
      <c r="H60" s="13">
        <f t="shared" si="12"/>
        <v>3.1529999999999996</v>
      </c>
      <c r="I60" s="9" t="s">
        <v>77</v>
      </c>
    </row>
    <row r="61" spans="1:9" x14ac:dyDescent="0.25">
      <c r="A61" s="11" t="s">
        <v>87</v>
      </c>
      <c r="B61" s="13">
        <f>AVERAGE(B55:B56)</f>
        <v>6.5000000000000002E-2</v>
      </c>
      <c r="C61" s="13">
        <f t="shared" ref="C61:H61" si="13">AVERAGE(C55:C56)</f>
        <v>1.5E-3</v>
      </c>
      <c r="D61" s="13">
        <f t="shared" si="13"/>
        <v>0.64999999999999991</v>
      </c>
      <c r="E61" s="13">
        <f t="shared" si="13"/>
        <v>1.7549999999999999</v>
      </c>
      <c r="F61" s="13">
        <f t="shared" si="13"/>
        <v>0.40950000000000003</v>
      </c>
      <c r="G61" s="13">
        <f t="shared" si="13"/>
        <v>0.64999999999999991</v>
      </c>
      <c r="H61" s="13">
        <f t="shared" si="13"/>
        <v>2.8144999999999998</v>
      </c>
      <c r="I61" s="9" t="s">
        <v>77</v>
      </c>
    </row>
    <row r="62" spans="1:9" x14ac:dyDescent="0.25">
      <c r="A62" s="11" t="s">
        <v>18</v>
      </c>
      <c r="B62" s="13">
        <f t="shared" ref="B62:H62" si="14">B54</f>
        <v>5.0000000000000001E-3</v>
      </c>
      <c r="C62" s="13">
        <f t="shared" si="14"/>
        <v>1E-3</v>
      </c>
      <c r="D62" s="13">
        <f t="shared" si="14"/>
        <v>0.33333333333333337</v>
      </c>
      <c r="E62" s="13">
        <f t="shared" si="14"/>
        <v>0.13500000000000001</v>
      </c>
      <c r="F62" s="13">
        <f t="shared" si="14"/>
        <v>0.27300000000000002</v>
      </c>
      <c r="G62" s="13">
        <f t="shared" si="14"/>
        <v>0.33333333333333337</v>
      </c>
      <c r="H62" s="13">
        <f t="shared" si="14"/>
        <v>0.7413333333333334</v>
      </c>
      <c r="I62" s="9" t="s">
        <v>77</v>
      </c>
    </row>
    <row r="63" spans="1:9" x14ac:dyDescent="0.25">
      <c r="A63" s="11" t="s">
        <v>21</v>
      </c>
      <c r="B63" s="13">
        <f>B57</f>
        <v>2.1428571428571425E-3</v>
      </c>
      <c r="C63" s="13">
        <f t="shared" ref="C63:H63" si="15">C57</f>
        <v>1.4285714285714286E-3</v>
      </c>
      <c r="D63" s="13">
        <f t="shared" si="15"/>
        <v>2.1428571428571428</v>
      </c>
      <c r="E63" s="13">
        <f t="shared" si="15"/>
        <v>5.785714285714285E-2</v>
      </c>
      <c r="F63" s="13">
        <f t="shared" si="15"/>
        <v>0.39</v>
      </c>
      <c r="G63" s="13">
        <f t="shared" si="15"/>
        <v>2.1428571428571428</v>
      </c>
      <c r="H63" s="13">
        <f t="shared" si="15"/>
        <v>2.5907142857142857</v>
      </c>
      <c r="I63" s="9" t="s">
        <v>77</v>
      </c>
    </row>
    <row r="64" spans="1:9" x14ac:dyDescent="0.25">
      <c r="E64" s="18"/>
    </row>
    <row r="65" spans="5:5" x14ac:dyDescent="0.25">
      <c r="E65" s="18"/>
    </row>
    <row r="66" spans="5:5" x14ac:dyDescent="0.25">
      <c r="E66" s="18"/>
    </row>
    <row r="67" spans="5:5" x14ac:dyDescent="0.25">
      <c r="E67" s="18"/>
    </row>
    <row r="68" spans="5:5" x14ac:dyDescent="0.25">
      <c r="E68" s="18"/>
    </row>
    <row r="69" spans="5:5" x14ac:dyDescent="0.25">
      <c r="E69" s="18"/>
    </row>
    <row r="70" spans="5:5" x14ac:dyDescent="0.25">
      <c r="E70" s="18"/>
    </row>
    <row r="71" spans="5:5" x14ac:dyDescent="0.25">
      <c r="E71" s="18"/>
    </row>
    <row r="72" spans="5:5" x14ac:dyDescent="0.25">
      <c r="E72" s="18"/>
    </row>
    <row r="73" spans="5:5" x14ac:dyDescent="0.25">
      <c r="E73" s="18"/>
    </row>
    <row r="74" spans="5:5" x14ac:dyDescent="0.25">
      <c r="E74" s="18"/>
    </row>
    <row r="75" spans="5:5" x14ac:dyDescent="0.25">
      <c r="E75" s="18"/>
    </row>
    <row r="76" spans="5:5" x14ac:dyDescent="0.25">
      <c r="E76" s="18"/>
    </row>
    <row r="77" spans="5:5" x14ac:dyDescent="0.25">
      <c r="E77" s="18"/>
    </row>
  </sheetData>
  <hyperlinks>
    <hyperlink ref="F2" r:id="rId1" display="https://ec.europa.eu/eurostat/statistics-explained/index.php?title=Glossary:Livestock_density_index" xr:uid="{C8B005AD-FB34-4711-A8AD-C71DC9F04AE1}"/>
    <hyperlink ref="F3" r:id="rId2" display="https://ec.europa.eu/eurostat/statistics-explained/index.php?title=Glossary:Grazing_livestock_density_index" xr:uid="{28F0EC82-D862-4BA0-A5D1-68386CB25674}"/>
    <hyperlink ref="F4" r:id="rId3" display="https://ec.europa.eu/eurostat/statistics-explained/index.php?title=Glossary:Grazing_livestock_density_index" xr:uid="{EAC5C7B0-7B24-46E8-B4EC-4897DBF05DBC}"/>
    <hyperlink ref="F5" r:id="rId4" display="https://ec.europa.eu/eurostat/statistics-explained/index.php?title=Glossary:Livestock_density_index" xr:uid="{C24AE311-CA80-4467-9728-8A7CE4A87266}"/>
    <hyperlink ref="F6" r:id="rId5" display="https://ec.europa.eu/eurostat/statistics-explained/index.php?title=Glossary:Livestock_density_index" xr:uid="{A9272C17-E4B1-415E-91B9-B43E284E45D4}"/>
    <hyperlink ref="D10" r:id="rId6" display="https://agriculture.ec.europa.eu/system/files/2020-02/ext-study-livestock-gas-exec-sum_2010_en_0.pdf" xr:uid="{D10693DB-0EB2-4369-B168-D34B76AD6BAD}"/>
    <hyperlink ref="D11" r:id="rId7" display="https://agriculture.ec.europa.eu/system/files/2020-02/ext-study-livestock-gas-exec-sum_2010_en_0.pdf" xr:uid="{179862B8-57B1-41A5-A469-E4CACA79A09B}"/>
    <hyperlink ref="D12" r:id="rId8" display="https://agriculture.ec.europa.eu/system/files/2020-02/ext-study-livestock-gas-exec-sum_2010_en_0.pdf" xr:uid="{A46B0B34-3595-47CE-A8A0-08CD52E03594}"/>
    <hyperlink ref="D13" r:id="rId9" display="https://agriculture.ec.europa.eu/system/files/2020-02/ext-study-livestock-gas-exec-sum_2010_en_0.pdf" xr:uid="{F06A0385-00C2-4E0C-AC4C-D195A97E9A4C}"/>
    <hyperlink ref="D14" r:id="rId10" display="https://agriculture.ec.europa.eu/system/files/2020-02/ext-study-livestock-gas-exec-sum_2010_en_0.pdf" xr:uid="{3E642D03-CB1F-4C2D-83B2-B07D2DCDCB95}"/>
    <hyperlink ref="D15" r:id="rId11" display="https://agriculture.ec.europa.eu/system/files/2020-02/ext-study-livestock-gas-exec-sum_2010_en_0.pdf" xr:uid="{DEF680EA-5DFD-406D-A95D-0C6E7FA2B4EB}"/>
    <hyperlink ref="D16" r:id="rId12" display="https://agriculture.ec.europa.eu/system/files/2020-02/ext-study-livestock-gas-exec-sum_2010_en_0.pdf" xr:uid="{BD52ED1C-DD50-4B17-B0FC-DD27C402149F}"/>
    <hyperlink ref="E21" r:id="rId13" display="https://ec.europa.eu/eurostat/statistics-explained/index.php?title=Agricultural_production_-_livestock_and_meat" xr:uid="{9926BD5C-1113-43DE-96B3-21F8DBADAC58}"/>
    <hyperlink ref="E22" r:id="rId14" display="https://ec.europa.eu/eurostat/statistics-explained/index.php?title=Agricultural_production_-_livestock_and_meat" xr:uid="{1A83B2F9-8ED6-467B-9610-B5A14C5EAA1B}"/>
    <hyperlink ref="E23" r:id="rId15" display="https://ec.europa.eu/eurostat/statistics-explained/index.php?title=Agricultural_production_-_livestock_and_meat" xr:uid="{1EC492FE-AF3E-4EBD-988B-EB4A4F2EA051}"/>
    <hyperlink ref="E24" r:id="rId16" display="https://ec.europa.eu/eurostat/statistics-explained/index.php?title=Agricultural_production_-_livestock_and_meat" xr:uid="{E80E7AE2-2EA3-42D2-8523-AA31077F6665}"/>
    <hyperlink ref="D28" r:id="rId17" display="https://publications.jrc.ec.europa.eu/repository/bitstream/JRC128072/JRC128072_01.pdf" xr:uid="{AF38DD9D-6A5E-4DF0-A823-8344A0F39385}"/>
    <hyperlink ref="D29" r:id="rId18" display="https://publications.jrc.ec.europa.eu/repository/bitstream/JRC128072/JRC128072_01.pdf" xr:uid="{E714CCF6-57E9-4553-A1D0-BBF49BFB5EC7}"/>
    <hyperlink ref="D30" r:id="rId19" display="https://publications.jrc.ec.europa.eu/repository/bitstream/JRC128072/JRC128072_01.pdf" xr:uid="{BE9C6320-F589-4D47-8ABD-F744F515AFDA}"/>
    <hyperlink ref="D31" r:id="rId20" display="https://www.europarl.europa.eu/RegData/etudes/BRIE/2017/608663/EPRS_BRI%282017%29608663_EN.pdf" xr:uid="{12B9B0A6-428D-4360-BF12-210832F5C67F}"/>
    <hyperlink ref="E35" r:id="rId21" display="https://www.eea.europa.eu/publications/methane-emissions-in-the-eu" xr:uid="{09960DE2-22EB-419F-B66C-3DF6CE209C2C}"/>
    <hyperlink ref="E36" r:id="rId22" display="https://www.eea.europa.eu/publications/methane-emissions-in-the-eu" xr:uid="{57ABB95A-1C8D-49E8-BC88-1DC4EB14E014}"/>
    <hyperlink ref="E37" r:id="rId23" display="https://www.ipcc-nggip.iges.or.jp/public/2006gl/pdf/4_Volume4/V4_10_Ch10_Livestock.pdf" xr:uid="{6ADA59C1-9C4A-4647-8D66-222CD2946E1C}"/>
    <hyperlink ref="E38" r:id="rId24" display="https://www.ipcc-nggip.iges.or.jp/public/2006gl/pdf/4_Volume4/V4_10_Ch10_Livestock.pdf" xr:uid="{5CF936ED-D7FF-4477-A54F-10430D276F1D}"/>
    <hyperlink ref="E39" r:id="rId25" display="https://www.ipcc-nggip.iges.or.jp/public/2006gl/pdf/4_Volume4/V4_10_Ch10_Livestock.pdf" xr:uid="{9EE1F5EF-3FB6-4F02-B0EB-F10D95D46192}"/>
    <hyperlink ref="E40" r:id="rId26" display="https://www.ipcc-nggip.iges.or.jp/public/2006gl/pdf/4_Volume4/V4_10_Ch10_Livestock.pdf" xr:uid="{325AD6D1-FA8E-406D-8D84-5BB60A68B048}"/>
    <hyperlink ref="E44" r:id="rId27" xr:uid="{ABCAA6D0-3C7A-46B3-AF62-5866E84B2A13}"/>
    <hyperlink ref="E45:E49" r:id="rId28" display="GGELS (2010)" xr:uid="{B11FB9BD-7A3F-459B-A19D-56D04F017036}"/>
    <hyperlink ref="I52" r:id="rId29" xr:uid="{8B57F2F0-2CD8-40A5-96A9-2ABFA05FE7D5}"/>
    <hyperlink ref="I53:I57" r:id="rId30" display="GGELS (2010)" xr:uid="{36F86427-81BA-4BAC-BAD6-293B87367190}"/>
    <hyperlink ref="I60" r:id="rId31" xr:uid="{27A02343-9350-4E65-AC14-77269B0B11CB}"/>
    <hyperlink ref="I61" r:id="rId32" xr:uid="{16129B1A-31F1-49A7-8CF8-2DE3D4E74E80}"/>
    <hyperlink ref="I62" r:id="rId33" xr:uid="{F183E122-0CB5-4158-BB2E-46B1F3D3C6A7}"/>
    <hyperlink ref="I63" r:id="rId34" xr:uid="{3361761C-BF82-4C8C-BB95-601D9B9BB1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Livestock footprint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Sridharan, Vignesh</dc:creator>
  <cp:lastModifiedBy>Sridharan, Vignesh</cp:lastModifiedBy>
  <dcterms:created xsi:type="dcterms:W3CDTF">2025-11-25T18:32:39Z</dcterms:created>
  <dcterms:modified xsi:type="dcterms:W3CDTF">2025-11-25T19:24:57Z</dcterms:modified>
</cp:coreProperties>
</file>