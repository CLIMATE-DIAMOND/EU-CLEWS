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imperiallondon-my.sharepoint.com/personal/vsridhar_ic_ac_uk/Documents/Diamond/Data/"/>
    </mc:Choice>
  </mc:AlternateContent>
  <xr:revisionPtr revIDLastSave="0" documentId="8_{5B5441FC-D48C-486C-BDD0-4474AB135CFF}" xr6:coauthVersionLast="47" xr6:coauthVersionMax="47" xr10:uidLastSave="{00000000-0000-0000-0000-000000000000}"/>
  <bookViews>
    <workbookView xWindow="-120" yWindow="-120" windowWidth="29040" windowHeight="15840" firstSheet="1" activeTab="5" xr2:uid="{07BDE8BC-F146-4CF3-B960-17285E36693D}"/>
  </bookViews>
  <sheets>
    <sheet name="Comparison with GWSP" sheetId="9" state="hidden" r:id="rId1"/>
    <sheet name="Metadata" sheetId="17" r:id="rId2"/>
    <sheet name="water_abstraction_EU_EEA" sheetId="13" state="hidden" r:id="rId3"/>
    <sheet name="Water demand per country_Nature" sheetId="2" state="hidden" r:id="rId4"/>
    <sheet name="cooling water_Nature_EU27_sort" sheetId="1" r:id="rId5"/>
    <sheet name="cooling water_calculation_Eu27" sheetId="12" r:id="rId6"/>
    <sheet name="Sheet2" sheetId="15" state="hidden" r:id="rId7"/>
    <sheet name="Country code" sheetId="14" state="hidden" r:id="rId8"/>
    <sheet name="Water consumption per river" sheetId="3" state="hidden" r:id="rId9"/>
    <sheet name="Water withdrawal per river" sheetId="4" state="hidden" r:id="rId10"/>
    <sheet name="Water demand per river-info" sheetId="5" state="hidden" r:id="rId11"/>
    <sheet name="Sensitivity of country cons." sheetId="8" state="hidden" r:id="rId12"/>
    <sheet name="Sensitivity of country withd." sheetId="10" state="hidden" r:id="rId13"/>
    <sheet name="Sensitivity of country-info" sheetId="11" state="hidden" r:id="rId14"/>
    <sheet name="Water demand per region" sheetId="6" state="hidden" r:id="rId15"/>
    <sheet name="Water demand per region-info" sheetId="7" state="hidden" r:id="rId16"/>
  </sheets>
  <definedNames>
    <definedName name="_xlnm._FilterDatabase" localSheetId="4" hidden="1">'cooling water_Nature_EU27_sort'!$A$1:$H$149</definedName>
    <definedName name="_xlnm._FilterDatabase" localSheetId="2" hidden="1">water_abstraction_EU_EEA!$A$8:$F$4814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5" l="1"/>
  <c r="E4" i="15"/>
  <c r="E5" i="15"/>
  <c r="E6" i="15"/>
  <c r="E7" i="15"/>
  <c r="E8" i="15"/>
  <c r="E9" i="15"/>
  <c r="E10" i="15"/>
  <c r="E11" i="15"/>
  <c r="E12" i="15"/>
  <c r="E13" i="15"/>
  <c r="E14" i="15"/>
  <c r="E15" i="15"/>
  <c r="E16" i="15"/>
  <c r="E17" i="15"/>
  <c r="E18" i="15"/>
  <c r="E19" i="15"/>
  <c r="E20" i="15"/>
  <c r="E21" i="15"/>
  <c r="E22" i="15"/>
  <c r="E23" i="15"/>
  <c r="E24" i="15"/>
  <c r="E25" i="15"/>
  <c r="E26" i="15"/>
  <c r="E27" i="15"/>
  <c r="E28" i="15"/>
  <c r="E2"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 i="15"/>
  <c r="AA14" i="12"/>
  <c r="AA20" i="12"/>
  <c r="AA21" i="12"/>
  <c r="Z4" i="12"/>
  <c r="Z5" i="12"/>
  <c r="Z6" i="12"/>
  <c r="Z7" i="12"/>
  <c r="Z8" i="12"/>
  <c r="Z9" i="12"/>
  <c r="Z10" i="12"/>
  <c r="Z11" i="12"/>
  <c r="Z12" i="12"/>
  <c r="Z13" i="12"/>
  <c r="Z14" i="12"/>
  <c r="Z15" i="12"/>
  <c r="Z16" i="12"/>
  <c r="Z17" i="12"/>
  <c r="Z18" i="12"/>
  <c r="Z19" i="12"/>
  <c r="Z20" i="12"/>
  <c r="Z21" i="12"/>
  <c r="Z22" i="12"/>
  <c r="Z23" i="12"/>
  <c r="Z24" i="12"/>
  <c r="Z25" i="12"/>
  <c r="Z26" i="12"/>
  <c r="Z27" i="12"/>
  <c r="Z28" i="12"/>
  <c r="Z29" i="12"/>
  <c r="Z3" i="12"/>
  <c r="Y14" i="12"/>
  <c r="Y20" i="12"/>
  <c r="Y21" i="12"/>
  <c r="X4" i="12"/>
  <c r="X5" i="12"/>
  <c r="X6" i="12"/>
  <c r="X7" i="12"/>
  <c r="X8" i="12"/>
  <c r="X9" i="12"/>
  <c r="X10" i="12"/>
  <c r="X11" i="12"/>
  <c r="X12" i="12"/>
  <c r="X13" i="12"/>
  <c r="X14" i="12"/>
  <c r="X15" i="12"/>
  <c r="X16" i="12"/>
  <c r="X17" i="12"/>
  <c r="X18" i="12"/>
  <c r="X19" i="12"/>
  <c r="X20" i="12"/>
  <c r="X21" i="12"/>
  <c r="X22" i="12"/>
  <c r="X23" i="12"/>
  <c r="X24" i="12"/>
  <c r="X25" i="12"/>
  <c r="X26" i="12"/>
  <c r="X27" i="12"/>
  <c r="X28" i="12"/>
  <c r="X29" i="12"/>
  <c r="X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 i="12"/>
  <c r="P4" i="12" a="1"/>
  <c r="P4" i="12" s="1"/>
  <c r="U4" i="12" s="1"/>
  <c r="Y4" i="12" s="1"/>
  <c r="P5" i="12" a="1"/>
  <c r="P5" i="12" s="1"/>
  <c r="U5" i="12" s="1"/>
  <c r="Y5" i="12" s="1"/>
  <c r="P6" i="12" a="1"/>
  <c r="P6" i="12" s="1"/>
  <c r="U6" i="12" s="1"/>
  <c r="Y6" i="12" s="1"/>
  <c r="P7" i="12" a="1"/>
  <c r="P7" i="12" s="1"/>
  <c r="R7" i="12" s="1"/>
  <c r="W7" i="12" s="1"/>
  <c r="AA7" i="12" s="1"/>
  <c r="P8" i="12" a="1"/>
  <c r="P8" i="12" s="1"/>
  <c r="R8" i="12" s="1"/>
  <c r="W8" i="12" s="1"/>
  <c r="AA8" i="12" s="1"/>
  <c r="P9" i="12" a="1"/>
  <c r="P9" i="12" s="1"/>
  <c r="U9" i="12" s="1"/>
  <c r="Y9" i="12" s="1"/>
  <c r="P10" i="12" a="1"/>
  <c r="P10" i="12" s="1"/>
  <c r="U10" i="12" s="1"/>
  <c r="Y10" i="12" s="1"/>
  <c r="P11" i="12" a="1"/>
  <c r="P11" i="12" s="1"/>
  <c r="U11" i="12" s="1"/>
  <c r="Y11" i="12" s="1"/>
  <c r="P12" i="12" a="1"/>
  <c r="P12" i="12" s="1"/>
  <c r="U12" i="12" s="1"/>
  <c r="Y12" i="12" s="1"/>
  <c r="P13" i="12" a="1"/>
  <c r="P13" i="12" s="1"/>
  <c r="U13" i="12" s="1"/>
  <c r="Y13" i="12" s="1"/>
  <c r="P14" i="12" a="1"/>
  <c r="P14" i="12" s="1"/>
  <c r="P15" i="12" a="1"/>
  <c r="P15" i="12" s="1"/>
  <c r="P16" i="12" a="1"/>
  <c r="P16" i="12" s="1"/>
  <c r="P17" i="12" a="1"/>
  <c r="P17" i="12" s="1"/>
  <c r="U17" i="12" s="1"/>
  <c r="Y17" i="12" s="1"/>
  <c r="P18" i="12" a="1"/>
  <c r="P18" i="12" s="1"/>
  <c r="U18" i="12" s="1"/>
  <c r="Y18" i="12" s="1"/>
  <c r="P19" i="12" a="1"/>
  <c r="P19" i="12" s="1"/>
  <c r="U19" i="12" s="1"/>
  <c r="Y19" i="12" s="1"/>
  <c r="P20" i="12" a="1"/>
  <c r="P20" i="12" s="1"/>
  <c r="P21" i="12" a="1"/>
  <c r="P21" i="12" s="1"/>
  <c r="P22" i="12" a="1"/>
  <c r="P22" i="12" s="1"/>
  <c r="U22" i="12" s="1"/>
  <c r="Y22" i="12" s="1"/>
  <c r="P23" i="12" a="1"/>
  <c r="P23" i="12" s="1"/>
  <c r="R23" i="12" s="1"/>
  <c r="W23" i="12" s="1"/>
  <c r="AA23" i="12" s="1"/>
  <c r="P24" i="12" a="1"/>
  <c r="P24" i="12" s="1"/>
  <c r="R24" i="12" s="1"/>
  <c r="W24" i="12" s="1"/>
  <c r="AA24" i="12" s="1"/>
  <c r="P25" i="12" a="1"/>
  <c r="P25" i="12" s="1"/>
  <c r="U25" i="12" s="1"/>
  <c r="Y25" i="12" s="1"/>
  <c r="P26" i="12" a="1"/>
  <c r="P26" i="12" s="1"/>
  <c r="U26" i="12" s="1"/>
  <c r="Y26" i="12" s="1"/>
  <c r="P27" i="12" a="1"/>
  <c r="P27" i="12" s="1"/>
  <c r="U27" i="12" s="1"/>
  <c r="Y27" i="12" s="1"/>
  <c r="P28" i="12" a="1"/>
  <c r="P28" i="12" s="1"/>
  <c r="U28" i="12" s="1"/>
  <c r="Y28" i="12" s="1"/>
  <c r="P29" i="12" a="1"/>
  <c r="P29" i="12" s="1"/>
  <c r="U29" i="12" s="1"/>
  <c r="Y29" i="12" s="1"/>
  <c r="P3" i="12" a="1"/>
  <c r="P3" i="12" s="1"/>
  <c r="U3" i="12" s="1"/>
  <c r="Y3" i="12" s="1"/>
  <c r="O4" i="12" a="1"/>
  <c r="O4" i="12" s="1"/>
  <c r="T4" i="12" s="1"/>
  <c r="O5" i="12" a="1"/>
  <c r="O5" i="12" s="1"/>
  <c r="T5" i="12" s="1"/>
  <c r="O6" i="12" a="1"/>
  <c r="O6" i="12" s="1"/>
  <c r="T6" i="12" s="1"/>
  <c r="O7" i="12" a="1"/>
  <c r="O7" i="12" s="1"/>
  <c r="Q7" i="12" s="1"/>
  <c r="V7" i="12" s="1"/>
  <c r="O8" i="12" a="1"/>
  <c r="O8" i="12" s="1"/>
  <c r="Q8" i="12" s="1"/>
  <c r="V8" i="12" s="1"/>
  <c r="O9" i="12" a="1"/>
  <c r="O9" i="12" s="1"/>
  <c r="T9" i="12" s="1"/>
  <c r="O10" i="12" a="1"/>
  <c r="O10" i="12" s="1"/>
  <c r="T10" i="12" s="1"/>
  <c r="O11" i="12" a="1"/>
  <c r="O11" i="12" s="1"/>
  <c r="T11" i="12" s="1"/>
  <c r="O12" i="12" a="1"/>
  <c r="O12" i="12" s="1"/>
  <c r="T12" i="12" s="1"/>
  <c r="O13" i="12" a="1"/>
  <c r="O13" i="12" s="1"/>
  <c r="T13" i="12" s="1"/>
  <c r="O14" i="12" a="1"/>
  <c r="O14" i="12" s="1"/>
  <c r="T14" i="12" s="1"/>
  <c r="O15" i="12" a="1"/>
  <c r="O15" i="12" s="1"/>
  <c r="Q15" i="12" s="1"/>
  <c r="V15" i="12" s="1"/>
  <c r="O16" i="12" a="1"/>
  <c r="O16" i="12" s="1"/>
  <c r="O17" i="12" a="1"/>
  <c r="O17" i="12" s="1"/>
  <c r="T17" i="12" s="1"/>
  <c r="O18" i="12" a="1"/>
  <c r="O18" i="12" s="1"/>
  <c r="T18" i="12" s="1"/>
  <c r="O19" i="12" a="1"/>
  <c r="O19" i="12" s="1"/>
  <c r="T19" i="12" s="1"/>
  <c r="O20" i="12" a="1"/>
  <c r="O20" i="12" s="1"/>
  <c r="T20" i="12" s="1"/>
  <c r="O21" i="12" a="1"/>
  <c r="O21" i="12" s="1"/>
  <c r="T21" i="12" s="1"/>
  <c r="O22" i="12" a="1"/>
  <c r="O22" i="12" s="1"/>
  <c r="T22" i="12" s="1"/>
  <c r="O23" i="12" a="1"/>
  <c r="O23" i="12" s="1"/>
  <c r="Q23" i="12" s="1"/>
  <c r="V23" i="12" s="1"/>
  <c r="O24" i="12" a="1"/>
  <c r="O24" i="12" s="1"/>
  <c r="Q24" i="12" s="1"/>
  <c r="V24" i="12" s="1"/>
  <c r="O25" i="12" a="1"/>
  <c r="O25" i="12" s="1"/>
  <c r="T25" i="12" s="1"/>
  <c r="O26" i="12" a="1"/>
  <c r="O26" i="12" s="1"/>
  <c r="T26" i="12" s="1"/>
  <c r="O27" i="12" a="1"/>
  <c r="O27" i="12" s="1"/>
  <c r="T27" i="12" s="1"/>
  <c r="O28" i="12" a="1"/>
  <c r="O28" i="12" s="1"/>
  <c r="T28" i="12" s="1"/>
  <c r="O29" i="12" a="1"/>
  <c r="O29" i="12" s="1"/>
  <c r="T29" i="12" s="1"/>
  <c r="O3" i="12" a="1"/>
  <c r="O3" i="12" s="1"/>
  <c r="T3" i="12" s="1"/>
  <c r="I4515" i="13"/>
  <c r="I4514" i="13"/>
  <c r="I4513" i="13"/>
  <c r="I4512" i="13"/>
  <c r="I4511" i="13"/>
  <c r="I4510" i="13"/>
  <c r="I4509" i="13"/>
  <c r="I4508" i="13"/>
  <c r="I4507" i="13"/>
  <c r="I4506" i="13"/>
  <c r="I4505" i="13"/>
  <c r="I4504" i="13"/>
  <c r="I4503" i="13"/>
  <c r="I4502" i="13"/>
  <c r="I4501" i="13"/>
  <c r="I4500" i="13"/>
  <c r="I4499" i="13"/>
  <c r="I4498" i="13"/>
  <c r="I4497" i="13"/>
  <c r="I4496" i="13"/>
  <c r="I4495" i="13"/>
  <c r="I4494" i="13"/>
  <c r="I4493" i="13"/>
  <c r="I4377" i="13"/>
  <c r="I4376" i="13"/>
  <c r="I4375" i="13"/>
  <c r="I4374" i="13"/>
  <c r="I4373" i="13"/>
  <c r="I4372" i="13"/>
  <c r="I4371" i="13"/>
  <c r="I4370" i="13"/>
  <c r="I4369" i="13"/>
  <c r="I4368" i="13"/>
  <c r="I4367" i="13"/>
  <c r="I4366" i="13"/>
  <c r="I4365" i="13"/>
  <c r="I4364" i="13"/>
  <c r="I4363" i="13"/>
  <c r="I4362" i="13"/>
  <c r="I4361" i="13"/>
  <c r="I4360" i="13"/>
  <c r="I4359" i="13"/>
  <c r="I4358" i="13"/>
  <c r="I4357" i="13"/>
  <c r="I4356" i="13"/>
  <c r="I4355" i="13"/>
  <c r="I4239" i="13"/>
  <c r="I4238" i="13"/>
  <c r="I4237" i="13"/>
  <c r="I4236" i="13"/>
  <c r="I4235" i="13"/>
  <c r="I4234" i="13"/>
  <c r="I4233" i="13"/>
  <c r="I4232" i="13"/>
  <c r="I4231" i="13"/>
  <c r="I4230" i="13"/>
  <c r="I4229" i="13"/>
  <c r="I4228" i="13"/>
  <c r="I4227" i="13"/>
  <c r="I4226" i="13"/>
  <c r="I4225" i="13"/>
  <c r="I4224" i="13"/>
  <c r="I4223" i="13"/>
  <c r="I4222" i="13"/>
  <c r="I4221" i="13"/>
  <c r="I4220" i="13"/>
  <c r="I4219" i="13"/>
  <c r="I4218" i="13"/>
  <c r="I4217" i="13"/>
  <c r="I3963" i="13"/>
  <c r="I3962" i="13"/>
  <c r="I3961" i="13"/>
  <c r="I3960" i="13"/>
  <c r="I3959" i="13"/>
  <c r="I3958" i="13"/>
  <c r="I3957" i="13"/>
  <c r="I3956" i="13"/>
  <c r="I3955" i="13"/>
  <c r="I3954" i="13"/>
  <c r="I3953" i="13"/>
  <c r="I3952" i="13"/>
  <c r="I3951" i="13"/>
  <c r="I3950" i="13"/>
  <c r="I3949" i="13"/>
  <c r="I3948" i="13"/>
  <c r="I3947" i="13"/>
  <c r="I3946" i="13"/>
  <c r="I3945" i="13"/>
  <c r="I3944" i="13"/>
  <c r="I3943" i="13"/>
  <c r="I3942" i="13"/>
  <c r="I3941" i="13"/>
  <c r="I3825" i="13"/>
  <c r="I3824" i="13"/>
  <c r="I3823" i="13"/>
  <c r="I3822" i="13"/>
  <c r="I3821" i="13"/>
  <c r="I3820" i="13"/>
  <c r="I3819" i="13"/>
  <c r="I3818" i="13"/>
  <c r="I3817" i="13"/>
  <c r="I3816" i="13"/>
  <c r="I3815" i="13"/>
  <c r="I3814" i="13"/>
  <c r="I3813" i="13"/>
  <c r="I3812" i="13"/>
  <c r="I3811" i="13"/>
  <c r="I3810" i="13"/>
  <c r="I3809" i="13"/>
  <c r="I3808" i="13"/>
  <c r="I3807" i="13"/>
  <c r="I3806" i="13"/>
  <c r="I3805" i="13"/>
  <c r="I3804" i="13"/>
  <c r="I3803" i="13"/>
  <c r="I3710" i="13"/>
  <c r="I3709" i="13"/>
  <c r="I3708" i="13"/>
  <c r="I3707" i="13"/>
  <c r="I3706" i="13"/>
  <c r="I3705" i="13"/>
  <c r="I3704" i="13"/>
  <c r="I3703" i="13"/>
  <c r="I3702" i="13"/>
  <c r="I3701" i="13"/>
  <c r="I3700" i="13"/>
  <c r="I3699" i="13"/>
  <c r="I3698" i="13"/>
  <c r="I3697" i="13"/>
  <c r="I3696" i="13"/>
  <c r="I3695" i="13"/>
  <c r="I3694" i="13"/>
  <c r="I3693" i="13"/>
  <c r="I3692" i="13"/>
  <c r="I3691" i="13"/>
  <c r="I3690" i="13"/>
  <c r="I3689" i="13"/>
  <c r="I3688" i="13"/>
  <c r="I3457" i="13"/>
  <c r="I3456" i="13"/>
  <c r="I3455" i="13"/>
  <c r="I3454" i="13"/>
  <c r="I3453" i="13"/>
  <c r="I3452" i="13"/>
  <c r="I3451" i="13"/>
  <c r="I3450" i="13"/>
  <c r="I3449" i="13"/>
  <c r="I3448" i="13"/>
  <c r="I3447" i="13"/>
  <c r="I3446" i="13"/>
  <c r="I3445" i="13"/>
  <c r="I3444" i="13"/>
  <c r="I3443" i="13"/>
  <c r="I3442" i="13"/>
  <c r="I3441" i="13"/>
  <c r="I3440" i="13"/>
  <c r="I3439" i="13"/>
  <c r="I3438" i="13"/>
  <c r="I3437" i="13"/>
  <c r="I3436" i="13"/>
  <c r="I3435" i="13"/>
  <c r="I3319" i="13"/>
  <c r="I3318" i="13"/>
  <c r="I3317" i="13"/>
  <c r="I3316" i="13"/>
  <c r="I3315" i="13"/>
  <c r="I3314" i="13"/>
  <c r="I3313" i="13"/>
  <c r="I3312" i="13"/>
  <c r="I3311" i="13"/>
  <c r="I3310" i="13"/>
  <c r="I3309" i="13"/>
  <c r="I3308" i="13"/>
  <c r="I3307" i="13"/>
  <c r="I3306" i="13"/>
  <c r="I3305" i="13"/>
  <c r="I3304" i="13"/>
  <c r="I3303" i="13"/>
  <c r="I3302" i="13"/>
  <c r="I3301" i="13"/>
  <c r="I3300" i="13"/>
  <c r="I3299" i="13"/>
  <c r="I3298" i="13"/>
  <c r="I3297" i="13"/>
  <c r="I2951" i="13"/>
  <c r="I2950" i="13"/>
  <c r="I2949" i="13"/>
  <c r="I2948" i="13"/>
  <c r="I2947" i="13"/>
  <c r="I2946" i="13"/>
  <c r="I2945" i="13"/>
  <c r="I2944" i="13"/>
  <c r="I2943" i="13"/>
  <c r="I2942" i="13"/>
  <c r="I2941" i="13"/>
  <c r="I2940" i="13"/>
  <c r="I2939" i="13"/>
  <c r="I2938" i="13"/>
  <c r="I2937" i="13"/>
  <c r="I2936" i="13"/>
  <c r="I2935" i="13"/>
  <c r="I2934" i="13"/>
  <c r="I2933" i="13"/>
  <c r="I2932" i="13"/>
  <c r="I2931" i="13"/>
  <c r="I2930" i="13"/>
  <c r="I2929" i="13"/>
  <c r="I2813" i="13"/>
  <c r="I2812" i="13"/>
  <c r="I2811" i="13"/>
  <c r="I2810" i="13"/>
  <c r="I2809" i="13"/>
  <c r="I2808" i="13"/>
  <c r="I2807" i="13"/>
  <c r="I2806" i="13"/>
  <c r="I2805" i="13"/>
  <c r="I2804" i="13"/>
  <c r="I2803" i="13"/>
  <c r="I2802" i="13"/>
  <c r="I2801" i="13"/>
  <c r="I2800" i="13"/>
  <c r="I2799" i="13"/>
  <c r="I2798" i="13"/>
  <c r="I2797" i="13"/>
  <c r="I2796" i="13"/>
  <c r="I2795" i="13"/>
  <c r="I2794" i="13"/>
  <c r="I2793" i="13"/>
  <c r="I2792" i="13"/>
  <c r="I2791" i="13"/>
  <c r="I2675" i="13"/>
  <c r="I2674" i="13"/>
  <c r="I2673" i="13"/>
  <c r="I2672" i="13"/>
  <c r="I2671" i="13"/>
  <c r="I2670" i="13"/>
  <c r="I2669" i="13"/>
  <c r="I2668" i="13"/>
  <c r="I2667" i="13"/>
  <c r="I2666" i="13"/>
  <c r="I2665" i="13"/>
  <c r="I2664" i="13"/>
  <c r="I2663" i="13"/>
  <c r="I2662" i="13"/>
  <c r="I2661" i="13"/>
  <c r="I2660" i="13"/>
  <c r="I2659" i="13"/>
  <c r="I2658" i="13"/>
  <c r="I2657" i="13"/>
  <c r="I2656" i="13"/>
  <c r="I2655" i="13"/>
  <c r="I2654" i="13"/>
  <c r="I2653" i="13"/>
  <c r="I2537" i="13"/>
  <c r="I2536" i="13"/>
  <c r="I2535" i="13"/>
  <c r="I2534" i="13"/>
  <c r="I2533" i="13"/>
  <c r="I2532" i="13"/>
  <c r="I2531" i="13"/>
  <c r="I2530" i="13"/>
  <c r="I2529" i="13"/>
  <c r="I2528" i="13"/>
  <c r="I2527" i="13"/>
  <c r="I2526" i="13"/>
  <c r="I2525" i="13"/>
  <c r="I2524" i="13"/>
  <c r="I2523" i="13"/>
  <c r="I2522" i="13"/>
  <c r="I2521" i="13"/>
  <c r="I2520" i="13"/>
  <c r="I2519" i="13"/>
  <c r="I2518" i="13"/>
  <c r="I2517" i="13"/>
  <c r="I2516" i="13"/>
  <c r="I2515" i="13"/>
  <c r="I2307" i="13"/>
  <c r="I2306" i="13"/>
  <c r="I2305" i="13"/>
  <c r="I2304" i="13"/>
  <c r="I2303" i="13"/>
  <c r="I2302" i="13"/>
  <c r="I2301" i="13"/>
  <c r="I2300" i="13"/>
  <c r="I2299" i="13"/>
  <c r="I2298" i="13"/>
  <c r="I2297" i="13"/>
  <c r="I2296" i="13"/>
  <c r="I2295" i="13"/>
  <c r="I2294" i="13"/>
  <c r="I2293" i="13"/>
  <c r="I2292" i="13"/>
  <c r="I2291" i="13"/>
  <c r="I2290" i="13"/>
  <c r="I2289" i="13"/>
  <c r="I2288" i="13"/>
  <c r="I2287" i="13"/>
  <c r="I2286" i="13"/>
  <c r="I2285" i="13"/>
  <c r="I2169" i="13"/>
  <c r="I2168" i="13"/>
  <c r="I2167" i="13"/>
  <c r="I2166" i="13"/>
  <c r="I2165" i="13"/>
  <c r="I2164" i="13"/>
  <c r="I2163" i="13"/>
  <c r="I2162" i="13"/>
  <c r="I2161" i="13"/>
  <c r="I2160" i="13"/>
  <c r="I2159" i="13"/>
  <c r="I2158" i="13"/>
  <c r="I2157" i="13"/>
  <c r="I2156" i="13"/>
  <c r="I2155" i="13"/>
  <c r="I2154" i="13"/>
  <c r="I2153" i="13"/>
  <c r="I2152" i="13"/>
  <c r="I2151" i="13"/>
  <c r="I2150" i="13"/>
  <c r="I2149" i="13"/>
  <c r="I2148" i="13"/>
  <c r="I2147" i="13"/>
  <c r="I2031" i="13"/>
  <c r="I2030" i="13"/>
  <c r="I2029" i="13"/>
  <c r="I2028" i="13"/>
  <c r="I2027" i="13"/>
  <c r="I2026" i="13"/>
  <c r="I2025" i="13"/>
  <c r="I2024" i="13"/>
  <c r="I2023" i="13"/>
  <c r="I2022" i="13"/>
  <c r="I2021" i="13"/>
  <c r="I2020" i="13"/>
  <c r="I2019" i="13"/>
  <c r="I2018" i="13"/>
  <c r="I2017" i="13"/>
  <c r="I2016" i="13"/>
  <c r="I2015" i="13"/>
  <c r="I2014" i="13"/>
  <c r="I2013" i="13"/>
  <c r="I2012" i="13"/>
  <c r="I2011" i="13"/>
  <c r="I2010" i="13"/>
  <c r="I2009" i="13"/>
  <c r="I1893" i="13"/>
  <c r="I1892" i="13"/>
  <c r="I1891" i="13"/>
  <c r="I1890" i="13"/>
  <c r="I1889" i="13"/>
  <c r="I1888" i="13"/>
  <c r="I1887" i="13"/>
  <c r="I1886" i="13"/>
  <c r="I1885" i="13"/>
  <c r="I1884" i="13"/>
  <c r="I1883" i="13"/>
  <c r="I1882" i="13"/>
  <c r="I1881" i="13"/>
  <c r="I1880" i="13"/>
  <c r="I1879" i="13"/>
  <c r="I1878" i="13"/>
  <c r="I1877" i="13"/>
  <c r="I1876" i="13"/>
  <c r="I1875" i="13"/>
  <c r="I1874" i="13"/>
  <c r="I1873" i="13"/>
  <c r="I1872" i="13"/>
  <c r="I1871" i="13"/>
  <c r="I1755" i="13"/>
  <c r="I1754" i="13"/>
  <c r="I1753" i="13"/>
  <c r="I1752" i="13"/>
  <c r="I1751" i="13"/>
  <c r="I1750" i="13"/>
  <c r="I1749" i="13"/>
  <c r="I1748" i="13"/>
  <c r="I1747" i="13"/>
  <c r="I1746" i="13"/>
  <c r="I1745" i="13"/>
  <c r="I1744" i="13"/>
  <c r="I1743" i="13"/>
  <c r="I1742" i="13"/>
  <c r="I1741" i="13"/>
  <c r="I1740" i="13"/>
  <c r="I1739" i="13"/>
  <c r="I1738" i="13"/>
  <c r="I1737" i="13"/>
  <c r="I1736" i="13"/>
  <c r="I1735" i="13"/>
  <c r="I1734" i="13"/>
  <c r="I1733" i="13"/>
  <c r="I1640" i="13"/>
  <c r="I1639" i="13"/>
  <c r="I1638" i="13"/>
  <c r="I1637" i="13"/>
  <c r="I1636" i="13"/>
  <c r="I1635" i="13"/>
  <c r="I1634" i="13"/>
  <c r="I1633" i="13"/>
  <c r="I1632" i="13"/>
  <c r="I1631" i="13"/>
  <c r="I1630" i="13"/>
  <c r="I1629" i="13"/>
  <c r="I1628" i="13"/>
  <c r="I1627" i="13"/>
  <c r="I1626" i="13"/>
  <c r="I1625" i="13"/>
  <c r="I1624" i="13"/>
  <c r="I1623" i="13"/>
  <c r="I1622" i="13"/>
  <c r="I1621" i="13"/>
  <c r="I1620" i="13"/>
  <c r="I1619" i="13"/>
  <c r="I1618" i="13"/>
  <c r="I1502" i="13"/>
  <c r="I1501" i="13"/>
  <c r="I1500" i="13"/>
  <c r="I1499" i="13"/>
  <c r="I1498" i="13"/>
  <c r="I1497" i="13"/>
  <c r="I1496" i="13"/>
  <c r="I1495" i="13"/>
  <c r="I1494" i="13"/>
  <c r="I1493" i="13"/>
  <c r="I1492" i="13"/>
  <c r="I1491" i="13"/>
  <c r="I1490" i="13"/>
  <c r="I1489" i="13"/>
  <c r="I1488" i="13"/>
  <c r="I1487" i="13"/>
  <c r="I1486" i="13"/>
  <c r="I1485" i="13"/>
  <c r="I1484" i="13"/>
  <c r="I1483" i="13"/>
  <c r="I1482" i="13"/>
  <c r="I1481" i="13"/>
  <c r="I1480" i="13"/>
  <c r="I1387" i="13"/>
  <c r="I1386" i="13"/>
  <c r="I1385" i="13"/>
  <c r="I1384" i="13"/>
  <c r="I1383" i="13"/>
  <c r="I1382" i="13"/>
  <c r="I1381" i="13"/>
  <c r="I1380" i="13"/>
  <c r="I1379" i="13"/>
  <c r="I1378" i="13"/>
  <c r="I1377" i="13"/>
  <c r="I1376" i="13"/>
  <c r="I1375" i="13"/>
  <c r="I1374" i="13"/>
  <c r="I1373" i="13"/>
  <c r="I1372" i="13"/>
  <c r="I1371" i="13"/>
  <c r="I1370" i="13"/>
  <c r="I1369" i="13"/>
  <c r="I1368" i="13"/>
  <c r="I1367" i="13"/>
  <c r="I1366" i="13"/>
  <c r="I1365" i="13"/>
  <c r="I1249" i="13"/>
  <c r="I1248" i="13"/>
  <c r="I1247" i="13"/>
  <c r="I1246" i="13"/>
  <c r="I1245" i="13"/>
  <c r="I1244" i="13"/>
  <c r="I1243" i="13"/>
  <c r="I1242" i="13"/>
  <c r="I1241" i="13"/>
  <c r="I1240" i="13"/>
  <c r="I1239" i="13"/>
  <c r="I1238" i="13"/>
  <c r="I1237" i="13"/>
  <c r="I1236" i="13"/>
  <c r="I1235" i="13"/>
  <c r="I1234" i="13"/>
  <c r="I1233" i="13"/>
  <c r="I1232" i="13"/>
  <c r="I1231" i="13"/>
  <c r="I1230" i="13"/>
  <c r="I1229" i="13"/>
  <c r="I1228" i="13"/>
  <c r="I1227" i="13"/>
  <c r="I1111" i="13"/>
  <c r="I1110" i="13"/>
  <c r="I1109" i="13"/>
  <c r="I1108" i="13"/>
  <c r="I1107" i="13"/>
  <c r="I1106" i="13"/>
  <c r="I1105" i="13"/>
  <c r="I1104" i="13"/>
  <c r="I1103" i="13"/>
  <c r="I1102" i="13"/>
  <c r="I1101" i="13"/>
  <c r="I1100" i="13"/>
  <c r="I1099" i="13"/>
  <c r="I1098" i="13"/>
  <c r="I1097" i="13"/>
  <c r="I1096" i="13"/>
  <c r="I1095" i="13"/>
  <c r="I1094" i="13"/>
  <c r="I1093" i="13"/>
  <c r="I1092" i="13"/>
  <c r="I1091" i="13"/>
  <c r="I1090" i="13"/>
  <c r="I1089" i="13"/>
  <c r="I974" i="13"/>
  <c r="I973" i="13"/>
  <c r="I972" i="13"/>
  <c r="I971" i="13"/>
  <c r="I970" i="13"/>
  <c r="I969" i="13"/>
  <c r="I968" i="13"/>
  <c r="I967" i="13"/>
  <c r="I966" i="13"/>
  <c r="I965" i="13"/>
  <c r="I964" i="13"/>
  <c r="I963" i="13"/>
  <c r="I962" i="13"/>
  <c r="I961" i="13"/>
  <c r="I960" i="13"/>
  <c r="I959" i="13"/>
  <c r="I958" i="13"/>
  <c r="I957" i="13"/>
  <c r="I956" i="13"/>
  <c r="I955" i="13"/>
  <c r="I954" i="13"/>
  <c r="I953" i="13"/>
  <c r="I952" i="13"/>
  <c r="I836" i="13"/>
  <c r="I835" i="13"/>
  <c r="I834" i="13"/>
  <c r="I833" i="13"/>
  <c r="I832" i="13"/>
  <c r="I831" i="13"/>
  <c r="I830" i="13"/>
  <c r="I829" i="13"/>
  <c r="I828" i="13"/>
  <c r="I827" i="13"/>
  <c r="I826" i="13"/>
  <c r="I825" i="13"/>
  <c r="I824" i="13"/>
  <c r="I823" i="13"/>
  <c r="I822" i="13"/>
  <c r="I821" i="13"/>
  <c r="I820" i="13"/>
  <c r="I819" i="13"/>
  <c r="I818" i="13"/>
  <c r="I817" i="13"/>
  <c r="I816" i="13"/>
  <c r="I815" i="13"/>
  <c r="I814" i="13"/>
  <c r="I583" i="13"/>
  <c r="I582" i="13"/>
  <c r="I581" i="13"/>
  <c r="I580" i="13"/>
  <c r="I579" i="13"/>
  <c r="I578" i="13"/>
  <c r="I577" i="13"/>
  <c r="I576" i="13"/>
  <c r="I575" i="13"/>
  <c r="I574" i="13"/>
  <c r="I573" i="13"/>
  <c r="I572" i="13"/>
  <c r="I571" i="13"/>
  <c r="I570" i="13"/>
  <c r="I569" i="13"/>
  <c r="I568" i="13"/>
  <c r="I567" i="13"/>
  <c r="I566" i="13"/>
  <c r="I565" i="13"/>
  <c r="I564" i="13"/>
  <c r="I563" i="13"/>
  <c r="I562" i="13"/>
  <c r="I561" i="13"/>
  <c r="I330" i="13"/>
  <c r="I329" i="13"/>
  <c r="I328" i="13"/>
  <c r="I327" i="13"/>
  <c r="I326" i="13"/>
  <c r="I325" i="13"/>
  <c r="I324" i="13"/>
  <c r="I323" i="13"/>
  <c r="I322" i="13"/>
  <c r="I321" i="13"/>
  <c r="I320" i="13"/>
  <c r="I319" i="13"/>
  <c r="I318" i="13"/>
  <c r="I317" i="13"/>
  <c r="I316" i="13"/>
  <c r="I315" i="13"/>
  <c r="I314" i="13"/>
  <c r="I313" i="13"/>
  <c r="I312" i="13"/>
  <c r="I311" i="13"/>
  <c r="I310" i="13"/>
  <c r="I309" i="13"/>
  <c r="I308" i="13"/>
  <c r="I77" i="13"/>
  <c r="I76" i="13"/>
  <c r="I75" i="13"/>
  <c r="I74" i="13"/>
  <c r="I73" i="13"/>
  <c r="I72" i="13"/>
  <c r="I71" i="13"/>
  <c r="I70" i="13"/>
  <c r="I69" i="13"/>
  <c r="I68" i="13"/>
  <c r="I67" i="13"/>
  <c r="I66" i="13"/>
  <c r="I65" i="13"/>
  <c r="I64" i="13"/>
  <c r="I63" i="13"/>
  <c r="I62" i="13"/>
  <c r="I61" i="13"/>
  <c r="I60" i="13"/>
  <c r="I59" i="13"/>
  <c r="I58" i="13"/>
  <c r="I57" i="13"/>
  <c r="I56" i="13"/>
  <c r="J4515" i="13"/>
  <c r="J4514" i="13"/>
  <c r="J4513" i="13"/>
  <c r="J4512" i="13"/>
  <c r="J4511" i="13"/>
  <c r="J4510" i="13"/>
  <c r="J4509" i="13"/>
  <c r="J4508" i="13"/>
  <c r="J4507" i="13"/>
  <c r="J4506" i="13"/>
  <c r="J4505" i="13"/>
  <c r="J4504" i="13"/>
  <c r="J4503" i="13"/>
  <c r="J4502" i="13"/>
  <c r="J4501" i="13"/>
  <c r="J4500" i="13"/>
  <c r="J4499" i="13"/>
  <c r="J4498" i="13"/>
  <c r="J4497" i="13"/>
  <c r="J4496" i="13"/>
  <c r="J4495" i="13"/>
  <c r="J4494" i="13"/>
  <c r="J4493" i="13"/>
  <c r="J4377" i="13"/>
  <c r="J4376" i="13"/>
  <c r="J4375" i="13"/>
  <c r="J4374" i="13"/>
  <c r="J4373" i="13"/>
  <c r="J4372" i="13"/>
  <c r="J4371" i="13"/>
  <c r="J4370" i="13"/>
  <c r="J4369" i="13"/>
  <c r="J4368" i="13"/>
  <c r="J4367" i="13"/>
  <c r="J4366" i="13"/>
  <c r="J4365" i="13"/>
  <c r="J4364" i="13"/>
  <c r="J4363" i="13"/>
  <c r="J4362" i="13"/>
  <c r="J4361" i="13"/>
  <c r="J4360" i="13"/>
  <c r="J4359" i="13"/>
  <c r="J4358" i="13"/>
  <c r="J4357" i="13"/>
  <c r="J4356" i="13"/>
  <c r="J4355" i="13"/>
  <c r="J4239" i="13"/>
  <c r="J4238" i="13"/>
  <c r="J4237" i="13"/>
  <c r="J4236" i="13"/>
  <c r="J4235" i="13"/>
  <c r="J4234" i="13"/>
  <c r="J4233" i="13"/>
  <c r="J4232" i="13"/>
  <c r="J4231" i="13"/>
  <c r="J4230" i="13"/>
  <c r="J4229" i="13"/>
  <c r="J4228" i="13"/>
  <c r="J4227" i="13"/>
  <c r="J4226" i="13"/>
  <c r="J4225" i="13"/>
  <c r="J4224" i="13"/>
  <c r="J4223" i="13"/>
  <c r="J4222" i="13"/>
  <c r="J4221" i="13"/>
  <c r="J4220" i="13"/>
  <c r="J4219" i="13"/>
  <c r="J4218" i="13"/>
  <c r="J4217" i="13"/>
  <c r="J3963" i="13"/>
  <c r="J3962" i="13"/>
  <c r="J3961" i="13"/>
  <c r="J3960" i="13"/>
  <c r="J3959" i="13"/>
  <c r="J3958" i="13"/>
  <c r="J3957" i="13"/>
  <c r="J3956" i="13"/>
  <c r="J3955" i="13"/>
  <c r="J3954" i="13"/>
  <c r="J3953" i="13"/>
  <c r="J3952" i="13"/>
  <c r="J3951" i="13"/>
  <c r="J3950" i="13"/>
  <c r="J3949" i="13"/>
  <c r="J3948" i="13"/>
  <c r="J3947" i="13"/>
  <c r="J3946" i="13"/>
  <c r="J3945" i="13"/>
  <c r="J3944" i="13"/>
  <c r="J3943" i="13"/>
  <c r="J3942" i="13"/>
  <c r="J3941" i="13"/>
  <c r="J3825" i="13"/>
  <c r="J3824" i="13"/>
  <c r="J3823" i="13"/>
  <c r="J3822" i="13"/>
  <c r="J3821" i="13"/>
  <c r="J3820" i="13"/>
  <c r="J3819" i="13"/>
  <c r="J3818" i="13"/>
  <c r="J3817" i="13"/>
  <c r="J3816" i="13"/>
  <c r="J3815" i="13"/>
  <c r="J3814" i="13"/>
  <c r="J3813" i="13"/>
  <c r="J3812" i="13"/>
  <c r="J3811" i="13"/>
  <c r="J3810" i="13"/>
  <c r="J3809" i="13"/>
  <c r="J3808" i="13"/>
  <c r="J3807" i="13"/>
  <c r="J3806" i="13"/>
  <c r="J3805" i="13"/>
  <c r="J3804" i="13"/>
  <c r="J3803" i="13"/>
  <c r="J3710" i="13"/>
  <c r="J3709" i="13"/>
  <c r="J3708" i="13"/>
  <c r="J3707" i="13"/>
  <c r="J3706" i="13"/>
  <c r="J3705" i="13"/>
  <c r="J3704" i="13"/>
  <c r="J3703" i="13"/>
  <c r="J3702" i="13"/>
  <c r="J3701" i="13"/>
  <c r="J3700" i="13"/>
  <c r="J3699" i="13"/>
  <c r="J3698" i="13"/>
  <c r="J3697" i="13"/>
  <c r="J3696" i="13"/>
  <c r="J3695" i="13"/>
  <c r="J3694" i="13"/>
  <c r="J3693" i="13"/>
  <c r="J3692" i="13"/>
  <c r="J3691" i="13"/>
  <c r="J3690" i="13"/>
  <c r="J3689" i="13"/>
  <c r="J3688" i="13"/>
  <c r="J3457" i="13"/>
  <c r="J3456" i="13"/>
  <c r="J3455" i="13"/>
  <c r="J3454" i="13"/>
  <c r="J3453" i="13"/>
  <c r="J3452" i="13"/>
  <c r="J3451" i="13"/>
  <c r="J3450" i="13"/>
  <c r="J3449" i="13"/>
  <c r="J3448" i="13"/>
  <c r="J3447" i="13"/>
  <c r="J3446" i="13"/>
  <c r="J3445" i="13"/>
  <c r="J3444" i="13"/>
  <c r="J3443" i="13"/>
  <c r="J3442" i="13"/>
  <c r="J3441" i="13"/>
  <c r="J3440" i="13"/>
  <c r="J3439" i="13"/>
  <c r="J3438" i="13"/>
  <c r="J3437" i="13"/>
  <c r="J3436" i="13"/>
  <c r="J3435" i="13"/>
  <c r="J3319" i="13"/>
  <c r="J3318" i="13"/>
  <c r="J3317" i="13"/>
  <c r="J3316" i="13"/>
  <c r="J3315" i="13"/>
  <c r="J3314" i="13"/>
  <c r="J3313" i="13"/>
  <c r="J3312" i="13"/>
  <c r="J3311" i="13"/>
  <c r="J3310" i="13"/>
  <c r="J3309" i="13"/>
  <c r="J3308" i="13"/>
  <c r="J3307" i="13"/>
  <c r="J3306" i="13"/>
  <c r="J3305" i="13"/>
  <c r="J3304" i="13"/>
  <c r="J3303" i="13"/>
  <c r="J3302" i="13"/>
  <c r="J3301" i="13"/>
  <c r="J3300" i="13"/>
  <c r="J3299" i="13"/>
  <c r="J3298" i="13"/>
  <c r="J3297" i="13"/>
  <c r="J2951" i="13"/>
  <c r="J2950" i="13"/>
  <c r="J2949" i="13"/>
  <c r="J2948" i="13"/>
  <c r="J2947" i="13"/>
  <c r="J2946" i="13"/>
  <c r="J2945" i="13"/>
  <c r="J2944" i="13"/>
  <c r="J2943" i="13"/>
  <c r="J2942" i="13"/>
  <c r="J2941" i="13"/>
  <c r="J2940" i="13"/>
  <c r="J2939" i="13"/>
  <c r="J2938" i="13"/>
  <c r="J2937" i="13"/>
  <c r="J2936" i="13"/>
  <c r="J2935" i="13"/>
  <c r="J2934" i="13"/>
  <c r="J2933" i="13"/>
  <c r="J2932" i="13"/>
  <c r="J2931" i="13"/>
  <c r="J2930" i="13"/>
  <c r="J2929" i="13"/>
  <c r="J2813" i="13"/>
  <c r="J2812" i="13"/>
  <c r="J2811" i="13"/>
  <c r="J2810" i="13"/>
  <c r="J2809" i="13"/>
  <c r="J2808" i="13"/>
  <c r="J2807" i="13"/>
  <c r="J2806" i="13"/>
  <c r="J2805" i="13"/>
  <c r="J2804" i="13"/>
  <c r="J2803" i="13"/>
  <c r="J2802" i="13"/>
  <c r="J2801" i="13"/>
  <c r="J2800" i="13"/>
  <c r="J2799" i="13"/>
  <c r="J2798" i="13"/>
  <c r="J2797" i="13"/>
  <c r="J2796" i="13"/>
  <c r="J2795" i="13"/>
  <c r="J2794" i="13"/>
  <c r="J2793" i="13"/>
  <c r="J2792" i="13"/>
  <c r="J2791" i="13"/>
  <c r="J2675" i="13"/>
  <c r="J2674" i="13"/>
  <c r="J2673" i="13"/>
  <c r="J2672" i="13"/>
  <c r="J2671" i="13"/>
  <c r="J2670" i="13"/>
  <c r="J2669" i="13"/>
  <c r="J2668" i="13"/>
  <c r="J2667" i="13"/>
  <c r="J2666" i="13"/>
  <c r="J2665" i="13"/>
  <c r="J2664" i="13"/>
  <c r="J2663" i="13"/>
  <c r="J2662" i="13"/>
  <c r="J2661" i="13"/>
  <c r="J2660" i="13"/>
  <c r="J2659" i="13"/>
  <c r="J2658" i="13"/>
  <c r="J2657" i="13"/>
  <c r="J2656" i="13"/>
  <c r="J2655" i="13"/>
  <c r="J2654" i="13"/>
  <c r="J2653" i="13"/>
  <c r="J2537" i="13"/>
  <c r="J2536" i="13"/>
  <c r="J2535" i="13"/>
  <c r="J2534" i="13"/>
  <c r="J2533" i="13"/>
  <c r="J2532" i="13"/>
  <c r="J2531" i="13"/>
  <c r="J2530" i="13"/>
  <c r="J2529" i="13"/>
  <c r="J2528" i="13"/>
  <c r="J2527" i="13"/>
  <c r="J2526" i="13"/>
  <c r="J2525" i="13"/>
  <c r="J2524" i="13"/>
  <c r="J2523" i="13"/>
  <c r="J2522" i="13"/>
  <c r="J2521" i="13"/>
  <c r="J2520" i="13"/>
  <c r="J2519" i="13"/>
  <c r="J2518" i="13"/>
  <c r="J2517" i="13"/>
  <c r="J2516" i="13"/>
  <c r="J2515" i="13"/>
  <c r="J2307" i="13"/>
  <c r="J2306" i="13"/>
  <c r="J2305" i="13"/>
  <c r="J2304" i="13"/>
  <c r="J2303" i="13"/>
  <c r="J2302" i="13"/>
  <c r="J2301" i="13"/>
  <c r="J2300" i="13"/>
  <c r="J2299" i="13"/>
  <c r="J2298" i="13"/>
  <c r="J2297" i="13"/>
  <c r="J2296" i="13"/>
  <c r="J2295" i="13"/>
  <c r="J2294" i="13"/>
  <c r="J2293" i="13"/>
  <c r="J2292" i="13"/>
  <c r="J2291" i="13"/>
  <c r="J2290" i="13"/>
  <c r="J2289" i="13"/>
  <c r="J2288" i="13"/>
  <c r="J2287" i="13"/>
  <c r="J2286" i="13"/>
  <c r="J2285" i="13"/>
  <c r="J2169" i="13"/>
  <c r="J2168" i="13"/>
  <c r="J2167" i="13"/>
  <c r="J2166" i="13"/>
  <c r="J2165" i="13"/>
  <c r="J2164" i="13"/>
  <c r="J2163" i="13"/>
  <c r="J2162" i="13"/>
  <c r="J2161" i="13"/>
  <c r="J2160" i="13"/>
  <c r="J2159" i="13"/>
  <c r="J2158" i="13"/>
  <c r="J2157" i="13"/>
  <c r="J2156" i="13"/>
  <c r="J2155" i="13"/>
  <c r="J2154" i="13"/>
  <c r="J2153" i="13"/>
  <c r="J2152" i="13"/>
  <c r="J2151" i="13"/>
  <c r="J2150" i="13"/>
  <c r="J2149" i="13"/>
  <c r="J2148" i="13"/>
  <c r="J2147" i="13"/>
  <c r="J2031" i="13"/>
  <c r="J2030" i="13"/>
  <c r="J2029" i="13"/>
  <c r="J2028" i="13"/>
  <c r="J2027" i="13"/>
  <c r="J2026" i="13"/>
  <c r="J2025" i="13"/>
  <c r="J2024" i="13"/>
  <c r="J2023" i="13"/>
  <c r="J2022" i="13"/>
  <c r="J2021" i="13"/>
  <c r="J2020" i="13"/>
  <c r="J2019" i="13"/>
  <c r="J2018" i="13"/>
  <c r="J2017" i="13"/>
  <c r="J2016" i="13"/>
  <c r="J2015" i="13"/>
  <c r="J2014" i="13"/>
  <c r="J2013" i="13"/>
  <c r="J2012" i="13"/>
  <c r="J2011" i="13"/>
  <c r="J2010" i="13"/>
  <c r="J2009" i="13"/>
  <c r="J1893" i="13"/>
  <c r="J1892" i="13"/>
  <c r="J1891" i="13"/>
  <c r="J1890" i="13"/>
  <c r="J1889" i="13"/>
  <c r="J1888" i="13"/>
  <c r="J1887" i="13"/>
  <c r="J1886" i="13"/>
  <c r="J1885" i="13"/>
  <c r="J1884" i="13"/>
  <c r="J1883" i="13"/>
  <c r="J1882" i="13"/>
  <c r="J1881" i="13"/>
  <c r="J1880" i="13"/>
  <c r="J1879" i="13"/>
  <c r="J1878" i="13"/>
  <c r="J1877" i="13"/>
  <c r="J1876" i="13"/>
  <c r="J1875" i="13"/>
  <c r="J1874" i="13"/>
  <c r="J1873" i="13"/>
  <c r="J1872" i="13"/>
  <c r="J1871" i="13"/>
  <c r="J1755" i="13"/>
  <c r="J1754" i="13"/>
  <c r="J1753" i="13"/>
  <c r="J1752" i="13"/>
  <c r="J1751" i="13"/>
  <c r="J1750" i="13"/>
  <c r="J1749" i="13"/>
  <c r="J1748" i="13"/>
  <c r="J1747" i="13"/>
  <c r="J1746" i="13"/>
  <c r="J1745" i="13"/>
  <c r="J1744" i="13"/>
  <c r="J1743" i="13"/>
  <c r="J1742" i="13"/>
  <c r="J1741" i="13"/>
  <c r="J1740" i="13"/>
  <c r="J1739" i="13"/>
  <c r="J1738" i="13"/>
  <c r="J1737" i="13"/>
  <c r="J1736" i="13"/>
  <c r="J1735" i="13"/>
  <c r="J1734" i="13"/>
  <c r="J1733" i="13"/>
  <c r="J1640" i="13"/>
  <c r="J1639" i="13"/>
  <c r="J1638" i="13"/>
  <c r="J1637" i="13"/>
  <c r="J1636" i="13"/>
  <c r="J1635" i="13"/>
  <c r="J1634" i="13"/>
  <c r="J1633" i="13"/>
  <c r="J1632" i="13"/>
  <c r="J1631" i="13"/>
  <c r="J1630" i="13"/>
  <c r="J1629" i="13"/>
  <c r="J1628" i="13"/>
  <c r="J1627" i="13"/>
  <c r="J1626" i="13"/>
  <c r="J1625" i="13"/>
  <c r="J1624" i="13"/>
  <c r="J1623" i="13"/>
  <c r="J1622" i="13"/>
  <c r="J1621" i="13"/>
  <c r="J1620" i="13"/>
  <c r="J1619" i="13"/>
  <c r="J1618" i="13"/>
  <c r="J1502" i="13"/>
  <c r="J1501" i="13"/>
  <c r="J1500" i="13"/>
  <c r="J1499" i="13"/>
  <c r="J1498" i="13"/>
  <c r="J1497" i="13"/>
  <c r="J1496" i="13"/>
  <c r="J1495" i="13"/>
  <c r="J1494" i="13"/>
  <c r="J1493" i="13"/>
  <c r="J1492" i="13"/>
  <c r="J1491" i="13"/>
  <c r="J1490" i="13"/>
  <c r="J1489" i="13"/>
  <c r="J1488" i="13"/>
  <c r="J1487" i="13"/>
  <c r="J1486" i="13"/>
  <c r="J1485" i="13"/>
  <c r="J1484" i="13"/>
  <c r="J1483" i="13"/>
  <c r="J1482" i="13"/>
  <c r="J1481" i="13"/>
  <c r="J1480" i="13"/>
  <c r="J1387" i="13"/>
  <c r="J1386" i="13"/>
  <c r="J1385" i="13"/>
  <c r="J1384" i="13"/>
  <c r="J1383" i="13"/>
  <c r="J1382" i="13"/>
  <c r="J1381" i="13"/>
  <c r="J1380" i="13"/>
  <c r="J1379" i="13"/>
  <c r="J1378" i="13"/>
  <c r="J1377" i="13"/>
  <c r="J1376" i="13"/>
  <c r="J1375" i="13"/>
  <c r="J1374" i="13"/>
  <c r="J1373" i="13"/>
  <c r="J1372" i="13"/>
  <c r="J1371" i="13"/>
  <c r="J1370" i="13"/>
  <c r="J1369" i="13"/>
  <c r="J1368" i="13"/>
  <c r="J1367" i="13"/>
  <c r="J1366" i="13"/>
  <c r="J1365" i="13"/>
  <c r="J1249" i="13"/>
  <c r="J1248" i="13"/>
  <c r="J1247" i="13"/>
  <c r="J1246" i="13"/>
  <c r="J1245" i="13"/>
  <c r="J1244" i="13"/>
  <c r="J1243" i="13"/>
  <c r="J1242" i="13"/>
  <c r="J1241" i="13"/>
  <c r="J1240" i="13"/>
  <c r="J1239" i="13"/>
  <c r="J1238" i="13"/>
  <c r="J1237" i="13"/>
  <c r="J1236" i="13"/>
  <c r="J1235" i="13"/>
  <c r="J1234" i="13"/>
  <c r="J1233" i="13"/>
  <c r="J1232" i="13"/>
  <c r="J1231" i="13"/>
  <c r="J1230" i="13"/>
  <c r="J1229" i="13"/>
  <c r="J1228" i="13"/>
  <c r="J1227" i="13"/>
  <c r="J1111" i="13"/>
  <c r="J1110" i="13"/>
  <c r="J1109" i="13"/>
  <c r="J1108" i="13"/>
  <c r="J1107" i="13"/>
  <c r="J1106" i="13"/>
  <c r="J1105" i="13"/>
  <c r="J1104" i="13"/>
  <c r="J1103" i="13"/>
  <c r="J1102" i="13"/>
  <c r="J1101" i="13"/>
  <c r="J1100" i="13"/>
  <c r="J1099" i="13"/>
  <c r="J1098" i="13"/>
  <c r="J1097" i="13"/>
  <c r="J1096" i="13"/>
  <c r="J1095" i="13"/>
  <c r="J1094" i="13"/>
  <c r="J1093" i="13"/>
  <c r="J1092" i="13"/>
  <c r="J1091" i="13"/>
  <c r="J1090" i="13"/>
  <c r="J1089" i="13"/>
  <c r="J974" i="13"/>
  <c r="J973" i="13"/>
  <c r="J972" i="13"/>
  <c r="J971" i="13"/>
  <c r="J970" i="13"/>
  <c r="J969" i="13"/>
  <c r="J968" i="13"/>
  <c r="J967" i="13"/>
  <c r="J966" i="13"/>
  <c r="J965" i="13"/>
  <c r="J964" i="13"/>
  <c r="J963" i="13"/>
  <c r="J962" i="13"/>
  <c r="J961" i="13"/>
  <c r="J960" i="13"/>
  <c r="J959" i="13"/>
  <c r="J958" i="13"/>
  <c r="J957" i="13"/>
  <c r="J956" i="13"/>
  <c r="J955" i="13"/>
  <c r="J954" i="13"/>
  <c r="J953" i="13"/>
  <c r="J952" i="13"/>
  <c r="J836" i="13"/>
  <c r="J835" i="13"/>
  <c r="J834" i="13"/>
  <c r="J833" i="13"/>
  <c r="J832" i="13"/>
  <c r="J831" i="13"/>
  <c r="J830" i="13"/>
  <c r="J829" i="13"/>
  <c r="J828" i="13"/>
  <c r="J827" i="13"/>
  <c r="J826" i="13"/>
  <c r="J825" i="13"/>
  <c r="J824" i="13"/>
  <c r="J823" i="13"/>
  <c r="J822" i="13"/>
  <c r="J821" i="13"/>
  <c r="J820" i="13"/>
  <c r="J819" i="13"/>
  <c r="J818" i="13"/>
  <c r="J817" i="13"/>
  <c r="J816" i="13"/>
  <c r="J815" i="13"/>
  <c r="J814" i="13"/>
  <c r="J583" i="13"/>
  <c r="J582" i="13"/>
  <c r="J581" i="13"/>
  <c r="J580" i="13"/>
  <c r="J579" i="13"/>
  <c r="J578" i="13"/>
  <c r="J577" i="13"/>
  <c r="J576" i="13"/>
  <c r="J575" i="13"/>
  <c r="J574" i="13"/>
  <c r="J573" i="13"/>
  <c r="J572" i="13"/>
  <c r="J571" i="13"/>
  <c r="J570" i="13"/>
  <c r="J569" i="13"/>
  <c r="J568" i="13"/>
  <c r="J567" i="13"/>
  <c r="J566" i="13"/>
  <c r="J565" i="13"/>
  <c r="J564" i="13"/>
  <c r="J563" i="13"/>
  <c r="J562" i="13"/>
  <c r="J561" i="13"/>
  <c r="J330" i="13"/>
  <c r="J329" i="13"/>
  <c r="J328" i="13"/>
  <c r="J327" i="13"/>
  <c r="J326" i="13"/>
  <c r="J325" i="13"/>
  <c r="J324" i="13"/>
  <c r="J323" i="13"/>
  <c r="J322" i="13"/>
  <c r="J321" i="13"/>
  <c r="J320" i="13"/>
  <c r="J319" i="13"/>
  <c r="J318" i="13"/>
  <c r="J317" i="13"/>
  <c r="J316" i="13"/>
  <c r="J315" i="13"/>
  <c r="J314" i="13"/>
  <c r="J313" i="13"/>
  <c r="J312" i="13"/>
  <c r="J311" i="13"/>
  <c r="J310" i="13"/>
  <c r="J309" i="13"/>
  <c r="J308" i="13"/>
  <c r="J77" i="13"/>
  <c r="J76" i="13"/>
  <c r="J75" i="13"/>
  <c r="J74" i="13"/>
  <c r="J73" i="13"/>
  <c r="J72" i="13"/>
  <c r="J71" i="13"/>
  <c r="J70" i="13"/>
  <c r="J69" i="13"/>
  <c r="J68" i="13"/>
  <c r="J67" i="13"/>
  <c r="J66" i="13"/>
  <c r="J65" i="13"/>
  <c r="J64" i="13"/>
  <c r="J63" i="13"/>
  <c r="J62" i="13"/>
  <c r="J61" i="13"/>
  <c r="J60" i="13"/>
  <c r="J59" i="13"/>
  <c r="J58" i="13"/>
  <c r="J57" i="13"/>
  <c r="J56" i="13"/>
  <c r="I55" i="13"/>
  <c r="J55" i="13"/>
  <c r="K126" i="1"/>
  <c r="K123" i="1"/>
  <c r="K121" i="1"/>
  <c r="K120" i="1"/>
  <c r="K112" i="1"/>
  <c r="K107" i="1"/>
  <c r="K106" i="1"/>
  <c r="K96" i="1"/>
  <c r="K86" i="1"/>
  <c r="K81" i="1"/>
  <c r="K80" i="1"/>
  <c r="K76" i="1"/>
  <c r="K64" i="1"/>
  <c r="K61" i="1"/>
  <c r="K56" i="1"/>
  <c r="K50" i="1"/>
  <c r="K48" i="1"/>
  <c r="K45" i="1"/>
  <c r="K44" i="1"/>
  <c r="K43" i="1"/>
  <c r="K36" i="1"/>
  <c r="K35" i="1"/>
  <c r="K34" i="1"/>
  <c r="K32" i="1"/>
  <c r="K22" i="1"/>
  <c r="K16" i="1"/>
  <c r="K9" i="1"/>
  <c r="J126" i="1"/>
  <c r="J123" i="1"/>
  <c r="J121" i="1"/>
  <c r="J120" i="1"/>
  <c r="J112" i="1"/>
  <c r="J107" i="1"/>
  <c r="J106" i="1"/>
  <c r="J96" i="1"/>
  <c r="J86" i="1"/>
  <c r="J81" i="1"/>
  <c r="J80" i="1"/>
  <c r="J76" i="1"/>
  <c r="J64" i="1"/>
  <c r="J61" i="1"/>
  <c r="J56" i="1"/>
  <c r="J50" i="1"/>
  <c r="J48" i="1"/>
  <c r="J45" i="1"/>
  <c r="J44" i="1"/>
  <c r="J43" i="1"/>
  <c r="J36" i="1"/>
  <c r="J35" i="1"/>
  <c r="J34" i="1"/>
  <c r="J32" i="1"/>
  <c r="J22" i="1"/>
  <c r="J16" i="1"/>
  <c r="J9" i="1"/>
  <c r="I126" i="1"/>
  <c r="I112" i="1"/>
  <c r="I96" i="1"/>
  <c r="I22" i="1"/>
  <c r="I123" i="1"/>
  <c r="I121" i="1"/>
  <c r="I120" i="1"/>
  <c r="I107" i="1"/>
  <c r="I106" i="1"/>
  <c r="I86" i="1"/>
  <c r="I81" i="1"/>
  <c r="I80" i="1"/>
  <c r="I76" i="1"/>
  <c r="I64" i="1"/>
  <c r="I61" i="1"/>
  <c r="I56" i="1"/>
  <c r="I50" i="1"/>
  <c r="I48" i="1"/>
  <c r="I45" i="1"/>
  <c r="I44" i="1"/>
  <c r="I43" i="1"/>
  <c r="I36" i="1"/>
  <c r="I35" i="1"/>
  <c r="I34" i="1"/>
  <c r="I32" i="1"/>
  <c r="I16" i="1"/>
  <c r="I9" i="1"/>
  <c r="Q16" i="12" l="1"/>
  <c r="V16" i="12" s="1"/>
  <c r="S24" i="12"/>
  <c r="S8" i="12"/>
  <c r="S23" i="12"/>
  <c r="S7" i="12"/>
  <c r="R15" i="12"/>
  <c r="W15" i="12" s="1"/>
  <c r="AA15" i="12" s="1"/>
  <c r="R16" i="12"/>
  <c r="W16" i="12" s="1"/>
  <c r="AA16" i="12" s="1"/>
  <c r="Q3" i="12"/>
  <c r="V3" i="12" s="1"/>
  <c r="R22" i="12"/>
  <c r="W22" i="12" s="1"/>
  <c r="AA22" i="12" s="1"/>
  <c r="R14" i="12"/>
  <c r="S14" i="12" s="1"/>
  <c r="R6" i="12"/>
  <c r="W6" i="12" s="1"/>
  <c r="AA6" i="12" s="1"/>
  <c r="U24" i="12"/>
  <c r="Y24" i="12" s="1"/>
  <c r="U16" i="12"/>
  <c r="Y16" i="12" s="1"/>
  <c r="U8" i="12"/>
  <c r="Y8" i="12" s="1"/>
  <c r="R3" i="12"/>
  <c r="W3" i="12" s="1"/>
  <c r="AA3" i="12" s="1"/>
  <c r="Q22" i="12"/>
  <c r="V22" i="12" s="1"/>
  <c r="Q14" i="12"/>
  <c r="V14" i="12" s="1"/>
  <c r="Q6" i="12"/>
  <c r="V6" i="12" s="1"/>
  <c r="T24" i="12"/>
  <c r="T16" i="12"/>
  <c r="T8" i="12"/>
  <c r="R29" i="12"/>
  <c r="W29" i="12" s="1"/>
  <c r="AA29" i="12" s="1"/>
  <c r="R21" i="12"/>
  <c r="S21" i="12" s="1"/>
  <c r="R13" i="12"/>
  <c r="W13" i="12" s="1"/>
  <c r="AA13" i="12" s="1"/>
  <c r="R5" i="12"/>
  <c r="W5" i="12" s="1"/>
  <c r="AA5" i="12" s="1"/>
  <c r="U23" i="12"/>
  <c r="Y23" i="12" s="1"/>
  <c r="U15" i="12"/>
  <c r="Y15" i="12" s="1"/>
  <c r="U7" i="12"/>
  <c r="Y7" i="12" s="1"/>
  <c r="Q29" i="12"/>
  <c r="V29" i="12" s="1"/>
  <c r="Q21" i="12"/>
  <c r="V21" i="12" s="1"/>
  <c r="Q13" i="12"/>
  <c r="V13" i="12" s="1"/>
  <c r="Q5" i="12"/>
  <c r="V5" i="12" s="1"/>
  <c r="T23" i="12"/>
  <c r="T15" i="12"/>
  <c r="T7" i="12"/>
  <c r="R28" i="12"/>
  <c r="W28" i="12" s="1"/>
  <c r="AA28" i="12" s="1"/>
  <c r="R20" i="12"/>
  <c r="S20" i="12" s="1"/>
  <c r="R12" i="12"/>
  <c r="W12" i="12" s="1"/>
  <c r="AA12" i="12" s="1"/>
  <c r="R4" i="12"/>
  <c r="W4" i="12" s="1"/>
  <c r="AA4" i="12" s="1"/>
  <c r="Q28" i="12"/>
  <c r="V28" i="12" s="1"/>
  <c r="Q20" i="12"/>
  <c r="V20" i="12" s="1"/>
  <c r="Q12" i="12"/>
  <c r="V12" i="12" s="1"/>
  <c r="Q4" i="12"/>
  <c r="V4" i="12" s="1"/>
  <c r="R27" i="12"/>
  <c r="W27" i="12" s="1"/>
  <c r="AA27" i="12" s="1"/>
  <c r="R19" i="12"/>
  <c r="W19" i="12" s="1"/>
  <c r="AA19" i="12" s="1"/>
  <c r="R11" i="12"/>
  <c r="W11" i="12" s="1"/>
  <c r="AA11" i="12" s="1"/>
  <c r="Q27" i="12"/>
  <c r="V27" i="12" s="1"/>
  <c r="Q19" i="12"/>
  <c r="V19" i="12" s="1"/>
  <c r="Q11" i="12"/>
  <c r="V11" i="12" s="1"/>
  <c r="R26" i="12"/>
  <c r="W26" i="12" s="1"/>
  <c r="AA26" i="12" s="1"/>
  <c r="R18" i="12"/>
  <c r="W18" i="12" s="1"/>
  <c r="AA18" i="12" s="1"/>
  <c r="R10" i="12"/>
  <c r="W10" i="12" s="1"/>
  <c r="AA10" i="12" s="1"/>
  <c r="Q26" i="12"/>
  <c r="V26" i="12" s="1"/>
  <c r="Q18" i="12"/>
  <c r="V18" i="12" s="1"/>
  <c r="Q10" i="12"/>
  <c r="V10" i="12" s="1"/>
  <c r="R25" i="12"/>
  <c r="W25" i="12" s="1"/>
  <c r="AA25" i="12" s="1"/>
  <c r="R17" i="12"/>
  <c r="W17" i="12" s="1"/>
  <c r="AA17" i="12" s="1"/>
  <c r="R9" i="12"/>
  <c r="W9" i="12" s="1"/>
  <c r="AA9" i="12" s="1"/>
  <c r="Q25" i="12"/>
  <c r="V25" i="12" s="1"/>
  <c r="Q17" i="12"/>
  <c r="V17" i="12" s="1"/>
  <c r="Q9" i="12"/>
  <c r="V9" i="12" s="1"/>
  <c r="S6" i="12" l="1"/>
  <c r="S26" i="12"/>
  <c r="S11" i="12"/>
  <c r="S27" i="12"/>
  <c r="S28" i="12"/>
  <c r="S3" i="12"/>
  <c r="S12" i="12"/>
  <c r="S4" i="12"/>
  <c r="S13" i="12"/>
  <c r="S29" i="12"/>
  <c r="S22" i="12"/>
  <c r="S17" i="12"/>
  <c r="S18" i="12"/>
  <c r="S19" i="12"/>
  <c r="S15" i="12"/>
  <c r="S5" i="12"/>
  <c r="S9" i="12"/>
  <c r="S25" i="12"/>
  <c r="S16" i="12"/>
  <c r="S10"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<sst xmlns="http://schemas.openxmlformats.org/spreadsheetml/2006/main" count="10752" uniqueCount="1479">
  <si>
    <t>Country</t>
  </si>
  <si>
    <t>ISO 3166-2 Country Codes</t>
  </si>
  <si>
    <t>Active Capacity, [MW]</t>
  </si>
  <si>
    <t>Ratio Capacity Potentially Seawater Cooled</t>
  </si>
  <si>
    <t>Freshwater Consumption, [m3]</t>
  </si>
  <si>
    <t>Aggregated Water Consumption, [m3]</t>
  </si>
  <si>
    <t>Freshwater Withdrawal, [m3]</t>
  </si>
  <si>
    <t>Aggregated Water Withdrawal, [m3]</t>
  </si>
  <si>
    <t>Afghanistan</t>
  </si>
  <si>
    <t>af</t>
  </si>
  <si>
    <t>Albania</t>
  </si>
  <si>
    <t>al</t>
  </si>
  <si>
    <t>Algeria</t>
  </si>
  <si>
    <t>dz</t>
  </si>
  <si>
    <t>Angola</t>
  </si>
  <si>
    <t>ao</t>
  </si>
  <si>
    <t>Argentina</t>
  </si>
  <si>
    <t>ar</t>
  </si>
  <si>
    <t>Armenia</t>
  </si>
  <si>
    <t>am</t>
  </si>
  <si>
    <t>Australia</t>
  </si>
  <si>
    <t>au</t>
  </si>
  <si>
    <t>Austria</t>
  </si>
  <si>
    <t>at</t>
  </si>
  <si>
    <t>Azerbaijan</t>
  </si>
  <si>
    <t>az</t>
  </si>
  <si>
    <t>Bahamas</t>
  </si>
  <si>
    <t>bs</t>
  </si>
  <si>
    <t>Bahrain</t>
  </si>
  <si>
    <t>bh</t>
  </si>
  <si>
    <t>Bangladesh</t>
  </si>
  <si>
    <t>bd</t>
  </si>
  <si>
    <t>Barbados</t>
  </si>
  <si>
    <t>bb</t>
  </si>
  <si>
    <t>Belarus</t>
  </si>
  <si>
    <t>by</t>
  </si>
  <si>
    <t>Belgium</t>
  </si>
  <si>
    <t>be</t>
  </si>
  <si>
    <t>Bolivia</t>
  </si>
  <si>
    <t>bo</t>
  </si>
  <si>
    <t>Bosnia and Herzegovina</t>
  </si>
  <si>
    <t>ba</t>
  </si>
  <si>
    <t>Botswana</t>
  </si>
  <si>
    <t>bw</t>
  </si>
  <si>
    <t>Brazil</t>
  </si>
  <si>
    <t>br</t>
  </si>
  <si>
    <t>Brunei Darussalam</t>
  </si>
  <si>
    <t>bn</t>
  </si>
  <si>
    <t>Bulgaria</t>
  </si>
  <si>
    <t>bg</t>
  </si>
  <si>
    <t>Cambodia</t>
  </si>
  <si>
    <t>kh</t>
  </si>
  <si>
    <t>Cameroon</t>
  </si>
  <si>
    <t>cm</t>
  </si>
  <si>
    <t>Canada</t>
  </si>
  <si>
    <t>ca</t>
  </si>
  <si>
    <t>Cayman Islands</t>
  </si>
  <si>
    <t>ky</t>
  </si>
  <si>
    <t>Chile</t>
  </si>
  <si>
    <t>cl</t>
  </si>
  <si>
    <t>China</t>
  </si>
  <si>
    <t>cn</t>
  </si>
  <si>
    <t>Colombia</t>
  </si>
  <si>
    <t>co</t>
  </si>
  <si>
    <t>Congo Republic</t>
  </si>
  <si>
    <t>cd</t>
  </si>
  <si>
    <t>Costa Rica</t>
  </si>
  <si>
    <t>cr</t>
  </si>
  <si>
    <t>Croatia</t>
  </si>
  <si>
    <t>hr</t>
  </si>
  <si>
    <t>Cuba</t>
  </si>
  <si>
    <t>cu</t>
  </si>
  <si>
    <t>Cyprus</t>
  </si>
  <si>
    <t>cy</t>
  </si>
  <si>
    <t>Czech Republic</t>
  </si>
  <si>
    <t>cz</t>
  </si>
  <si>
    <t>Denmark</t>
  </si>
  <si>
    <t>dk</t>
  </si>
  <si>
    <t>Djibouti</t>
  </si>
  <si>
    <t>dj</t>
  </si>
  <si>
    <t>Dominican Republic</t>
  </si>
  <si>
    <t>do</t>
  </si>
  <si>
    <t>Ecuador</t>
  </si>
  <si>
    <t>ec</t>
  </si>
  <si>
    <t>Egypt</t>
  </si>
  <si>
    <t>eg</t>
  </si>
  <si>
    <t>El Salvador</t>
  </si>
  <si>
    <t>sv</t>
  </si>
  <si>
    <t>Eritrea</t>
  </si>
  <si>
    <t>er</t>
  </si>
  <si>
    <t>Estonia</t>
  </si>
  <si>
    <t>ee</t>
  </si>
  <si>
    <t>Finland</t>
  </si>
  <si>
    <t>fi</t>
  </si>
  <si>
    <t>France</t>
  </si>
  <si>
    <t>fr</t>
  </si>
  <si>
    <t>Gabon</t>
  </si>
  <si>
    <t>ga</t>
  </si>
  <si>
    <t>Georgia</t>
  </si>
  <si>
    <t>ge</t>
  </si>
  <si>
    <t>Germany</t>
  </si>
  <si>
    <t>de</t>
  </si>
  <si>
    <t>Ghana</t>
  </si>
  <si>
    <t>gh</t>
  </si>
  <si>
    <t>Greece</t>
  </si>
  <si>
    <t>gr</t>
  </si>
  <si>
    <t>Guam</t>
  </si>
  <si>
    <t>gu</t>
  </si>
  <si>
    <t>Guatemala</t>
  </si>
  <si>
    <t>gt</t>
  </si>
  <si>
    <t>Haiti</t>
  </si>
  <si>
    <t>ht</t>
  </si>
  <si>
    <t>Honduras</t>
  </si>
  <si>
    <t>hn</t>
  </si>
  <si>
    <t>Hong Kong Region of China</t>
  </si>
  <si>
    <t>hk</t>
  </si>
  <si>
    <t>Hungary</t>
  </si>
  <si>
    <t>hu</t>
  </si>
  <si>
    <t>India</t>
  </si>
  <si>
    <t>in</t>
  </si>
  <si>
    <t>Indonesia</t>
  </si>
  <si>
    <t>id</t>
  </si>
  <si>
    <t>Iran</t>
  </si>
  <si>
    <t>ir</t>
  </si>
  <si>
    <t>Iraq</t>
  </si>
  <si>
    <t>iq</t>
  </si>
  <si>
    <t>Ireland</t>
  </si>
  <si>
    <t>ie</t>
  </si>
  <si>
    <t>Isle of Man</t>
  </si>
  <si>
    <t>im</t>
  </si>
  <si>
    <t>Israel</t>
  </si>
  <si>
    <t>il</t>
  </si>
  <si>
    <t>Italy</t>
  </si>
  <si>
    <t>it</t>
  </si>
  <si>
    <t>Ivory Coast</t>
  </si>
  <si>
    <t>ci</t>
  </si>
  <si>
    <t>Jamaica</t>
  </si>
  <si>
    <t>jm</t>
  </si>
  <si>
    <t>Japan</t>
  </si>
  <si>
    <t>jp</t>
  </si>
  <si>
    <t>Jordan</t>
  </si>
  <si>
    <t>jo</t>
  </si>
  <si>
    <t>Kazakhstan</t>
  </si>
  <si>
    <t>kz</t>
  </si>
  <si>
    <t>Kenya</t>
  </si>
  <si>
    <t>ke</t>
  </si>
  <si>
    <t>Korea Democratic People's Republic</t>
  </si>
  <si>
    <t>kp</t>
  </si>
  <si>
    <t>Korea Republic</t>
  </si>
  <si>
    <t>kr</t>
  </si>
  <si>
    <t>Kosovo</t>
  </si>
  <si>
    <t>xk</t>
  </si>
  <si>
    <t>Kuwait</t>
  </si>
  <si>
    <t>kw</t>
  </si>
  <si>
    <t>Kyrgyzstan</t>
  </si>
  <si>
    <t>kg</t>
  </si>
  <si>
    <t>Latvia</t>
  </si>
  <si>
    <t>la</t>
  </si>
  <si>
    <t>Lebanon</t>
  </si>
  <si>
    <t>lb</t>
  </si>
  <si>
    <t>Liberia</t>
  </si>
  <si>
    <t>lr</t>
  </si>
  <si>
    <t>Libya</t>
  </si>
  <si>
    <t>ly</t>
  </si>
  <si>
    <t>Lithuania</t>
  </si>
  <si>
    <t>lt</t>
  </si>
  <si>
    <t>Luxembourg</t>
  </si>
  <si>
    <t>lu</t>
  </si>
  <si>
    <t>Macau Region of China</t>
  </si>
  <si>
    <t>mo</t>
  </si>
  <si>
    <t>Macedonia Republic</t>
  </si>
  <si>
    <t>mk</t>
  </si>
  <si>
    <t>Madagascar</t>
  </si>
  <si>
    <t>mg</t>
  </si>
  <si>
    <t>Malaysia</t>
  </si>
  <si>
    <t>my</t>
  </si>
  <si>
    <t>Malta</t>
  </si>
  <si>
    <t>mt</t>
  </si>
  <si>
    <t>Mauritania</t>
  </si>
  <si>
    <t>mr</t>
  </si>
  <si>
    <t>Mauritius</t>
  </si>
  <si>
    <t>mu</t>
  </si>
  <si>
    <t>Mexico</t>
  </si>
  <si>
    <t>mx</t>
  </si>
  <si>
    <t>Mongolia</t>
  </si>
  <si>
    <t>mn</t>
  </si>
  <si>
    <t>Montenegro</t>
  </si>
  <si>
    <t>me</t>
  </si>
  <si>
    <t>Morocco</t>
  </si>
  <si>
    <t>ma</t>
  </si>
  <si>
    <t>Mozambique</t>
  </si>
  <si>
    <t>mz</t>
  </si>
  <si>
    <t>Myanmar</t>
  </si>
  <si>
    <t>mm</t>
  </si>
  <si>
    <t>Namibia</t>
  </si>
  <si>
    <t>na</t>
  </si>
  <si>
    <t>Netherlands</t>
  </si>
  <si>
    <t>nl</t>
  </si>
  <si>
    <t>New Zealand</t>
  </si>
  <si>
    <t>nz</t>
  </si>
  <si>
    <t>Nicaragua</t>
  </si>
  <si>
    <t>ni</t>
  </si>
  <si>
    <t>Nigeria</t>
  </si>
  <si>
    <t>ng</t>
  </si>
  <si>
    <t>Norway</t>
  </si>
  <si>
    <t>no</t>
  </si>
  <si>
    <t>Oman</t>
  </si>
  <si>
    <t>om</t>
  </si>
  <si>
    <t>Pakistan</t>
  </si>
  <si>
    <t>pk</t>
  </si>
  <si>
    <t>Panama</t>
  </si>
  <si>
    <t>pa</t>
  </si>
  <si>
    <t>Peru</t>
  </si>
  <si>
    <t>pe</t>
  </si>
  <si>
    <t>Philippines</t>
  </si>
  <si>
    <t>ph</t>
  </si>
  <si>
    <t>Poland</t>
  </si>
  <si>
    <t>pl</t>
  </si>
  <si>
    <t>Portugal</t>
  </si>
  <si>
    <t>pt</t>
  </si>
  <si>
    <t>Puerto Rico</t>
  </si>
  <si>
    <t>pr</t>
  </si>
  <si>
    <t>Qatar</t>
  </si>
  <si>
    <t>qa</t>
  </si>
  <si>
    <t>Republic of Moldova</t>
  </si>
  <si>
    <t>md</t>
  </si>
  <si>
    <t>Reunion</t>
  </si>
  <si>
    <t>re</t>
  </si>
  <si>
    <t>Romania</t>
  </si>
  <si>
    <t>ro</t>
  </si>
  <si>
    <t>Russian Federation</t>
  </si>
  <si>
    <t>ru</t>
  </si>
  <si>
    <t>Saint Lucia</t>
  </si>
  <si>
    <t>lc</t>
  </si>
  <si>
    <t>Saudi Arabia</t>
  </si>
  <si>
    <t>sa</t>
  </si>
  <si>
    <t>Senegal</t>
  </si>
  <si>
    <t>sn</t>
  </si>
  <si>
    <t>Serbia</t>
  </si>
  <si>
    <t>rs</t>
  </si>
  <si>
    <t>Singapore</t>
  </si>
  <si>
    <t>sg</t>
  </si>
  <si>
    <t>Sint Maarten</t>
  </si>
  <si>
    <t>mf</t>
  </si>
  <si>
    <t>Slovakia</t>
  </si>
  <si>
    <t>sk</t>
  </si>
  <si>
    <t>Slovenia</t>
  </si>
  <si>
    <t>si</t>
  </si>
  <si>
    <t>South Africa</t>
  </si>
  <si>
    <t>za</t>
  </si>
  <si>
    <t>Spain</t>
  </si>
  <si>
    <t>es</t>
  </si>
  <si>
    <t>Sri Lanka</t>
  </si>
  <si>
    <t>lk</t>
  </si>
  <si>
    <t>Sudan</t>
  </si>
  <si>
    <t>sd</t>
  </si>
  <si>
    <t>Sweden</t>
  </si>
  <si>
    <t>se</t>
  </si>
  <si>
    <t>Switzerland</t>
  </si>
  <si>
    <t>ch</t>
  </si>
  <si>
    <t>Syria</t>
  </si>
  <si>
    <t>sy</t>
  </si>
  <si>
    <t>Taiwan</t>
  </si>
  <si>
    <t>tw</t>
  </si>
  <si>
    <t>Tanzania</t>
  </si>
  <si>
    <t>tz</t>
  </si>
  <si>
    <t>Thailand</t>
  </si>
  <si>
    <t>th</t>
  </si>
  <si>
    <t>Timor-Leste</t>
  </si>
  <si>
    <t>tl</t>
  </si>
  <si>
    <t>Togo</t>
  </si>
  <si>
    <t>tg</t>
  </si>
  <si>
    <t>Trinidad and Tobago</t>
  </si>
  <si>
    <t>tt</t>
  </si>
  <si>
    <t>Tunisia</t>
  </si>
  <si>
    <t>tn</t>
  </si>
  <si>
    <t>Turkey</t>
  </si>
  <si>
    <t>tr</t>
  </si>
  <si>
    <t>Turkmenistan</t>
  </si>
  <si>
    <t>tm</t>
  </si>
  <si>
    <t>Uganda</t>
  </si>
  <si>
    <t>ug</t>
  </si>
  <si>
    <t>Ukraine</t>
  </si>
  <si>
    <t>ua</t>
  </si>
  <si>
    <t>United Arab Emirates</t>
  </si>
  <si>
    <t>ae</t>
  </si>
  <si>
    <t>United Kingdom</t>
  </si>
  <si>
    <t>gb</t>
  </si>
  <si>
    <t>United States</t>
  </si>
  <si>
    <t>us</t>
  </si>
  <si>
    <t>Uruguay</t>
  </si>
  <si>
    <t>uy</t>
  </si>
  <si>
    <t>Uzbekistan</t>
  </si>
  <si>
    <t>uz</t>
  </si>
  <si>
    <t>Venezuela</t>
  </si>
  <si>
    <t>ve</t>
  </si>
  <si>
    <t>Vietnam</t>
  </si>
  <si>
    <t>vn</t>
  </si>
  <si>
    <t>Yemen</t>
  </si>
  <si>
    <t>ye</t>
  </si>
  <si>
    <t>Zambia</t>
  </si>
  <si>
    <t>zm</t>
  </si>
  <si>
    <t>Zimbabwe</t>
  </si>
  <si>
    <t>zw</t>
  </si>
  <si>
    <t xml:space="preserve">The values listed in the table represent median values of water consumption and water withdrawal. The numbers highlighted in red show the values that belong to the global ten highest water demand in the specific category. The underlined numbers in red represent the highest values of all countries in each category. The table shows the values of water consumption and water withdrawal (on fresh- and aggregated-water levels) for 148 countries in the world. For the remaining countries, which are not included in this list, no thermal power plants exceeding 50 MW were found, and/ or there is no reported information on the capacity factors of power generation facilities of these specific countries. The category ‘Ratio Capacity Potentially Seawater Cooled’ is the outcome of the GIS analysis and shows the share of the cumulated active thermal power plant capacity of the country located within 20 km from the coastline. In other words, it displays the share of cumulated country’s capacity which is potentially seawater-cooled. </t>
  </si>
  <si>
    <t>Asia-Pacific</t>
  </si>
  <si>
    <t>Pacific</t>
  </si>
  <si>
    <t>Zhang</t>
  </si>
  <si>
    <t>Europe</t>
  </si>
  <si>
    <t>Russia</t>
  </si>
  <si>
    <t>Zeya</t>
  </si>
  <si>
    <t>Inland Sea</t>
  </si>
  <si>
    <t>Zarafshon</t>
  </si>
  <si>
    <t>Yurungkax</t>
  </si>
  <si>
    <t>Arctic</t>
  </si>
  <si>
    <t>Yuganskaya Ob</t>
  </si>
  <si>
    <t>Yuan</t>
  </si>
  <si>
    <t>Yu</t>
  </si>
  <si>
    <t>Youjiang</t>
  </si>
  <si>
    <t>Atlantic</t>
  </si>
  <si>
    <t>Yonne</t>
  </si>
  <si>
    <t>Yongding</t>
  </si>
  <si>
    <t>Yong</t>
  </si>
  <si>
    <t>Ying</t>
  </si>
  <si>
    <t>Americas</t>
  </si>
  <si>
    <t>Yellowstone</t>
  </si>
  <si>
    <t>Yellow</t>
  </si>
  <si>
    <t>Yangtze</t>
  </si>
  <si>
    <t>Indian</t>
  </si>
  <si>
    <t>Yamuna</t>
  </si>
  <si>
    <t>Yalu</t>
  </si>
  <si>
    <t>Xiliao</t>
  </si>
  <si>
    <t>Xiang</t>
  </si>
  <si>
    <t>Xi</t>
  </si>
  <si>
    <t>Vychegda</t>
  </si>
  <si>
    <t>Vyatka</t>
  </si>
  <si>
    <t>Wujia</t>
  </si>
  <si>
    <t>Wu</t>
  </si>
  <si>
    <t>Volkhov</t>
  </si>
  <si>
    <t>Volga</t>
  </si>
  <si>
    <t>Vitava</t>
  </si>
  <si>
    <t>Vistula</t>
  </si>
  <si>
    <t>Wisconsin</t>
  </si>
  <si>
    <t>Willamette</t>
  </si>
  <si>
    <t>Vienne</t>
  </si>
  <si>
    <t>Africa</t>
  </si>
  <si>
    <t>Victoria Nile</t>
  </si>
  <si>
    <t>White Nile</t>
  </si>
  <si>
    <t>White</t>
  </si>
  <si>
    <t>West Branch Susqehanna</t>
  </si>
  <si>
    <t>Weser</t>
  </si>
  <si>
    <t>Verkhniy Yenisey</t>
  </si>
  <si>
    <t>Wei</t>
  </si>
  <si>
    <t>Warta</t>
  </si>
  <si>
    <t>Vakh</t>
  </si>
  <si>
    <t>Wainganga</t>
  </si>
  <si>
    <t>Waikato</t>
  </si>
  <si>
    <t>Wabash</t>
  </si>
  <si>
    <t>Waal</t>
  </si>
  <si>
    <t>Vaal</t>
  </si>
  <si>
    <t>Ussuri</t>
  </si>
  <si>
    <t>Ural</t>
  </si>
  <si>
    <t>Tvertsa</t>
  </si>
  <si>
    <t>Tura</t>
  </si>
  <si>
    <t>Tuo</t>
  </si>
  <si>
    <t>Tumen</t>
  </si>
  <si>
    <t>Tugaloo</t>
  </si>
  <si>
    <t>Tsna</t>
  </si>
  <si>
    <t>Truckee</t>
  </si>
  <si>
    <t>Trent</t>
  </si>
  <si>
    <t>Tone</t>
  </si>
  <si>
    <t>Tombigbee</t>
  </si>
  <si>
    <t>Tom</t>
  </si>
  <si>
    <t>Tobol</t>
  </si>
  <si>
    <t>Tigris</t>
  </si>
  <si>
    <t>Tiete</t>
  </si>
  <si>
    <t>Ticino</t>
  </si>
  <si>
    <t>Then Pennai</t>
  </si>
  <si>
    <t>England</t>
  </si>
  <si>
    <t>Thames</t>
  </si>
  <si>
    <t>Tevere</t>
  </si>
  <si>
    <t>Tercero</t>
  </si>
  <si>
    <t>Tennessee</t>
  </si>
  <si>
    <t>Tapi</t>
  </si>
  <si>
    <t>Tanana</t>
  </si>
  <si>
    <t>Tamar</t>
  </si>
  <si>
    <t>Talkeh</t>
  </si>
  <si>
    <t>Tagus</t>
  </si>
  <si>
    <t>Syr  Darya</t>
  </si>
  <si>
    <t>Suwannee</t>
  </si>
  <si>
    <t>Sutlej</t>
  </si>
  <si>
    <t>Susqehanna</t>
  </si>
  <si>
    <t>Sura</t>
  </si>
  <si>
    <t>Suda</t>
  </si>
  <si>
    <t>Subarnarekha</t>
  </si>
  <si>
    <t>Struma</t>
  </si>
  <si>
    <t>Stanislaus</t>
  </si>
  <si>
    <t>St.-Maurice</t>
  </si>
  <si>
    <t>St. Paul</t>
  </si>
  <si>
    <t>St. Lawrence</t>
  </si>
  <si>
    <t>St. Clair</t>
  </si>
  <si>
    <t>South Saskatchewan</t>
  </si>
  <si>
    <t>South Platte</t>
  </si>
  <si>
    <t>Soroksari Duna</t>
  </si>
  <si>
    <t>Songhua</t>
  </si>
  <si>
    <t>Son</t>
  </si>
  <si>
    <t>Shatt al Hillah</t>
  </si>
  <si>
    <t>Shatt al Arab</t>
  </si>
  <si>
    <t>Shandian</t>
  </si>
  <si>
    <t>Seym</t>
  </si>
  <si>
    <t>Severnaya Dvina</t>
  </si>
  <si>
    <t>Selenge</t>
  </si>
  <si>
    <t>Seine</t>
  </si>
  <si>
    <t>Sefid</t>
  </si>
  <si>
    <t>Scioto</t>
  </si>
  <si>
    <t>Schelde</t>
  </si>
  <si>
    <t>Savannah</t>
  </si>
  <si>
    <t>Sava</t>
  </si>
  <si>
    <t>Sao  Francisco</t>
  </si>
  <si>
    <t>Sanggan</t>
  </si>
  <si>
    <t>San Juan</t>
  </si>
  <si>
    <t>San Joaquin</t>
  </si>
  <si>
    <t>Salinas</t>
  </si>
  <si>
    <t>Salado</t>
  </si>
  <si>
    <t>Sakarya</t>
  </si>
  <si>
    <t>Sajo</t>
  </si>
  <si>
    <t>Saint Johns</t>
  </si>
  <si>
    <t>Sacramento</t>
  </si>
  <si>
    <t>Sabine</t>
  </si>
  <si>
    <t>Rosetta Branch</t>
  </si>
  <si>
    <t>Rong</t>
  </si>
  <si>
    <t>Roanoke</t>
  </si>
  <si>
    <t>Río San Juan</t>
  </si>
  <si>
    <t>Rio Rapel</t>
  </si>
  <si>
    <t>Rio Pisco</t>
  </si>
  <si>
    <t>Rio Ipojuca</t>
  </si>
  <si>
    <t>Rio Grande</t>
  </si>
  <si>
    <t>Rhone</t>
  </si>
  <si>
    <t>Rhine</t>
  </si>
  <si>
    <t>Republican</t>
  </si>
  <si>
    <t>Red River of the South</t>
  </si>
  <si>
    <t>Red River of the North</t>
  </si>
  <si>
    <t>Ravi</t>
  </si>
  <si>
    <t>Quan</t>
  </si>
  <si>
    <t>Qin</t>
  </si>
  <si>
    <t>Pur</t>
  </si>
  <si>
    <t>Pripyat</t>
  </si>
  <si>
    <t>Potomac</t>
  </si>
  <si>
    <t>Po</t>
  </si>
  <si>
    <t>Platte</t>
  </si>
  <si>
    <t>Phong</t>
  </si>
  <si>
    <t>Penner</t>
  </si>
  <si>
    <t>Pechora</t>
  </si>
  <si>
    <t>Pearl</t>
  </si>
  <si>
    <t>Peace</t>
  </si>
  <si>
    <t>Patea</t>
  </si>
  <si>
    <t>Parnaiba</t>
  </si>
  <si>
    <t>Parbati</t>
  </si>
  <si>
    <t>Parana</t>
  </si>
  <si>
    <t>Paraiba</t>
  </si>
  <si>
    <t>Oulu</t>
  </si>
  <si>
    <t>Oued Sebou</t>
  </si>
  <si>
    <t>Ottawa</t>
  </si>
  <si>
    <t>Oswego</t>
  </si>
  <si>
    <t>Osage</t>
  </si>
  <si>
    <t>Orinoco</t>
  </si>
  <si>
    <t>Onon</t>
  </si>
  <si>
    <t>Olt</t>
  </si>
  <si>
    <t>Oka</t>
  </si>
  <si>
    <t>Ohio</t>
  </si>
  <si>
    <t>Ofanto</t>
  </si>
  <si>
    <t>Oder</t>
  </si>
  <si>
    <t>Oconee</t>
  </si>
  <si>
    <t>Ob</t>
  </si>
  <si>
    <t>North Saskatchewan</t>
  </si>
  <si>
    <t>North Platte</t>
  </si>
  <si>
    <t>Nile</t>
  </si>
  <si>
    <t>Niger</t>
  </si>
  <si>
    <t>Neva</t>
  </si>
  <si>
    <t>New</t>
  </si>
  <si>
    <t>Neuquen</t>
  </si>
  <si>
    <t>Neris</t>
  </si>
  <si>
    <t>Nen</t>
  </si>
  <si>
    <t>Neman</t>
  </si>
  <si>
    <t>Negro</t>
  </si>
  <si>
    <t>Narva</t>
  </si>
  <si>
    <t>Narmada</t>
  </si>
  <si>
    <t>Napo</t>
  </si>
  <si>
    <t>Nanpan</t>
  </si>
  <si>
    <t>Namekagon</t>
  </si>
  <si>
    <t>South Korea</t>
  </si>
  <si>
    <t>Nakdong</t>
  </si>
  <si>
    <t>Muskingum</t>
  </si>
  <si>
    <t>Musi</t>
  </si>
  <si>
    <t>Mures</t>
  </si>
  <si>
    <t>Mur</t>
  </si>
  <si>
    <t>Mtkvari</t>
  </si>
  <si>
    <t>Motala strom</t>
  </si>
  <si>
    <t>Moskva</t>
  </si>
  <si>
    <t>Mosel</t>
  </si>
  <si>
    <t>Morava</t>
  </si>
  <si>
    <t>Monongahela</t>
  </si>
  <si>
    <t>Mogami</t>
  </si>
  <si>
    <t>Moctezuma</t>
  </si>
  <si>
    <t>Missouri</t>
  </si>
  <si>
    <t>Mississippi</t>
  </si>
  <si>
    <t>Miramichi</t>
  </si>
  <si>
    <t>Minnesota</t>
  </si>
  <si>
    <t>Mincio</t>
  </si>
  <si>
    <t>Meuse</t>
  </si>
  <si>
    <t>Merrimack</t>
  </si>
  <si>
    <t>Mekong</t>
  </si>
  <si>
    <t>Meghna</t>
  </si>
  <si>
    <t>Marne</t>
  </si>
  <si>
    <t>Marais des Cygnes</t>
  </si>
  <si>
    <t>Mana</t>
  </si>
  <si>
    <t>Main</t>
  </si>
  <si>
    <t>Mahi</t>
  </si>
  <si>
    <t>Mahanadi</t>
  </si>
  <si>
    <t>Mahakam</t>
  </si>
  <si>
    <t>Magdalena</t>
  </si>
  <si>
    <t>Mae Klong</t>
  </si>
  <si>
    <t>Madeira</t>
  </si>
  <si>
    <t>Luan</t>
  </si>
  <si>
    <t>Loire</t>
  </si>
  <si>
    <t>Liu</t>
  </si>
  <si>
    <t>Limay</t>
  </si>
  <si>
    <t>Liao</t>
  </si>
  <si>
    <t>Lerma</t>
  </si>
  <si>
    <t>Lek</t>
  </si>
  <si>
    <t>Kuban</t>
  </si>
  <si>
    <t>Krishna</t>
  </si>
  <si>
    <t>Kondoma</t>
  </si>
  <si>
    <t>Kolidam</t>
  </si>
  <si>
    <t>Kola</t>
  </si>
  <si>
    <t>Klarlven</t>
  </si>
  <si>
    <t>Klamath</t>
  </si>
  <si>
    <t>Kizilirmak</t>
  </si>
  <si>
    <t>Kentucky</t>
  </si>
  <si>
    <t>Katun</t>
  </si>
  <si>
    <t>Kaskaskia</t>
  </si>
  <si>
    <t>Karnaphuli</t>
  </si>
  <si>
    <t>Karkheh</t>
  </si>
  <si>
    <t>Kansas</t>
  </si>
  <si>
    <t>Kankakee</t>
  </si>
  <si>
    <t>Kanawha</t>
  </si>
  <si>
    <t>Kama</t>
  </si>
  <si>
    <t>Kafue</t>
  </si>
  <si>
    <t>Jiulong</t>
  </si>
  <si>
    <t>Jing</t>
  </si>
  <si>
    <t>Jialing</t>
  </si>
  <si>
    <t>Jhelum</t>
  </si>
  <si>
    <t>James, VA</t>
  </si>
  <si>
    <t>James, MO</t>
  </si>
  <si>
    <t>Ishim</t>
  </si>
  <si>
    <t>Ishikari</t>
  </si>
  <si>
    <t>Irtysh</t>
  </si>
  <si>
    <t>Irrawaddy Delta</t>
  </si>
  <si>
    <t>Inn</t>
  </si>
  <si>
    <t>Ingoda</t>
  </si>
  <si>
    <t>Indus</t>
  </si>
  <si>
    <t>Indragi</t>
  </si>
  <si>
    <t>Illinois</t>
  </si>
  <si>
    <t>IJssel</t>
  </si>
  <si>
    <t>Ialomita</t>
  </si>
  <si>
    <t>Humboldt</t>
  </si>
  <si>
    <t>Hudson</t>
  </si>
  <si>
    <t>Huaihe</t>
  </si>
  <si>
    <t>Hongshui</t>
  </si>
  <si>
    <t>Holston</t>
  </si>
  <si>
    <t>Haw</t>
  </si>
  <si>
    <t>Hanshui</t>
  </si>
  <si>
    <t>Han</t>
  </si>
  <si>
    <t>Hailar</t>
  </si>
  <si>
    <t>Hai</t>
  </si>
  <si>
    <t>Guarico</t>
  </si>
  <si>
    <t>Grijalva</t>
  </si>
  <si>
    <t>Great Pee Dee</t>
  </si>
  <si>
    <t>Grand</t>
  </si>
  <si>
    <t>Godavari</t>
  </si>
  <si>
    <t>Gila</t>
  </si>
  <si>
    <t>Ghaghara</t>
  </si>
  <si>
    <t>Gatineau</t>
  </si>
  <si>
    <t>Garonne</t>
  </si>
  <si>
    <t>Ganshui</t>
  </si>
  <si>
    <t>Ganges</t>
  </si>
  <si>
    <t>Gan</t>
  </si>
  <si>
    <t>Fuchun</t>
  </si>
  <si>
    <t>Fraser</t>
  </si>
  <si>
    <t>Fox</t>
  </si>
  <si>
    <t>Fen</t>
  </si>
  <si>
    <t>Feather</t>
  </si>
  <si>
    <t>Evros</t>
  </si>
  <si>
    <t>Euphrates</t>
  </si>
  <si>
    <t>Ems</t>
  </si>
  <si>
    <t>Elbe</t>
  </si>
  <si>
    <t>Ebro</t>
  </si>
  <si>
    <t>Duero</t>
  </si>
  <si>
    <t>Drau</t>
  </si>
  <si>
    <t>Doubs</t>
  </si>
  <si>
    <t>Double Mountain Fork Brazos</t>
  </si>
  <si>
    <t>Dong</t>
  </si>
  <si>
    <t>Donets</t>
  </si>
  <si>
    <t>Don</t>
  </si>
  <si>
    <t>Doce</t>
  </si>
  <si>
    <t>Dnieper</t>
  </si>
  <si>
    <t>Moldova</t>
  </si>
  <si>
    <t>Dniester</t>
  </si>
  <si>
    <t>Desna</t>
  </si>
  <si>
    <t>Des Moines</t>
  </si>
  <si>
    <t>Delaware</t>
  </si>
  <si>
    <t>Daugava</t>
  </si>
  <si>
    <t>Danube</t>
  </si>
  <si>
    <t>Damietta Branch</t>
  </si>
  <si>
    <t>Daling</t>
  </si>
  <si>
    <t>Cumberland</t>
  </si>
  <si>
    <t>Cuiaba</t>
  </si>
  <si>
    <t>Copiapo</t>
  </si>
  <si>
    <t>Cooper</t>
  </si>
  <si>
    <t>Connecticut</t>
  </si>
  <si>
    <t>Congaree</t>
  </si>
  <si>
    <t>Columbia</t>
  </si>
  <si>
    <t>Colorado</t>
  </si>
  <si>
    <t>Cojedes</t>
  </si>
  <si>
    <t>Clark Fork</t>
  </si>
  <si>
    <t>Chulym</t>
  </si>
  <si>
    <t>Chattahoochee</t>
  </si>
  <si>
    <t>Chao Phraya</t>
  </si>
  <si>
    <t>Chambal</t>
  </si>
  <si>
    <t>Ceyhan</t>
  </si>
  <si>
    <t>Cedar</t>
  </si>
  <si>
    <t>Cauvery</t>
  </si>
  <si>
    <t>Cauca</t>
  </si>
  <si>
    <t>Carcarana</t>
  </si>
  <si>
    <t>Cape Fear</t>
  </si>
  <si>
    <t>Canadian</t>
  </si>
  <si>
    <t>Broad</t>
  </si>
  <si>
    <t>Brazos</t>
  </si>
  <si>
    <t>Branco</t>
  </si>
  <si>
    <t>Brahmaputra</t>
  </si>
  <si>
    <t>Brahmani</t>
  </si>
  <si>
    <t>Blue Nile</t>
  </si>
  <si>
    <t>Black</t>
  </si>
  <si>
    <t>Biya</t>
  </si>
  <si>
    <t>Bio-Bio</t>
  </si>
  <si>
    <t>Bighorn</t>
  </si>
  <si>
    <t>Bhima</t>
  </si>
  <si>
    <t>Betwa</t>
  </si>
  <si>
    <t>Belaya</t>
  </si>
  <si>
    <t>Bei</t>
  </si>
  <si>
    <t>Beaver</t>
  </si>
  <si>
    <t>Bayou Lafourche</t>
  </si>
  <si>
    <t>Balsas</t>
  </si>
  <si>
    <t>Ayeyarwady</t>
  </si>
  <si>
    <t>Atrek</t>
  </si>
  <si>
    <t>Athabasca</t>
  </si>
  <si>
    <t>Assiniboine</t>
  </si>
  <si>
    <t>Arkansas</t>
  </si>
  <si>
    <t>Angara</t>
  </si>
  <si>
    <t>Amur</t>
  </si>
  <si>
    <t>Amu  Darya</t>
  </si>
  <si>
    <t>Amazonas</t>
  </si>
  <si>
    <t>Altamaha</t>
  </si>
  <si>
    <t>Allier</t>
  </si>
  <si>
    <t>Allegheny</t>
  </si>
  <si>
    <t>Aldan</t>
  </si>
  <si>
    <t>Alabama</t>
  </si>
  <si>
    <r>
      <t>Annual Water Consumption of Power Generation Facilities (median values), [m</t>
    </r>
    <r>
      <rPr>
        <b/>
        <vertAlign val="superscript"/>
        <sz val="11"/>
        <color rgb="FF000000"/>
        <rFont val="Calibri"/>
        <family val="2"/>
        <scheme val="minor"/>
      </rPr>
      <t>3</t>
    </r>
    <r>
      <rPr>
        <b/>
        <sz val="11"/>
        <color rgb="FF000000"/>
        <rFont val="Calibri"/>
        <family val="2"/>
        <scheme val="minor"/>
      </rPr>
      <t>]</t>
    </r>
  </si>
  <si>
    <t>Continent</t>
  </si>
  <si>
    <t>Ocean</t>
  </si>
  <si>
    <t>Main Final Country</t>
  </si>
  <si>
    <t>River Name</t>
  </si>
  <si>
    <r>
      <t>Annual Water Withdrawal of Power Generation Facilities (median values), [m</t>
    </r>
    <r>
      <rPr>
        <b/>
        <vertAlign val="superscript"/>
        <sz val="11"/>
        <color theme="1"/>
        <rFont val="Calibri"/>
        <family val="2"/>
        <scheme val="minor"/>
      </rPr>
      <t>3</t>
    </r>
    <r>
      <rPr>
        <b/>
        <sz val="11"/>
        <color theme="1"/>
        <rFont val="Calibri"/>
        <family val="2"/>
        <scheme val="minor"/>
      </rPr>
      <t>]</t>
    </r>
  </si>
  <si>
    <t>Amu Darya</t>
  </si>
  <si>
    <t>Syr Darya</t>
  </si>
  <si>
    <t xml:space="preserve">The tables show the development of annual water consumption by power plants from 351 major global rivers. The presented results are the median values of the outcomes of the ‘Best Policies Scenario’ applied for the river-level, and are presented for 5-year intervals. On the river-level, it is expected that the vast majority of new gas-fired power plant capacities installed during the transition period will be seawater-cooled. For that reason, no specific water consumption or water withdrawals by power plants is expected in the year 2050 if the ‘Best Policies Scenario’ will be fully implemented. According to the ‘Best Policies Scenario’ estimation, the amount of gas-fired thermal power plants projected for commissioning is expected to be negligible, this assumption will be of high importance for the coastal regions with high freshwater scarcity, such as, for instance, Pakistan and India. The category ‘Main final country’ defines the country which in 2015 used the largest amount of water from the specific river for cooling purposes in the power generation processes. The category ‘Continent’ describes the geographical location of the river (Africa, Americas, Asia-Pacific or Europe). The category ‘Ocean’ describes the large body of water which the specific river belongs to. The subcategory ‘Inland sea’ in the category ‘Ocean’ describes the situation when the river does not reach the ocean by any means. The red color is used to highlight ten world rivers facing the highest projected water consumption for the specific time periods. </t>
  </si>
  <si>
    <t>Node Name</t>
  </si>
  <si>
    <t>Countries</t>
  </si>
  <si>
    <r>
      <t>Water Consumption (median values), [m</t>
    </r>
    <r>
      <rPr>
        <b/>
        <vertAlign val="superscript"/>
        <sz val="11"/>
        <color rgb="FF000000"/>
        <rFont val="Calibri"/>
        <family val="2"/>
        <scheme val="minor"/>
      </rPr>
      <t>3</t>
    </r>
    <r>
      <rPr>
        <b/>
        <sz val="11"/>
        <color rgb="FF000000"/>
        <rFont val="Calibri"/>
        <family val="2"/>
        <scheme val="minor"/>
      </rPr>
      <t>]</t>
    </r>
  </si>
  <si>
    <r>
      <t>Water Withdrawal (median values), [m</t>
    </r>
    <r>
      <rPr>
        <b/>
        <vertAlign val="superscript"/>
        <sz val="11"/>
        <color rgb="FF000000"/>
        <rFont val="Calibri"/>
        <family val="2"/>
        <scheme val="minor"/>
      </rPr>
      <t>3</t>
    </r>
    <r>
      <rPr>
        <b/>
        <sz val="11"/>
        <color rgb="FF000000"/>
        <rFont val="Calibri"/>
        <family val="2"/>
        <scheme val="minor"/>
      </rPr>
      <t>]</t>
    </r>
  </si>
  <si>
    <t>NO</t>
  </si>
  <si>
    <t>DK</t>
  </si>
  <si>
    <t>SE</t>
  </si>
  <si>
    <t>FI</t>
  </si>
  <si>
    <t>BLT</t>
  </si>
  <si>
    <t>Baltic: Estonia. Latvia. Lithuania</t>
  </si>
  <si>
    <t>PL</t>
  </si>
  <si>
    <t>IBE</t>
  </si>
  <si>
    <t>Iberia: Portugal. Spain. Gibraltar</t>
  </si>
  <si>
    <t>FR</t>
  </si>
  <si>
    <t>France. Monaco. Andorra</t>
  </si>
  <si>
    <t>BNL</t>
  </si>
  <si>
    <t>Belgium. Netherlands. Luxembourg</t>
  </si>
  <si>
    <t>BRI</t>
  </si>
  <si>
    <t>Ireland., Great Britain., Isle of Man. Guernsey. Jersey</t>
  </si>
  <si>
    <t>DE</t>
  </si>
  <si>
    <t>CRS</t>
  </si>
  <si>
    <t>Czech Republic. Slovakia</t>
  </si>
  <si>
    <t>AUH</t>
  </si>
  <si>
    <t>Austria. Hungary</t>
  </si>
  <si>
    <t>BKN-W</t>
  </si>
  <si>
    <t>Balkan-West: Slovenia. Croatia. Bosnia&amp;Hertzegovina. Serbia. Kosova. Montenegro. Macedonia. Albania</t>
  </si>
  <si>
    <t>BKN-E</t>
  </si>
  <si>
    <t>Balkan-East: Romania. Bulgaria. Greece</t>
  </si>
  <si>
    <t>IT</t>
  </si>
  <si>
    <t>Italy. San Marino. Vatican. Malta</t>
  </si>
  <si>
    <t>CH</t>
  </si>
  <si>
    <t>Switzerland. Liechtenstein</t>
  </si>
  <si>
    <t>TR</t>
  </si>
  <si>
    <t>Turkey. Cyprus</t>
  </si>
  <si>
    <t>UA</t>
  </si>
  <si>
    <t>Ukraine. Moldova</t>
  </si>
  <si>
    <t>IS</t>
  </si>
  <si>
    <t>Iceland</t>
  </si>
  <si>
    <t>DZ</t>
  </si>
  <si>
    <t>BHQ</t>
  </si>
  <si>
    <t>Bahrain. Qatar</t>
  </si>
  <si>
    <t>EG</t>
  </si>
  <si>
    <t>IR</t>
  </si>
  <si>
    <t>IQ</t>
  </si>
  <si>
    <t>IL</t>
  </si>
  <si>
    <t>JWG</t>
  </si>
  <si>
    <t>Jordan (incl. West Bank 201 &amp; Gaza Strip = State of Palestine)</t>
  </si>
  <si>
    <t>KW</t>
  </si>
  <si>
    <t>LB</t>
  </si>
  <si>
    <t>LY</t>
  </si>
  <si>
    <t>MA</t>
  </si>
  <si>
    <t>OM</t>
  </si>
  <si>
    <t>SA</t>
  </si>
  <si>
    <t>TN</t>
  </si>
  <si>
    <t>AE</t>
  </si>
  <si>
    <t>YE</t>
  </si>
  <si>
    <t>SY</t>
  </si>
  <si>
    <t>RU-NW</t>
  </si>
  <si>
    <t>Russia North-West</t>
  </si>
  <si>
    <t>RU-C</t>
  </si>
  <si>
    <t>Russia Center</t>
  </si>
  <si>
    <t>RU-S</t>
  </si>
  <si>
    <t>Russia South</t>
  </si>
  <si>
    <t>RU-V</t>
  </si>
  <si>
    <t>Russia Volga region</t>
  </si>
  <si>
    <t>RU-U</t>
  </si>
  <si>
    <t>Russia Urals</t>
  </si>
  <si>
    <t>RU-SI</t>
  </si>
  <si>
    <t>Russia Siberia</t>
  </si>
  <si>
    <t>RU-FE</t>
  </si>
  <si>
    <t>Russia Far East</t>
  </si>
  <si>
    <t>BY</t>
  </si>
  <si>
    <t>CAU</t>
  </si>
  <si>
    <t>Armenia. Azerbaijan. Georgia</t>
  </si>
  <si>
    <t>KZ</t>
  </si>
  <si>
    <t>PAM</t>
  </si>
  <si>
    <t>Tajikistan. Kyrgyzstan</t>
  </si>
  <si>
    <t>UZ</t>
  </si>
  <si>
    <t>TM</t>
  </si>
  <si>
    <t>JP-E</t>
  </si>
  <si>
    <t>Japan East</t>
  </si>
  <si>
    <t>JP-W</t>
  </si>
  <si>
    <t>Japan West</t>
  </si>
  <si>
    <t>KR</t>
  </si>
  <si>
    <t>KP</t>
  </si>
  <si>
    <t>North Korea</t>
  </si>
  <si>
    <t>CN-NE</t>
  </si>
  <si>
    <t>China North-East</t>
  </si>
  <si>
    <t>CN-N</t>
  </si>
  <si>
    <t>China North</t>
  </si>
  <si>
    <t>CN-E</t>
  </si>
  <si>
    <t>China East</t>
  </si>
  <si>
    <t>CN-C</t>
  </si>
  <si>
    <t>China Central</t>
  </si>
  <si>
    <t>CN-S</t>
  </si>
  <si>
    <t>China South</t>
  </si>
  <si>
    <t>CN-TB</t>
  </si>
  <si>
    <t>China Tibet</t>
  </si>
  <si>
    <t>CN-NW</t>
  </si>
  <si>
    <t>China North-West</t>
  </si>
  <si>
    <t>CN-XU</t>
  </si>
  <si>
    <t>China Uigur region</t>
  </si>
  <si>
    <t>MN</t>
  </si>
  <si>
    <t>NZ</t>
  </si>
  <si>
    <t>AU-E</t>
  </si>
  <si>
    <t>Australia East</t>
  </si>
  <si>
    <t>AU-W</t>
  </si>
  <si>
    <t>Australia West</t>
  </si>
  <si>
    <t>ID-PG+NG</t>
  </si>
  <si>
    <t>Indonesia-Papua. Papua New Guinea</t>
  </si>
  <si>
    <t>ID-SU</t>
  </si>
  <si>
    <t>Indonesia Sumatra</t>
  </si>
  <si>
    <t>ID-JV+TL</t>
  </si>
  <si>
    <t>Indonesia Java. Timor Leste</t>
  </si>
  <si>
    <t>ID-KL-SW</t>
  </si>
  <si>
    <t>Indonesia East</t>
  </si>
  <si>
    <t>MY-W+SG</t>
  </si>
  <si>
    <t>Malaysia West. Singapore</t>
  </si>
  <si>
    <t>MY-E+BN</t>
  </si>
  <si>
    <t>Malaysia East. Brunei</t>
  </si>
  <si>
    <t>PH</t>
  </si>
  <si>
    <t>MM</t>
  </si>
  <si>
    <t>TH</t>
  </si>
  <si>
    <t>LA</t>
  </si>
  <si>
    <t>Laos</t>
  </si>
  <si>
    <t>VN</t>
  </si>
  <si>
    <t>KH</t>
  </si>
  <si>
    <t>IN-E</t>
  </si>
  <si>
    <t>India East</t>
  </si>
  <si>
    <t>IN-CE</t>
  </si>
  <si>
    <t>India Central-East</t>
  </si>
  <si>
    <t>IN-W</t>
  </si>
  <si>
    <t>India West</t>
  </si>
  <si>
    <t>IN-CW</t>
  </si>
  <si>
    <t>India Central-West</t>
  </si>
  <si>
    <t>IN-N</t>
  </si>
  <si>
    <t>India North</t>
  </si>
  <si>
    <t>IN-NW</t>
  </si>
  <si>
    <t>India North-West</t>
  </si>
  <si>
    <t>IN-UP</t>
  </si>
  <si>
    <t>India Uttar Pradesh</t>
  </si>
  <si>
    <t>IN-S</t>
  </si>
  <si>
    <t>India South</t>
  </si>
  <si>
    <t>IN-CS</t>
  </si>
  <si>
    <t>India South Central</t>
  </si>
  <si>
    <t>IN-NE</t>
  </si>
  <si>
    <t>India North-East</t>
  </si>
  <si>
    <t>BD</t>
  </si>
  <si>
    <t>NP+BT</t>
  </si>
  <si>
    <t>Nepal. Bhutan</t>
  </si>
  <si>
    <t>PK-S</t>
  </si>
  <si>
    <t>Pakistan South</t>
  </si>
  <si>
    <t>PK-N</t>
  </si>
  <si>
    <t>Pakistan North</t>
  </si>
  <si>
    <t>AF</t>
  </si>
  <si>
    <t>LK</t>
  </si>
  <si>
    <t>WW</t>
  </si>
  <si>
    <t>Senegal. Gambia. Cape Verde Islands. Guinea Bissau. Guinea. Sierra Leone. Liberia. Mali. Mauritania. Western Sahara</t>
  </si>
  <si>
    <t>WS</t>
  </si>
  <si>
    <t>Ghana. Cote D'Ivoire. Benin. Burkina Faso (Upper Volta). Togo</t>
  </si>
  <si>
    <t>WN</t>
  </si>
  <si>
    <t>Niger. Chad</t>
  </si>
  <si>
    <t>NIG-S</t>
  </si>
  <si>
    <t>Nigeria South</t>
  </si>
  <si>
    <t>NIG-N</t>
  </si>
  <si>
    <t>Nigeria North</t>
  </si>
  <si>
    <t>SER</t>
  </si>
  <si>
    <t>Sudan. Eritrea</t>
  </si>
  <si>
    <t>ETH</t>
  </si>
  <si>
    <t>Ethiopia</t>
  </si>
  <si>
    <t>SOMDJ</t>
  </si>
  <si>
    <t>Djibouti. Somalia</t>
  </si>
  <si>
    <t>KENUG</t>
  </si>
  <si>
    <t>Kenya. Uganda</t>
  </si>
  <si>
    <t>TZRB</t>
  </si>
  <si>
    <t>Rwanda. Burundi. Tanzania</t>
  </si>
  <si>
    <t>CAR</t>
  </si>
  <si>
    <t>Central African Republic. Cameroon. Equatorial Guinea. Sao Tome and Principe. Congo. Republic of (Brazzaville). Gabon</t>
  </si>
  <si>
    <t>COG</t>
  </si>
  <si>
    <t>Congo. Democratic Republic (Kinshasha)</t>
  </si>
  <si>
    <t>SW</t>
  </si>
  <si>
    <t>Angola. Namibia. Botswana</t>
  </si>
  <si>
    <t>ZAFLS</t>
  </si>
  <si>
    <t>Republic of South Africa. Lesotho</t>
  </si>
  <si>
    <t>Malawi. Mozambique. Zambia. Zimbabwe. Swaziland</t>
  </si>
  <si>
    <t>IOCE</t>
  </si>
  <si>
    <t>Comoros Islands. Mauritius. Mayotte. Madagascar.  Seychelles</t>
  </si>
  <si>
    <t>CAM</t>
  </si>
  <si>
    <t>Panama. Costa Rica. Nicaragua. Honduras. El Salvador. Guatemala and Belize</t>
  </si>
  <si>
    <t>CO</t>
  </si>
  <si>
    <t>VE</t>
  </si>
  <si>
    <t>Venezuela. Guyana. French Guiana. Suriname</t>
  </si>
  <si>
    <t>EC</t>
  </si>
  <si>
    <t>PE</t>
  </si>
  <si>
    <t>CSA</t>
  </si>
  <si>
    <t>Bolivia. Paraguay</t>
  </si>
  <si>
    <t>BR-S</t>
  </si>
  <si>
    <t>Brazil South</t>
  </si>
  <si>
    <t>BR-SP</t>
  </si>
  <si>
    <t>Brazil São Paulo</t>
  </si>
  <si>
    <t>BR-SE</t>
  </si>
  <si>
    <t>Brazil Southeast</t>
  </si>
  <si>
    <t>BR-N</t>
  </si>
  <si>
    <t>Brazil North</t>
  </si>
  <si>
    <t>BR-NE</t>
  </si>
  <si>
    <t>Brazil Northeast</t>
  </si>
  <si>
    <t>AR-NE</t>
  </si>
  <si>
    <t>Argentina Northeast. Uruguay</t>
  </si>
  <si>
    <t>AR-E</t>
  </si>
  <si>
    <t>Argentina East</t>
  </si>
  <si>
    <t>AR-W</t>
  </si>
  <si>
    <t>Argentina West</t>
  </si>
  <si>
    <t>CL</t>
  </si>
  <si>
    <t>CA-W</t>
  </si>
  <si>
    <t>Canada West</t>
  </si>
  <si>
    <t>CA-E</t>
  </si>
  <si>
    <t>Canada East</t>
  </si>
  <si>
    <t>US-NENY</t>
  </si>
  <si>
    <t>US New England &amp; New York</t>
  </si>
  <si>
    <t>US-MA</t>
  </si>
  <si>
    <t>US Mid-Atlantics</t>
  </si>
  <si>
    <t>US-CAR</t>
  </si>
  <si>
    <t>US Carolinas</t>
  </si>
  <si>
    <t>US-S</t>
  </si>
  <si>
    <t>US Southern</t>
  </si>
  <si>
    <t>US-TVA</t>
  </si>
  <si>
    <t>US TVA</t>
  </si>
  <si>
    <t>US-MW</t>
  </si>
  <si>
    <t>US Midwest</t>
  </si>
  <si>
    <t>US-C</t>
  </si>
  <si>
    <t>US Central</t>
  </si>
  <si>
    <t>US-TX</t>
  </si>
  <si>
    <t>US Texas</t>
  </si>
  <si>
    <t>US-SW</t>
  </si>
  <si>
    <t>US Southwest</t>
  </si>
  <si>
    <t>US-NW</t>
  </si>
  <si>
    <t>US Northwest</t>
  </si>
  <si>
    <t>US-CA</t>
  </si>
  <si>
    <t>US California</t>
  </si>
  <si>
    <t>US-AK</t>
  </si>
  <si>
    <t>US Alaska</t>
  </si>
  <si>
    <t>US-HI</t>
  </si>
  <si>
    <t>US Hawaii</t>
  </si>
  <si>
    <t>US-GU</t>
  </si>
  <si>
    <t>US Gulf</t>
  </si>
  <si>
    <t>MX-NW</t>
  </si>
  <si>
    <t>Mexico Northwest</t>
  </si>
  <si>
    <t>MX-N</t>
  </si>
  <si>
    <t>Mexico North</t>
  </si>
  <si>
    <t>MX-C</t>
  </si>
  <si>
    <t>Mexico Center</t>
  </si>
  <si>
    <t>MX-S</t>
  </si>
  <si>
    <t>Mexico South</t>
  </si>
  <si>
    <t>The table shows the values of water consumption and water withdrawal for the 145 regions of the LUT Energy System Transition model. The values are presented in cubic meters and are median values for each specific region. The numbers highlighted in red show the values that belong to the global ten highest water demand in the specific category. The underlined numbers in red represent the highest values of all countries in each category in 2015. The values for the years 2030 and 2050 represent the outcome of the modelling based on the ‘Best Policies Scenario’.</t>
  </si>
  <si>
    <t>Comparison of freshwater withdrawals from this research and Flörke et al., per country</t>
  </si>
  <si>
    <t>GWSP [assumed that freshwater used at all power plants]</t>
  </si>
  <si>
    <t>Research results</t>
  </si>
  <si>
    <t>Year</t>
  </si>
  <si>
    <r>
      <t>Water withdrawals [m</t>
    </r>
    <r>
      <rPr>
        <b/>
        <vertAlign val="superscript"/>
        <sz val="11"/>
        <color rgb="FF000000"/>
        <rFont val="Calibri"/>
        <family val="2"/>
        <scheme val="minor"/>
      </rPr>
      <t>3</t>
    </r>
    <r>
      <rPr>
        <b/>
        <sz val="11"/>
        <color rgb="FF000000"/>
        <rFont val="Calibri"/>
        <family val="2"/>
        <scheme val="minor"/>
      </rPr>
      <t>]</t>
    </r>
  </si>
  <si>
    <r>
      <t>Median freshwater withdrawals [m</t>
    </r>
    <r>
      <rPr>
        <b/>
        <vertAlign val="superscript"/>
        <sz val="11"/>
        <color rgb="FF000000"/>
        <rFont val="Calibri"/>
        <family val="2"/>
        <scheme val="minor"/>
      </rPr>
      <t>3</t>
    </r>
    <r>
      <rPr>
        <b/>
        <sz val="11"/>
        <color rgb="FF000000"/>
        <rFont val="Calibri"/>
        <family val="2"/>
        <scheme val="minor"/>
      </rPr>
      <t>]</t>
    </r>
  </si>
  <si>
    <t>Min</t>
  </si>
  <si>
    <t>Min-Estimate</t>
  </si>
  <si>
    <t>Estimate</t>
  </si>
  <si>
    <t>P_Estimate</t>
  </si>
  <si>
    <t>Estimate-Q1</t>
  </si>
  <si>
    <t>Q1</t>
  </si>
  <si>
    <t>Q1-Q3</t>
  </si>
  <si>
    <t>Q3</t>
  </si>
  <si>
    <t>Q3-Max</t>
  </si>
  <si>
    <t>Max</t>
  </si>
  <si>
    <t>6,73E+06</t>
  </si>
  <si>
    <t>0,00 %</t>
  </si>
  <si>
    <t>88,57 %</t>
  </si>
  <si>
    <t>1,13E+07</t>
  </si>
  <si>
    <t>11,43 %</t>
  </si>
  <si>
    <t>1,39E+08</t>
  </si>
  <si>
    <t>100,00 %</t>
  </si>
  <si>
    <t>Min-Q1</t>
  </si>
  <si>
    <t>Q1-Estimate</t>
  </si>
  <si>
    <t>Estimate-Q3</t>
  </si>
  <si>
    <t>3,71E+08</t>
  </si>
  <si>
    <t>2,30 %</t>
  </si>
  <si>
    <t>3,73E+08</t>
  </si>
  <si>
    <t>36,18 %</t>
  </si>
  <si>
    <t>3,78E+08</t>
  </si>
  <si>
    <t>47,70 %</t>
  </si>
  <si>
    <t>13,82 %</t>
  </si>
  <si>
    <t>3,81E+08</t>
  </si>
  <si>
    <t>2,37E+07</t>
  </si>
  <si>
    <t>42,86 %</t>
  </si>
  <si>
    <t>2,40E+07</t>
  </si>
  <si>
    <t>14,29 %</t>
  </si>
  <si>
    <t>2,54E+07</t>
  </si>
  <si>
    <t>2,55E+07</t>
  </si>
  <si>
    <t>1,16E+08</t>
  </si>
  <si>
    <t>1,26E+08</t>
  </si>
  <si>
    <t>53,07 %</t>
  </si>
  <si>
    <t>1,29E+08</t>
  </si>
  <si>
    <t>9,43 %</t>
  </si>
  <si>
    <t>1,31E+08</t>
  </si>
  <si>
    <t>17,11 %</t>
  </si>
  <si>
    <t>6,58 %</t>
  </si>
  <si>
    <t>Q3-Estimate</t>
  </si>
  <si>
    <t>Estimate-Max</t>
  </si>
  <si>
    <t>5,31E+07</t>
  </si>
  <si>
    <t>8,33 %</t>
  </si>
  <si>
    <t>5,93E+07</t>
  </si>
  <si>
    <t>91,67 %</t>
  </si>
  <si>
    <t>1,83E+08</t>
  </si>
  <si>
    <t>17,62 %</t>
  </si>
  <si>
    <t>1,86E+08</t>
  </si>
  <si>
    <t>10,71 %</t>
  </si>
  <si>
    <t>1,87E+08</t>
  </si>
  <si>
    <t>24,07 %</t>
  </si>
  <si>
    <t>38,35 %</t>
  </si>
  <si>
    <t>2,00E+08</t>
  </si>
  <si>
    <t>9,24 %</t>
  </si>
  <si>
    <t>2,15E+08</t>
  </si>
  <si>
    <t>2,44E+07</t>
  </si>
  <si>
    <t>52,26 %</t>
  </si>
  <si>
    <t>2,49E+07</t>
  </si>
  <si>
    <t>6,04 %</t>
  </si>
  <si>
    <t>2,51E+07</t>
  </si>
  <si>
    <t>12,07 %</t>
  </si>
  <si>
    <t>21,06 %</t>
  </si>
  <si>
    <t>2,57E+07</t>
  </si>
  <si>
    <t>8,57 %</t>
  </si>
  <si>
    <t>2,63E+07</t>
  </si>
  <si>
    <t>4,78E+09</t>
  </si>
  <si>
    <t>6,22 %</t>
  </si>
  <si>
    <t>5,05E+09</t>
  </si>
  <si>
    <t>14,41 %</t>
  </si>
  <si>
    <t>6,35E+09</t>
  </si>
  <si>
    <t>32,08 %</t>
  </si>
  <si>
    <t>14,21 %</t>
  </si>
  <si>
    <t>6,38E+09</t>
  </si>
  <si>
    <t>33,08 %</t>
  </si>
  <si>
    <t>7,40E+09</t>
  </si>
  <si>
    <t>2,29E+07</t>
  </si>
  <si>
    <t>33,33 %</t>
  </si>
  <si>
    <t>2,53E+07</t>
  </si>
  <si>
    <t>0,00E+00</t>
  </si>
  <si>
    <t>66,67 %</t>
  </si>
  <si>
    <t>1,38E+08</t>
  </si>
  <si>
    <t>3,03 %</t>
  </si>
  <si>
    <t>4,24 %</t>
  </si>
  <si>
    <t>1,42E+08</t>
  </si>
  <si>
    <t>18,18 %</t>
  </si>
  <si>
    <t>18,79 %</t>
  </si>
  <si>
    <t>1,43E+08</t>
  </si>
  <si>
    <t>55,76 %</t>
  </si>
  <si>
    <t>1,46E+08</t>
  </si>
  <si>
    <t>4,90E+06</t>
  </si>
  <si>
    <t>20,00 %</t>
  </si>
  <si>
    <t>4,92E+06</t>
  </si>
  <si>
    <t>80,00 %</t>
  </si>
  <si>
    <t>1,10E+08</t>
  </si>
  <si>
    <t>22,22 %</t>
  </si>
  <si>
    <t>1,11E+08</t>
  </si>
  <si>
    <t>17,78 %</t>
  </si>
  <si>
    <t>51,11 %</t>
  </si>
  <si>
    <t>8,89 %</t>
  </si>
  <si>
    <t>1,12E+08</t>
  </si>
  <si>
    <t>3,50E+07</t>
  </si>
  <si>
    <t>1,07E+09</t>
  </si>
  <si>
    <t>18,37 %</t>
  </si>
  <si>
    <t>15,31 %</t>
  </si>
  <si>
    <t>58,16 %</t>
  </si>
  <si>
    <t>8,16 %</t>
  </si>
  <si>
    <t>1,08E+09</t>
  </si>
  <si>
    <t>7,22E+08</t>
  </si>
  <si>
    <t>10,40 %</t>
  </si>
  <si>
    <t>7,25E+08</t>
  </si>
  <si>
    <t>35,60 %</t>
  </si>
  <si>
    <t>7,26E+08</t>
  </si>
  <si>
    <t>24,00 %</t>
  </si>
  <si>
    <t>30,00 %</t>
  </si>
  <si>
    <t>7,30E+08</t>
  </si>
  <si>
    <t>4,61E+07</t>
  </si>
  <si>
    <t>2,00E+09</t>
  </si>
  <si>
    <t>4,17 %</t>
  </si>
  <si>
    <t>1,49E+08</t>
  </si>
  <si>
    <t>50,00 %</t>
  </si>
  <si>
    <t>1,73E+08</t>
  </si>
  <si>
    <t>45,83 %</t>
  </si>
  <si>
    <t>1,81E+08</t>
  </si>
  <si>
    <t>3,90E+08</t>
  </si>
  <si>
    <t>25,23 %</t>
  </si>
  <si>
    <t>3,91E+08</t>
  </si>
  <si>
    <t>26,17 %</t>
  </si>
  <si>
    <t>3,97E+08</t>
  </si>
  <si>
    <t>4,00E+08</t>
  </si>
  <si>
    <t>48,60 %</t>
  </si>
  <si>
    <t>3,40E+07</t>
  </si>
  <si>
    <t>83,33 %</t>
  </si>
  <si>
    <t>3,84E+07</t>
  </si>
  <si>
    <t>13,33 %</t>
  </si>
  <si>
    <t>5,54E+07</t>
  </si>
  <si>
    <t>3,33 %</t>
  </si>
  <si>
    <t>6,44E+07</t>
  </si>
  <si>
    <t>3,34E+06</t>
  </si>
  <si>
    <t>5,57E+07</t>
  </si>
  <si>
    <t>3,13 %</t>
  </si>
  <si>
    <t>78,13 %</t>
  </si>
  <si>
    <t>15,63 %</t>
  </si>
  <si>
    <t>14,38 %</t>
  </si>
  <si>
    <t>1,12E+09</t>
  </si>
  <si>
    <t>9,62 %</t>
  </si>
  <si>
    <t>1,16E+09</t>
  </si>
  <si>
    <t>61,5 %</t>
  </si>
  <si>
    <t>14,51 %</t>
  </si>
  <si>
    <t>1,20E+09</t>
  </si>
  <si>
    <t>3,25E+08</t>
  </si>
  <si>
    <t>9,09 %</t>
  </si>
  <si>
    <t>3,27E+08</t>
  </si>
  <si>
    <t>81,82 %</t>
  </si>
  <si>
    <t>4,40E+07</t>
  </si>
  <si>
    <t>30,36 %</t>
  </si>
  <si>
    <t>4,46E+07</t>
  </si>
  <si>
    <t>5,71E+07</t>
  </si>
  <si>
    <t>19,64 %</t>
  </si>
  <si>
    <t>5,77E+07</t>
  </si>
  <si>
    <t>4,09E+08</t>
  </si>
  <si>
    <t>4,76 %</t>
  </si>
  <si>
    <t>4,12E+08</t>
  </si>
  <si>
    <t>95,24 %</t>
  </si>
  <si>
    <t>4,01E+07</t>
  </si>
  <si>
    <t>16,67 %</t>
  </si>
  <si>
    <t>4,03E+07</t>
  </si>
  <si>
    <t>4,08E+07</t>
  </si>
  <si>
    <t>4,09E+07</t>
  </si>
  <si>
    <t>4,10E+07</t>
  </si>
  <si>
    <t>6,10E+07</t>
  </si>
  <si>
    <t>6,26E+07</t>
  </si>
  <si>
    <t>6,31E+07</t>
  </si>
  <si>
    <t>6,90E+07</t>
  </si>
  <si>
    <t>7,82E+07</t>
  </si>
  <si>
    <t>2,82E+07</t>
  </si>
  <si>
    <t>37,50 %</t>
  </si>
  <si>
    <t>3,49E+07</t>
  </si>
  <si>
    <t>48,21 %</t>
  </si>
  <si>
    <t>4,85E+07</t>
  </si>
  <si>
    <t>6,46E+07</t>
  </si>
  <si>
    <t>2,72E+07</t>
  </si>
  <si>
    <t>4,53E+07</t>
  </si>
  <si>
    <t>3,13E+07</t>
  </si>
  <si>
    <t>92,31 %</t>
  </si>
  <si>
    <t>3,70E+07</t>
  </si>
  <si>
    <t>7,69 %</t>
  </si>
  <si>
    <t>3,22E+07</t>
  </si>
  <si>
    <t>85,71 %</t>
  </si>
  <si>
    <t>3,32E+07</t>
  </si>
  <si>
    <t>7,49E+07</t>
  </si>
  <si>
    <t>7,81E+07</t>
  </si>
  <si>
    <t>1,13E+09</t>
  </si>
  <si>
    <t>5,55 %</t>
  </si>
  <si>
    <t>1,14E+09</t>
  </si>
  <si>
    <t>33,80 %</t>
  </si>
  <si>
    <t>10,23 %</t>
  </si>
  <si>
    <t>1,17E+09</t>
  </si>
  <si>
    <t>21,57 %</t>
  </si>
  <si>
    <t>28,85 %</t>
  </si>
  <si>
    <t>1,18E+09</t>
  </si>
  <si>
    <t>7,54E+07</t>
  </si>
  <si>
    <t>63,51 %</t>
  </si>
  <si>
    <t>7,79E+07</t>
  </si>
  <si>
    <t>9,46 %</t>
  </si>
  <si>
    <t>9,60E+07</t>
  </si>
  <si>
    <t>27,03 %</t>
  </si>
  <si>
    <t>9,96E+07</t>
  </si>
  <si>
    <t>2,41E+07</t>
  </si>
  <si>
    <t>36,67 %</t>
  </si>
  <si>
    <t>2,47E+07</t>
  </si>
  <si>
    <t>55,00 %</t>
  </si>
  <si>
    <t>2,50E+07</t>
  </si>
  <si>
    <t>5,00 %</t>
  </si>
  <si>
    <t>4,75E+07</t>
  </si>
  <si>
    <t>4,76E+07</t>
  </si>
  <si>
    <t>13,64 %</t>
  </si>
  <si>
    <t>3,33E+08</t>
  </si>
  <si>
    <t>3,51E+08</t>
  </si>
  <si>
    <t>79,55 %</t>
  </si>
  <si>
    <t>6,82 %</t>
  </si>
  <si>
    <t>3,52E+08</t>
  </si>
  <si>
    <t>3,20E+08</t>
  </si>
  <si>
    <t>8,90 %</t>
  </si>
  <si>
    <t>3,21E+08</t>
  </si>
  <si>
    <t>1,91 %</t>
  </si>
  <si>
    <t>3,22E+08</t>
  </si>
  <si>
    <t>60,10 %</t>
  </si>
  <si>
    <t>12,88 %</t>
  </si>
  <si>
    <t>3,26E+08</t>
  </si>
  <si>
    <t>16,22 %</t>
  </si>
  <si>
    <t>6,87E+07</t>
  </si>
  <si>
    <t>5,73E+07</t>
  </si>
  <si>
    <t>5,75E+07</t>
  </si>
  <si>
    <t>5,63E+07</t>
  </si>
  <si>
    <t>1,17E+08</t>
  </si>
  <si>
    <t>23,44 %</t>
  </si>
  <si>
    <t>70,31 %</t>
  </si>
  <si>
    <t>1,56 %</t>
  </si>
  <si>
    <t>1,18E+08</t>
  </si>
  <si>
    <t>4,69 %</t>
  </si>
  <si>
    <t>2,29E+08</t>
  </si>
  <si>
    <t>2,27E+08</t>
  </si>
  <si>
    <t>18,96 %</t>
  </si>
  <si>
    <t>2,40E+08</t>
  </si>
  <si>
    <t>11,81 %</t>
  </si>
  <si>
    <t>2,54E+08</t>
  </si>
  <si>
    <t>51,28 %</t>
  </si>
  <si>
    <t>13,19 %</t>
  </si>
  <si>
    <t>2,86E+08</t>
  </si>
  <si>
    <t>2,98E+08</t>
  </si>
  <si>
    <t>46,67 %</t>
  </si>
  <si>
    <t>2,60E+08</t>
  </si>
  <si>
    <t>53,33 %</t>
  </si>
  <si>
    <t>3,34E+08</t>
  </si>
  <si>
    <t>6,25 %</t>
  </si>
  <si>
    <t>3,36E+08</t>
  </si>
  <si>
    <t>2,08 %</t>
  </si>
  <si>
    <t>3,37E+08</t>
  </si>
  <si>
    <t>79,17 %</t>
  </si>
  <si>
    <t>3,41E+08</t>
  </si>
  <si>
    <t>10,42 %</t>
  </si>
  <si>
    <t>3,47E+08</t>
  </si>
  <si>
    <t>5,20E+09</t>
  </si>
  <si>
    <t>18,94 %</t>
  </si>
  <si>
    <t>5,26E+09</t>
  </si>
  <si>
    <t>33,89 %</t>
  </si>
  <si>
    <t>5,31E+09</t>
  </si>
  <si>
    <t>38,38 %</t>
  </si>
  <si>
    <t>5,38E+09</t>
  </si>
  <si>
    <t>5,34 %</t>
  </si>
  <si>
    <t>3,44 %</t>
  </si>
  <si>
    <t>5,39E+09</t>
  </si>
  <si>
    <t>9,00E+07</t>
  </si>
  <si>
    <t>8,82 %</t>
  </si>
  <si>
    <t>9,22E+07</t>
  </si>
  <si>
    <t>34,84 %</t>
  </si>
  <si>
    <t>9,45E+07</t>
  </si>
  <si>
    <t>18,10 %</t>
  </si>
  <si>
    <t>38,24 %</t>
  </si>
  <si>
    <t>9,98E+07</t>
  </si>
  <si>
    <t>66,18 %</t>
  </si>
  <si>
    <t>5,83E+07</t>
  </si>
  <si>
    <t>30,88 %</t>
  </si>
  <si>
    <t>2,94 %</t>
  </si>
  <si>
    <t>6,95E+07</t>
  </si>
  <si>
    <t>8,31E+06</t>
  </si>
  <si>
    <t>1,41E+07</t>
  </si>
  <si>
    <t>3,12E+09</t>
  </si>
  <si>
    <t>2,48E+09</t>
  </si>
  <si>
    <t>20,39 %</t>
  </si>
  <si>
    <t>2,49E+09</t>
  </si>
  <si>
    <t>25,33 %</t>
  </si>
  <si>
    <t>2,75E+09</t>
  </si>
  <si>
    <t>2,86E+09</t>
  </si>
  <si>
    <t>9,81E+08</t>
  </si>
  <si>
    <t>1,02E+09</t>
  </si>
  <si>
    <t>28,57 %</t>
  </si>
  <si>
    <t>1,27E+09</t>
  </si>
  <si>
    <t>1,42E+09</t>
  </si>
  <si>
    <t>2,46E+08</t>
  </si>
  <si>
    <t>3,71E+09</t>
  </si>
  <si>
    <t>46,05 %</t>
  </si>
  <si>
    <t>3,72E+09</t>
  </si>
  <si>
    <t>28,73 %</t>
  </si>
  <si>
    <t>3,77E+09</t>
  </si>
  <si>
    <t>8,11 %</t>
  </si>
  <si>
    <t>3,84E+09</t>
  </si>
  <si>
    <t>2,85E+09</t>
  </si>
  <si>
    <t>3,29E+09</t>
  </si>
  <si>
    <t>2,28E+10</t>
  </si>
  <si>
    <t>10,64 %</t>
  </si>
  <si>
    <t>2,33E+10</t>
  </si>
  <si>
    <t>16,54 %</t>
  </si>
  <si>
    <t>2,37E+10</t>
  </si>
  <si>
    <t>10,87 %</t>
  </si>
  <si>
    <t>37,89 %</t>
  </si>
  <si>
    <t>2,40E+10</t>
  </si>
  <si>
    <t>2,80E+09</t>
  </si>
  <si>
    <t>3,98 %</t>
  </si>
  <si>
    <t>52,67 %</t>
  </si>
  <si>
    <t>14,68 %</t>
  </si>
  <si>
    <t>2,90E+09</t>
  </si>
  <si>
    <t>16,60 %</t>
  </si>
  <si>
    <t>2,91E+09</t>
  </si>
  <si>
    <t>5,45E+10</t>
  </si>
  <si>
    <t>7,73 %</t>
  </si>
  <si>
    <t>5,65E+10</t>
  </si>
  <si>
    <t>51,54 %</t>
  </si>
  <si>
    <t>1,21E+11</t>
  </si>
  <si>
    <t>8,66 %</t>
  </si>
  <si>
    <t>1,44E+11</t>
  </si>
  <si>
    <t>9,65E+08</t>
  </si>
  <si>
    <t>2,45E+08</t>
  </si>
  <si>
    <t>0,61 %</t>
  </si>
  <si>
    <t>75,15 %</t>
  </si>
  <si>
    <t>3,87E+08</t>
  </si>
  <si>
    <t>5,28E+08</t>
  </si>
  <si>
    <t>1,13E+10</t>
  </si>
  <si>
    <t>26,67 %</t>
  </si>
  <si>
    <t>11,11 %</t>
  </si>
  <si>
    <t>1,14E+10</t>
  </si>
  <si>
    <t>48,89 %</t>
  </si>
  <si>
    <t>6,33E+09</t>
  </si>
  <si>
    <t>1,19E+10</t>
  </si>
  <si>
    <t>5,10 %</t>
  </si>
  <si>
    <t>26,53 %</t>
  </si>
  <si>
    <t>1,20E+10</t>
  </si>
  <si>
    <t>1,23E+10</t>
  </si>
  <si>
    <t>3,04E+09</t>
  </si>
  <si>
    <t>8,13 %</t>
  </si>
  <si>
    <t>2,80 %</t>
  </si>
  <si>
    <t>3,05E+09</t>
  </si>
  <si>
    <t>47,33 %</t>
  </si>
  <si>
    <t>3,13E+09</t>
  </si>
  <si>
    <t>17,73 %</t>
  </si>
  <si>
    <t>3,35E+09</t>
  </si>
  <si>
    <t>6,52E+08</t>
  </si>
  <si>
    <t>8,33E+09</t>
  </si>
  <si>
    <t>1,52E+10</t>
  </si>
  <si>
    <t>1,30E+09</t>
  </si>
  <si>
    <t>1,31E+09</t>
  </si>
  <si>
    <t>3,06E+09</t>
  </si>
  <si>
    <t>10,00 %</t>
  </si>
  <si>
    <t>6,67 %</t>
  </si>
  <si>
    <t>4,34E+09</t>
  </si>
  <si>
    <t>6,01E+08</t>
  </si>
  <si>
    <t>3,66E+09</t>
  </si>
  <si>
    <t>18,75 %</t>
  </si>
  <si>
    <t>3,21E+10</t>
  </si>
  <si>
    <t>5,28 %</t>
  </si>
  <si>
    <t>61,49 %</t>
  </si>
  <si>
    <t>18,87 %</t>
  </si>
  <si>
    <t>3,53E+10</t>
  </si>
  <si>
    <t>14,36 %</t>
  </si>
  <si>
    <t>3,73E+10</t>
  </si>
  <si>
    <t>2,91E+10</t>
  </si>
  <si>
    <t>2,92E+10</t>
  </si>
  <si>
    <t>2,96E+10</t>
  </si>
  <si>
    <t>2,97E+10</t>
  </si>
  <si>
    <t>5,40E+09</t>
  </si>
  <si>
    <t>3,62E+09</t>
  </si>
  <si>
    <t>3,79E+09</t>
  </si>
  <si>
    <t>2,97E+08</t>
  </si>
  <si>
    <t>3,64E+08</t>
  </si>
  <si>
    <t>3,86E+08</t>
  </si>
  <si>
    <t>7,35E+09</t>
  </si>
  <si>
    <t>7,36E+09</t>
  </si>
  <si>
    <t>7,59E+09</t>
  </si>
  <si>
    <t>7,71E+09</t>
  </si>
  <si>
    <t>8,08E+09</t>
  </si>
  <si>
    <t>1,32E+09</t>
  </si>
  <si>
    <t>1,33E+09</t>
  </si>
  <si>
    <t>26,79 %</t>
  </si>
  <si>
    <t>1,75E+09</t>
  </si>
  <si>
    <t>35,71 %</t>
  </si>
  <si>
    <t>2,87E+09</t>
  </si>
  <si>
    <t>8,55E+07</t>
  </si>
  <si>
    <t>1,14E+08</t>
  </si>
  <si>
    <t>5,56E+09</t>
  </si>
  <si>
    <t>5,97E+09</t>
  </si>
  <si>
    <t>3,98E+07</t>
  </si>
  <si>
    <t>4,14E+07</t>
  </si>
  <si>
    <t>2,03E+09</t>
  </si>
  <si>
    <t>3,88E+10</t>
  </si>
  <si>
    <t>30,26 %</t>
  </si>
  <si>
    <t>3,91E+10</t>
  </si>
  <si>
    <t>13,17 %</t>
  </si>
  <si>
    <t>3,93E+10</t>
  </si>
  <si>
    <t>6,76 %</t>
  </si>
  <si>
    <t>3,95E+10</t>
  </si>
  <si>
    <t>28,24 %</t>
  </si>
  <si>
    <t>4,08E+10</t>
  </si>
  <si>
    <t>3,60E+08</t>
  </si>
  <si>
    <t>3,63E+08</t>
  </si>
  <si>
    <t>3,89E+08</t>
  </si>
  <si>
    <t>3,95E+08</t>
  </si>
  <si>
    <t>2,40E+09</t>
  </si>
  <si>
    <t>2,42E+09</t>
  </si>
  <si>
    <t>41,67 %</t>
  </si>
  <si>
    <t>2,52E+09</t>
  </si>
  <si>
    <t>2,54E+09</t>
  </si>
  <si>
    <t>1,25E+08</t>
  </si>
  <si>
    <t>1,30E+08</t>
  </si>
  <si>
    <t>2,16E+09</t>
  </si>
  <si>
    <t>2,17E+09</t>
  </si>
  <si>
    <t>2,19E+09</t>
  </si>
  <si>
    <t>4,04E+09</t>
  </si>
  <si>
    <t>14,79 %</t>
  </si>
  <si>
    <t>4,05E+09</t>
  </si>
  <si>
    <t>4,45 %</t>
  </si>
  <si>
    <t>30,05 %</t>
  </si>
  <si>
    <t>13,99 %</t>
  </si>
  <si>
    <t>4,07E+09</t>
  </si>
  <si>
    <t>36,72 %</t>
  </si>
  <si>
    <t>4,08E+09</t>
  </si>
  <si>
    <t>1,66E+09</t>
  </si>
  <si>
    <t>1,71E+09</t>
  </si>
  <si>
    <t>7,90E+07</t>
  </si>
  <si>
    <t>1,21E+10</t>
  </si>
  <si>
    <t>7,19E+08</t>
  </si>
  <si>
    <t>23,26 %</t>
  </si>
  <si>
    <t>7,36E+08</t>
  </si>
  <si>
    <t>4,12 %</t>
  </si>
  <si>
    <t>7,53E+08</t>
  </si>
  <si>
    <t>17,77 %</t>
  </si>
  <si>
    <t>3,57 %</t>
  </si>
  <si>
    <t>1,58E+09</t>
  </si>
  <si>
    <t>9,54E+09</t>
  </si>
  <si>
    <t>9,86E+09</t>
  </si>
  <si>
    <t>1,11E+10</t>
  </si>
  <si>
    <t>12,50 %</t>
  </si>
  <si>
    <t>1,12E+10</t>
  </si>
  <si>
    <t>1,04E+11</t>
  </si>
  <si>
    <t>16,00 %</t>
  </si>
  <si>
    <t>31,69 %</t>
  </si>
  <si>
    <t>1,05E+11</t>
  </si>
  <si>
    <t>29,17 %</t>
  </si>
  <si>
    <t>1,12E+11</t>
  </si>
  <si>
    <t>17,81 %</t>
  </si>
  <si>
    <t>1,16E+11</t>
  </si>
  <si>
    <t>1,74E+09</t>
  </si>
  <si>
    <t>4,52 %</t>
  </si>
  <si>
    <t>50,90 %</t>
  </si>
  <si>
    <t>2,04E+09</t>
  </si>
  <si>
    <t>26,47 %</t>
  </si>
  <si>
    <t>2,41E+09</t>
  </si>
  <si>
    <t>2,63E+09</t>
  </si>
  <si>
    <t>3,38E+09</t>
  </si>
  <si>
    <t>22,06 %</t>
  </si>
  <si>
    <t xml:space="preserve">Countries which have only a single possible value for the estimate are underlined. Sensitivity values and probabilities for values below our estimate are highlighted in green, whereas sensitivity values exceeding our model estimate are pointed out in light red. The table consists of the sensitivity values for the consumption estimates and the corresponding probability values. ‘Min’, ’Q1’, ’Estimate’, ’Q3’ and ‘Max’ represent the sensitivity values of the model estimates for the consumption in m3. ‘Q1’ stands for the first quartile, the point that cuts-off the first, lowest 25% of the sensitivity values. ‘Estimate’ stands for the model estimate based on the methodology explained in this paper. ‘Q3’ stands for the third quartile, which represents the cut-off point for the 75% lowest sensitivity values (equivalently meaning the cut-off for the 25% highest sensitivity values). The remaining entries such as ‘Min-Estimate’ indicate the probability of sensitivity values being within a certain interval of consumption values (here: being from the minimum up to (but below) the estimate). ‘P_Estimate’ corresponds to the probability of obtaining the model estimate. The probabilities for the intervals and the point estimate ‘P_Estimate’ for each country sum up to 1. 
It is apparent from the table that for the majority of countries, it is more probable that other combinations of generator type and cooling technology lead to a consumption below the estimate of our model. In addition to the results presented in the table, it is also noteworthy that our model estimate in the majority of cases represents the most probable consumption value. The same holds true for the withdrawal estimates. 
It should be noted that the probability of our model estimate (for consumption and withdrawal) decreases with the amount of possible combinations for the generator type and cooling type. However, as depicted in Supplementary Figure 7 for the case of Germany, this does not mean that the estimate is improbable compared to the remaining sensitivity values. </t>
  </si>
  <si>
    <t>Share (consumption/Withdrawal)</t>
  </si>
  <si>
    <t>actual withdrawal (MCM)</t>
  </si>
  <si>
    <t>Actual consumption (MCM)</t>
  </si>
  <si>
    <t>Average water withdrawal (MCM)</t>
  </si>
  <si>
    <t>Average water consumption (MCM)</t>
  </si>
  <si>
    <t>Total Water withdrawal for cooling (MCM)-2018</t>
  </si>
  <si>
    <t>Total Water withdrawal for cooling (MCM)-2021</t>
  </si>
  <si>
    <t>Downloaded from: https://www.eea.europa.eu/en/analysis/indicators/water-abstraction-by-source-and/water-abstraction-by-economic-sector</t>
  </si>
  <si>
    <t xml:space="preserve">Sources </t>
  </si>
  <si>
    <t>https://www.eea.europa.eu/en/datahub/datahubitem-view/a4324714-784a-4763-b8b9-b8939ead87fe?activeAccordion=1092906</t>
  </si>
  <si>
    <t>European Environment Agency (EEA)</t>
  </si>
  <si>
    <t>Waterbase - Water Quantity, 2023</t>
  </si>
  <si>
    <t xml:space="preserve">Geographical coverage </t>
  </si>
  <si>
    <t>Cyprus, Portugal, Spain, Malta, Denmark, Iceland, Switzerland, Sweden, Netherlands, Austria, Belgium, Germany, Luxembourg, Ireland, TÃ¼rkiye, France, Liechtenstein, Slovakia, Czechia, Norway, Italy, Slovenia, Montenegro, Croatia, Bosnia and Herzegovina, Greece, Estonia, Latvia, Lithuania, Serbia, Finland, North Macedonia, Hungary, Bulgaria, Albania, Poland, Romania, Kosovo (UNSCR 1244/99)</t>
  </si>
  <si>
    <t>Agriculture</t>
  </si>
  <si>
    <t>Construction</t>
  </si>
  <si>
    <t>Electricity cooling</t>
  </si>
  <si>
    <t>Manufacturing</t>
  </si>
  <si>
    <t>Mining and Quarrying</t>
  </si>
  <si>
    <t>Public water supply</t>
  </si>
  <si>
    <t>ï»¿Country</t>
  </si>
  <si>
    <t>Czechia</t>
  </si>
  <si>
    <t>North Macedonia</t>
  </si>
  <si>
    <t>TÃ¼rkiye</t>
  </si>
  <si>
    <t>Kosovo *</t>
  </si>
  <si>
    <t>water abstraction (MCM)</t>
  </si>
  <si>
    <t>Share (release/Withdrawal)</t>
  </si>
  <si>
    <t>Total Water release after cooling (MCM)-2018</t>
  </si>
  <si>
    <t>Total Water release after cooling (MCM)-2021</t>
  </si>
  <si>
    <t>Total thermal electricity generation (2018) PJ</t>
  </si>
  <si>
    <t>Total thermal electricity generation (2021) PJ</t>
  </si>
  <si>
    <t>IAR (XXWPWR) for all thermal power plants (2018) BCM/PJ</t>
  </si>
  <si>
    <t>IAR (XXWPWR) for all thermal power plants (2021) BCM/PJ</t>
  </si>
  <si>
    <t>OAR (XXWSUR) for all thermal power plants (2018) BCM/PJ</t>
  </si>
  <si>
    <t>OAR (XXWRUN) for all thermal power plants (2021) BCM/PJ</t>
  </si>
  <si>
    <t>ISO2</t>
  </si>
  <si>
    <t>AT</t>
  </si>
  <si>
    <t>BE</t>
  </si>
  <si>
    <t>BG</t>
  </si>
  <si>
    <t>CY</t>
  </si>
  <si>
    <t>CZ</t>
  </si>
  <si>
    <t>ES</t>
  </si>
  <si>
    <t>EE</t>
  </si>
  <si>
    <t>EL</t>
  </si>
  <si>
    <t>HR</t>
  </si>
  <si>
    <t>HU</t>
  </si>
  <si>
    <t>IE</t>
  </si>
  <si>
    <t>LT</t>
  </si>
  <si>
    <t>LU</t>
  </si>
  <si>
    <t>LV</t>
  </si>
  <si>
    <t>MT</t>
  </si>
  <si>
    <t>NL</t>
  </si>
  <si>
    <t>PT</t>
  </si>
  <si>
    <t>RO</t>
  </si>
  <si>
    <t>SK</t>
  </si>
  <si>
    <t>SI</t>
  </si>
  <si>
    <t>EU</t>
  </si>
  <si>
    <t>GR</t>
  </si>
  <si>
    <t>Value (BCM/PJ)</t>
  </si>
  <si>
    <t>IAR FUEL (input)</t>
  </si>
  <si>
    <t>OAR Fuel (Output)</t>
  </si>
  <si>
    <t>Water withdrawal (MCM)</t>
  </si>
  <si>
    <t>ratio</t>
  </si>
  <si>
    <t>country</t>
  </si>
  <si>
    <t>Wate consumption (MCM)</t>
  </si>
  <si>
    <t>Thermal electricity generation (PJ)</t>
  </si>
  <si>
    <t>Source</t>
  </si>
  <si>
    <t>https://www.nature.com/articles/s41560-019-0501-4</t>
  </si>
  <si>
    <r>
      <t>Lohrmann, A., Farfan, J., Caldera, U. </t>
    </r>
    <r>
      <rPr>
        <i/>
        <sz val="12"/>
        <color rgb="FF222222"/>
        <rFont val="Segoe UI"/>
        <family val="2"/>
      </rPr>
      <t>et al.</t>
    </r>
    <r>
      <rPr>
        <sz val="12"/>
        <color rgb="FF222222"/>
        <rFont val="Segoe UI"/>
        <family val="2"/>
      </rPr>
      <t> Global scenarios for significant water use reduction in thermal power plants based on cooling water demand estimation using satellite imagery. </t>
    </r>
    <r>
      <rPr>
        <i/>
        <sz val="12"/>
        <color rgb="FF222222"/>
        <rFont val="Segoe UI"/>
        <family val="2"/>
      </rPr>
      <t>Nat Energy</t>
    </r>
    <r>
      <rPr>
        <sz val="12"/>
        <color rgb="FF222222"/>
        <rFont val="Segoe UI"/>
        <family val="2"/>
      </rPr>
      <t> </t>
    </r>
    <r>
      <rPr>
        <b/>
        <sz val="12"/>
        <color rgb="FF222222"/>
        <rFont val="Segoe UI"/>
        <family val="2"/>
      </rPr>
      <t>4</t>
    </r>
    <r>
      <rPr>
        <sz val="12"/>
        <color rgb="FF222222"/>
        <rFont val="Segoe UI"/>
        <family val="2"/>
      </rPr>
      <t>, 1040–1048 (2019). https://doi.org/10.1038/s41560-019-0501-4</t>
    </r>
  </si>
  <si>
    <t>OSeMOSYS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</si>
</sst>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FF00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u/>
      <sz val="11"/>
      <color rgb="FFFF0000"/>
      <name val="Calibri"/>
      <family val="2"/>
      <scheme val="minor"/>
    </font>
    <font>
      <b/>
      <vertAlign val="superscript"/>
      <sz val="11"/>
      <color rgb="FF000000"/>
      <name val="Calibri"/>
      <family val="2"/>
      <scheme val="minor"/>
    </font>
    <font>
      <b/>
      <vertAlign val="superscript"/>
      <sz val="11"/>
      <color theme="1"/>
      <name val="Calibri"/>
      <family val="2"/>
      <scheme val="minor"/>
    </font>
    <font>
      <u/>
      <sz val="11"/>
      <color theme="1"/>
      <name val="Calibri"/>
      <family val="2"/>
      <scheme val="minor"/>
    </font>
    <font>
      <u/>
      <sz val="11"/>
      <color rgb="FF000000"/>
      <name val="Calibri"/>
      <family val="2"/>
      <scheme val="minor"/>
    </font>
    <font>
      <sz val="12"/>
      <color rgb="FF222222"/>
      <name val="Segoe UI"/>
      <family val="2"/>
    </font>
    <font>
      <i/>
      <sz val="12"/>
      <color rgb="FF222222"/>
      <name val="Segoe UI"/>
      <family val="2"/>
    </font>
    <font>
      <b/>
      <sz val="12"/>
      <color rgb="FF222222"/>
      <name val="Segoe UI"/>
      <family val="2"/>
    </font>
    <font>
      <sz val="28"/>
      <color theme="1"/>
      <name val="Calibri"/>
      <family val="2"/>
      <scheme val="minor"/>
    </font>
  </fonts>
  <fills count="9">
    <fill>
      <patternFill patternType="none"/>
    </fill>
    <fill>
      <patternFill patternType="gray125"/>
    </fill>
    <fill>
      <patternFill patternType="solid">
        <fgColor rgb="FFE7E6E6"/>
        <bgColor indexed="64"/>
      </patternFill>
    </fill>
    <fill>
      <patternFill patternType="solid">
        <fgColor theme="2"/>
        <bgColor indexed="64"/>
      </patternFill>
    </fill>
    <fill>
      <patternFill patternType="solid">
        <fgColor theme="2" tint="-9.9978637043366805E-2"/>
        <bgColor indexed="64"/>
      </patternFill>
    </fill>
    <fill>
      <patternFill patternType="solid">
        <fgColor rgb="FFE2EFDA"/>
        <bgColor indexed="64"/>
      </patternFill>
    </fill>
    <fill>
      <patternFill patternType="solid">
        <fgColor rgb="FFFFD3D3"/>
        <bgColor indexed="64"/>
      </patternFill>
    </fill>
    <fill>
      <patternFill patternType="solid">
        <fgColor rgb="FFFFFF00"/>
        <bgColor indexed="64"/>
      </patternFill>
    </fill>
    <fill>
      <patternFill patternType="solid">
        <fgColor rgb="FF92D050"/>
        <bgColor indexed="64"/>
      </patternFill>
    </fill>
  </fills>
  <borders count="14">
    <border>
      <left/>
      <right/>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rgb="FF000000"/>
      </bottom>
      <diagonal/>
    </border>
    <border>
      <left/>
      <right style="medium">
        <color indexed="64"/>
      </right>
      <top/>
      <bottom style="medium">
        <color indexed="64"/>
      </bottom>
      <diagonal/>
    </border>
    <border>
      <left style="medium">
        <color indexed="64"/>
      </left>
      <right style="medium">
        <color indexed="64"/>
      </right>
      <top style="medium">
        <color rgb="FF000000"/>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84">
    <xf numFmtId="0" fontId="0" fillId="0" borderId="0" xfId="0"/>
    <xf numFmtId="0" fontId="4" fillId="0" borderId="0" xfId="0" applyFont="1" applyAlignment="1">
      <alignment vertical="center" wrapText="1"/>
    </xf>
    <xf numFmtId="0" fontId="4" fillId="0" borderId="0" xfId="0" applyFont="1" applyAlignment="1">
      <alignment horizontal="center" vertical="center"/>
    </xf>
    <xf numFmtId="0" fontId="4" fillId="0" borderId="0" xfId="0" applyFont="1" applyAlignment="1">
      <alignment horizontal="right" vertical="center"/>
    </xf>
    <xf numFmtId="0" fontId="4" fillId="2" borderId="0" xfId="0" applyFont="1" applyFill="1" applyAlignment="1">
      <alignment vertical="center" wrapText="1"/>
    </xf>
    <xf numFmtId="0" fontId="4" fillId="2" borderId="0" xfId="0" applyFont="1" applyFill="1" applyAlignment="1">
      <alignment horizontal="center" vertical="center"/>
    </xf>
    <xf numFmtId="0" fontId="4" fillId="2" borderId="0" xfId="0" applyFont="1" applyFill="1" applyAlignment="1">
      <alignment horizontal="right" vertical="center"/>
    </xf>
    <xf numFmtId="0" fontId="1" fillId="2" borderId="0" xfId="0" applyFont="1" applyFill="1" applyAlignment="1">
      <alignment horizontal="right" vertical="center"/>
    </xf>
    <xf numFmtId="0" fontId="5" fillId="2" borderId="0" xfId="0" applyFont="1" applyFill="1" applyAlignment="1">
      <alignment horizontal="right"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0" borderId="0" xfId="0" applyFont="1" applyAlignment="1">
      <alignment vertical="center"/>
    </xf>
    <xf numFmtId="0" fontId="4" fillId="2" borderId="0" xfId="0" applyFont="1" applyFill="1" applyAlignment="1">
      <alignment vertical="center"/>
    </xf>
    <xf numFmtId="0" fontId="4" fillId="0" borderId="2" xfId="0" applyFont="1" applyBorder="1" applyAlignment="1">
      <alignment horizontal="right" vertical="center"/>
    </xf>
    <xf numFmtId="0" fontId="4" fillId="0" borderId="2" xfId="0" applyFont="1" applyBorder="1" applyAlignment="1">
      <alignment vertical="center"/>
    </xf>
    <xf numFmtId="0" fontId="4" fillId="0" borderId="2" xfId="0" applyFont="1" applyBorder="1" applyAlignment="1">
      <alignment vertical="center" wrapText="1"/>
    </xf>
    <xf numFmtId="0" fontId="3" fillId="3" borderId="3" xfId="0" applyFont="1" applyFill="1" applyBorder="1" applyAlignment="1">
      <alignment vertical="center" wrapText="1"/>
    </xf>
    <xf numFmtId="0" fontId="3" fillId="3" borderId="3" xfId="0" applyFont="1" applyFill="1" applyBorder="1" applyAlignment="1">
      <alignment horizontal="right" vertical="center"/>
    </xf>
    <xf numFmtId="0" fontId="3" fillId="3" borderId="1" xfId="0" applyFont="1" applyFill="1" applyBorder="1" applyAlignment="1">
      <alignment horizontal="right" vertical="center"/>
    </xf>
    <xf numFmtId="0" fontId="0" fillId="0" borderId="2" xfId="0" applyBorder="1" applyAlignment="1">
      <alignment vertical="center"/>
    </xf>
    <xf numFmtId="0" fontId="0" fillId="0" borderId="0" xfId="0" applyAlignment="1">
      <alignment vertical="center"/>
    </xf>
    <xf numFmtId="0" fontId="0" fillId="0" borderId="0" xfId="0" applyAlignment="1">
      <alignment horizontal="left" vertical="center" indent="2"/>
    </xf>
    <xf numFmtId="0" fontId="0" fillId="2" borderId="0" xfId="0" applyFill="1" applyAlignment="1">
      <alignment vertical="center"/>
    </xf>
    <xf numFmtId="0" fontId="8" fillId="2" borderId="0" xfId="0" applyFont="1" applyFill="1" applyAlignment="1">
      <alignment vertical="center"/>
    </xf>
    <xf numFmtId="0" fontId="2" fillId="3" borderId="3" xfId="0" applyFont="1" applyFill="1" applyBorder="1" applyAlignment="1">
      <alignment vertical="center"/>
    </xf>
    <xf numFmtId="0" fontId="2" fillId="3" borderId="1" xfId="0" applyFont="1" applyFill="1" applyBorder="1" applyAlignment="1">
      <alignment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xf>
    <xf numFmtId="0" fontId="3" fillId="3" borderId="1" xfId="0" applyFont="1" applyFill="1" applyBorder="1" applyAlignment="1">
      <alignment vertical="center" wrapText="1"/>
    </xf>
    <xf numFmtId="3" fontId="4" fillId="0" borderId="2" xfId="0" applyNumberFormat="1" applyFont="1" applyBorder="1" applyAlignment="1">
      <alignment horizontal="right" vertical="center" wrapText="1"/>
    </xf>
    <xf numFmtId="0" fontId="4" fillId="0" borderId="2" xfId="0" applyFont="1" applyBorder="1" applyAlignment="1">
      <alignment horizontal="right" vertical="center" wrapText="1"/>
    </xf>
    <xf numFmtId="3" fontId="4" fillId="0" borderId="0" xfId="0" applyNumberFormat="1" applyFont="1" applyAlignment="1">
      <alignment horizontal="right" vertical="center" wrapText="1"/>
    </xf>
    <xf numFmtId="0" fontId="4" fillId="0" borderId="0" xfId="0" applyFont="1" applyAlignment="1">
      <alignment horizontal="right" vertical="center" wrapText="1"/>
    </xf>
    <xf numFmtId="0" fontId="0" fillId="0" borderId="0" xfId="0" applyAlignment="1">
      <alignment vertical="center" wrapText="1"/>
    </xf>
    <xf numFmtId="0" fontId="4" fillId="5" borderId="5" xfId="0" applyFont="1" applyFill="1" applyBorder="1" applyAlignment="1">
      <alignment horizontal="center" vertical="center"/>
    </xf>
    <xf numFmtId="0" fontId="4" fillId="6" borderId="5" xfId="0" applyFont="1" applyFill="1" applyBorder="1" applyAlignment="1">
      <alignment horizontal="center" vertical="center"/>
    </xf>
    <xf numFmtId="0" fontId="4" fillId="5" borderId="7" xfId="0" applyFont="1" applyFill="1" applyBorder="1" applyAlignment="1">
      <alignment horizontal="center" vertical="center"/>
    </xf>
    <xf numFmtId="0" fontId="4" fillId="6" borderId="7" xfId="0" applyFont="1" applyFill="1" applyBorder="1" applyAlignment="1">
      <alignment horizontal="center" vertical="center"/>
    </xf>
    <xf numFmtId="0" fontId="4" fillId="5" borderId="9" xfId="0" applyFont="1" applyFill="1" applyBorder="1" applyAlignment="1">
      <alignment horizontal="center" vertical="center"/>
    </xf>
    <xf numFmtId="0" fontId="4" fillId="6" borderId="9" xfId="0" applyFont="1" applyFill="1" applyBorder="1" applyAlignment="1">
      <alignment horizontal="center" vertical="center"/>
    </xf>
    <xf numFmtId="0" fontId="0" fillId="6" borderId="7" xfId="0" applyFill="1" applyBorder="1" applyAlignment="1">
      <alignment horizontal="center" vertical="center"/>
    </xf>
    <xf numFmtId="10" fontId="0" fillId="0" borderId="0" xfId="0" applyNumberFormat="1"/>
    <xf numFmtId="10" fontId="4" fillId="0" borderId="0" xfId="0" applyNumberFormat="1" applyFont="1" applyAlignment="1">
      <alignment horizontal="right" vertical="center"/>
    </xf>
    <xf numFmtId="10" fontId="4" fillId="2" borderId="0" xfId="0" applyNumberFormat="1" applyFont="1" applyFill="1" applyAlignment="1">
      <alignment horizontal="right" vertical="center"/>
    </xf>
    <xf numFmtId="10" fontId="1" fillId="2" borderId="0" xfId="0" applyNumberFormat="1" applyFont="1" applyFill="1" applyAlignment="1">
      <alignment horizontal="right" vertical="center"/>
    </xf>
    <xf numFmtId="0" fontId="3" fillId="3" borderId="0" xfId="0" applyFont="1" applyFill="1" applyAlignment="1">
      <alignment horizontal="center" vertical="center" wrapText="1"/>
    </xf>
    <xf numFmtId="0" fontId="0" fillId="7" borderId="0" xfId="0" applyFill="1"/>
    <xf numFmtId="0" fontId="0" fillId="0" borderId="11" xfId="0" applyBorder="1"/>
    <xf numFmtId="10" fontId="0" fillId="0" borderId="11" xfId="0" applyNumberFormat="1" applyBorder="1"/>
    <xf numFmtId="0" fontId="2" fillId="0" borderId="11" xfId="0" applyFont="1" applyBorder="1" applyAlignment="1">
      <alignment wrapText="1"/>
    </xf>
    <xf numFmtId="0" fontId="2" fillId="0" borderId="0" xfId="0" applyFont="1" applyAlignment="1">
      <alignment wrapText="1"/>
    </xf>
    <xf numFmtId="0" fontId="2" fillId="0" borderId="11" xfId="0" applyFont="1" applyBorder="1"/>
    <xf numFmtId="0" fontId="2" fillId="0" borderId="0" xfId="0" applyFont="1"/>
    <xf numFmtId="0" fontId="2" fillId="8" borderId="11" xfId="0" applyFont="1" applyFill="1" applyBorder="1" applyAlignment="1">
      <alignment wrapText="1"/>
    </xf>
    <xf numFmtId="0" fontId="0" fillId="7" borderId="11" xfId="0" applyFill="1" applyBorder="1"/>
    <xf numFmtId="0" fontId="0" fillId="0" borderId="11" xfId="0" applyBorder="1" applyAlignment="1">
      <alignment horizontal="center" vertical="center"/>
    </xf>
    <xf numFmtId="0" fontId="2" fillId="4" borderId="3" xfId="0" applyFont="1" applyFill="1" applyBorder="1" applyAlignment="1">
      <alignment horizontal="center"/>
    </xf>
    <xf numFmtId="0" fontId="3" fillId="3" borderId="0" xfId="0" applyFont="1" applyFill="1" applyAlignment="1">
      <alignment vertical="center"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wrapText="1"/>
    </xf>
    <xf numFmtId="0" fontId="0" fillId="0" borderId="0" xfId="0" applyAlignment="1">
      <alignment horizontal="left" vertical="top" wrapText="1"/>
    </xf>
    <xf numFmtId="0" fontId="3" fillId="3" borderId="2" xfId="0" applyFont="1" applyFill="1" applyBorder="1" applyAlignment="1">
      <alignment vertical="center"/>
    </xf>
    <xf numFmtId="0" fontId="3" fillId="3" borderId="3" xfId="0" applyFont="1" applyFill="1" applyBorder="1" applyAlignment="1">
      <alignment vertical="center"/>
    </xf>
    <xf numFmtId="0" fontId="3" fillId="3" borderId="2" xfId="0" applyFont="1" applyFill="1" applyBorder="1" applyAlignment="1">
      <alignment vertical="center" wrapText="1"/>
    </xf>
    <xf numFmtId="0" fontId="3" fillId="3" borderId="1" xfId="0" applyFont="1" applyFill="1" applyBorder="1" applyAlignment="1">
      <alignment horizontal="center" vertical="center"/>
    </xf>
    <xf numFmtId="0" fontId="2" fillId="3" borderId="2" xfId="0" applyFont="1" applyFill="1" applyBorder="1" applyAlignment="1">
      <alignment vertical="center"/>
    </xf>
    <xf numFmtId="0" fontId="2" fillId="3" borderId="3" xfId="0" applyFont="1" applyFill="1" applyBorder="1" applyAlignment="1">
      <alignment vertical="center"/>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1" xfId="0" applyFont="1" applyFill="1" applyBorder="1" applyAlignment="1">
      <alignment horizontal="center" vertical="center"/>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9" fillId="0" borderId="8" xfId="0" applyFont="1" applyBorder="1" applyAlignment="1">
      <alignment horizontal="center" vertical="center"/>
    </xf>
    <xf numFmtId="0" fontId="9" fillId="0" borderId="6" xfId="0" applyFont="1" applyBorder="1" applyAlignment="1">
      <alignment horizontal="center" vertical="center"/>
    </xf>
    <xf numFmtId="0" fontId="4" fillId="0" borderId="10" xfId="0" applyFont="1" applyBorder="1" applyAlignment="1">
      <alignment horizontal="center" vertical="center"/>
    </xf>
    <xf numFmtId="0" fontId="0" fillId="0" borderId="0" xfId="0" applyAlignment="1">
      <alignment horizontal="left" wrapText="1"/>
    </xf>
    <xf numFmtId="0" fontId="0" fillId="0" borderId="0" xfId="0" applyAlignment="1">
      <alignment horizontal="left"/>
    </xf>
    <xf numFmtId="0" fontId="3" fillId="3" borderId="2" xfId="0" applyFont="1" applyFill="1" applyBorder="1" applyAlignment="1">
      <alignment horizontal="center" vertical="center" wrapText="1"/>
    </xf>
    <xf numFmtId="0" fontId="0" fillId="0" borderId="12" xfId="0" applyFill="1" applyBorder="1"/>
    <xf numFmtId="0" fontId="10" fillId="0" borderId="0" xfId="0" applyFont="1"/>
    <xf numFmtId="0" fontId="13" fillId="0" borderId="1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ED14-754F-44F3-9E76-56D0999D69E3}">
  <sheetPr>
    <tabColor theme="4" tint="0.59999389629810485"/>
  </sheetPr>
  <dimension ref="A1:E140"/>
  <sheetViews>
    <sheetView workbookViewId="0">
      <selection activeCell="F14" sqref="F14"/>
    </sheetView>
  </sheetViews>
  <sheetFormatPr defaultRowHeight="15"/>
  <cols>
    <col min="1" max="1" width="33.42578125" bestFit="1" customWidth="1"/>
    <col min="2" max="2" width="20.7109375" customWidth="1"/>
    <col min="3" max="3" width="35.7109375" customWidth="1"/>
    <col min="4" max="4" width="20.7109375" customWidth="1"/>
    <col min="5" max="5" width="35.7109375" customWidth="1"/>
  </cols>
  <sheetData>
    <row r="1" spans="1:5" ht="15.75" thickBot="1">
      <c r="A1" s="58" t="s">
        <v>930</v>
      </c>
      <c r="B1" s="58"/>
      <c r="C1" s="58"/>
      <c r="D1" s="58"/>
      <c r="E1" s="58"/>
    </row>
    <row r="2" spans="1:5" ht="15.75" thickBot="1">
      <c r="A2" s="59" t="s">
        <v>0</v>
      </c>
      <c r="B2" s="61" t="s">
        <v>931</v>
      </c>
      <c r="C2" s="61"/>
      <c r="D2" s="61" t="s">
        <v>932</v>
      </c>
      <c r="E2" s="61"/>
    </row>
    <row r="3" spans="1:5" ht="18" thickBot="1">
      <c r="A3" s="60"/>
      <c r="B3" s="16" t="s">
        <v>933</v>
      </c>
      <c r="C3" s="30" t="s">
        <v>934</v>
      </c>
      <c r="D3" s="16" t="s">
        <v>933</v>
      </c>
      <c r="E3" s="16" t="s">
        <v>935</v>
      </c>
    </row>
    <row r="4" spans="1:5">
      <c r="A4" s="15" t="s">
        <v>8</v>
      </c>
      <c r="B4" s="15">
        <v>2005</v>
      </c>
      <c r="C4" s="31">
        <v>20661765</v>
      </c>
      <c r="D4" s="32">
        <v>2015</v>
      </c>
      <c r="E4" s="32">
        <v>265</v>
      </c>
    </row>
    <row r="5" spans="1:5">
      <c r="A5" s="1" t="s">
        <v>10</v>
      </c>
      <c r="B5" s="1">
        <v>2005</v>
      </c>
      <c r="C5" s="33">
        <v>8745004</v>
      </c>
      <c r="D5" s="34">
        <v>2015</v>
      </c>
      <c r="E5" s="34">
        <v>0</v>
      </c>
    </row>
    <row r="6" spans="1:5">
      <c r="A6" s="1" t="s">
        <v>12</v>
      </c>
      <c r="B6" s="1">
        <v>2005</v>
      </c>
      <c r="C6" s="33">
        <v>2779516644</v>
      </c>
      <c r="D6" s="34">
        <v>2015</v>
      </c>
      <c r="E6" s="33">
        <v>8032546</v>
      </c>
    </row>
    <row r="7" spans="1:5">
      <c r="A7" s="1" t="s">
        <v>14</v>
      </c>
      <c r="B7" s="1">
        <v>2005</v>
      </c>
      <c r="C7" s="33">
        <v>51409804</v>
      </c>
      <c r="D7" s="34">
        <v>2015</v>
      </c>
      <c r="E7" s="34">
        <v>0</v>
      </c>
    </row>
    <row r="8" spans="1:5">
      <c r="A8" s="1" t="s">
        <v>16</v>
      </c>
      <c r="B8" s="1">
        <v>2005</v>
      </c>
      <c r="C8" s="33">
        <v>6086315585</v>
      </c>
      <c r="D8" s="34">
        <v>2015</v>
      </c>
      <c r="E8" s="33">
        <v>2666335488</v>
      </c>
    </row>
    <row r="9" spans="1:5">
      <c r="A9" s="1" t="s">
        <v>18</v>
      </c>
      <c r="B9" s="1">
        <v>2005</v>
      </c>
      <c r="C9" s="33">
        <v>530738804</v>
      </c>
      <c r="D9" s="34">
        <v>2015</v>
      </c>
      <c r="E9" s="33">
        <v>20061133</v>
      </c>
    </row>
    <row r="10" spans="1:5">
      <c r="A10" s="1" t="s">
        <v>20</v>
      </c>
      <c r="B10" s="1">
        <v>2005</v>
      </c>
      <c r="C10" s="33">
        <v>421944746</v>
      </c>
      <c r="D10" s="34">
        <v>2015</v>
      </c>
      <c r="E10" s="33">
        <v>2329541106</v>
      </c>
    </row>
    <row r="11" spans="1:5">
      <c r="A11" s="1" t="s">
        <v>22</v>
      </c>
      <c r="B11" s="1">
        <v>2005</v>
      </c>
      <c r="C11" s="33">
        <v>1825402760</v>
      </c>
      <c r="D11" s="34">
        <v>2015</v>
      </c>
      <c r="E11" s="33">
        <v>1121264300</v>
      </c>
    </row>
    <row r="12" spans="1:5">
      <c r="A12" s="1" t="s">
        <v>24</v>
      </c>
      <c r="B12" s="1">
        <v>2005</v>
      </c>
      <c r="C12" s="33">
        <v>2032530711</v>
      </c>
      <c r="D12" s="34">
        <v>2015</v>
      </c>
      <c r="E12" s="33">
        <v>588706116</v>
      </c>
    </row>
    <row r="13" spans="1:5">
      <c r="A13" s="1" t="s">
        <v>26</v>
      </c>
      <c r="B13" s="1">
        <v>2005</v>
      </c>
      <c r="C13" s="33">
        <v>245637562</v>
      </c>
      <c r="D13" s="34">
        <v>2015</v>
      </c>
      <c r="E13" s="34">
        <v>0</v>
      </c>
    </row>
    <row r="14" spans="1:5">
      <c r="A14" s="1" t="s">
        <v>28</v>
      </c>
      <c r="B14" s="1">
        <v>2005</v>
      </c>
      <c r="C14" s="33">
        <v>743058912</v>
      </c>
      <c r="D14" s="34">
        <v>2015</v>
      </c>
      <c r="E14" s="34">
        <v>0</v>
      </c>
    </row>
    <row r="15" spans="1:5">
      <c r="A15" s="1" t="s">
        <v>30</v>
      </c>
      <c r="B15" s="1">
        <v>2005</v>
      </c>
      <c r="C15" s="33">
        <v>2008335283</v>
      </c>
      <c r="D15" s="34">
        <v>2015</v>
      </c>
      <c r="E15" s="33">
        <v>1346434015</v>
      </c>
    </row>
    <row r="16" spans="1:5">
      <c r="A16" s="1" t="s">
        <v>32</v>
      </c>
      <c r="B16" s="1">
        <v>2005</v>
      </c>
      <c r="C16" s="33">
        <v>119793225</v>
      </c>
      <c r="D16" s="34">
        <v>2015</v>
      </c>
      <c r="E16" s="34">
        <v>0</v>
      </c>
    </row>
    <row r="17" spans="1:5">
      <c r="A17" s="1" t="s">
        <v>34</v>
      </c>
      <c r="B17" s="1">
        <v>2005</v>
      </c>
      <c r="C17" s="33">
        <v>552299083</v>
      </c>
      <c r="D17" s="34">
        <v>2015</v>
      </c>
      <c r="E17" s="33">
        <v>1703645543</v>
      </c>
    </row>
    <row r="18" spans="1:5">
      <c r="A18" s="1" t="s">
        <v>36</v>
      </c>
      <c r="B18" s="1">
        <v>2005</v>
      </c>
      <c r="C18" s="33">
        <v>4165389465</v>
      </c>
      <c r="D18" s="34">
        <v>2015</v>
      </c>
      <c r="E18" s="33">
        <v>172683278</v>
      </c>
    </row>
    <row r="19" spans="1:5">
      <c r="A19" s="1" t="s">
        <v>38</v>
      </c>
      <c r="B19" s="1">
        <v>2005</v>
      </c>
      <c r="C19" s="33">
        <v>388140304</v>
      </c>
      <c r="D19" s="34">
        <v>2015</v>
      </c>
      <c r="E19" s="33">
        <v>3258513</v>
      </c>
    </row>
    <row r="20" spans="1:5">
      <c r="A20" s="1" t="s">
        <v>40</v>
      </c>
      <c r="B20" s="1">
        <v>2005</v>
      </c>
      <c r="C20" s="33">
        <v>721746674</v>
      </c>
      <c r="D20" s="34">
        <v>2015</v>
      </c>
      <c r="E20" s="33">
        <v>23667599</v>
      </c>
    </row>
    <row r="21" spans="1:5">
      <c r="A21" s="1" t="s">
        <v>42</v>
      </c>
      <c r="B21" s="1">
        <v>2005</v>
      </c>
      <c r="C21" s="33">
        <v>120972426</v>
      </c>
      <c r="D21" s="34">
        <v>2015</v>
      </c>
      <c r="E21" s="33">
        <v>9711867</v>
      </c>
    </row>
    <row r="22" spans="1:5">
      <c r="A22" s="1" t="s">
        <v>44</v>
      </c>
      <c r="B22" s="1">
        <v>2005</v>
      </c>
      <c r="C22" s="33">
        <v>4250819462</v>
      </c>
      <c r="D22" s="34">
        <v>2015</v>
      </c>
      <c r="E22" s="33">
        <v>373134507</v>
      </c>
    </row>
    <row r="23" spans="1:5">
      <c r="A23" s="1" t="s">
        <v>46</v>
      </c>
      <c r="B23" s="1">
        <v>2005</v>
      </c>
      <c r="C23" s="33">
        <v>406509733</v>
      </c>
      <c r="D23" s="34">
        <v>2015</v>
      </c>
      <c r="E23" s="34">
        <v>0</v>
      </c>
    </row>
    <row r="24" spans="1:5">
      <c r="A24" s="1" t="s">
        <v>48</v>
      </c>
      <c r="B24" s="1">
        <v>2005</v>
      </c>
      <c r="C24" s="33">
        <v>4181744849</v>
      </c>
      <c r="D24" s="34">
        <v>2015</v>
      </c>
      <c r="E24" s="33">
        <v>2845245483</v>
      </c>
    </row>
    <row r="25" spans="1:5">
      <c r="A25" s="1" t="s">
        <v>134</v>
      </c>
      <c r="B25" s="1">
        <v>2005</v>
      </c>
      <c r="C25" s="33">
        <v>485044568</v>
      </c>
      <c r="D25" s="34">
        <v>2015</v>
      </c>
      <c r="E25" s="34">
        <v>0</v>
      </c>
    </row>
    <row r="26" spans="1:5">
      <c r="A26" s="1" t="s">
        <v>50</v>
      </c>
      <c r="B26" s="1">
        <v>2005</v>
      </c>
      <c r="C26" s="33">
        <v>104144883</v>
      </c>
      <c r="D26" s="34">
        <v>2015</v>
      </c>
      <c r="E26" s="34">
        <v>0</v>
      </c>
    </row>
    <row r="27" spans="1:5">
      <c r="A27" s="1" t="s">
        <v>52</v>
      </c>
      <c r="B27" s="1">
        <v>2005</v>
      </c>
      <c r="C27" s="33">
        <v>28884987</v>
      </c>
      <c r="D27" s="34">
        <v>2015</v>
      </c>
      <c r="E27" s="33">
        <v>1596</v>
      </c>
    </row>
    <row r="28" spans="1:5">
      <c r="A28" s="1" t="s">
        <v>54</v>
      </c>
      <c r="B28" s="1">
        <v>2005</v>
      </c>
      <c r="C28" s="33">
        <v>28736598826</v>
      </c>
      <c r="D28" s="34">
        <v>2015</v>
      </c>
      <c r="E28" s="33">
        <v>21876899955</v>
      </c>
    </row>
    <row r="29" spans="1:5">
      <c r="A29" s="1" t="s">
        <v>58</v>
      </c>
      <c r="B29" s="1">
        <v>2005</v>
      </c>
      <c r="C29" s="33">
        <v>1951892671</v>
      </c>
      <c r="D29" s="34">
        <v>2015</v>
      </c>
      <c r="E29" s="33">
        <v>131479370</v>
      </c>
    </row>
    <row r="30" spans="1:5">
      <c r="A30" s="1" t="s">
        <v>60</v>
      </c>
      <c r="B30" s="1">
        <v>2005</v>
      </c>
      <c r="C30" s="33">
        <v>62941859585</v>
      </c>
      <c r="D30" s="34">
        <v>2015</v>
      </c>
      <c r="E30" s="33">
        <v>42115058588</v>
      </c>
    </row>
    <row r="31" spans="1:5">
      <c r="A31" s="1" t="s">
        <v>62</v>
      </c>
      <c r="B31" s="1">
        <v>2005</v>
      </c>
      <c r="C31" s="33">
        <v>1066039384</v>
      </c>
      <c r="D31" s="34">
        <v>2015</v>
      </c>
      <c r="E31" s="33">
        <v>502535180</v>
      </c>
    </row>
    <row r="32" spans="1:5">
      <c r="A32" s="1" t="s">
        <v>64</v>
      </c>
      <c r="B32" s="1">
        <v>2005</v>
      </c>
      <c r="C32" s="33">
        <v>9805030</v>
      </c>
      <c r="D32" s="34">
        <v>2015</v>
      </c>
      <c r="E32" s="34">
        <v>0</v>
      </c>
    </row>
    <row r="33" spans="1:5">
      <c r="A33" s="1" t="s">
        <v>66</v>
      </c>
      <c r="B33" s="1">
        <v>2005</v>
      </c>
      <c r="C33" s="33">
        <v>42557701</v>
      </c>
      <c r="D33" s="34">
        <v>2015</v>
      </c>
      <c r="E33" s="34">
        <v>0</v>
      </c>
    </row>
    <row r="34" spans="1:5">
      <c r="A34" s="1" t="s">
        <v>68</v>
      </c>
      <c r="B34" s="1">
        <v>2005</v>
      </c>
      <c r="C34" s="33">
        <v>537840472</v>
      </c>
      <c r="D34" s="34">
        <v>2015</v>
      </c>
      <c r="E34" s="33">
        <v>35851622</v>
      </c>
    </row>
    <row r="35" spans="1:5">
      <c r="A35" s="1" t="s">
        <v>70</v>
      </c>
      <c r="B35" s="1">
        <v>2005</v>
      </c>
      <c r="C35" s="33">
        <v>1853545853</v>
      </c>
      <c r="D35" s="34">
        <v>2015</v>
      </c>
      <c r="E35" s="33">
        <v>189585106</v>
      </c>
    </row>
    <row r="36" spans="1:5">
      <c r="A36" s="1" t="s">
        <v>72</v>
      </c>
      <c r="B36" s="1">
        <v>2005</v>
      </c>
      <c r="C36" s="35"/>
      <c r="D36" s="34">
        <v>2015</v>
      </c>
      <c r="E36" s="34">
        <v>0</v>
      </c>
    </row>
    <row r="37" spans="1:5">
      <c r="A37" s="1" t="s">
        <v>74</v>
      </c>
      <c r="B37" s="1">
        <v>2005</v>
      </c>
      <c r="C37" s="33">
        <v>416898051</v>
      </c>
      <c r="D37" s="34">
        <v>2015</v>
      </c>
      <c r="E37" s="33">
        <v>244942977</v>
      </c>
    </row>
    <row r="38" spans="1:5">
      <c r="A38" s="1" t="s">
        <v>76</v>
      </c>
      <c r="B38" s="1">
        <v>2005</v>
      </c>
      <c r="C38" s="33">
        <v>56717667</v>
      </c>
      <c r="D38" s="34">
        <v>2015</v>
      </c>
      <c r="E38" s="34">
        <v>350</v>
      </c>
    </row>
    <row r="39" spans="1:5">
      <c r="A39" s="1" t="s">
        <v>78</v>
      </c>
      <c r="B39" s="1">
        <v>2005</v>
      </c>
      <c r="C39" s="33">
        <v>31799994</v>
      </c>
      <c r="D39" s="34">
        <v>2015</v>
      </c>
      <c r="E39" s="34">
        <v>0</v>
      </c>
    </row>
    <row r="40" spans="1:5">
      <c r="A40" s="1" t="s">
        <v>80</v>
      </c>
      <c r="B40" s="1">
        <v>2005</v>
      </c>
      <c r="C40" s="33">
        <v>1024333431</v>
      </c>
      <c r="D40" s="34">
        <v>2015</v>
      </c>
      <c r="E40" s="33">
        <v>1705171</v>
      </c>
    </row>
    <row r="41" spans="1:5">
      <c r="A41" s="1" t="s">
        <v>82</v>
      </c>
      <c r="B41" s="1">
        <v>2005</v>
      </c>
      <c r="C41" s="33">
        <v>756724049</v>
      </c>
      <c r="D41" s="34">
        <v>2015</v>
      </c>
      <c r="E41" s="33">
        <v>153023428</v>
      </c>
    </row>
    <row r="42" spans="1:5">
      <c r="A42" s="1" t="s">
        <v>84</v>
      </c>
      <c r="B42" s="1">
        <v>2005</v>
      </c>
      <c r="C42" s="33">
        <v>7703022788</v>
      </c>
      <c r="D42" s="34">
        <v>2015</v>
      </c>
      <c r="E42" s="33">
        <v>2854460794</v>
      </c>
    </row>
    <row r="43" spans="1:5">
      <c r="A43" s="1" t="s">
        <v>86</v>
      </c>
      <c r="B43" s="1">
        <v>2005</v>
      </c>
      <c r="C43" s="33">
        <v>218669993</v>
      </c>
      <c r="D43" s="34">
        <v>2015</v>
      </c>
      <c r="E43" s="33">
        <v>4574</v>
      </c>
    </row>
    <row r="44" spans="1:5">
      <c r="A44" s="1" t="s">
        <v>88</v>
      </c>
      <c r="B44" s="1">
        <v>2005</v>
      </c>
      <c r="C44" s="33">
        <v>35775011</v>
      </c>
      <c r="D44" s="34">
        <v>2015</v>
      </c>
      <c r="E44" s="34">
        <v>0</v>
      </c>
    </row>
    <row r="45" spans="1:5">
      <c r="A45" s="1" t="s">
        <v>90</v>
      </c>
      <c r="B45" s="1">
        <v>2005</v>
      </c>
      <c r="C45" s="33">
        <v>1254709854</v>
      </c>
      <c r="D45" s="34">
        <v>2015</v>
      </c>
      <c r="E45" s="33">
        <v>5768</v>
      </c>
    </row>
    <row r="46" spans="1:5">
      <c r="A46" s="1" t="s">
        <v>92</v>
      </c>
      <c r="B46" s="1">
        <v>2005</v>
      </c>
      <c r="C46" s="33">
        <v>173998994</v>
      </c>
      <c r="D46" s="34">
        <v>2015</v>
      </c>
      <c r="E46" s="33">
        <v>521489469</v>
      </c>
    </row>
    <row r="47" spans="1:5">
      <c r="A47" s="1" t="s">
        <v>94</v>
      </c>
      <c r="B47" s="1">
        <v>2005</v>
      </c>
      <c r="C47" s="33">
        <v>18529544480</v>
      </c>
      <c r="D47" s="34">
        <v>2015</v>
      </c>
      <c r="E47" s="33">
        <v>11090787083</v>
      </c>
    </row>
    <row r="48" spans="1:5">
      <c r="A48" s="1" t="s">
        <v>96</v>
      </c>
      <c r="B48" s="1">
        <v>2005</v>
      </c>
      <c r="C48" s="33">
        <v>99242455</v>
      </c>
      <c r="D48" s="34">
        <v>2015</v>
      </c>
      <c r="E48" s="34">
        <v>0</v>
      </c>
    </row>
    <row r="49" spans="1:5">
      <c r="A49" s="1" t="s">
        <v>98</v>
      </c>
      <c r="B49" s="1">
        <v>2005</v>
      </c>
      <c r="C49" s="33">
        <v>174572828</v>
      </c>
      <c r="D49" s="34">
        <v>2015</v>
      </c>
      <c r="E49" s="33">
        <v>10196321</v>
      </c>
    </row>
    <row r="50" spans="1:5">
      <c r="A50" s="1" t="s">
        <v>100</v>
      </c>
      <c r="B50" s="1">
        <v>2005</v>
      </c>
      <c r="C50" s="33">
        <v>22470237309</v>
      </c>
      <c r="D50" s="34">
        <v>2015</v>
      </c>
      <c r="E50" s="33">
        <v>2960391467</v>
      </c>
    </row>
    <row r="51" spans="1:5">
      <c r="A51" s="1" t="s">
        <v>102</v>
      </c>
      <c r="B51" s="1">
        <v>2005</v>
      </c>
      <c r="C51" s="33">
        <v>87226226</v>
      </c>
      <c r="D51" s="34">
        <v>2015</v>
      </c>
      <c r="E51" s="34">
        <v>0</v>
      </c>
    </row>
    <row r="52" spans="1:5">
      <c r="A52" s="1" t="s">
        <v>104</v>
      </c>
      <c r="B52" s="1">
        <v>2005</v>
      </c>
      <c r="C52" s="33">
        <v>104171502</v>
      </c>
      <c r="D52" s="34">
        <v>2015</v>
      </c>
      <c r="E52" s="33">
        <v>48026877</v>
      </c>
    </row>
    <row r="53" spans="1:5">
      <c r="A53" s="1" t="s">
        <v>108</v>
      </c>
      <c r="B53" s="1">
        <v>2005</v>
      </c>
      <c r="C53" s="33">
        <v>466679714</v>
      </c>
      <c r="D53" s="34">
        <v>2015</v>
      </c>
      <c r="E53" s="33">
        <v>6029816</v>
      </c>
    </row>
    <row r="54" spans="1:5">
      <c r="A54" s="1" t="s">
        <v>110</v>
      </c>
      <c r="B54" s="1">
        <v>2005</v>
      </c>
      <c r="C54" s="33">
        <v>36305084</v>
      </c>
      <c r="D54" s="34">
        <v>2015</v>
      </c>
      <c r="E54" s="34">
        <v>0</v>
      </c>
    </row>
    <row r="55" spans="1:5">
      <c r="A55" s="1" t="s">
        <v>112</v>
      </c>
      <c r="B55" s="1">
        <v>2005</v>
      </c>
      <c r="C55" s="33">
        <v>479252302</v>
      </c>
      <c r="D55" s="34">
        <v>2015</v>
      </c>
      <c r="E55" s="33">
        <v>4428195</v>
      </c>
    </row>
    <row r="56" spans="1:5">
      <c r="A56" s="1" t="s">
        <v>116</v>
      </c>
      <c r="B56" s="1">
        <v>2005</v>
      </c>
      <c r="C56" s="33">
        <v>4250090729</v>
      </c>
      <c r="D56" s="34">
        <v>2015</v>
      </c>
      <c r="E56" s="33">
        <v>293699817</v>
      </c>
    </row>
    <row r="57" spans="1:5">
      <c r="A57" s="1" t="s">
        <v>118</v>
      </c>
      <c r="B57" s="1">
        <v>2005</v>
      </c>
      <c r="C57" s="33">
        <v>9471400584</v>
      </c>
      <c r="D57" s="34">
        <v>2015</v>
      </c>
      <c r="E57" s="33">
        <v>7939057160</v>
      </c>
    </row>
    <row r="58" spans="1:5">
      <c r="A58" s="1" t="s">
        <v>120</v>
      </c>
      <c r="B58" s="1">
        <v>2005</v>
      </c>
      <c r="C58" s="33">
        <v>8931055446</v>
      </c>
      <c r="D58" s="34">
        <v>2015</v>
      </c>
      <c r="E58" s="33">
        <v>1019457747</v>
      </c>
    </row>
    <row r="59" spans="1:5">
      <c r="A59" s="1" t="s">
        <v>122</v>
      </c>
      <c r="B59" s="1">
        <v>2005</v>
      </c>
      <c r="C59" s="33">
        <v>12919924321</v>
      </c>
      <c r="D59" s="34">
        <v>2015</v>
      </c>
      <c r="E59" s="33">
        <v>399252125</v>
      </c>
    </row>
    <row r="60" spans="1:5">
      <c r="A60" s="1" t="s">
        <v>124</v>
      </c>
      <c r="B60" s="1">
        <v>2005</v>
      </c>
      <c r="C60" s="33">
        <v>3728543550</v>
      </c>
      <c r="D60" s="34">
        <v>2015</v>
      </c>
      <c r="E60" s="33">
        <v>152568891</v>
      </c>
    </row>
    <row r="61" spans="1:5">
      <c r="A61" s="1" t="s">
        <v>126</v>
      </c>
      <c r="B61" s="1">
        <v>2005</v>
      </c>
      <c r="C61" s="33">
        <v>277032008</v>
      </c>
      <c r="D61" s="34">
        <v>2015</v>
      </c>
      <c r="E61" s="33">
        <v>312402</v>
      </c>
    </row>
    <row r="62" spans="1:5">
      <c r="A62" s="1" t="s">
        <v>130</v>
      </c>
      <c r="B62" s="1">
        <v>2005</v>
      </c>
      <c r="C62" s="35"/>
      <c r="D62" s="34">
        <v>2015</v>
      </c>
      <c r="E62" s="33">
        <v>7420163</v>
      </c>
    </row>
    <row r="63" spans="1:5">
      <c r="A63" s="1" t="s">
        <v>132</v>
      </c>
      <c r="B63" s="1">
        <v>2005</v>
      </c>
      <c r="C63" s="33">
        <v>9335534709</v>
      </c>
      <c r="D63" s="34">
        <v>2015</v>
      </c>
      <c r="E63" s="33">
        <v>1447433634</v>
      </c>
    </row>
    <row r="64" spans="1:5">
      <c r="A64" s="1" t="s">
        <v>136</v>
      </c>
      <c r="B64" s="1">
        <v>2005</v>
      </c>
      <c r="C64" s="33">
        <v>779110408</v>
      </c>
      <c r="D64" s="34">
        <v>2015</v>
      </c>
      <c r="E64" s="34">
        <v>0</v>
      </c>
    </row>
    <row r="65" spans="1:5">
      <c r="A65" s="1" t="s">
        <v>138</v>
      </c>
      <c r="B65" s="1">
        <v>2005</v>
      </c>
      <c r="C65" s="33">
        <v>4741354</v>
      </c>
      <c r="D65" s="34">
        <v>2015</v>
      </c>
      <c r="E65" s="33">
        <v>2826967500</v>
      </c>
    </row>
    <row r="66" spans="1:5">
      <c r="A66" s="1" t="s">
        <v>140</v>
      </c>
      <c r="B66" s="1">
        <v>2005</v>
      </c>
      <c r="C66" s="33">
        <v>618234009</v>
      </c>
      <c r="D66" s="34">
        <v>2015</v>
      </c>
      <c r="E66" s="33">
        <v>1504628</v>
      </c>
    </row>
    <row r="67" spans="1:5">
      <c r="A67" s="1" t="s">
        <v>142</v>
      </c>
      <c r="B67" s="1">
        <v>2005</v>
      </c>
      <c r="C67" s="33">
        <v>4186178936</v>
      </c>
      <c r="D67" s="34">
        <v>2015</v>
      </c>
      <c r="E67" s="33">
        <v>1187833243</v>
      </c>
    </row>
    <row r="68" spans="1:5">
      <c r="A68" s="1" t="s">
        <v>144</v>
      </c>
      <c r="B68" s="1">
        <v>2005</v>
      </c>
      <c r="C68" s="33">
        <v>184630082</v>
      </c>
      <c r="D68" s="34">
        <v>2015</v>
      </c>
      <c r="E68" s="33">
        <v>143527</v>
      </c>
    </row>
    <row r="69" spans="1:5" ht="30">
      <c r="A69" s="1" t="s">
        <v>146</v>
      </c>
      <c r="B69" s="1">
        <v>2005</v>
      </c>
      <c r="C69" s="33">
        <v>953320807</v>
      </c>
      <c r="D69" s="34">
        <v>2015</v>
      </c>
      <c r="E69" s="33">
        <v>1437074338</v>
      </c>
    </row>
    <row r="70" spans="1:5">
      <c r="A70" s="1" t="s">
        <v>148</v>
      </c>
      <c r="B70" s="1">
        <v>2005</v>
      </c>
      <c r="C70" s="33">
        <v>7812119026</v>
      </c>
      <c r="D70" s="34">
        <v>2015</v>
      </c>
      <c r="E70" s="33">
        <v>1119657419</v>
      </c>
    </row>
    <row r="71" spans="1:5">
      <c r="A71" s="1" t="s">
        <v>152</v>
      </c>
      <c r="B71" s="1">
        <v>2005</v>
      </c>
      <c r="C71" s="33">
        <v>2681970443</v>
      </c>
      <c r="D71" s="34">
        <v>2015</v>
      </c>
      <c r="E71" s="34">
        <v>0</v>
      </c>
    </row>
    <row r="72" spans="1:5">
      <c r="A72" s="1" t="s">
        <v>154</v>
      </c>
      <c r="B72" s="1">
        <v>2005</v>
      </c>
      <c r="C72" s="33">
        <v>268576599</v>
      </c>
      <c r="D72" s="34">
        <v>2015</v>
      </c>
      <c r="E72" s="33">
        <v>151895879</v>
      </c>
    </row>
    <row r="73" spans="1:5">
      <c r="A73" s="1" t="s">
        <v>156</v>
      </c>
      <c r="B73" s="1">
        <v>2005</v>
      </c>
      <c r="C73" s="33">
        <v>65801888</v>
      </c>
      <c r="D73" s="34">
        <v>2015</v>
      </c>
      <c r="E73" s="34">
        <v>0</v>
      </c>
    </row>
    <row r="74" spans="1:5">
      <c r="A74" s="1" t="s">
        <v>158</v>
      </c>
      <c r="B74" s="1">
        <v>2005</v>
      </c>
      <c r="C74" s="33">
        <v>869808366</v>
      </c>
      <c r="D74" s="34">
        <v>2015</v>
      </c>
      <c r="E74" s="33">
        <v>2693188</v>
      </c>
    </row>
    <row r="75" spans="1:5">
      <c r="A75" s="1" t="s">
        <v>160</v>
      </c>
      <c r="B75" s="1">
        <v>2005</v>
      </c>
      <c r="C75" s="33">
        <v>17642640</v>
      </c>
      <c r="D75" s="34">
        <v>2015</v>
      </c>
      <c r="E75" s="34">
        <v>0</v>
      </c>
    </row>
    <row r="76" spans="1:5">
      <c r="A76" s="1" t="s">
        <v>164</v>
      </c>
      <c r="B76" s="1">
        <v>2005</v>
      </c>
      <c r="C76" s="33">
        <v>2095874945</v>
      </c>
      <c r="D76" s="34">
        <v>2015</v>
      </c>
      <c r="E76" s="33">
        <v>796056670</v>
      </c>
    </row>
    <row r="77" spans="1:5">
      <c r="A77" s="1" t="s">
        <v>166</v>
      </c>
      <c r="B77" s="1">
        <v>2005</v>
      </c>
      <c r="C77" s="33">
        <v>217507243</v>
      </c>
      <c r="D77" s="34">
        <v>2015</v>
      </c>
      <c r="E77" s="33">
        <v>9693</v>
      </c>
    </row>
    <row r="78" spans="1:5">
      <c r="A78" s="1" t="s">
        <v>170</v>
      </c>
      <c r="B78" s="1">
        <v>2005</v>
      </c>
      <c r="C78" s="33">
        <v>120245081</v>
      </c>
      <c r="D78" s="34">
        <v>2015</v>
      </c>
      <c r="E78" s="33">
        <v>18041176</v>
      </c>
    </row>
    <row r="79" spans="1:5">
      <c r="A79" s="1" t="s">
        <v>172</v>
      </c>
      <c r="B79" s="1">
        <v>2005</v>
      </c>
      <c r="C79" s="33">
        <v>46772532</v>
      </c>
      <c r="D79" s="34">
        <v>2015</v>
      </c>
      <c r="E79" s="34">
        <v>0</v>
      </c>
    </row>
    <row r="80" spans="1:5">
      <c r="A80" s="1" t="s">
        <v>174</v>
      </c>
      <c r="B80" s="1">
        <v>2005</v>
      </c>
      <c r="C80" s="33">
        <v>5017506559</v>
      </c>
      <c r="D80" s="34">
        <v>2015</v>
      </c>
      <c r="E80" s="33">
        <v>4631952</v>
      </c>
    </row>
    <row r="81" spans="1:5">
      <c r="A81" s="1" t="s">
        <v>176</v>
      </c>
      <c r="B81" s="1">
        <v>2005</v>
      </c>
      <c r="C81" s="35"/>
      <c r="D81" s="34">
        <v>2015</v>
      </c>
      <c r="E81" s="34">
        <v>0</v>
      </c>
    </row>
    <row r="82" spans="1:5">
      <c r="A82" s="1" t="s">
        <v>178</v>
      </c>
      <c r="B82" s="1">
        <v>2005</v>
      </c>
      <c r="C82" s="33">
        <v>43282556</v>
      </c>
      <c r="D82" s="34">
        <v>2015</v>
      </c>
      <c r="E82" s="34">
        <v>0</v>
      </c>
    </row>
    <row r="83" spans="1:5">
      <c r="A83" s="1" t="s">
        <v>180</v>
      </c>
      <c r="B83" s="1">
        <v>2005</v>
      </c>
      <c r="C83" s="33">
        <v>240683621</v>
      </c>
      <c r="D83" s="34">
        <v>2015</v>
      </c>
      <c r="E83" s="34">
        <v>0</v>
      </c>
    </row>
    <row r="84" spans="1:5">
      <c r="A84" s="1" t="s">
        <v>182</v>
      </c>
      <c r="B84" s="1">
        <v>2005</v>
      </c>
      <c r="C84" s="33">
        <v>4121835072</v>
      </c>
      <c r="D84" s="34">
        <v>2015</v>
      </c>
      <c r="E84" s="33">
        <v>940792602</v>
      </c>
    </row>
    <row r="85" spans="1:5">
      <c r="A85" s="1" t="s">
        <v>224</v>
      </c>
      <c r="B85" s="1">
        <v>2005</v>
      </c>
      <c r="C85" s="33">
        <v>464898547</v>
      </c>
      <c r="D85" s="34">
        <v>2015</v>
      </c>
      <c r="E85" s="33">
        <v>477007584</v>
      </c>
    </row>
    <row r="86" spans="1:5">
      <c r="A86" s="1" t="s">
        <v>184</v>
      </c>
      <c r="B86" s="1">
        <v>2005</v>
      </c>
      <c r="C86" s="33">
        <v>425855916</v>
      </c>
      <c r="D86" s="34">
        <v>2015</v>
      </c>
      <c r="E86" s="33">
        <v>11796035</v>
      </c>
    </row>
    <row r="87" spans="1:5">
      <c r="A87" s="1" t="s">
        <v>188</v>
      </c>
      <c r="B87" s="1">
        <v>2005</v>
      </c>
      <c r="C87" s="33">
        <v>1957820411</v>
      </c>
      <c r="D87" s="34">
        <v>2015</v>
      </c>
      <c r="E87" s="33">
        <v>3078080</v>
      </c>
    </row>
    <row r="88" spans="1:5">
      <c r="A88" s="1" t="s">
        <v>190</v>
      </c>
      <c r="B88" s="1">
        <v>2005</v>
      </c>
      <c r="C88" s="33">
        <v>2650057</v>
      </c>
      <c r="D88" s="34">
        <v>2015</v>
      </c>
      <c r="E88" s="33">
        <v>18722</v>
      </c>
    </row>
    <row r="89" spans="1:5">
      <c r="A89" s="1" t="s">
        <v>192</v>
      </c>
      <c r="B89" s="1">
        <v>2005</v>
      </c>
      <c r="C89" s="33">
        <v>315369067</v>
      </c>
      <c r="D89" s="34">
        <v>2015</v>
      </c>
      <c r="E89" s="33">
        <v>871440</v>
      </c>
    </row>
    <row r="90" spans="1:5">
      <c r="A90" s="1" t="s">
        <v>194</v>
      </c>
      <c r="B90" s="1">
        <v>2005</v>
      </c>
      <c r="C90" s="33">
        <v>2843665</v>
      </c>
      <c r="D90" s="34">
        <v>2015</v>
      </c>
      <c r="E90" s="33">
        <v>7561</v>
      </c>
    </row>
    <row r="91" spans="1:5">
      <c r="A91" s="1" t="s">
        <v>196</v>
      </c>
      <c r="B91" s="1">
        <v>2005</v>
      </c>
      <c r="C91" s="33">
        <v>6667940901</v>
      </c>
      <c r="D91" s="34">
        <v>2015</v>
      </c>
      <c r="E91" s="33">
        <v>745835036</v>
      </c>
    </row>
    <row r="92" spans="1:5">
      <c r="A92" s="1" t="s">
        <v>198</v>
      </c>
      <c r="B92" s="1">
        <v>2005</v>
      </c>
      <c r="C92" s="33">
        <v>1133661745</v>
      </c>
      <c r="D92" s="34">
        <v>2015</v>
      </c>
      <c r="E92" s="33">
        <v>19970346</v>
      </c>
    </row>
    <row r="93" spans="1:5">
      <c r="A93" s="1" t="s">
        <v>200</v>
      </c>
      <c r="B93" s="1">
        <v>2005</v>
      </c>
      <c r="C93" s="33">
        <v>161520157</v>
      </c>
      <c r="D93" s="34">
        <v>2015</v>
      </c>
      <c r="E93" s="33">
        <v>3140862</v>
      </c>
    </row>
    <row r="94" spans="1:5">
      <c r="A94" s="1" t="s">
        <v>202</v>
      </c>
      <c r="B94" s="1">
        <v>2005</v>
      </c>
      <c r="C94" s="33">
        <v>1903503959</v>
      </c>
      <c r="D94" s="34">
        <v>2015</v>
      </c>
      <c r="E94" s="33">
        <v>708973332</v>
      </c>
    </row>
    <row r="95" spans="1:5">
      <c r="A95" s="1" t="s">
        <v>204</v>
      </c>
      <c r="B95" s="1">
        <v>2005</v>
      </c>
      <c r="C95" s="33">
        <v>83861829</v>
      </c>
      <c r="D95" s="34">
        <v>2015</v>
      </c>
      <c r="E95" s="34">
        <v>0</v>
      </c>
    </row>
    <row r="96" spans="1:5">
      <c r="A96" s="1" t="s">
        <v>206</v>
      </c>
      <c r="B96" s="1">
        <v>2005</v>
      </c>
      <c r="C96" s="33">
        <v>1399939001</v>
      </c>
      <c r="D96" s="34">
        <v>2015</v>
      </c>
      <c r="E96" s="33">
        <v>2232340</v>
      </c>
    </row>
    <row r="97" spans="1:5">
      <c r="A97" s="1" t="s">
        <v>208</v>
      </c>
      <c r="B97" s="1">
        <v>2005</v>
      </c>
      <c r="C97" s="33">
        <v>4845033699</v>
      </c>
      <c r="D97" s="34">
        <v>2015</v>
      </c>
      <c r="E97" s="33">
        <v>191093416</v>
      </c>
    </row>
    <row r="98" spans="1:5">
      <c r="A98" s="1" t="s">
        <v>210</v>
      </c>
      <c r="B98" s="1">
        <v>2005</v>
      </c>
      <c r="C98" s="33">
        <v>234812362</v>
      </c>
      <c r="D98" s="34">
        <v>2015</v>
      </c>
      <c r="E98" s="34">
        <v>0</v>
      </c>
    </row>
    <row r="99" spans="1:5">
      <c r="A99" s="1" t="s">
        <v>212</v>
      </c>
      <c r="B99" s="1">
        <v>2005</v>
      </c>
      <c r="C99" s="33">
        <v>839203022</v>
      </c>
      <c r="D99" s="34">
        <v>2015</v>
      </c>
      <c r="E99" s="33">
        <v>2720542</v>
      </c>
    </row>
    <row r="100" spans="1:5">
      <c r="A100" s="1" t="s">
        <v>214</v>
      </c>
      <c r="B100" s="1">
        <v>2005</v>
      </c>
      <c r="C100" s="33">
        <v>2668031154</v>
      </c>
      <c r="D100" s="34">
        <v>2015</v>
      </c>
      <c r="E100" s="33">
        <v>226204608</v>
      </c>
    </row>
    <row r="101" spans="1:5">
      <c r="A101" s="1" t="s">
        <v>216</v>
      </c>
      <c r="B101" s="1">
        <v>2005</v>
      </c>
      <c r="C101" s="33">
        <v>6711144399</v>
      </c>
      <c r="D101" s="34">
        <v>2015</v>
      </c>
      <c r="E101" s="33">
        <v>3449278977</v>
      </c>
    </row>
    <row r="102" spans="1:5">
      <c r="A102" s="1" t="s">
        <v>218</v>
      </c>
      <c r="B102" s="1">
        <v>2005</v>
      </c>
      <c r="C102" s="33">
        <v>1391213798</v>
      </c>
      <c r="D102" s="34">
        <v>2015</v>
      </c>
      <c r="E102" s="33">
        <v>13040957</v>
      </c>
    </row>
    <row r="103" spans="1:5">
      <c r="A103" s="1" t="s">
        <v>222</v>
      </c>
      <c r="B103" s="1">
        <v>2005</v>
      </c>
      <c r="C103" s="33">
        <v>1514843936</v>
      </c>
      <c r="D103" s="34">
        <v>2015</v>
      </c>
      <c r="E103" s="34">
        <v>0</v>
      </c>
    </row>
    <row r="104" spans="1:5">
      <c r="A104" s="1" t="s">
        <v>226</v>
      </c>
      <c r="B104" s="1">
        <v>2005</v>
      </c>
      <c r="C104" s="33">
        <v>61545704</v>
      </c>
      <c r="D104" s="34">
        <v>2015</v>
      </c>
      <c r="E104" s="34">
        <v>0</v>
      </c>
    </row>
    <row r="105" spans="1:5">
      <c r="A105" s="1" t="s">
        <v>228</v>
      </c>
      <c r="B105" s="1">
        <v>2005</v>
      </c>
      <c r="C105" s="33">
        <v>2237086487</v>
      </c>
      <c r="D105" s="34">
        <v>2015</v>
      </c>
      <c r="E105" s="33">
        <v>2006774708</v>
      </c>
    </row>
    <row r="106" spans="1:5">
      <c r="A106" s="1" t="s">
        <v>230</v>
      </c>
      <c r="B106" s="1">
        <v>2005</v>
      </c>
      <c r="C106" s="33">
        <v>30162098807</v>
      </c>
      <c r="D106" s="34">
        <v>2015</v>
      </c>
      <c r="E106" s="33">
        <v>37918425862</v>
      </c>
    </row>
    <row r="107" spans="1:5">
      <c r="A107" s="1" t="s">
        <v>232</v>
      </c>
      <c r="B107" s="1">
        <v>2005</v>
      </c>
      <c r="C107" s="33">
        <v>40306540</v>
      </c>
      <c r="D107" s="34">
        <v>2015</v>
      </c>
      <c r="E107" s="34">
        <v>0</v>
      </c>
    </row>
    <row r="108" spans="1:5">
      <c r="A108" s="1" t="s">
        <v>234</v>
      </c>
      <c r="B108" s="1">
        <v>2005</v>
      </c>
      <c r="C108" s="33">
        <v>14770428799</v>
      </c>
      <c r="D108" s="34">
        <v>2015</v>
      </c>
      <c r="E108" s="33">
        <v>65936702</v>
      </c>
    </row>
    <row r="109" spans="1:5">
      <c r="A109" s="1" t="s">
        <v>236</v>
      </c>
      <c r="B109" s="1">
        <v>2005</v>
      </c>
      <c r="C109" s="33">
        <v>197432590</v>
      </c>
      <c r="D109" s="34">
        <v>2015</v>
      </c>
      <c r="E109" s="33">
        <v>2914</v>
      </c>
    </row>
    <row r="110" spans="1:5">
      <c r="A110" s="1" t="s">
        <v>238</v>
      </c>
      <c r="B110" s="1">
        <v>2005</v>
      </c>
      <c r="C110" s="33">
        <v>3291034328</v>
      </c>
      <c r="D110" s="34">
        <v>2015</v>
      </c>
      <c r="E110" s="33">
        <v>2531480618</v>
      </c>
    </row>
    <row r="111" spans="1:5">
      <c r="A111" s="1" t="s">
        <v>240</v>
      </c>
      <c r="B111" s="1">
        <v>2005</v>
      </c>
      <c r="C111" s="33">
        <v>997213432</v>
      </c>
      <c r="D111" s="34">
        <v>2015</v>
      </c>
      <c r="E111" s="34">
        <v>0</v>
      </c>
    </row>
    <row r="112" spans="1:5">
      <c r="A112" s="1" t="s">
        <v>244</v>
      </c>
      <c r="B112" s="1">
        <v>2005</v>
      </c>
      <c r="C112" s="33">
        <v>239635772</v>
      </c>
      <c r="D112" s="34">
        <v>2015</v>
      </c>
      <c r="E112" s="33">
        <v>125451674</v>
      </c>
    </row>
    <row r="113" spans="1:5">
      <c r="A113" s="1" t="s">
        <v>246</v>
      </c>
      <c r="B113" s="1">
        <v>2005</v>
      </c>
      <c r="C113" s="33">
        <v>685993406</v>
      </c>
      <c r="D113" s="34">
        <v>2015</v>
      </c>
      <c r="E113" s="33">
        <v>143368591</v>
      </c>
    </row>
    <row r="114" spans="1:5">
      <c r="A114" s="1" t="s">
        <v>248</v>
      </c>
      <c r="B114" s="1">
        <v>2005</v>
      </c>
      <c r="C114" s="33">
        <v>385212146</v>
      </c>
      <c r="D114" s="34">
        <v>2015</v>
      </c>
      <c r="E114" s="33">
        <v>388012760</v>
      </c>
    </row>
    <row r="115" spans="1:5">
      <c r="A115" s="1" t="s">
        <v>250</v>
      </c>
      <c r="B115" s="1">
        <v>2005</v>
      </c>
      <c r="C115" s="33">
        <v>6265353770</v>
      </c>
      <c r="D115" s="34">
        <v>2015</v>
      </c>
      <c r="E115" s="33">
        <v>3257080690</v>
      </c>
    </row>
    <row r="116" spans="1:5">
      <c r="A116" s="1" t="s">
        <v>252</v>
      </c>
      <c r="B116" s="1">
        <v>2005</v>
      </c>
      <c r="C116" s="33">
        <v>677732912</v>
      </c>
      <c r="D116" s="34">
        <v>2015</v>
      </c>
      <c r="E116" s="33">
        <v>2381</v>
      </c>
    </row>
    <row r="117" spans="1:5">
      <c r="A117" s="1" t="s">
        <v>254</v>
      </c>
      <c r="B117" s="1">
        <v>2005</v>
      </c>
      <c r="C117" s="33">
        <v>272138070</v>
      </c>
      <c r="D117" s="34">
        <v>2015</v>
      </c>
      <c r="E117" s="33">
        <v>13419238</v>
      </c>
    </row>
    <row r="118" spans="1:5">
      <c r="A118" s="1" t="s">
        <v>256</v>
      </c>
      <c r="B118" s="1">
        <v>2005</v>
      </c>
      <c r="C118" s="33">
        <v>102999537</v>
      </c>
      <c r="D118" s="34">
        <v>2015</v>
      </c>
      <c r="E118" s="33">
        <v>89680441</v>
      </c>
    </row>
    <row r="119" spans="1:5">
      <c r="A119" s="1" t="s">
        <v>258</v>
      </c>
      <c r="B119" s="1">
        <v>2005</v>
      </c>
      <c r="C119" s="33">
        <v>1503031259</v>
      </c>
      <c r="D119" s="34">
        <v>2015</v>
      </c>
      <c r="E119" s="33">
        <v>1656796994</v>
      </c>
    </row>
    <row r="120" spans="1:5">
      <c r="A120" s="1" t="s">
        <v>260</v>
      </c>
      <c r="B120" s="1">
        <v>2005</v>
      </c>
      <c r="C120" s="33">
        <v>1802223550</v>
      </c>
      <c r="D120" s="34">
        <v>2015</v>
      </c>
      <c r="E120" s="33">
        <v>5526741</v>
      </c>
    </row>
    <row r="121" spans="1:5">
      <c r="A121" s="1" t="s">
        <v>262</v>
      </c>
      <c r="B121" s="1">
        <v>2005</v>
      </c>
      <c r="C121" s="33">
        <v>16501579895</v>
      </c>
      <c r="D121" s="34">
        <v>2015</v>
      </c>
      <c r="E121" s="33">
        <v>358138158</v>
      </c>
    </row>
    <row r="122" spans="1:5">
      <c r="A122" s="1" t="s">
        <v>264</v>
      </c>
      <c r="B122" s="1">
        <v>2005</v>
      </c>
      <c r="C122" s="33">
        <v>156614735</v>
      </c>
      <c r="D122" s="34">
        <v>2015</v>
      </c>
      <c r="E122" s="33">
        <v>2823</v>
      </c>
    </row>
    <row r="123" spans="1:5">
      <c r="A123" s="1" t="s">
        <v>266</v>
      </c>
      <c r="B123" s="1">
        <v>2005</v>
      </c>
      <c r="C123" s="33">
        <v>7405382248</v>
      </c>
      <c r="D123" s="34">
        <v>2015</v>
      </c>
      <c r="E123" s="33">
        <v>129418169</v>
      </c>
    </row>
    <row r="124" spans="1:5">
      <c r="A124" s="1" t="s">
        <v>270</v>
      </c>
      <c r="B124" s="1">
        <v>2005</v>
      </c>
      <c r="C124" s="33">
        <v>14574981</v>
      </c>
      <c r="D124" s="34">
        <v>2015</v>
      </c>
      <c r="E124" s="34">
        <v>0</v>
      </c>
    </row>
    <row r="125" spans="1:5">
      <c r="A125" s="1" t="s">
        <v>272</v>
      </c>
      <c r="B125" s="1">
        <v>2005</v>
      </c>
      <c r="C125" s="33">
        <v>816495925</v>
      </c>
      <c r="D125" s="34">
        <v>2015</v>
      </c>
      <c r="E125" s="34">
        <v>0</v>
      </c>
    </row>
    <row r="126" spans="1:5">
      <c r="A126" s="1" t="s">
        <v>274</v>
      </c>
      <c r="B126" s="1">
        <v>2005</v>
      </c>
      <c r="C126" s="33">
        <v>1159387765</v>
      </c>
      <c r="D126" s="34">
        <v>2015</v>
      </c>
      <c r="E126" s="33">
        <v>4299470</v>
      </c>
    </row>
    <row r="127" spans="1:5">
      <c r="A127" s="1" t="s">
        <v>276</v>
      </c>
      <c r="B127" s="1">
        <v>2005</v>
      </c>
      <c r="C127" s="33">
        <v>2545353032</v>
      </c>
      <c r="D127" s="34">
        <v>2015</v>
      </c>
      <c r="E127" s="33">
        <v>3012131</v>
      </c>
    </row>
    <row r="128" spans="1:5">
      <c r="A128" s="1" t="s">
        <v>278</v>
      </c>
      <c r="B128" s="1">
        <v>2005</v>
      </c>
      <c r="C128" s="33">
        <v>1548283085</v>
      </c>
      <c r="D128" s="34">
        <v>2015</v>
      </c>
      <c r="E128" s="33">
        <v>837013948</v>
      </c>
    </row>
    <row r="129" spans="1:5">
      <c r="A129" s="1" t="s">
        <v>280</v>
      </c>
      <c r="B129" s="1">
        <v>2005</v>
      </c>
      <c r="C129" s="33">
        <v>265003</v>
      </c>
      <c r="D129" s="34">
        <v>2015</v>
      </c>
      <c r="E129" s="33">
        <v>2880</v>
      </c>
    </row>
    <row r="130" spans="1:5">
      <c r="A130" s="1" t="s">
        <v>282</v>
      </c>
      <c r="B130" s="1">
        <v>2005</v>
      </c>
      <c r="C130" s="33">
        <v>3741075075</v>
      </c>
      <c r="D130" s="34">
        <v>2015</v>
      </c>
      <c r="E130" s="33">
        <v>9543782803</v>
      </c>
    </row>
    <row r="131" spans="1:5">
      <c r="A131" s="1" t="s">
        <v>284</v>
      </c>
      <c r="B131" s="1">
        <v>2005</v>
      </c>
      <c r="C131" s="33">
        <v>4691549505</v>
      </c>
      <c r="D131" s="34">
        <v>2015</v>
      </c>
      <c r="E131" s="33">
        <v>621389</v>
      </c>
    </row>
    <row r="132" spans="1:5">
      <c r="A132" s="1" t="s">
        <v>286</v>
      </c>
      <c r="B132" s="1">
        <v>2005</v>
      </c>
      <c r="C132" s="33">
        <v>6781966675</v>
      </c>
      <c r="D132" s="34">
        <v>2015</v>
      </c>
      <c r="E132" s="33">
        <v>150581036</v>
      </c>
    </row>
    <row r="133" spans="1:5">
      <c r="A133" s="1" t="s">
        <v>288</v>
      </c>
      <c r="B133" s="1">
        <v>2005</v>
      </c>
      <c r="C133" s="33">
        <v>189065306000</v>
      </c>
      <c r="D133" s="34">
        <v>2015</v>
      </c>
      <c r="E133" s="33">
        <v>102386630678</v>
      </c>
    </row>
    <row r="134" spans="1:5">
      <c r="A134" s="1" t="s">
        <v>290</v>
      </c>
      <c r="B134" s="1">
        <v>2005</v>
      </c>
      <c r="C134" s="33">
        <v>97138155</v>
      </c>
      <c r="D134" s="34">
        <v>2015</v>
      </c>
      <c r="E134" s="34">
        <v>0</v>
      </c>
    </row>
    <row r="135" spans="1:5">
      <c r="A135" s="1" t="s">
        <v>292</v>
      </c>
      <c r="B135" s="1">
        <v>2005</v>
      </c>
      <c r="C135" s="33">
        <v>1237033172</v>
      </c>
      <c r="D135" s="34">
        <v>2015</v>
      </c>
      <c r="E135" s="33">
        <v>2305943171</v>
      </c>
    </row>
    <row r="136" spans="1:5">
      <c r="A136" s="1" t="s">
        <v>294</v>
      </c>
      <c r="B136" s="1">
        <v>2005</v>
      </c>
      <c r="C136" s="33">
        <v>2464891492</v>
      </c>
      <c r="D136" s="34">
        <v>2015</v>
      </c>
      <c r="E136" s="33">
        <v>36132233</v>
      </c>
    </row>
    <row r="137" spans="1:5">
      <c r="A137" s="1" t="s">
        <v>296</v>
      </c>
      <c r="B137" s="1">
        <v>2005</v>
      </c>
      <c r="C137" s="33">
        <v>2508808894</v>
      </c>
      <c r="D137" s="34">
        <v>2015</v>
      </c>
      <c r="E137" s="33">
        <v>1394247168</v>
      </c>
    </row>
    <row r="138" spans="1:5">
      <c r="A138" s="1" t="s">
        <v>298</v>
      </c>
      <c r="B138" s="1">
        <v>2005</v>
      </c>
      <c r="C138" s="33">
        <v>412756444</v>
      </c>
      <c r="D138" s="34">
        <v>2015</v>
      </c>
      <c r="E138" s="33">
        <v>8969</v>
      </c>
    </row>
    <row r="139" spans="1:5">
      <c r="A139" s="1" t="s">
        <v>300</v>
      </c>
      <c r="B139" s="1">
        <v>2005</v>
      </c>
      <c r="C139" s="33">
        <v>6889976</v>
      </c>
      <c r="D139" s="34">
        <v>2015</v>
      </c>
      <c r="E139" s="33">
        <v>8191</v>
      </c>
    </row>
    <row r="140" spans="1:5">
      <c r="A140" s="1" t="s">
        <v>302</v>
      </c>
      <c r="B140" s="1">
        <v>2005</v>
      </c>
      <c r="C140" s="33">
        <v>93483151</v>
      </c>
      <c r="D140" s="34">
        <v>2015</v>
      </c>
      <c r="E140" s="33">
        <v>20895712</v>
      </c>
    </row>
  </sheetData>
  <mergeCells count="4">
    <mergeCell ref="A1:E1"/>
    <mergeCell ref="A2:A3"/>
    <mergeCell ref="B2:C2"/>
    <mergeCell ref="D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1DC90-2EEC-4E65-B663-E794FFE00F3B}">
  <dimension ref="A1:B2"/>
  <sheetViews>
    <sheetView workbookViewId="0">
      <selection activeCell="E13" sqref="E13"/>
    </sheetView>
  </sheetViews>
  <sheetFormatPr defaultRowHeight="15"/>
  <sheetData>
    <row r="1" spans="1:2">
      <c r="A1" t="s">
        <v>1475</v>
      </c>
      <c r="B1" t="s">
        <v>1476</v>
      </c>
    </row>
    <row r="2" spans="1:2" ht="17.25">
      <c r="A2" s="82" t="s">
        <v>1477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A33FF-6C29-4EEB-92AE-75C5C19A8C51}">
  <sheetPr filterMode="1">
    <tabColor theme="7" tint="0.59999389629810485"/>
  </sheetPr>
  <dimension ref="A1:J4814"/>
  <sheetViews>
    <sheetView workbookViewId="0">
      <selection activeCell="B3" sqref="B3"/>
    </sheetView>
  </sheetViews>
  <sheetFormatPr defaultRowHeight="15"/>
  <cols>
    <col min="6" max="6" width="8.85546875" style="48"/>
    <col min="7" max="8" width="0" hidden="1" customWidth="1"/>
  </cols>
  <sheetData>
    <row r="1" spans="1:10">
      <c r="A1" t="s">
        <v>1416</v>
      </c>
    </row>
    <row r="3" spans="1:10">
      <c r="A3" t="s">
        <v>1417</v>
      </c>
      <c r="B3" t="s">
        <v>1418</v>
      </c>
      <c r="C3" t="s">
        <v>1419</v>
      </c>
      <c r="D3" t="s">
        <v>1420</v>
      </c>
    </row>
    <row r="5" spans="1:10">
      <c r="A5" t="s">
        <v>1421</v>
      </c>
      <c r="B5" t="s">
        <v>1422</v>
      </c>
    </row>
    <row r="7" spans="1:10">
      <c r="A7" t="s">
        <v>1423</v>
      </c>
      <c r="B7" t="s">
        <v>1424</v>
      </c>
      <c r="C7" t="s">
        <v>1425</v>
      </c>
      <c r="D7" t="s">
        <v>1426</v>
      </c>
      <c r="E7" t="s">
        <v>1427</v>
      </c>
      <c r="F7" s="48" t="s">
        <v>1428</v>
      </c>
      <c r="G7" t="s">
        <v>933</v>
      </c>
      <c r="H7" t="s">
        <v>1429</v>
      </c>
    </row>
    <row r="8" spans="1:10">
      <c r="F8" s="48" t="s">
        <v>0</v>
      </c>
      <c r="I8" t="s">
        <v>933</v>
      </c>
      <c r="J8" t="s">
        <v>1434</v>
      </c>
    </row>
    <row r="9" spans="1:10" hidden="1">
      <c r="A9">
        <v>1198.0999999999999</v>
      </c>
      <c r="G9">
        <v>2000</v>
      </c>
      <c r="H9" t="s">
        <v>48</v>
      </c>
    </row>
    <row r="10" spans="1:10" hidden="1">
      <c r="A10">
        <v>876.8</v>
      </c>
      <c r="G10">
        <v>2001</v>
      </c>
      <c r="H10" t="s">
        <v>48</v>
      </c>
    </row>
    <row r="11" spans="1:10" hidden="1">
      <c r="A11">
        <v>754</v>
      </c>
      <c r="G11">
        <v>2002</v>
      </c>
      <c r="H11" t="s">
        <v>48</v>
      </c>
    </row>
    <row r="12" spans="1:10" hidden="1">
      <c r="A12">
        <v>1106.3</v>
      </c>
      <c r="G12">
        <v>2003</v>
      </c>
      <c r="H12" t="s">
        <v>48</v>
      </c>
    </row>
    <row r="13" spans="1:10" hidden="1">
      <c r="A13">
        <v>909.9</v>
      </c>
      <c r="G13">
        <v>2004</v>
      </c>
      <c r="H13" t="s">
        <v>48</v>
      </c>
    </row>
    <row r="14" spans="1:10" hidden="1">
      <c r="A14">
        <v>711.5</v>
      </c>
      <c r="G14">
        <v>2005</v>
      </c>
      <c r="H14" t="s">
        <v>48</v>
      </c>
    </row>
    <row r="15" spans="1:10" hidden="1">
      <c r="A15">
        <v>886.5</v>
      </c>
      <c r="G15">
        <v>2006</v>
      </c>
      <c r="H15" t="s">
        <v>48</v>
      </c>
    </row>
    <row r="16" spans="1:10" hidden="1">
      <c r="A16">
        <v>1025.0999999999999</v>
      </c>
      <c r="G16">
        <v>2007</v>
      </c>
      <c r="H16" t="s">
        <v>48</v>
      </c>
    </row>
    <row r="17" spans="1:8" hidden="1">
      <c r="A17">
        <v>1019.5</v>
      </c>
      <c r="G17">
        <v>2008</v>
      </c>
      <c r="H17" t="s">
        <v>48</v>
      </c>
    </row>
    <row r="18" spans="1:8" hidden="1">
      <c r="A18">
        <v>1006.4</v>
      </c>
      <c r="G18">
        <v>2009</v>
      </c>
      <c r="H18" t="s">
        <v>48</v>
      </c>
    </row>
    <row r="19" spans="1:8" hidden="1">
      <c r="A19">
        <v>948.6</v>
      </c>
      <c r="G19">
        <v>2010</v>
      </c>
      <c r="H19" t="s">
        <v>48</v>
      </c>
    </row>
    <row r="20" spans="1:8" hidden="1">
      <c r="A20">
        <v>1059.4000000000001</v>
      </c>
      <c r="G20">
        <v>2011</v>
      </c>
      <c r="H20" t="s">
        <v>48</v>
      </c>
    </row>
    <row r="21" spans="1:8" hidden="1">
      <c r="A21">
        <v>959.9</v>
      </c>
      <c r="G21">
        <v>2012</v>
      </c>
      <c r="H21" t="s">
        <v>48</v>
      </c>
    </row>
    <row r="22" spans="1:8" hidden="1">
      <c r="A22">
        <v>835.7</v>
      </c>
      <c r="G22">
        <v>2013</v>
      </c>
      <c r="H22" t="s">
        <v>48</v>
      </c>
    </row>
    <row r="23" spans="1:8" hidden="1">
      <c r="A23">
        <v>737.8</v>
      </c>
      <c r="G23">
        <v>2014</v>
      </c>
      <c r="H23" t="s">
        <v>48</v>
      </c>
    </row>
    <row r="24" spans="1:8" hidden="1">
      <c r="A24">
        <v>838.6</v>
      </c>
      <c r="G24">
        <v>2015</v>
      </c>
      <c r="H24" t="s">
        <v>48</v>
      </c>
    </row>
    <row r="25" spans="1:8" hidden="1">
      <c r="A25">
        <v>918</v>
      </c>
      <c r="G25">
        <v>2016</v>
      </c>
      <c r="H25" t="s">
        <v>48</v>
      </c>
    </row>
    <row r="26" spans="1:8" hidden="1">
      <c r="A26">
        <v>847.9</v>
      </c>
      <c r="G26">
        <v>2017</v>
      </c>
      <c r="H26" t="s">
        <v>48</v>
      </c>
    </row>
    <row r="27" spans="1:8" hidden="1">
      <c r="A27">
        <v>737.1</v>
      </c>
      <c r="G27">
        <v>2018</v>
      </c>
      <c r="H27" t="s">
        <v>48</v>
      </c>
    </row>
    <row r="28" spans="1:8" hidden="1">
      <c r="A28">
        <v>812.9</v>
      </c>
      <c r="G28">
        <v>2019</v>
      </c>
      <c r="H28" t="s">
        <v>48</v>
      </c>
    </row>
    <row r="29" spans="1:8" hidden="1">
      <c r="A29">
        <v>771.1</v>
      </c>
      <c r="G29">
        <v>2020</v>
      </c>
      <c r="H29" t="s">
        <v>48</v>
      </c>
    </row>
    <row r="30" spans="1:8" hidden="1">
      <c r="A30">
        <v>771.1</v>
      </c>
      <c r="G30">
        <v>2021</v>
      </c>
      <c r="H30" t="s">
        <v>48</v>
      </c>
    </row>
    <row r="31" spans="1:8" hidden="1">
      <c r="A31">
        <v>771.1</v>
      </c>
      <c r="G31">
        <v>2022</v>
      </c>
      <c r="H31" t="s">
        <v>48</v>
      </c>
    </row>
    <row r="32" spans="1:8" hidden="1">
      <c r="A32">
        <v>2.1</v>
      </c>
      <c r="F32" s="48">
        <v>2000</v>
      </c>
      <c r="G32" t="s">
        <v>48</v>
      </c>
    </row>
    <row r="33" spans="1:7" hidden="1">
      <c r="A33">
        <v>1.3</v>
      </c>
      <c r="F33" s="48">
        <v>2001</v>
      </c>
      <c r="G33" t="s">
        <v>48</v>
      </c>
    </row>
    <row r="34" spans="1:7" hidden="1">
      <c r="A34">
        <v>2.2000000000000002</v>
      </c>
      <c r="F34" s="48">
        <v>2002</v>
      </c>
      <c r="G34" t="s">
        <v>48</v>
      </c>
    </row>
    <row r="35" spans="1:7" hidden="1">
      <c r="A35">
        <v>2.6</v>
      </c>
      <c r="F35" s="48">
        <v>2003</v>
      </c>
      <c r="G35" t="s">
        <v>48</v>
      </c>
    </row>
    <row r="36" spans="1:7" hidden="1">
      <c r="A36">
        <v>1.7</v>
      </c>
      <c r="F36" s="48">
        <v>2004</v>
      </c>
      <c r="G36" t="s">
        <v>48</v>
      </c>
    </row>
    <row r="37" spans="1:7" hidden="1">
      <c r="A37">
        <v>0</v>
      </c>
      <c r="F37" s="48">
        <v>2005</v>
      </c>
      <c r="G37" t="s">
        <v>48</v>
      </c>
    </row>
    <row r="38" spans="1:7" hidden="1">
      <c r="A38">
        <v>0</v>
      </c>
      <c r="F38" s="48">
        <v>2006</v>
      </c>
      <c r="G38" t="s">
        <v>48</v>
      </c>
    </row>
    <row r="39" spans="1:7" hidden="1">
      <c r="A39">
        <v>0</v>
      </c>
      <c r="F39" s="48">
        <v>2007</v>
      </c>
      <c r="G39" t="s">
        <v>48</v>
      </c>
    </row>
    <row r="40" spans="1:7" hidden="1">
      <c r="A40">
        <v>0</v>
      </c>
      <c r="F40" s="48">
        <v>2008</v>
      </c>
      <c r="G40" t="s">
        <v>48</v>
      </c>
    </row>
    <row r="41" spans="1:7" hidden="1">
      <c r="A41">
        <v>0</v>
      </c>
      <c r="F41" s="48">
        <v>2009</v>
      </c>
      <c r="G41" t="s">
        <v>48</v>
      </c>
    </row>
    <row r="42" spans="1:7" hidden="1">
      <c r="A42">
        <v>0</v>
      </c>
      <c r="F42" s="48">
        <v>2010</v>
      </c>
      <c r="G42" t="s">
        <v>48</v>
      </c>
    </row>
    <row r="43" spans="1:7" hidden="1">
      <c r="A43">
        <v>0</v>
      </c>
      <c r="F43" s="48">
        <v>2011</v>
      </c>
      <c r="G43" t="s">
        <v>48</v>
      </c>
    </row>
    <row r="44" spans="1:7" hidden="1">
      <c r="A44">
        <v>0.8</v>
      </c>
      <c r="F44" s="48">
        <v>2012</v>
      </c>
      <c r="G44" t="s">
        <v>48</v>
      </c>
    </row>
    <row r="45" spans="1:7" hidden="1">
      <c r="A45">
        <v>0.5</v>
      </c>
      <c r="F45" s="48">
        <v>2013</v>
      </c>
      <c r="G45" t="s">
        <v>48</v>
      </c>
    </row>
    <row r="46" spans="1:7" hidden="1">
      <c r="A46">
        <v>0.9</v>
      </c>
      <c r="F46" s="48">
        <v>2014</v>
      </c>
      <c r="G46" t="s">
        <v>48</v>
      </c>
    </row>
    <row r="47" spans="1:7" hidden="1">
      <c r="A47">
        <v>4.0999999999999996</v>
      </c>
      <c r="F47" s="48">
        <v>2015</v>
      </c>
      <c r="G47" t="s">
        <v>48</v>
      </c>
    </row>
    <row r="48" spans="1:7" hidden="1">
      <c r="A48">
        <v>0</v>
      </c>
      <c r="F48" s="48">
        <v>2016</v>
      </c>
      <c r="G48" t="s">
        <v>48</v>
      </c>
    </row>
    <row r="49" spans="1:10" hidden="1">
      <c r="A49">
        <v>0</v>
      </c>
      <c r="F49" s="48">
        <v>2017</v>
      </c>
      <c r="G49" t="s">
        <v>48</v>
      </c>
    </row>
    <row r="50" spans="1:10" hidden="1">
      <c r="A50">
        <v>0</v>
      </c>
      <c r="F50" s="48">
        <v>2018</v>
      </c>
      <c r="G50" t="s">
        <v>48</v>
      </c>
    </row>
    <row r="51" spans="1:10" hidden="1">
      <c r="A51">
        <v>2.1</v>
      </c>
      <c r="F51" s="48">
        <v>2019</v>
      </c>
      <c r="G51" t="s">
        <v>48</v>
      </c>
    </row>
    <row r="52" spans="1:10" hidden="1">
      <c r="A52">
        <v>0</v>
      </c>
      <c r="F52" s="48">
        <v>2020</v>
      </c>
      <c r="G52" t="s">
        <v>48</v>
      </c>
    </row>
    <row r="53" spans="1:10" hidden="1">
      <c r="A53">
        <v>3.3</v>
      </c>
      <c r="F53" s="48">
        <v>2021</v>
      </c>
      <c r="G53" t="s">
        <v>48</v>
      </c>
    </row>
    <row r="54" spans="1:10" hidden="1">
      <c r="A54">
        <v>0</v>
      </c>
      <c r="F54" s="48">
        <v>2022</v>
      </c>
      <c r="G54" t="s">
        <v>48</v>
      </c>
    </row>
    <row r="55" spans="1:10">
      <c r="A55">
        <v>3227.9</v>
      </c>
      <c r="E55">
        <v>2000</v>
      </c>
      <c r="F55" s="48" t="s">
        <v>48</v>
      </c>
      <c r="I55">
        <f>E55</f>
        <v>2000</v>
      </c>
      <c r="J55">
        <f>A55</f>
        <v>3227.9</v>
      </c>
    </row>
    <row r="56" spans="1:10">
      <c r="A56">
        <v>3467.2</v>
      </c>
      <c r="E56">
        <v>2001</v>
      </c>
      <c r="F56" s="48" t="s">
        <v>48</v>
      </c>
      <c r="I56">
        <f t="shared" ref="I56:I77" si="0">E56</f>
        <v>2001</v>
      </c>
      <c r="J56">
        <f t="shared" ref="J56:J77" si="1">A56</f>
        <v>3467.2</v>
      </c>
    </row>
    <row r="57" spans="1:10">
      <c r="A57">
        <v>4388.6000000000004</v>
      </c>
      <c r="E57">
        <v>2002</v>
      </c>
      <c r="F57" s="48" t="s">
        <v>48</v>
      </c>
      <c r="I57">
        <f t="shared" si="0"/>
        <v>2002</v>
      </c>
      <c r="J57">
        <f t="shared" si="1"/>
        <v>4388.6000000000004</v>
      </c>
    </row>
    <row r="58" spans="1:10">
      <c r="A58">
        <v>4082.7</v>
      </c>
      <c r="E58">
        <v>2003</v>
      </c>
      <c r="F58" s="48" t="s">
        <v>48</v>
      </c>
      <c r="I58">
        <f t="shared" si="0"/>
        <v>2003</v>
      </c>
      <c r="J58">
        <f t="shared" si="1"/>
        <v>4082.7</v>
      </c>
    </row>
    <row r="59" spans="1:10">
      <c r="A59">
        <v>3804.2</v>
      </c>
      <c r="E59">
        <v>2004</v>
      </c>
      <c r="F59" s="48" t="s">
        <v>48</v>
      </c>
      <c r="I59">
        <f t="shared" si="0"/>
        <v>2004</v>
      </c>
      <c r="J59">
        <f t="shared" si="1"/>
        <v>3804.2</v>
      </c>
    </row>
    <row r="60" spans="1:10">
      <c r="A60">
        <v>3780.3</v>
      </c>
      <c r="E60">
        <v>2005</v>
      </c>
      <c r="F60" s="48" t="s">
        <v>48</v>
      </c>
      <c r="I60">
        <f t="shared" si="0"/>
        <v>2005</v>
      </c>
      <c r="J60">
        <f t="shared" si="1"/>
        <v>3780.3</v>
      </c>
    </row>
    <row r="61" spans="1:10">
      <c r="A61">
        <v>4153.7</v>
      </c>
      <c r="E61">
        <v>2006</v>
      </c>
      <c r="F61" s="48" t="s">
        <v>48</v>
      </c>
      <c r="I61">
        <f t="shared" si="0"/>
        <v>2006</v>
      </c>
      <c r="J61">
        <f t="shared" si="1"/>
        <v>4153.7</v>
      </c>
    </row>
    <row r="62" spans="1:10">
      <c r="A62">
        <v>3492.8</v>
      </c>
      <c r="E62">
        <v>2007</v>
      </c>
      <c r="F62" s="48" t="s">
        <v>48</v>
      </c>
      <c r="I62">
        <f t="shared" si="0"/>
        <v>2007</v>
      </c>
      <c r="J62">
        <f t="shared" si="1"/>
        <v>3492.8</v>
      </c>
    </row>
    <row r="63" spans="1:10">
      <c r="A63">
        <v>3741.1</v>
      </c>
      <c r="E63">
        <v>2008</v>
      </c>
      <c r="F63" s="48" t="s">
        <v>48</v>
      </c>
      <c r="I63">
        <f t="shared" si="0"/>
        <v>2008</v>
      </c>
      <c r="J63">
        <f t="shared" si="1"/>
        <v>3741.1</v>
      </c>
    </row>
    <row r="64" spans="1:10">
      <c r="A64">
        <v>3554.4</v>
      </c>
      <c r="E64">
        <v>2009</v>
      </c>
      <c r="F64" s="48" t="s">
        <v>48</v>
      </c>
      <c r="I64">
        <f t="shared" si="0"/>
        <v>2009</v>
      </c>
      <c r="J64">
        <f t="shared" si="1"/>
        <v>3554.4</v>
      </c>
    </row>
    <row r="65" spans="1:10">
      <c r="A65">
        <v>3491.1</v>
      </c>
      <c r="E65">
        <v>2010</v>
      </c>
      <c r="F65" s="48" t="s">
        <v>48</v>
      </c>
      <c r="I65">
        <f t="shared" si="0"/>
        <v>2010</v>
      </c>
      <c r="J65">
        <f t="shared" si="1"/>
        <v>3491.1</v>
      </c>
    </row>
    <row r="66" spans="1:10">
      <c r="A66">
        <v>3776.8</v>
      </c>
      <c r="E66">
        <v>2011</v>
      </c>
      <c r="F66" s="48" t="s">
        <v>48</v>
      </c>
      <c r="I66">
        <f t="shared" si="0"/>
        <v>2011</v>
      </c>
      <c r="J66">
        <f t="shared" si="1"/>
        <v>3776.8</v>
      </c>
    </row>
    <row r="67" spans="1:10">
      <c r="A67">
        <v>3269.8</v>
      </c>
      <c r="E67">
        <v>2012</v>
      </c>
      <c r="F67" s="48" t="s">
        <v>48</v>
      </c>
      <c r="I67">
        <f t="shared" si="0"/>
        <v>2012</v>
      </c>
      <c r="J67">
        <f t="shared" si="1"/>
        <v>3269.8</v>
      </c>
    </row>
    <row r="68" spans="1:10">
      <c r="A68">
        <v>3167.5</v>
      </c>
      <c r="E68">
        <v>2013</v>
      </c>
      <c r="F68" s="48" t="s">
        <v>48</v>
      </c>
      <c r="I68">
        <f t="shared" si="0"/>
        <v>2013</v>
      </c>
      <c r="J68">
        <f t="shared" si="1"/>
        <v>3167.5</v>
      </c>
    </row>
    <row r="69" spans="1:10">
      <c r="A69">
        <v>3223.1</v>
      </c>
      <c r="E69">
        <v>2014</v>
      </c>
      <c r="F69" s="48" t="s">
        <v>48</v>
      </c>
      <c r="I69">
        <f t="shared" si="0"/>
        <v>2014</v>
      </c>
      <c r="J69">
        <f t="shared" si="1"/>
        <v>3223.1</v>
      </c>
    </row>
    <row r="70" spans="1:10">
      <c r="A70">
        <v>3673.9</v>
      </c>
      <c r="E70">
        <v>2015</v>
      </c>
      <c r="F70" s="48" t="s">
        <v>48</v>
      </c>
      <c r="I70">
        <f t="shared" si="0"/>
        <v>2015</v>
      </c>
      <c r="J70">
        <f t="shared" si="1"/>
        <v>3673.9</v>
      </c>
    </row>
    <row r="71" spans="1:10">
      <c r="A71">
        <v>3668.9</v>
      </c>
      <c r="E71">
        <v>2016</v>
      </c>
      <c r="F71" s="48" t="s">
        <v>48</v>
      </c>
      <c r="I71">
        <f t="shared" si="0"/>
        <v>2016</v>
      </c>
      <c r="J71">
        <f t="shared" si="1"/>
        <v>3668.9</v>
      </c>
    </row>
    <row r="72" spans="1:10">
      <c r="A72">
        <v>3694.4</v>
      </c>
      <c r="E72">
        <v>2017</v>
      </c>
      <c r="F72" s="48" t="s">
        <v>48</v>
      </c>
      <c r="I72">
        <f t="shared" si="0"/>
        <v>2017</v>
      </c>
      <c r="J72">
        <f t="shared" si="1"/>
        <v>3694.4</v>
      </c>
    </row>
    <row r="73" spans="1:10">
      <c r="A73">
        <v>3607.7</v>
      </c>
      <c r="E73">
        <v>2018</v>
      </c>
      <c r="F73" s="48" t="s">
        <v>48</v>
      </c>
      <c r="I73">
        <f t="shared" si="0"/>
        <v>2018</v>
      </c>
      <c r="J73">
        <f t="shared" si="1"/>
        <v>3607.7</v>
      </c>
    </row>
    <row r="74" spans="1:10">
      <c r="A74">
        <v>3540.3</v>
      </c>
      <c r="E74">
        <v>2019</v>
      </c>
      <c r="F74" s="48" t="s">
        <v>48</v>
      </c>
      <c r="I74">
        <f t="shared" si="0"/>
        <v>2019</v>
      </c>
      <c r="J74">
        <f t="shared" si="1"/>
        <v>3540.3</v>
      </c>
    </row>
    <row r="75" spans="1:10">
      <c r="A75">
        <v>3285.4</v>
      </c>
      <c r="E75">
        <v>2020</v>
      </c>
      <c r="F75" s="48" t="s">
        <v>48</v>
      </c>
      <c r="I75">
        <f t="shared" si="0"/>
        <v>2020</v>
      </c>
      <c r="J75">
        <f t="shared" si="1"/>
        <v>3285.4</v>
      </c>
    </row>
    <row r="76" spans="1:10">
      <c r="A76">
        <v>3471.7</v>
      </c>
      <c r="E76">
        <v>2021</v>
      </c>
      <c r="F76" s="48" t="s">
        <v>48</v>
      </c>
      <c r="I76">
        <f t="shared" si="0"/>
        <v>2021</v>
      </c>
      <c r="J76">
        <f t="shared" si="1"/>
        <v>3471.7</v>
      </c>
    </row>
    <row r="77" spans="1:10">
      <c r="A77">
        <v>4181.8999999999996</v>
      </c>
      <c r="E77">
        <v>2022</v>
      </c>
      <c r="F77" s="48" t="s">
        <v>48</v>
      </c>
      <c r="I77">
        <f t="shared" si="0"/>
        <v>2022</v>
      </c>
      <c r="J77">
        <f t="shared" si="1"/>
        <v>4181.8999999999996</v>
      </c>
    </row>
    <row r="78" spans="1:10" hidden="1">
      <c r="A78">
        <v>399.9</v>
      </c>
      <c r="D78">
        <v>2000</v>
      </c>
      <c r="E78" t="s">
        <v>48</v>
      </c>
    </row>
    <row r="79" spans="1:10" hidden="1">
      <c r="A79">
        <v>300.3</v>
      </c>
      <c r="D79">
        <v>2001</v>
      </c>
      <c r="E79" t="s">
        <v>48</v>
      </c>
    </row>
    <row r="80" spans="1:10" hidden="1">
      <c r="A80">
        <v>279.10000000000002</v>
      </c>
      <c r="D80">
        <v>2002</v>
      </c>
      <c r="E80" t="s">
        <v>48</v>
      </c>
    </row>
    <row r="81" spans="1:5" hidden="1">
      <c r="A81">
        <v>238</v>
      </c>
      <c r="D81">
        <v>2003</v>
      </c>
      <c r="E81" t="s">
        <v>48</v>
      </c>
    </row>
    <row r="82" spans="1:5" hidden="1">
      <c r="A82">
        <v>230.2</v>
      </c>
      <c r="D82">
        <v>2004</v>
      </c>
      <c r="E82" t="s">
        <v>48</v>
      </c>
    </row>
    <row r="83" spans="1:5" hidden="1">
      <c r="A83">
        <v>232.7</v>
      </c>
      <c r="D83">
        <v>2005</v>
      </c>
      <c r="E83" t="s">
        <v>48</v>
      </c>
    </row>
    <row r="84" spans="1:5" hidden="1">
      <c r="A84">
        <v>237.3</v>
      </c>
      <c r="D84">
        <v>2006</v>
      </c>
      <c r="E84" t="s">
        <v>48</v>
      </c>
    </row>
    <row r="85" spans="1:5" hidden="1">
      <c r="A85">
        <v>228.1</v>
      </c>
      <c r="D85">
        <v>2007</v>
      </c>
      <c r="E85" t="s">
        <v>48</v>
      </c>
    </row>
    <row r="86" spans="1:5" hidden="1">
      <c r="A86">
        <v>218.4</v>
      </c>
      <c r="D86">
        <v>2008</v>
      </c>
      <c r="E86" t="s">
        <v>48</v>
      </c>
    </row>
    <row r="87" spans="1:5" hidden="1">
      <c r="A87">
        <v>164.5</v>
      </c>
      <c r="D87">
        <v>2009</v>
      </c>
      <c r="E87" t="s">
        <v>48</v>
      </c>
    </row>
    <row r="88" spans="1:5" hidden="1">
      <c r="A88">
        <v>154.19999999999999</v>
      </c>
      <c r="D88">
        <v>2010</v>
      </c>
      <c r="E88" t="s">
        <v>48</v>
      </c>
    </row>
    <row r="89" spans="1:5" hidden="1">
      <c r="A89">
        <v>136.19999999999999</v>
      </c>
      <c r="D89">
        <v>2011</v>
      </c>
      <c r="E89" t="s">
        <v>48</v>
      </c>
    </row>
    <row r="90" spans="1:5" hidden="1">
      <c r="A90">
        <v>125.6</v>
      </c>
      <c r="D90">
        <v>2012</v>
      </c>
      <c r="E90" t="s">
        <v>48</v>
      </c>
    </row>
    <row r="91" spans="1:5" hidden="1">
      <c r="A91">
        <v>121</v>
      </c>
      <c r="D91">
        <v>2013</v>
      </c>
      <c r="E91" t="s">
        <v>48</v>
      </c>
    </row>
    <row r="92" spans="1:5" hidden="1">
      <c r="A92">
        <v>122.6</v>
      </c>
      <c r="D92">
        <v>2014</v>
      </c>
      <c r="E92" t="s">
        <v>48</v>
      </c>
    </row>
    <row r="93" spans="1:5" hidden="1">
      <c r="A93">
        <v>136.1</v>
      </c>
      <c r="D93">
        <v>2015</v>
      </c>
      <c r="E93" t="s">
        <v>48</v>
      </c>
    </row>
    <row r="94" spans="1:5" hidden="1">
      <c r="A94">
        <v>124.3</v>
      </c>
      <c r="D94">
        <v>2016</v>
      </c>
      <c r="E94" t="s">
        <v>48</v>
      </c>
    </row>
    <row r="95" spans="1:5" hidden="1">
      <c r="A95">
        <v>133.69999999999999</v>
      </c>
      <c r="D95">
        <v>2017</v>
      </c>
      <c r="E95" t="s">
        <v>48</v>
      </c>
    </row>
    <row r="96" spans="1:5" hidden="1">
      <c r="A96">
        <v>130.80000000000001</v>
      </c>
      <c r="D96">
        <v>2018</v>
      </c>
      <c r="E96" t="s">
        <v>48</v>
      </c>
    </row>
    <row r="97" spans="1:5" hidden="1">
      <c r="A97">
        <v>123.1</v>
      </c>
      <c r="D97">
        <v>2019</v>
      </c>
      <c r="E97" t="s">
        <v>48</v>
      </c>
    </row>
    <row r="98" spans="1:5" hidden="1">
      <c r="A98">
        <v>118.8</v>
      </c>
      <c r="D98">
        <v>2020</v>
      </c>
      <c r="E98" t="s">
        <v>48</v>
      </c>
    </row>
    <row r="99" spans="1:5" hidden="1">
      <c r="A99">
        <v>117.3</v>
      </c>
      <c r="D99">
        <v>2021</v>
      </c>
      <c r="E99" t="s">
        <v>48</v>
      </c>
    </row>
    <row r="100" spans="1:5" hidden="1">
      <c r="A100">
        <v>194.5</v>
      </c>
      <c r="D100">
        <v>2022</v>
      </c>
      <c r="E100" t="s">
        <v>48</v>
      </c>
    </row>
    <row r="101" spans="1:5" hidden="1">
      <c r="A101">
        <v>44.5</v>
      </c>
      <c r="C101">
        <v>2000</v>
      </c>
      <c r="D101" t="s">
        <v>48</v>
      </c>
    </row>
    <row r="102" spans="1:5" hidden="1">
      <c r="A102">
        <v>32.200000000000003</v>
      </c>
      <c r="C102">
        <v>2001</v>
      </c>
      <c r="D102" t="s">
        <v>48</v>
      </c>
    </row>
    <row r="103" spans="1:5" hidden="1">
      <c r="A103">
        <v>28.7</v>
      </c>
      <c r="C103">
        <v>2002</v>
      </c>
      <c r="D103" t="s">
        <v>48</v>
      </c>
    </row>
    <row r="104" spans="1:5" hidden="1">
      <c r="A104">
        <v>23.8</v>
      </c>
      <c r="C104">
        <v>2003</v>
      </c>
      <c r="D104" t="s">
        <v>48</v>
      </c>
    </row>
    <row r="105" spans="1:5" hidden="1">
      <c r="A105">
        <v>24.7</v>
      </c>
      <c r="C105">
        <v>2004</v>
      </c>
      <c r="D105" t="s">
        <v>48</v>
      </c>
    </row>
    <row r="106" spans="1:5" hidden="1">
      <c r="A106">
        <v>27.3</v>
      </c>
      <c r="C106">
        <v>2005</v>
      </c>
      <c r="D106" t="s">
        <v>48</v>
      </c>
    </row>
    <row r="107" spans="1:5" hidden="1">
      <c r="A107">
        <v>27.2</v>
      </c>
      <c r="C107">
        <v>2006</v>
      </c>
      <c r="D107" t="s">
        <v>48</v>
      </c>
    </row>
    <row r="108" spans="1:5" hidden="1">
      <c r="A108">
        <v>27.8</v>
      </c>
      <c r="C108">
        <v>2007</v>
      </c>
      <c r="D108" t="s">
        <v>48</v>
      </c>
    </row>
    <row r="109" spans="1:5" hidden="1">
      <c r="A109">
        <v>25.9</v>
      </c>
      <c r="C109">
        <v>2008</v>
      </c>
      <c r="D109" t="s">
        <v>48</v>
      </c>
    </row>
    <row r="110" spans="1:5" hidden="1">
      <c r="A110">
        <v>19.899999999999999</v>
      </c>
      <c r="C110">
        <v>2009</v>
      </c>
      <c r="D110" t="s">
        <v>48</v>
      </c>
    </row>
    <row r="111" spans="1:5" hidden="1">
      <c r="A111">
        <v>22</v>
      </c>
      <c r="C111">
        <v>2010</v>
      </c>
      <c r="D111" t="s">
        <v>48</v>
      </c>
    </row>
    <row r="112" spans="1:5" hidden="1">
      <c r="A112">
        <v>20.3</v>
      </c>
      <c r="C112">
        <v>2011</v>
      </c>
      <c r="D112" t="s">
        <v>48</v>
      </c>
    </row>
    <row r="113" spans="1:4" hidden="1">
      <c r="A113">
        <v>20.7</v>
      </c>
      <c r="C113">
        <v>2012</v>
      </c>
      <c r="D113" t="s">
        <v>48</v>
      </c>
    </row>
    <row r="114" spans="1:4" hidden="1">
      <c r="A114">
        <v>23.1</v>
      </c>
      <c r="C114">
        <v>2013</v>
      </c>
      <c r="D114" t="s">
        <v>48</v>
      </c>
    </row>
    <row r="115" spans="1:4" hidden="1">
      <c r="A115">
        <v>23.5</v>
      </c>
      <c r="C115">
        <v>2014</v>
      </c>
      <c r="D115" t="s">
        <v>48</v>
      </c>
    </row>
    <row r="116" spans="1:4" hidden="1">
      <c r="A116">
        <v>16.399999999999999</v>
      </c>
      <c r="C116">
        <v>2015</v>
      </c>
      <c r="D116" t="s">
        <v>48</v>
      </c>
    </row>
    <row r="117" spans="1:4" hidden="1">
      <c r="A117">
        <v>21.2</v>
      </c>
      <c r="C117">
        <v>2016</v>
      </c>
      <c r="D117" t="s">
        <v>48</v>
      </c>
    </row>
    <row r="118" spans="1:4" hidden="1">
      <c r="A118">
        <v>22.4</v>
      </c>
      <c r="C118">
        <v>2017</v>
      </c>
      <c r="D118" t="s">
        <v>48</v>
      </c>
    </row>
    <row r="119" spans="1:4" hidden="1">
      <c r="A119">
        <v>27.7</v>
      </c>
      <c r="C119">
        <v>2018</v>
      </c>
      <c r="D119" t="s">
        <v>48</v>
      </c>
    </row>
    <row r="120" spans="1:4" hidden="1">
      <c r="A120">
        <v>25.7</v>
      </c>
      <c r="C120">
        <v>2019</v>
      </c>
      <c r="D120" t="s">
        <v>48</v>
      </c>
    </row>
    <row r="121" spans="1:4" hidden="1">
      <c r="A121">
        <v>27.1</v>
      </c>
      <c r="C121">
        <v>2020</v>
      </c>
      <c r="D121" t="s">
        <v>48</v>
      </c>
    </row>
    <row r="122" spans="1:4" hidden="1">
      <c r="A122">
        <v>30.3</v>
      </c>
      <c r="C122">
        <v>2021</v>
      </c>
      <c r="D122" t="s">
        <v>48</v>
      </c>
    </row>
    <row r="123" spans="1:4" hidden="1">
      <c r="A123">
        <v>0</v>
      </c>
      <c r="C123">
        <v>2022</v>
      </c>
      <c r="D123" t="s">
        <v>48</v>
      </c>
    </row>
    <row r="124" spans="1:4" hidden="1">
      <c r="A124">
        <v>1178</v>
      </c>
      <c r="B124">
        <v>2000</v>
      </c>
      <c r="C124" t="s">
        <v>48</v>
      </c>
    </row>
    <row r="125" spans="1:4" hidden="1">
      <c r="A125">
        <v>1075.4000000000001</v>
      </c>
      <c r="B125">
        <v>2001</v>
      </c>
      <c r="C125" t="s">
        <v>48</v>
      </c>
    </row>
    <row r="126" spans="1:4" hidden="1">
      <c r="A126">
        <v>1057.0999999999999</v>
      </c>
      <c r="B126">
        <v>2002</v>
      </c>
      <c r="C126" t="s">
        <v>48</v>
      </c>
    </row>
    <row r="127" spans="1:4" hidden="1">
      <c r="A127">
        <v>1048.3</v>
      </c>
      <c r="B127">
        <v>2003</v>
      </c>
      <c r="C127" t="s">
        <v>48</v>
      </c>
    </row>
    <row r="128" spans="1:4" hidden="1">
      <c r="A128">
        <v>997.4</v>
      </c>
      <c r="B128">
        <v>2004</v>
      </c>
      <c r="C128" t="s">
        <v>48</v>
      </c>
    </row>
    <row r="129" spans="1:3" hidden="1">
      <c r="A129">
        <v>981.3</v>
      </c>
      <c r="B129">
        <v>2005</v>
      </c>
      <c r="C129" t="s">
        <v>48</v>
      </c>
    </row>
    <row r="130" spans="1:3" hidden="1">
      <c r="A130">
        <v>1026.4000000000001</v>
      </c>
      <c r="B130">
        <v>2006</v>
      </c>
      <c r="C130" t="s">
        <v>48</v>
      </c>
    </row>
    <row r="131" spans="1:3" hidden="1">
      <c r="A131">
        <v>1026.4000000000001</v>
      </c>
      <c r="B131">
        <v>2007</v>
      </c>
      <c r="C131" t="s">
        <v>48</v>
      </c>
    </row>
    <row r="132" spans="1:3" hidden="1">
      <c r="A132">
        <v>1016.2</v>
      </c>
      <c r="B132">
        <v>2008</v>
      </c>
      <c r="C132" t="s">
        <v>48</v>
      </c>
    </row>
    <row r="133" spans="1:3" hidden="1">
      <c r="A133">
        <v>978.4</v>
      </c>
      <c r="B133">
        <v>2009</v>
      </c>
      <c r="C133" t="s">
        <v>48</v>
      </c>
    </row>
    <row r="134" spans="1:3" hidden="1">
      <c r="A134">
        <v>929.4</v>
      </c>
      <c r="B134">
        <v>2010</v>
      </c>
      <c r="C134" t="s">
        <v>48</v>
      </c>
    </row>
    <row r="135" spans="1:3" hidden="1">
      <c r="A135">
        <v>916.6</v>
      </c>
      <c r="B135">
        <v>2011</v>
      </c>
      <c r="C135" t="s">
        <v>48</v>
      </c>
    </row>
    <row r="136" spans="1:3" hidden="1">
      <c r="A136">
        <v>933.8</v>
      </c>
      <c r="B136">
        <v>2012</v>
      </c>
      <c r="C136" t="s">
        <v>48</v>
      </c>
    </row>
    <row r="137" spans="1:3" hidden="1">
      <c r="A137">
        <v>911.3</v>
      </c>
      <c r="B137">
        <v>2013</v>
      </c>
      <c r="C137" t="s">
        <v>48</v>
      </c>
    </row>
    <row r="138" spans="1:3" hidden="1">
      <c r="A138">
        <v>856.1</v>
      </c>
      <c r="B138">
        <v>2014</v>
      </c>
      <c r="C138" t="s">
        <v>48</v>
      </c>
    </row>
    <row r="139" spans="1:3" hidden="1">
      <c r="A139">
        <v>869.4</v>
      </c>
      <c r="B139">
        <v>2015</v>
      </c>
      <c r="C139" t="s">
        <v>48</v>
      </c>
    </row>
    <row r="140" spans="1:3" hidden="1">
      <c r="A140">
        <v>875.4</v>
      </c>
      <c r="B140">
        <v>2016</v>
      </c>
      <c r="C140" t="s">
        <v>48</v>
      </c>
    </row>
    <row r="141" spans="1:3" hidden="1">
      <c r="A141">
        <v>882</v>
      </c>
      <c r="B141">
        <v>2017</v>
      </c>
      <c r="C141" t="s">
        <v>48</v>
      </c>
    </row>
    <row r="142" spans="1:3" hidden="1">
      <c r="A142">
        <v>841.3</v>
      </c>
      <c r="B142">
        <v>2018</v>
      </c>
      <c r="C142" t="s">
        <v>48</v>
      </c>
    </row>
    <row r="143" spans="1:3" hidden="1">
      <c r="A143">
        <v>843.3</v>
      </c>
      <c r="B143">
        <v>2019</v>
      </c>
      <c r="C143" t="s">
        <v>48</v>
      </c>
    </row>
    <row r="144" spans="1:3" hidden="1">
      <c r="A144">
        <v>815.3</v>
      </c>
      <c r="B144">
        <v>2020</v>
      </c>
      <c r="C144" t="s">
        <v>48</v>
      </c>
    </row>
    <row r="145" spans="1:8" hidden="1">
      <c r="A145">
        <v>833.7</v>
      </c>
      <c r="B145">
        <v>2021</v>
      </c>
      <c r="C145" t="s">
        <v>48</v>
      </c>
    </row>
    <row r="146" spans="1:8" hidden="1">
      <c r="A146">
        <v>871.1</v>
      </c>
      <c r="B146">
        <v>2022</v>
      </c>
      <c r="C146" t="s">
        <v>48</v>
      </c>
    </row>
    <row r="147" spans="1:8" hidden="1">
      <c r="A147">
        <v>912.9</v>
      </c>
      <c r="G147">
        <v>2000</v>
      </c>
      <c r="H147" t="s">
        <v>10</v>
      </c>
    </row>
    <row r="148" spans="1:8" hidden="1">
      <c r="A148">
        <v>830.9</v>
      </c>
      <c r="G148">
        <v>2001</v>
      </c>
      <c r="H148" t="s">
        <v>10</v>
      </c>
    </row>
    <row r="149" spans="1:8" hidden="1">
      <c r="A149">
        <v>776.8</v>
      </c>
      <c r="G149">
        <v>2002</v>
      </c>
      <c r="H149" t="s">
        <v>10</v>
      </c>
    </row>
    <row r="150" spans="1:8" hidden="1">
      <c r="A150">
        <v>748.4</v>
      </c>
      <c r="G150">
        <v>2003</v>
      </c>
      <c r="H150" t="s">
        <v>10</v>
      </c>
    </row>
    <row r="151" spans="1:8" hidden="1">
      <c r="A151">
        <v>686.3</v>
      </c>
      <c r="G151">
        <v>2004</v>
      </c>
      <c r="H151" t="s">
        <v>10</v>
      </c>
    </row>
    <row r="152" spans="1:8" hidden="1">
      <c r="A152">
        <v>711.4</v>
      </c>
      <c r="G152">
        <v>2005</v>
      </c>
      <c r="H152" t="s">
        <v>10</v>
      </c>
    </row>
    <row r="153" spans="1:8" hidden="1">
      <c r="A153">
        <v>681</v>
      </c>
      <c r="G153">
        <v>2006</v>
      </c>
      <c r="H153" t="s">
        <v>10</v>
      </c>
    </row>
    <row r="154" spans="1:8" hidden="1">
      <c r="A154">
        <v>609.70000000000005</v>
      </c>
      <c r="G154">
        <v>2007</v>
      </c>
      <c r="H154" t="s">
        <v>10</v>
      </c>
    </row>
    <row r="155" spans="1:8" hidden="1">
      <c r="A155">
        <v>732.9</v>
      </c>
      <c r="G155">
        <v>2008</v>
      </c>
      <c r="H155" t="s">
        <v>10</v>
      </c>
    </row>
    <row r="156" spans="1:8" hidden="1">
      <c r="A156">
        <v>700</v>
      </c>
      <c r="G156">
        <v>2009</v>
      </c>
      <c r="H156" t="s">
        <v>10</v>
      </c>
    </row>
    <row r="157" spans="1:8" hidden="1">
      <c r="A157">
        <v>671</v>
      </c>
      <c r="G157">
        <v>2010</v>
      </c>
      <c r="H157" t="s">
        <v>10</v>
      </c>
    </row>
    <row r="158" spans="1:8" hidden="1">
      <c r="A158">
        <v>817.9</v>
      </c>
      <c r="G158">
        <v>2011</v>
      </c>
      <c r="H158" t="s">
        <v>10</v>
      </c>
    </row>
    <row r="159" spans="1:8" hidden="1">
      <c r="A159">
        <v>754.8</v>
      </c>
      <c r="G159">
        <v>2012</v>
      </c>
      <c r="H159" t="s">
        <v>10</v>
      </c>
    </row>
    <row r="160" spans="1:8" hidden="1">
      <c r="A160">
        <v>710.4</v>
      </c>
      <c r="G160">
        <v>2013</v>
      </c>
      <c r="H160" t="s">
        <v>10</v>
      </c>
    </row>
    <row r="161" spans="1:8" hidden="1">
      <c r="A161">
        <v>668.4</v>
      </c>
      <c r="G161">
        <v>2014</v>
      </c>
      <c r="H161" t="s">
        <v>10</v>
      </c>
    </row>
    <row r="162" spans="1:8" hidden="1">
      <c r="A162">
        <v>660.9</v>
      </c>
      <c r="G162">
        <v>2015</v>
      </c>
      <c r="H162" t="s">
        <v>10</v>
      </c>
    </row>
    <row r="163" spans="1:8" hidden="1">
      <c r="A163">
        <v>722.7</v>
      </c>
      <c r="G163">
        <v>2016</v>
      </c>
      <c r="H163" t="s">
        <v>10</v>
      </c>
    </row>
    <row r="164" spans="1:8" hidden="1">
      <c r="A164">
        <v>699.5</v>
      </c>
      <c r="G164">
        <v>2017</v>
      </c>
      <c r="H164" t="s">
        <v>10</v>
      </c>
    </row>
    <row r="165" spans="1:8" hidden="1">
      <c r="A165">
        <v>653.1</v>
      </c>
      <c r="G165">
        <v>2018</v>
      </c>
      <c r="H165" t="s">
        <v>10</v>
      </c>
    </row>
    <row r="166" spans="1:8" hidden="1">
      <c r="A166">
        <v>620.29999999999995</v>
      </c>
      <c r="G166">
        <v>2019</v>
      </c>
      <c r="H166" t="s">
        <v>10</v>
      </c>
    </row>
    <row r="167" spans="1:8" hidden="1">
      <c r="A167">
        <v>545.4</v>
      </c>
      <c r="G167">
        <v>2020</v>
      </c>
      <c r="H167" t="s">
        <v>10</v>
      </c>
    </row>
    <row r="168" spans="1:8" hidden="1">
      <c r="A168">
        <v>564.29999999999995</v>
      </c>
      <c r="G168">
        <v>2021</v>
      </c>
      <c r="H168" t="s">
        <v>10</v>
      </c>
    </row>
    <row r="169" spans="1:8" hidden="1">
      <c r="A169">
        <v>567.4</v>
      </c>
      <c r="G169">
        <v>2022</v>
      </c>
      <c r="H169" t="s">
        <v>10</v>
      </c>
    </row>
    <row r="170" spans="1:8" hidden="1">
      <c r="A170">
        <v>0</v>
      </c>
      <c r="F170" s="48">
        <v>2000</v>
      </c>
      <c r="G170" t="s">
        <v>10</v>
      </c>
    </row>
    <row r="171" spans="1:8" hidden="1">
      <c r="A171">
        <v>0</v>
      </c>
      <c r="F171" s="48">
        <v>2001</v>
      </c>
      <c r="G171" t="s">
        <v>10</v>
      </c>
    </row>
    <row r="172" spans="1:8" hidden="1">
      <c r="A172">
        <v>0</v>
      </c>
      <c r="F172" s="48">
        <v>2002</v>
      </c>
      <c r="G172" t="s">
        <v>10</v>
      </c>
    </row>
    <row r="173" spans="1:8" hidden="1">
      <c r="A173">
        <v>0</v>
      </c>
      <c r="F173" s="48">
        <v>2003</v>
      </c>
      <c r="G173" t="s">
        <v>10</v>
      </c>
    </row>
    <row r="174" spans="1:8" hidden="1">
      <c r="A174">
        <v>0</v>
      </c>
      <c r="F174" s="48">
        <v>2004</v>
      </c>
      <c r="G174" t="s">
        <v>10</v>
      </c>
    </row>
    <row r="175" spans="1:8" hidden="1">
      <c r="A175">
        <v>0</v>
      </c>
      <c r="F175" s="48">
        <v>2005</v>
      </c>
      <c r="G175" t="s">
        <v>10</v>
      </c>
    </row>
    <row r="176" spans="1:8" hidden="1">
      <c r="A176">
        <v>0</v>
      </c>
      <c r="F176" s="48">
        <v>2006</v>
      </c>
      <c r="G176" t="s">
        <v>10</v>
      </c>
    </row>
    <row r="177" spans="1:7" hidden="1">
      <c r="A177">
        <v>0</v>
      </c>
      <c r="F177" s="48">
        <v>2007</v>
      </c>
      <c r="G177" t="s">
        <v>10</v>
      </c>
    </row>
    <row r="178" spans="1:7" hidden="1">
      <c r="A178">
        <v>0</v>
      </c>
      <c r="F178" s="48">
        <v>2008</v>
      </c>
      <c r="G178" t="s">
        <v>10</v>
      </c>
    </row>
    <row r="179" spans="1:7" hidden="1">
      <c r="A179">
        <v>0</v>
      </c>
      <c r="F179" s="48">
        <v>2009</v>
      </c>
      <c r="G179" t="s">
        <v>10</v>
      </c>
    </row>
    <row r="180" spans="1:7" hidden="1">
      <c r="A180">
        <v>0</v>
      </c>
      <c r="F180" s="48">
        <v>2010</v>
      </c>
      <c r="G180" t="s">
        <v>10</v>
      </c>
    </row>
    <row r="181" spans="1:7" hidden="1">
      <c r="A181">
        <v>0</v>
      </c>
      <c r="F181" s="48">
        <v>2011</v>
      </c>
      <c r="G181" t="s">
        <v>10</v>
      </c>
    </row>
    <row r="182" spans="1:7" hidden="1">
      <c r="A182">
        <v>0</v>
      </c>
      <c r="F182" s="48">
        <v>2012</v>
      </c>
      <c r="G182" t="s">
        <v>10</v>
      </c>
    </row>
    <row r="183" spans="1:7" hidden="1">
      <c r="A183">
        <v>0</v>
      </c>
      <c r="F183" s="48">
        <v>2013</v>
      </c>
      <c r="G183" t="s">
        <v>10</v>
      </c>
    </row>
    <row r="184" spans="1:7" hidden="1">
      <c r="A184">
        <v>0</v>
      </c>
      <c r="F184" s="48">
        <v>2014</v>
      </c>
      <c r="G184" t="s">
        <v>10</v>
      </c>
    </row>
    <row r="185" spans="1:7" hidden="1">
      <c r="A185">
        <v>0</v>
      </c>
      <c r="F185" s="48">
        <v>2015</v>
      </c>
      <c r="G185" t="s">
        <v>10</v>
      </c>
    </row>
    <row r="186" spans="1:7" hidden="1">
      <c r="A186">
        <v>0</v>
      </c>
      <c r="F186" s="48">
        <v>2016</v>
      </c>
      <c r="G186" t="s">
        <v>10</v>
      </c>
    </row>
    <row r="187" spans="1:7" hidden="1">
      <c r="A187">
        <v>0.1</v>
      </c>
      <c r="F187" s="48">
        <v>2017</v>
      </c>
      <c r="G187" t="s">
        <v>10</v>
      </c>
    </row>
    <row r="188" spans="1:7" hidden="1">
      <c r="A188">
        <v>0.1</v>
      </c>
      <c r="F188" s="48">
        <v>2018</v>
      </c>
      <c r="G188" t="s">
        <v>10</v>
      </c>
    </row>
    <row r="189" spans="1:7" hidden="1">
      <c r="A189">
        <v>0.2</v>
      </c>
      <c r="F189" s="48">
        <v>2019</v>
      </c>
      <c r="G189" t="s">
        <v>10</v>
      </c>
    </row>
    <row r="190" spans="1:7" hidden="1">
      <c r="A190">
        <v>1.3</v>
      </c>
      <c r="F190" s="48">
        <v>2020</v>
      </c>
      <c r="G190" t="s">
        <v>10</v>
      </c>
    </row>
    <row r="191" spans="1:7" hidden="1">
      <c r="A191">
        <v>1.2</v>
      </c>
      <c r="F191" s="48">
        <v>2021</v>
      </c>
      <c r="G191" t="s">
        <v>10</v>
      </c>
    </row>
    <row r="192" spans="1:7" hidden="1">
      <c r="A192">
        <v>1.4</v>
      </c>
      <c r="F192" s="48">
        <v>2022</v>
      </c>
      <c r="G192" t="s">
        <v>10</v>
      </c>
    </row>
    <row r="193" spans="1:6" hidden="1">
      <c r="A193">
        <v>30.1</v>
      </c>
      <c r="E193">
        <v>2000</v>
      </c>
      <c r="F193" s="48" t="s">
        <v>10</v>
      </c>
    </row>
    <row r="194" spans="1:6" hidden="1">
      <c r="A194">
        <v>13.7</v>
      </c>
      <c r="E194">
        <v>2001</v>
      </c>
      <c r="F194" s="48" t="s">
        <v>10</v>
      </c>
    </row>
    <row r="195" spans="1:6" hidden="1">
      <c r="A195">
        <v>25</v>
      </c>
      <c r="E195">
        <v>2002</v>
      </c>
      <c r="F195" s="48" t="s">
        <v>10</v>
      </c>
    </row>
    <row r="196" spans="1:6" hidden="1">
      <c r="A196">
        <v>34.799999999999997</v>
      </c>
      <c r="E196">
        <v>2003</v>
      </c>
      <c r="F196" s="48" t="s">
        <v>10</v>
      </c>
    </row>
    <row r="197" spans="1:6" hidden="1">
      <c r="A197">
        <v>30.5</v>
      </c>
      <c r="E197">
        <v>2004</v>
      </c>
      <c r="F197" s="48" t="s">
        <v>10</v>
      </c>
    </row>
    <row r="198" spans="1:6" hidden="1">
      <c r="A198">
        <v>33.6</v>
      </c>
      <c r="E198">
        <v>2005</v>
      </c>
      <c r="F198" s="48" t="s">
        <v>10</v>
      </c>
    </row>
    <row r="199" spans="1:6" hidden="1">
      <c r="A199">
        <v>2.4</v>
      </c>
      <c r="E199">
        <v>2006</v>
      </c>
      <c r="F199" s="48" t="s">
        <v>10</v>
      </c>
    </row>
    <row r="200" spans="1:6" hidden="1">
      <c r="A200">
        <v>4.4000000000000004</v>
      </c>
      <c r="E200">
        <v>2007</v>
      </c>
      <c r="F200" s="48" t="s">
        <v>10</v>
      </c>
    </row>
    <row r="201" spans="1:6" hidden="1">
      <c r="A201">
        <v>4.5</v>
      </c>
      <c r="E201">
        <v>2008</v>
      </c>
      <c r="F201" s="48" t="s">
        <v>10</v>
      </c>
    </row>
    <row r="202" spans="1:6" hidden="1">
      <c r="A202">
        <v>6</v>
      </c>
      <c r="E202">
        <v>2009</v>
      </c>
      <c r="F202" s="48" t="s">
        <v>10</v>
      </c>
    </row>
    <row r="203" spans="1:6" hidden="1">
      <c r="A203">
        <v>17.7</v>
      </c>
      <c r="E203">
        <v>2010</v>
      </c>
      <c r="F203" s="48" t="s">
        <v>10</v>
      </c>
    </row>
    <row r="204" spans="1:6" hidden="1">
      <c r="A204">
        <v>4.3</v>
      </c>
      <c r="E204">
        <v>2011</v>
      </c>
      <c r="F204" s="48" t="s">
        <v>10</v>
      </c>
    </row>
    <row r="205" spans="1:6" hidden="1">
      <c r="A205">
        <v>4.5</v>
      </c>
      <c r="E205">
        <v>2012</v>
      </c>
      <c r="F205" s="48" t="s">
        <v>10</v>
      </c>
    </row>
    <row r="206" spans="1:6" hidden="1">
      <c r="A206">
        <v>7.8</v>
      </c>
      <c r="E206">
        <v>2013</v>
      </c>
      <c r="F206" s="48" t="s">
        <v>10</v>
      </c>
    </row>
    <row r="207" spans="1:6" hidden="1">
      <c r="A207">
        <v>15.2</v>
      </c>
      <c r="E207">
        <v>2014</v>
      </c>
      <c r="F207" s="48" t="s">
        <v>10</v>
      </c>
    </row>
    <row r="208" spans="1:6" hidden="1">
      <c r="A208">
        <v>18.899999999999999</v>
      </c>
      <c r="E208">
        <v>2015</v>
      </c>
      <c r="F208" s="48" t="s">
        <v>10</v>
      </c>
    </row>
    <row r="209" spans="1:6" hidden="1">
      <c r="A209">
        <v>18.899999999999999</v>
      </c>
      <c r="E209">
        <v>2016</v>
      </c>
      <c r="F209" s="48" t="s">
        <v>10</v>
      </c>
    </row>
    <row r="210" spans="1:6" hidden="1">
      <c r="A210">
        <v>0</v>
      </c>
      <c r="E210">
        <v>2017</v>
      </c>
      <c r="F210" s="48" t="s">
        <v>10</v>
      </c>
    </row>
    <row r="211" spans="1:6" hidden="1">
      <c r="A211">
        <v>0.1</v>
      </c>
      <c r="E211">
        <v>2018</v>
      </c>
      <c r="F211" s="48" t="s">
        <v>10</v>
      </c>
    </row>
    <row r="212" spans="1:6" hidden="1">
      <c r="A212">
        <v>0.1</v>
      </c>
      <c r="E212">
        <v>2019</v>
      </c>
      <c r="F212" s="48" t="s">
        <v>10</v>
      </c>
    </row>
    <row r="213" spans="1:6" hidden="1">
      <c r="A213">
        <v>0.1</v>
      </c>
      <c r="E213">
        <v>2020</v>
      </c>
      <c r="F213" s="48" t="s">
        <v>10</v>
      </c>
    </row>
    <row r="214" spans="1:6" hidden="1">
      <c r="A214">
        <v>0</v>
      </c>
      <c r="E214">
        <v>2021</v>
      </c>
      <c r="F214" s="48" t="s">
        <v>10</v>
      </c>
    </row>
    <row r="215" spans="1:6" hidden="1">
      <c r="A215">
        <v>0</v>
      </c>
      <c r="E215">
        <v>2022</v>
      </c>
      <c r="F215" s="48" t="s">
        <v>10</v>
      </c>
    </row>
    <row r="216" spans="1:6" hidden="1">
      <c r="A216">
        <v>227.4</v>
      </c>
      <c r="D216">
        <v>2000</v>
      </c>
      <c r="E216" t="s">
        <v>10</v>
      </c>
    </row>
    <row r="217" spans="1:6" hidden="1">
      <c r="A217">
        <v>227.4</v>
      </c>
      <c r="D217">
        <v>2001</v>
      </c>
      <c r="E217" t="s">
        <v>10</v>
      </c>
    </row>
    <row r="218" spans="1:6" hidden="1">
      <c r="A218">
        <v>227.4</v>
      </c>
      <c r="D218">
        <v>2002</v>
      </c>
      <c r="E218" t="s">
        <v>10</v>
      </c>
    </row>
    <row r="219" spans="1:6" hidden="1">
      <c r="A219">
        <v>213</v>
      </c>
      <c r="D219">
        <v>2003</v>
      </c>
      <c r="E219" t="s">
        <v>10</v>
      </c>
    </row>
    <row r="220" spans="1:6" hidden="1">
      <c r="A220">
        <v>219.9</v>
      </c>
      <c r="D220">
        <v>2004</v>
      </c>
      <c r="E220" t="s">
        <v>10</v>
      </c>
    </row>
    <row r="221" spans="1:6" hidden="1">
      <c r="A221">
        <v>231.8</v>
      </c>
      <c r="D221">
        <v>2005</v>
      </c>
      <c r="E221" t="s">
        <v>10</v>
      </c>
    </row>
    <row r="222" spans="1:6" hidden="1">
      <c r="A222">
        <v>231.6</v>
      </c>
      <c r="D222">
        <v>2006</v>
      </c>
      <c r="E222" t="s">
        <v>10</v>
      </c>
    </row>
    <row r="223" spans="1:6" hidden="1">
      <c r="A223">
        <v>272.60000000000002</v>
      </c>
      <c r="D223">
        <v>2007</v>
      </c>
      <c r="E223" t="s">
        <v>10</v>
      </c>
    </row>
    <row r="224" spans="1:6" hidden="1">
      <c r="A224">
        <v>296.5</v>
      </c>
      <c r="D224">
        <v>2008</v>
      </c>
      <c r="E224" t="s">
        <v>10</v>
      </c>
    </row>
    <row r="225" spans="1:5" hidden="1">
      <c r="A225">
        <v>329</v>
      </c>
      <c r="D225">
        <v>2009</v>
      </c>
      <c r="E225" t="s">
        <v>10</v>
      </c>
    </row>
    <row r="226" spans="1:5" hidden="1">
      <c r="A226">
        <v>378.4</v>
      </c>
      <c r="D226">
        <v>2010</v>
      </c>
      <c r="E226" t="s">
        <v>10</v>
      </c>
    </row>
    <row r="227" spans="1:5" hidden="1">
      <c r="A227">
        <v>424.8</v>
      </c>
      <c r="D227">
        <v>2011</v>
      </c>
      <c r="E227" t="s">
        <v>10</v>
      </c>
    </row>
    <row r="228" spans="1:5" hidden="1">
      <c r="A228">
        <v>402.2</v>
      </c>
      <c r="D228">
        <v>2012</v>
      </c>
      <c r="E228" t="s">
        <v>10</v>
      </c>
    </row>
    <row r="229" spans="1:5" hidden="1">
      <c r="A229">
        <v>370.9</v>
      </c>
      <c r="D229">
        <v>2013</v>
      </c>
      <c r="E229" t="s">
        <v>10</v>
      </c>
    </row>
    <row r="230" spans="1:5" hidden="1">
      <c r="A230">
        <v>370.9</v>
      </c>
      <c r="D230">
        <v>2014</v>
      </c>
      <c r="E230" t="s">
        <v>10</v>
      </c>
    </row>
    <row r="231" spans="1:5" hidden="1">
      <c r="A231">
        <v>370.9</v>
      </c>
      <c r="D231">
        <v>2015</v>
      </c>
      <c r="E231" t="s">
        <v>10</v>
      </c>
    </row>
    <row r="232" spans="1:5" hidden="1">
      <c r="A232">
        <v>371</v>
      </c>
      <c r="D232">
        <v>2016</v>
      </c>
      <c r="E232" t="s">
        <v>10</v>
      </c>
    </row>
    <row r="233" spans="1:5" hidden="1">
      <c r="A233">
        <v>4.5999999999999996</v>
      </c>
      <c r="D233">
        <v>2017</v>
      </c>
      <c r="E233" t="s">
        <v>10</v>
      </c>
    </row>
    <row r="234" spans="1:5" hidden="1">
      <c r="A234">
        <v>4</v>
      </c>
      <c r="D234">
        <v>2018</v>
      </c>
      <c r="E234" t="s">
        <v>10</v>
      </c>
    </row>
    <row r="235" spans="1:5" hidden="1">
      <c r="A235">
        <v>3.6</v>
      </c>
      <c r="D235">
        <v>2019</v>
      </c>
      <c r="E235" t="s">
        <v>10</v>
      </c>
    </row>
    <row r="236" spans="1:5" hidden="1">
      <c r="A236">
        <v>3.3</v>
      </c>
      <c r="D236">
        <v>2020</v>
      </c>
      <c r="E236" t="s">
        <v>10</v>
      </c>
    </row>
    <row r="237" spans="1:5" hidden="1">
      <c r="A237">
        <v>3.1</v>
      </c>
      <c r="D237">
        <v>2021</v>
      </c>
      <c r="E237" t="s">
        <v>10</v>
      </c>
    </row>
    <row r="238" spans="1:5" hidden="1">
      <c r="A238">
        <v>3.3</v>
      </c>
      <c r="D238">
        <v>2022</v>
      </c>
      <c r="E238" t="s">
        <v>10</v>
      </c>
    </row>
    <row r="239" spans="1:5" hidden="1">
      <c r="A239">
        <v>0</v>
      </c>
      <c r="C239">
        <v>2000</v>
      </c>
      <c r="D239" t="s">
        <v>10</v>
      </c>
    </row>
    <row r="240" spans="1:5" hidden="1">
      <c r="A240">
        <v>0</v>
      </c>
      <c r="C240">
        <v>2001</v>
      </c>
      <c r="D240" t="s">
        <v>10</v>
      </c>
    </row>
    <row r="241" spans="1:4" hidden="1">
      <c r="A241">
        <v>0</v>
      </c>
      <c r="C241">
        <v>2002</v>
      </c>
      <c r="D241" t="s">
        <v>10</v>
      </c>
    </row>
    <row r="242" spans="1:4" hidden="1">
      <c r="A242">
        <v>0</v>
      </c>
      <c r="C242">
        <v>2003</v>
      </c>
      <c r="D242" t="s">
        <v>10</v>
      </c>
    </row>
    <row r="243" spans="1:4" hidden="1">
      <c r="A243">
        <v>0</v>
      </c>
      <c r="C243">
        <v>2004</v>
      </c>
      <c r="D243" t="s">
        <v>10</v>
      </c>
    </row>
    <row r="244" spans="1:4" hidden="1">
      <c r="A244">
        <v>0</v>
      </c>
      <c r="C244">
        <v>2005</v>
      </c>
      <c r="D244" t="s">
        <v>10</v>
      </c>
    </row>
    <row r="245" spans="1:4" hidden="1">
      <c r="A245">
        <v>0</v>
      </c>
      <c r="C245">
        <v>2006</v>
      </c>
      <c r="D245" t="s">
        <v>10</v>
      </c>
    </row>
    <row r="246" spans="1:4" hidden="1">
      <c r="A246">
        <v>0</v>
      </c>
      <c r="C246">
        <v>2007</v>
      </c>
      <c r="D246" t="s">
        <v>10</v>
      </c>
    </row>
    <row r="247" spans="1:4" hidden="1">
      <c r="A247">
        <v>0</v>
      </c>
      <c r="C247">
        <v>2008</v>
      </c>
      <c r="D247" t="s">
        <v>10</v>
      </c>
    </row>
    <row r="248" spans="1:4" hidden="1">
      <c r="A248">
        <v>0</v>
      </c>
      <c r="C248">
        <v>2009</v>
      </c>
      <c r="D248" t="s">
        <v>10</v>
      </c>
    </row>
    <row r="249" spans="1:4" hidden="1">
      <c r="A249">
        <v>0</v>
      </c>
      <c r="C249">
        <v>2010</v>
      </c>
      <c r="D249" t="s">
        <v>10</v>
      </c>
    </row>
    <row r="250" spans="1:4" hidden="1">
      <c r="A250">
        <v>0</v>
      </c>
      <c r="C250">
        <v>2011</v>
      </c>
      <c r="D250" t="s">
        <v>10</v>
      </c>
    </row>
    <row r="251" spans="1:4" hidden="1">
      <c r="A251">
        <v>0</v>
      </c>
      <c r="C251">
        <v>2012</v>
      </c>
      <c r="D251" t="s">
        <v>10</v>
      </c>
    </row>
    <row r="252" spans="1:4" hidden="1">
      <c r="A252">
        <v>0</v>
      </c>
      <c r="C252">
        <v>2013</v>
      </c>
      <c r="D252" t="s">
        <v>10</v>
      </c>
    </row>
    <row r="253" spans="1:4" hidden="1">
      <c r="A253">
        <v>0</v>
      </c>
      <c r="C253">
        <v>2014</v>
      </c>
      <c r="D253" t="s">
        <v>10</v>
      </c>
    </row>
    <row r="254" spans="1:4" hidden="1">
      <c r="A254">
        <v>0</v>
      </c>
      <c r="C254">
        <v>2015</v>
      </c>
      <c r="D254" t="s">
        <v>10</v>
      </c>
    </row>
    <row r="255" spans="1:4" hidden="1">
      <c r="A255">
        <v>0</v>
      </c>
      <c r="C255">
        <v>2016</v>
      </c>
      <c r="D255" t="s">
        <v>10</v>
      </c>
    </row>
    <row r="256" spans="1:4" hidden="1">
      <c r="A256">
        <v>11</v>
      </c>
      <c r="C256">
        <v>2017</v>
      </c>
      <c r="D256" t="s">
        <v>10</v>
      </c>
    </row>
    <row r="257" spans="1:4" hidden="1">
      <c r="A257">
        <v>11.1</v>
      </c>
      <c r="C257">
        <v>2018</v>
      </c>
      <c r="D257" t="s">
        <v>10</v>
      </c>
    </row>
    <row r="258" spans="1:4" hidden="1">
      <c r="A258">
        <v>10.6</v>
      </c>
      <c r="C258">
        <v>2019</v>
      </c>
      <c r="D258" t="s">
        <v>10</v>
      </c>
    </row>
    <row r="259" spans="1:4" hidden="1">
      <c r="A259">
        <v>10.9</v>
      </c>
      <c r="C259">
        <v>2020</v>
      </c>
      <c r="D259" t="s">
        <v>10</v>
      </c>
    </row>
    <row r="260" spans="1:4" hidden="1">
      <c r="A260">
        <v>6.3</v>
      </c>
      <c r="C260">
        <v>2021</v>
      </c>
      <c r="D260" t="s">
        <v>10</v>
      </c>
    </row>
    <row r="261" spans="1:4" hidden="1">
      <c r="A261">
        <v>6.6</v>
      </c>
      <c r="C261">
        <v>2022</v>
      </c>
      <c r="D261" t="s">
        <v>10</v>
      </c>
    </row>
    <row r="262" spans="1:4" hidden="1">
      <c r="A262">
        <v>550.4</v>
      </c>
      <c r="B262">
        <v>2000</v>
      </c>
      <c r="C262" t="s">
        <v>10</v>
      </c>
    </row>
    <row r="263" spans="1:4" hidden="1">
      <c r="A263">
        <v>597.1</v>
      </c>
      <c r="B263">
        <v>2001</v>
      </c>
      <c r="C263" t="s">
        <v>10</v>
      </c>
    </row>
    <row r="264" spans="1:4" hidden="1">
      <c r="A264">
        <v>626.5</v>
      </c>
      <c r="B264">
        <v>2002</v>
      </c>
      <c r="C264" t="s">
        <v>10</v>
      </c>
    </row>
    <row r="265" spans="1:4" hidden="1">
      <c r="A265">
        <v>633.1</v>
      </c>
      <c r="B265">
        <v>2003</v>
      </c>
      <c r="C265" t="s">
        <v>10</v>
      </c>
    </row>
    <row r="266" spans="1:4" hidden="1">
      <c r="A266">
        <v>612.20000000000005</v>
      </c>
      <c r="B266">
        <v>2004</v>
      </c>
      <c r="C266" t="s">
        <v>10</v>
      </c>
    </row>
    <row r="267" spans="1:4" hidden="1">
      <c r="A267">
        <v>561.29999999999995</v>
      </c>
      <c r="B267">
        <v>2005</v>
      </c>
      <c r="C267" t="s">
        <v>10</v>
      </c>
    </row>
    <row r="268" spans="1:4" hidden="1">
      <c r="A268">
        <v>484.7</v>
      </c>
      <c r="B268">
        <v>2006</v>
      </c>
      <c r="C268" t="s">
        <v>10</v>
      </c>
    </row>
    <row r="269" spans="1:4" hidden="1">
      <c r="A269">
        <v>415.8</v>
      </c>
      <c r="B269">
        <v>2007</v>
      </c>
      <c r="C269" t="s">
        <v>10</v>
      </c>
    </row>
    <row r="270" spans="1:4" hidden="1">
      <c r="A270">
        <v>359.6</v>
      </c>
      <c r="B270">
        <v>2008</v>
      </c>
      <c r="C270" t="s">
        <v>10</v>
      </c>
    </row>
    <row r="271" spans="1:4" hidden="1">
      <c r="A271">
        <v>408.1</v>
      </c>
      <c r="B271">
        <v>2009</v>
      </c>
      <c r="C271" t="s">
        <v>10</v>
      </c>
    </row>
    <row r="272" spans="1:4" hidden="1">
      <c r="A272">
        <v>381.6</v>
      </c>
      <c r="B272">
        <v>2010</v>
      </c>
      <c r="C272" t="s">
        <v>10</v>
      </c>
    </row>
    <row r="273" spans="1:8" hidden="1">
      <c r="A273">
        <v>367.7</v>
      </c>
      <c r="B273">
        <v>2011</v>
      </c>
      <c r="C273" t="s">
        <v>10</v>
      </c>
    </row>
    <row r="274" spans="1:8" hidden="1">
      <c r="A274">
        <v>294</v>
      </c>
      <c r="B274">
        <v>2012</v>
      </c>
      <c r="C274" t="s">
        <v>10</v>
      </c>
    </row>
    <row r="275" spans="1:8" hidden="1">
      <c r="A275">
        <v>275</v>
      </c>
      <c r="B275">
        <v>2013</v>
      </c>
      <c r="C275" t="s">
        <v>10</v>
      </c>
    </row>
    <row r="276" spans="1:8" hidden="1">
      <c r="A276">
        <v>275</v>
      </c>
      <c r="B276">
        <v>2014</v>
      </c>
      <c r="C276" t="s">
        <v>10</v>
      </c>
    </row>
    <row r="277" spans="1:8" hidden="1">
      <c r="A277">
        <v>277.7</v>
      </c>
      <c r="B277">
        <v>2015</v>
      </c>
      <c r="C277" t="s">
        <v>10</v>
      </c>
    </row>
    <row r="278" spans="1:8" hidden="1">
      <c r="A278">
        <v>288.10000000000002</v>
      </c>
      <c r="B278">
        <v>2016</v>
      </c>
      <c r="C278" t="s">
        <v>10</v>
      </c>
    </row>
    <row r="279" spans="1:8" hidden="1">
      <c r="A279">
        <v>373</v>
      </c>
      <c r="B279">
        <v>2017</v>
      </c>
      <c r="C279" t="s">
        <v>10</v>
      </c>
    </row>
    <row r="280" spans="1:8" hidden="1">
      <c r="A280">
        <v>287.89999999999998</v>
      </c>
      <c r="B280">
        <v>2018</v>
      </c>
      <c r="C280" t="s">
        <v>10</v>
      </c>
    </row>
    <row r="281" spans="1:8" hidden="1">
      <c r="A281">
        <v>249.3</v>
      </c>
      <c r="B281">
        <v>2019</v>
      </c>
      <c r="C281" t="s">
        <v>10</v>
      </c>
    </row>
    <row r="282" spans="1:8" hidden="1">
      <c r="A282">
        <v>221.7</v>
      </c>
      <c r="B282">
        <v>2020</v>
      </c>
      <c r="C282" t="s">
        <v>10</v>
      </c>
    </row>
    <row r="283" spans="1:8" hidden="1">
      <c r="A283">
        <v>190.2</v>
      </c>
      <c r="B283">
        <v>2021</v>
      </c>
      <c r="C283" t="s">
        <v>10</v>
      </c>
    </row>
    <row r="284" spans="1:8" hidden="1">
      <c r="A284">
        <v>190.8</v>
      </c>
      <c r="B284">
        <v>2022</v>
      </c>
      <c r="C284" t="s">
        <v>10</v>
      </c>
    </row>
    <row r="285" spans="1:8" hidden="1">
      <c r="A285">
        <v>100</v>
      </c>
      <c r="G285">
        <v>2000</v>
      </c>
      <c r="H285" t="s">
        <v>22</v>
      </c>
    </row>
    <row r="286" spans="1:8" hidden="1">
      <c r="A286">
        <v>100</v>
      </c>
      <c r="G286">
        <v>2001</v>
      </c>
      <c r="H286" t="s">
        <v>22</v>
      </c>
    </row>
    <row r="287" spans="1:8" hidden="1">
      <c r="A287">
        <v>100</v>
      </c>
      <c r="G287">
        <v>2002</v>
      </c>
      <c r="H287" t="s">
        <v>22</v>
      </c>
    </row>
    <row r="288" spans="1:8" hidden="1">
      <c r="A288">
        <v>100</v>
      </c>
      <c r="G288">
        <v>2003</v>
      </c>
      <c r="H288" t="s">
        <v>22</v>
      </c>
    </row>
    <row r="289" spans="1:8" hidden="1">
      <c r="A289">
        <v>100</v>
      </c>
      <c r="G289">
        <v>2004</v>
      </c>
      <c r="H289" t="s">
        <v>22</v>
      </c>
    </row>
    <row r="290" spans="1:8" hidden="1">
      <c r="A290">
        <v>100</v>
      </c>
      <c r="G290">
        <v>2005</v>
      </c>
      <c r="H290" t="s">
        <v>22</v>
      </c>
    </row>
    <row r="291" spans="1:8" hidden="1">
      <c r="A291">
        <v>100</v>
      </c>
      <c r="G291">
        <v>2006</v>
      </c>
      <c r="H291" t="s">
        <v>22</v>
      </c>
    </row>
    <row r="292" spans="1:8" hidden="1">
      <c r="A292">
        <v>100</v>
      </c>
      <c r="G292">
        <v>2007</v>
      </c>
      <c r="H292" t="s">
        <v>22</v>
      </c>
    </row>
    <row r="293" spans="1:8" hidden="1">
      <c r="A293">
        <v>100</v>
      </c>
      <c r="G293">
        <v>2008</v>
      </c>
      <c r="H293" t="s">
        <v>22</v>
      </c>
    </row>
    <row r="294" spans="1:8" hidden="1">
      <c r="A294">
        <v>100</v>
      </c>
      <c r="G294">
        <v>2009</v>
      </c>
      <c r="H294" t="s">
        <v>22</v>
      </c>
    </row>
    <row r="295" spans="1:8" hidden="1">
      <c r="A295">
        <v>100</v>
      </c>
      <c r="G295">
        <v>2010</v>
      </c>
      <c r="H295" t="s">
        <v>22</v>
      </c>
    </row>
    <row r="296" spans="1:8" hidden="1">
      <c r="A296">
        <v>100</v>
      </c>
      <c r="G296">
        <v>2011</v>
      </c>
      <c r="H296" t="s">
        <v>22</v>
      </c>
    </row>
    <row r="297" spans="1:8" hidden="1">
      <c r="A297">
        <v>100</v>
      </c>
      <c r="G297">
        <v>2012</v>
      </c>
      <c r="H297" t="s">
        <v>22</v>
      </c>
    </row>
    <row r="298" spans="1:8" hidden="1">
      <c r="A298">
        <v>100</v>
      </c>
      <c r="G298">
        <v>2013</v>
      </c>
      <c r="H298" t="s">
        <v>22</v>
      </c>
    </row>
    <row r="299" spans="1:8" hidden="1">
      <c r="A299">
        <v>100</v>
      </c>
      <c r="G299">
        <v>2014</v>
      </c>
      <c r="H299" t="s">
        <v>22</v>
      </c>
    </row>
    <row r="300" spans="1:8" hidden="1">
      <c r="A300">
        <v>100</v>
      </c>
      <c r="G300">
        <v>2015</v>
      </c>
      <c r="H300" t="s">
        <v>22</v>
      </c>
    </row>
    <row r="301" spans="1:8" hidden="1">
      <c r="A301">
        <v>100</v>
      </c>
      <c r="G301">
        <v>2016</v>
      </c>
      <c r="H301" t="s">
        <v>22</v>
      </c>
    </row>
    <row r="302" spans="1:8" hidden="1">
      <c r="A302">
        <v>100</v>
      </c>
      <c r="G302">
        <v>2017</v>
      </c>
      <c r="H302" t="s">
        <v>22</v>
      </c>
    </row>
    <row r="303" spans="1:8" hidden="1">
      <c r="A303">
        <v>100</v>
      </c>
      <c r="G303">
        <v>2018</v>
      </c>
      <c r="H303" t="s">
        <v>22</v>
      </c>
    </row>
    <row r="304" spans="1:8" hidden="1">
      <c r="A304">
        <v>100</v>
      </c>
      <c r="G304">
        <v>2019</v>
      </c>
      <c r="H304" t="s">
        <v>22</v>
      </c>
    </row>
    <row r="305" spans="1:10" hidden="1">
      <c r="A305">
        <v>100</v>
      </c>
      <c r="G305">
        <v>2020</v>
      </c>
      <c r="H305" t="s">
        <v>22</v>
      </c>
    </row>
    <row r="306" spans="1:10" hidden="1">
      <c r="A306">
        <v>100</v>
      </c>
      <c r="G306">
        <v>2021</v>
      </c>
      <c r="H306" t="s">
        <v>22</v>
      </c>
    </row>
    <row r="307" spans="1:10" hidden="1">
      <c r="A307">
        <v>100</v>
      </c>
      <c r="G307">
        <v>2022</v>
      </c>
      <c r="H307" t="s">
        <v>22</v>
      </c>
    </row>
    <row r="308" spans="1:10">
      <c r="A308">
        <v>1629.4</v>
      </c>
      <c r="E308">
        <v>2000</v>
      </c>
      <c r="F308" s="48" t="s">
        <v>22</v>
      </c>
      <c r="I308">
        <f t="shared" ref="I308:I330" si="2">E308</f>
        <v>2000</v>
      </c>
      <c r="J308">
        <f t="shared" ref="J308:J330" si="3">A308</f>
        <v>1629.4</v>
      </c>
    </row>
    <row r="309" spans="1:10">
      <c r="A309">
        <v>1844.1</v>
      </c>
      <c r="E309">
        <v>2001</v>
      </c>
      <c r="F309" s="48" t="s">
        <v>22</v>
      </c>
      <c r="I309">
        <f t="shared" si="2"/>
        <v>2001</v>
      </c>
      <c r="J309">
        <f t="shared" si="3"/>
        <v>1844.1</v>
      </c>
    </row>
    <row r="310" spans="1:10">
      <c r="A310">
        <v>1830.8</v>
      </c>
      <c r="E310">
        <v>2002</v>
      </c>
      <c r="F310" s="48" t="s">
        <v>22</v>
      </c>
      <c r="I310">
        <f t="shared" si="2"/>
        <v>2002</v>
      </c>
      <c r="J310">
        <f t="shared" si="3"/>
        <v>1830.8</v>
      </c>
    </row>
    <row r="311" spans="1:10">
      <c r="A311">
        <v>1570.9</v>
      </c>
      <c r="E311">
        <v>2003</v>
      </c>
      <c r="F311" s="48" t="s">
        <v>22</v>
      </c>
      <c r="I311">
        <f t="shared" si="2"/>
        <v>2003</v>
      </c>
      <c r="J311">
        <f t="shared" si="3"/>
        <v>1570.9</v>
      </c>
    </row>
    <row r="312" spans="1:10">
      <c r="A312">
        <v>1674.7</v>
      </c>
      <c r="E312">
        <v>2004</v>
      </c>
      <c r="F312" s="48" t="s">
        <v>22</v>
      </c>
      <c r="I312">
        <f t="shared" si="2"/>
        <v>2004</v>
      </c>
      <c r="J312">
        <f t="shared" si="3"/>
        <v>1674.7</v>
      </c>
    </row>
    <row r="313" spans="1:10">
      <c r="A313">
        <v>1744.7</v>
      </c>
      <c r="E313">
        <v>2005</v>
      </c>
      <c r="F313" s="48" t="s">
        <v>22</v>
      </c>
      <c r="I313">
        <f t="shared" si="2"/>
        <v>2005</v>
      </c>
      <c r="J313">
        <f t="shared" si="3"/>
        <v>1744.7</v>
      </c>
    </row>
    <row r="314" spans="1:10">
      <c r="A314">
        <v>1688.8</v>
      </c>
      <c r="E314">
        <v>2006</v>
      </c>
      <c r="F314" s="48" t="s">
        <v>22</v>
      </c>
      <c r="I314">
        <f t="shared" si="2"/>
        <v>2006</v>
      </c>
      <c r="J314">
        <f t="shared" si="3"/>
        <v>1688.8</v>
      </c>
    </row>
    <row r="315" spans="1:10">
      <c r="A315">
        <v>1701.4</v>
      </c>
      <c r="E315">
        <v>2007</v>
      </c>
      <c r="F315" s="48" t="s">
        <v>22</v>
      </c>
      <c r="I315">
        <f t="shared" si="2"/>
        <v>2007</v>
      </c>
      <c r="J315">
        <f t="shared" si="3"/>
        <v>1701.4</v>
      </c>
    </row>
    <row r="316" spans="1:10">
      <c r="A316">
        <v>1752</v>
      </c>
      <c r="E316">
        <v>2008</v>
      </c>
      <c r="F316" s="48" t="s">
        <v>22</v>
      </c>
      <c r="I316">
        <f t="shared" si="2"/>
        <v>2008</v>
      </c>
      <c r="J316">
        <f t="shared" si="3"/>
        <v>1752</v>
      </c>
    </row>
    <row r="317" spans="1:10">
      <c r="A317">
        <v>1803.7</v>
      </c>
      <c r="E317">
        <v>2009</v>
      </c>
      <c r="F317" s="48" t="s">
        <v>22</v>
      </c>
      <c r="I317">
        <f t="shared" si="2"/>
        <v>2009</v>
      </c>
      <c r="J317">
        <f t="shared" si="3"/>
        <v>1803.7</v>
      </c>
    </row>
    <row r="318" spans="1:10">
      <c r="A318">
        <v>1856.9</v>
      </c>
      <c r="E318">
        <v>2010</v>
      </c>
      <c r="F318" s="48" t="s">
        <v>22</v>
      </c>
      <c r="I318">
        <f t="shared" si="2"/>
        <v>2010</v>
      </c>
      <c r="J318">
        <f t="shared" si="3"/>
        <v>1856.9</v>
      </c>
    </row>
    <row r="319" spans="1:10">
      <c r="A319">
        <v>1718</v>
      </c>
      <c r="E319">
        <v>2011</v>
      </c>
      <c r="F319" s="48" t="s">
        <v>22</v>
      </c>
      <c r="I319">
        <f t="shared" si="2"/>
        <v>2011</v>
      </c>
      <c r="J319">
        <f t="shared" si="3"/>
        <v>1718</v>
      </c>
    </row>
    <row r="320" spans="1:10">
      <c r="A320">
        <v>1895.3</v>
      </c>
      <c r="E320">
        <v>2012</v>
      </c>
      <c r="F320" s="48" t="s">
        <v>22</v>
      </c>
      <c r="I320">
        <f t="shared" si="2"/>
        <v>2012</v>
      </c>
      <c r="J320">
        <f t="shared" si="3"/>
        <v>1895.3</v>
      </c>
    </row>
    <row r="321" spans="1:10">
      <c r="A321">
        <v>1783.4</v>
      </c>
      <c r="E321">
        <v>2013</v>
      </c>
      <c r="F321" s="48" t="s">
        <v>22</v>
      </c>
      <c r="I321">
        <f t="shared" si="2"/>
        <v>2013</v>
      </c>
      <c r="J321">
        <f t="shared" si="3"/>
        <v>1783.4</v>
      </c>
    </row>
    <row r="322" spans="1:10">
      <c r="A322">
        <v>1708.4</v>
      </c>
      <c r="E322">
        <v>2014</v>
      </c>
      <c r="F322" s="48" t="s">
        <v>22</v>
      </c>
      <c r="I322">
        <f t="shared" si="2"/>
        <v>2014</v>
      </c>
      <c r="J322">
        <f t="shared" si="3"/>
        <v>1708.4</v>
      </c>
    </row>
    <row r="323" spans="1:10">
      <c r="A323">
        <v>1704.7</v>
      </c>
      <c r="E323">
        <v>2015</v>
      </c>
      <c r="F323" s="48" t="s">
        <v>22</v>
      </c>
      <c r="I323">
        <f t="shared" si="2"/>
        <v>2015</v>
      </c>
      <c r="J323">
        <f t="shared" si="3"/>
        <v>1704.7</v>
      </c>
    </row>
    <row r="324" spans="1:10">
      <c r="A324">
        <v>1702.3</v>
      </c>
      <c r="E324">
        <v>2016</v>
      </c>
      <c r="F324" s="48" t="s">
        <v>22</v>
      </c>
      <c r="I324">
        <f t="shared" si="2"/>
        <v>2016</v>
      </c>
      <c r="J324">
        <f t="shared" si="3"/>
        <v>1702.3</v>
      </c>
    </row>
    <row r="325" spans="1:10">
      <c r="A325">
        <v>1783.5</v>
      </c>
      <c r="E325">
        <v>2017</v>
      </c>
      <c r="F325" s="48" t="s">
        <v>22</v>
      </c>
      <c r="I325">
        <f t="shared" si="2"/>
        <v>2017</v>
      </c>
      <c r="J325">
        <f t="shared" si="3"/>
        <v>1783.5</v>
      </c>
    </row>
    <row r="326" spans="1:10">
      <c r="A326">
        <v>1171.5999999999999</v>
      </c>
      <c r="E326">
        <v>2018</v>
      </c>
      <c r="F326" s="48" t="s">
        <v>22</v>
      </c>
      <c r="I326">
        <f t="shared" si="2"/>
        <v>2018</v>
      </c>
      <c r="J326">
        <f t="shared" si="3"/>
        <v>1171.5999999999999</v>
      </c>
    </row>
    <row r="327" spans="1:10">
      <c r="A327">
        <v>1221.4000000000001</v>
      </c>
      <c r="E327">
        <v>2019</v>
      </c>
      <c r="F327" s="48" t="s">
        <v>22</v>
      </c>
      <c r="I327">
        <f t="shared" si="2"/>
        <v>2019</v>
      </c>
      <c r="J327">
        <f t="shared" si="3"/>
        <v>1221.4000000000001</v>
      </c>
    </row>
    <row r="328" spans="1:10">
      <c r="A328">
        <v>1615.4</v>
      </c>
      <c r="E328">
        <v>2020</v>
      </c>
      <c r="F328" s="48" t="s">
        <v>22</v>
      </c>
      <c r="I328">
        <f t="shared" si="2"/>
        <v>2020</v>
      </c>
      <c r="J328">
        <f t="shared" si="3"/>
        <v>1615.4</v>
      </c>
    </row>
    <row r="329" spans="1:10">
      <c r="A329">
        <v>1495.1</v>
      </c>
      <c r="E329">
        <v>2021</v>
      </c>
      <c r="F329" s="48" t="s">
        <v>22</v>
      </c>
      <c r="I329">
        <f t="shared" si="2"/>
        <v>2021</v>
      </c>
      <c r="J329">
        <f t="shared" si="3"/>
        <v>1495.1</v>
      </c>
    </row>
    <row r="330" spans="1:10">
      <c r="A330">
        <v>1529.5</v>
      </c>
      <c r="E330">
        <v>2022</v>
      </c>
      <c r="F330" s="48" t="s">
        <v>22</v>
      </c>
      <c r="I330">
        <f t="shared" si="2"/>
        <v>2022</v>
      </c>
      <c r="J330">
        <f t="shared" si="3"/>
        <v>1529.5</v>
      </c>
    </row>
    <row r="331" spans="1:10" hidden="1">
      <c r="A331">
        <v>1259.2</v>
      </c>
      <c r="D331">
        <v>2000</v>
      </c>
      <c r="E331" t="s">
        <v>22</v>
      </c>
    </row>
    <row r="332" spans="1:10" hidden="1">
      <c r="A332">
        <v>1239.5</v>
      </c>
      <c r="D332">
        <v>2001</v>
      </c>
      <c r="E332" t="s">
        <v>22</v>
      </c>
    </row>
    <row r="333" spans="1:10" hidden="1">
      <c r="A333">
        <v>1220.2</v>
      </c>
      <c r="D333">
        <v>2002</v>
      </c>
      <c r="E333" t="s">
        <v>22</v>
      </c>
    </row>
    <row r="334" spans="1:10" hidden="1">
      <c r="A334">
        <v>1242.2</v>
      </c>
      <c r="D334">
        <v>2003</v>
      </c>
      <c r="E334" t="s">
        <v>22</v>
      </c>
    </row>
    <row r="335" spans="1:10" hidden="1">
      <c r="A335">
        <v>1317.9</v>
      </c>
      <c r="D335">
        <v>2004</v>
      </c>
      <c r="E335" t="s">
        <v>22</v>
      </c>
    </row>
    <row r="336" spans="1:10" hidden="1">
      <c r="A336">
        <v>1368</v>
      </c>
      <c r="D336">
        <v>2005</v>
      </c>
      <c r="E336" t="s">
        <v>22</v>
      </c>
    </row>
    <row r="337" spans="1:5" hidden="1">
      <c r="A337">
        <v>1465.1</v>
      </c>
      <c r="D337">
        <v>2006</v>
      </c>
      <c r="E337" t="s">
        <v>22</v>
      </c>
    </row>
    <row r="338" spans="1:5" hidden="1">
      <c r="A338">
        <v>1557.4</v>
      </c>
      <c r="D338">
        <v>2007</v>
      </c>
      <c r="E338" t="s">
        <v>22</v>
      </c>
    </row>
    <row r="339" spans="1:5" hidden="1">
      <c r="A339">
        <v>1657.1</v>
      </c>
      <c r="D339">
        <v>2008</v>
      </c>
      <c r="E339" t="s">
        <v>22</v>
      </c>
    </row>
    <row r="340" spans="1:5" hidden="1">
      <c r="A340">
        <v>1433.4</v>
      </c>
      <c r="D340">
        <v>2009</v>
      </c>
      <c r="E340" t="s">
        <v>22</v>
      </c>
    </row>
    <row r="341" spans="1:5" hidden="1">
      <c r="A341">
        <v>1526.5</v>
      </c>
      <c r="D341">
        <v>2010</v>
      </c>
      <c r="E341" t="s">
        <v>22</v>
      </c>
    </row>
    <row r="342" spans="1:5" hidden="1">
      <c r="A342">
        <v>1627.3</v>
      </c>
      <c r="D342">
        <v>2011</v>
      </c>
      <c r="E342" t="s">
        <v>22</v>
      </c>
    </row>
    <row r="343" spans="1:5" hidden="1">
      <c r="A343">
        <v>1628.9</v>
      </c>
      <c r="D343">
        <v>2012</v>
      </c>
      <c r="E343" t="s">
        <v>22</v>
      </c>
    </row>
    <row r="344" spans="1:5" hidden="1">
      <c r="A344">
        <v>1643.6</v>
      </c>
      <c r="D344">
        <v>2013</v>
      </c>
      <c r="E344" t="s">
        <v>22</v>
      </c>
    </row>
    <row r="345" spans="1:5" hidden="1">
      <c r="A345">
        <v>1665</v>
      </c>
      <c r="D345">
        <v>2014</v>
      </c>
      <c r="E345" t="s">
        <v>22</v>
      </c>
    </row>
    <row r="346" spans="1:5" hidden="1">
      <c r="A346">
        <v>1708.3</v>
      </c>
      <c r="D346">
        <v>2015</v>
      </c>
      <c r="E346" t="s">
        <v>22</v>
      </c>
    </row>
    <row r="347" spans="1:5" hidden="1">
      <c r="A347">
        <v>1708</v>
      </c>
      <c r="D347">
        <v>2016</v>
      </c>
      <c r="E347" t="s">
        <v>22</v>
      </c>
    </row>
    <row r="348" spans="1:5" hidden="1">
      <c r="A348">
        <v>1708</v>
      </c>
      <c r="D348">
        <v>2017</v>
      </c>
      <c r="E348" t="s">
        <v>22</v>
      </c>
    </row>
    <row r="349" spans="1:5" hidden="1">
      <c r="A349">
        <v>1781.5</v>
      </c>
      <c r="D349">
        <v>2018</v>
      </c>
      <c r="E349" t="s">
        <v>22</v>
      </c>
    </row>
    <row r="350" spans="1:5" hidden="1">
      <c r="A350">
        <v>0</v>
      </c>
      <c r="D350">
        <v>2019</v>
      </c>
      <c r="E350" t="s">
        <v>22</v>
      </c>
    </row>
    <row r="351" spans="1:5" hidden="1">
      <c r="A351">
        <v>1480.4</v>
      </c>
      <c r="D351">
        <v>2020</v>
      </c>
      <c r="E351" t="s">
        <v>22</v>
      </c>
    </row>
    <row r="352" spans="1:5" hidden="1">
      <c r="A352">
        <v>1721.3</v>
      </c>
      <c r="D352">
        <v>2021</v>
      </c>
      <c r="E352" t="s">
        <v>22</v>
      </c>
    </row>
    <row r="353" spans="1:5" hidden="1">
      <c r="A353">
        <v>1544.2</v>
      </c>
      <c r="D353">
        <v>2022</v>
      </c>
      <c r="E353" t="s">
        <v>22</v>
      </c>
    </row>
    <row r="354" spans="1:5" hidden="1">
      <c r="A354">
        <v>0</v>
      </c>
      <c r="C354">
        <v>2000</v>
      </c>
      <c r="D354" t="s">
        <v>22</v>
      </c>
    </row>
    <row r="355" spans="1:5" hidden="1">
      <c r="A355">
        <v>0</v>
      </c>
      <c r="C355">
        <v>2001</v>
      </c>
      <c r="D355" t="s">
        <v>22</v>
      </c>
    </row>
    <row r="356" spans="1:5" hidden="1">
      <c r="A356">
        <v>0</v>
      </c>
      <c r="C356">
        <v>2002</v>
      </c>
      <c r="D356" t="s">
        <v>22</v>
      </c>
    </row>
    <row r="357" spans="1:5" hidden="1">
      <c r="A357">
        <v>0</v>
      </c>
      <c r="C357">
        <v>2003</v>
      </c>
      <c r="D357" t="s">
        <v>22</v>
      </c>
    </row>
    <row r="358" spans="1:5" hidden="1">
      <c r="A358">
        <v>0</v>
      </c>
      <c r="C358">
        <v>2004</v>
      </c>
      <c r="D358" t="s">
        <v>22</v>
      </c>
    </row>
    <row r="359" spans="1:5" hidden="1">
      <c r="A359">
        <v>0</v>
      </c>
      <c r="C359">
        <v>2005</v>
      </c>
      <c r="D359" t="s">
        <v>22</v>
      </c>
    </row>
    <row r="360" spans="1:5" hidden="1">
      <c r="A360">
        <v>0</v>
      </c>
      <c r="C360">
        <v>2006</v>
      </c>
      <c r="D360" t="s">
        <v>22</v>
      </c>
    </row>
    <row r="361" spans="1:5" hidden="1">
      <c r="A361">
        <v>0</v>
      </c>
      <c r="C361">
        <v>2007</v>
      </c>
      <c r="D361" t="s">
        <v>22</v>
      </c>
    </row>
    <row r="362" spans="1:5" hidden="1">
      <c r="A362">
        <v>0</v>
      </c>
      <c r="C362">
        <v>2008</v>
      </c>
      <c r="D362" t="s">
        <v>22</v>
      </c>
    </row>
    <row r="363" spans="1:5" hidden="1">
      <c r="A363">
        <v>0</v>
      </c>
      <c r="C363">
        <v>2009</v>
      </c>
      <c r="D363" t="s">
        <v>22</v>
      </c>
    </row>
    <row r="364" spans="1:5" hidden="1">
      <c r="A364">
        <v>0</v>
      </c>
      <c r="C364">
        <v>2010</v>
      </c>
      <c r="D364" t="s">
        <v>22</v>
      </c>
    </row>
    <row r="365" spans="1:5" hidden="1">
      <c r="A365">
        <v>0</v>
      </c>
      <c r="C365">
        <v>2011</v>
      </c>
      <c r="D365" t="s">
        <v>22</v>
      </c>
    </row>
    <row r="366" spans="1:5" hidden="1">
      <c r="A366">
        <v>0</v>
      </c>
      <c r="C366">
        <v>2012</v>
      </c>
      <c r="D366" t="s">
        <v>22</v>
      </c>
    </row>
    <row r="367" spans="1:5" hidden="1">
      <c r="A367">
        <v>0</v>
      </c>
      <c r="C367">
        <v>2013</v>
      </c>
      <c r="D367" t="s">
        <v>22</v>
      </c>
    </row>
    <row r="368" spans="1:5" hidden="1">
      <c r="A368">
        <v>0</v>
      </c>
      <c r="C368">
        <v>2014</v>
      </c>
      <c r="D368" t="s">
        <v>22</v>
      </c>
    </row>
    <row r="369" spans="1:4" hidden="1">
      <c r="A369">
        <v>0</v>
      </c>
      <c r="C369">
        <v>2015</v>
      </c>
      <c r="D369" t="s">
        <v>22</v>
      </c>
    </row>
    <row r="370" spans="1:4" hidden="1">
      <c r="A370">
        <v>0</v>
      </c>
      <c r="C370">
        <v>2016</v>
      </c>
      <c r="D370" t="s">
        <v>22</v>
      </c>
    </row>
    <row r="371" spans="1:4" hidden="1">
      <c r="A371">
        <v>0</v>
      </c>
      <c r="C371">
        <v>2017</v>
      </c>
      <c r="D371" t="s">
        <v>22</v>
      </c>
    </row>
    <row r="372" spans="1:4" hidden="1">
      <c r="A372">
        <v>0</v>
      </c>
      <c r="C372">
        <v>2018</v>
      </c>
      <c r="D372" t="s">
        <v>22</v>
      </c>
    </row>
    <row r="373" spans="1:4" hidden="1">
      <c r="A373">
        <v>0</v>
      </c>
      <c r="C373">
        <v>2019</v>
      </c>
      <c r="D373" t="s">
        <v>22</v>
      </c>
    </row>
    <row r="374" spans="1:4" hidden="1">
      <c r="A374">
        <v>0</v>
      </c>
      <c r="C374">
        <v>2020</v>
      </c>
      <c r="D374" t="s">
        <v>22</v>
      </c>
    </row>
    <row r="375" spans="1:4" hidden="1">
      <c r="A375">
        <v>0</v>
      </c>
      <c r="C375">
        <v>2021</v>
      </c>
      <c r="D375" t="s">
        <v>22</v>
      </c>
    </row>
    <row r="376" spans="1:4" hidden="1">
      <c r="A376">
        <v>0</v>
      </c>
      <c r="C376">
        <v>2022</v>
      </c>
      <c r="D376" t="s">
        <v>22</v>
      </c>
    </row>
    <row r="377" spans="1:4" hidden="1">
      <c r="A377">
        <v>587.70000000000005</v>
      </c>
      <c r="B377">
        <v>2000</v>
      </c>
      <c r="C377" t="s">
        <v>22</v>
      </c>
    </row>
    <row r="378" spans="1:4" hidden="1">
      <c r="A378">
        <v>583</v>
      </c>
      <c r="B378">
        <v>2001</v>
      </c>
      <c r="C378" t="s">
        <v>22</v>
      </c>
    </row>
    <row r="379" spans="1:4" hidden="1">
      <c r="A379">
        <v>578</v>
      </c>
      <c r="B379">
        <v>2002</v>
      </c>
      <c r="C379" t="s">
        <v>22</v>
      </c>
    </row>
    <row r="380" spans="1:4" hidden="1">
      <c r="A380">
        <v>572.6</v>
      </c>
      <c r="B380">
        <v>2003</v>
      </c>
      <c r="C380" t="s">
        <v>22</v>
      </c>
    </row>
    <row r="381" spans="1:4" hidden="1">
      <c r="A381">
        <v>567</v>
      </c>
      <c r="B381">
        <v>2004</v>
      </c>
      <c r="C381" t="s">
        <v>22</v>
      </c>
    </row>
    <row r="382" spans="1:4" hidden="1">
      <c r="A382">
        <v>561</v>
      </c>
      <c r="B382">
        <v>2005</v>
      </c>
      <c r="C382" t="s">
        <v>22</v>
      </c>
    </row>
    <row r="383" spans="1:4" hidden="1">
      <c r="A383">
        <v>554.70000000000005</v>
      </c>
      <c r="B383">
        <v>2006</v>
      </c>
      <c r="C383" t="s">
        <v>22</v>
      </c>
    </row>
    <row r="384" spans="1:4" hidden="1">
      <c r="A384">
        <v>548.1</v>
      </c>
      <c r="B384">
        <v>2007</v>
      </c>
      <c r="C384" t="s">
        <v>22</v>
      </c>
    </row>
    <row r="385" spans="1:8" hidden="1">
      <c r="A385">
        <v>608</v>
      </c>
      <c r="B385">
        <v>2008</v>
      </c>
      <c r="C385" t="s">
        <v>22</v>
      </c>
    </row>
    <row r="386" spans="1:8" hidden="1">
      <c r="A386">
        <v>646.70000000000005</v>
      </c>
      <c r="B386">
        <v>2009</v>
      </c>
      <c r="C386" t="s">
        <v>22</v>
      </c>
    </row>
    <row r="387" spans="1:8" hidden="1">
      <c r="A387">
        <v>685.6</v>
      </c>
      <c r="B387">
        <v>2010</v>
      </c>
      <c r="C387" t="s">
        <v>22</v>
      </c>
    </row>
    <row r="388" spans="1:8" hidden="1">
      <c r="A388">
        <v>691.1</v>
      </c>
      <c r="B388">
        <v>2011</v>
      </c>
      <c r="C388" t="s">
        <v>22</v>
      </c>
    </row>
    <row r="389" spans="1:8" hidden="1">
      <c r="A389">
        <v>696.6</v>
      </c>
      <c r="B389">
        <v>2012</v>
      </c>
      <c r="C389" t="s">
        <v>22</v>
      </c>
    </row>
    <row r="390" spans="1:8" hidden="1">
      <c r="A390">
        <v>702.2</v>
      </c>
      <c r="B390">
        <v>2013</v>
      </c>
      <c r="C390" t="s">
        <v>22</v>
      </c>
    </row>
    <row r="391" spans="1:8" hidden="1">
      <c r="A391">
        <v>707.7</v>
      </c>
      <c r="B391">
        <v>2014</v>
      </c>
      <c r="C391" t="s">
        <v>22</v>
      </c>
    </row>
    <row r="392" spans="1:8" hidden="1">
      <c r="A392">
        <v>713.2</v>
      </c>
      <c r="B392">
        <v>2015</v>
      </c>
      <c r="C392" t="s">
        <v>22</v>
      </c>
    </row>
    <row r="393" spans="1:8" hidden="1">
      <c r="A393">
        <v>688.9</v>
      </c>
      <c r="B393">
        <v>2016</v>
      </c>
      <c r="C393" t="s">
        <v>22</v>
      </c>
    </row>
    <row r="394" spans="1:8" hidden="1">
      <c r="A394">
        <v>706.1</v>
      </c>
      <c r="B394">
        <v>2017</v>
      </c>
      <c r="C394" t="s">
        <v>22</v>
      </c>
    </row>
    <row r="395" spans="1:8" hidden="1">
      <c r="A395">
        <v>719</v>
      </c>
      <c r="B395">
        <v>2018</v>
      </c>
      <c r="C395" t="s">
        <v>22</v>
      </c>
    </row>
    <row r="396" spans="1:8" hidden="1">
      <c r="A396">
        <v>611</v>
      </c>
      <c r="B396">
        <v>2019</v>
      </c>
      <c r="C396" t="s">
        <v>22</v>
      </c>
    </row>
    <row r="397" spans="1:8" hidden="1">
      <c r="A397">
        <v>674.6</v>
      </c>
      <c r="B397">
        <v>2020</v>
      </c>
      <c r="C397" t="s">
        <v>22</v>
      </c>
    </row>
    <row r="398" spans="1:8" hidden="1">
      <c r="A398">
        <v>677</v>
      </c>
      <c r="B398">
        <v>2021</v>
      </c>
      <c r="C398" t="s">
        <v>22</v>
      </c>
    </row>
    <row r="399" spans="1:8" hidden="1">
      <c r="A399">
        <v>680.5</v>
      </c>
      <c r="B399">
        <v>2022</v>
      </c>
      <c r="C399" t="s">
        <v>22</v>
      </c>
    </row>
    <row r="400" spans="1:8" hidden="1">
      <c r="A400">
        <v>12.8</v>
      </c>
      <c r="G400">
        <v>2000</v>
      </c>
      <c r="H400" t="s">
        <v>40</v>
      </c>
    </row>
    <row r="401" spans="1:8" hidden="1">
      <c r="A401">
        <v>12.8</v>
      </c>
      <c r="G401">
        <v>2001</v>
      </c>
      <c r="H401" t="s">
        <v>40</v>
      </c>
    </row>
    <row r="402" spans="1:8" hidden="1">
      <c r="A402">
        <v>12.8</v>
      </c>
      <c r="G402">
        <v>2002</v>
      </c>
      <c r="H402" t="s">
        <v>40</v>
      </c>
    </row>
    <row r="403" spans="1:8" hidden="1">
      <c r="A403">
        <v>13.6</v>
      </c>
      <c r="G403">
        <v>2003</v>
      </c>
      <c r="H403" t="s">
        <v>40</v>
      </c>
    </row>
    <row r="404" spans="1:8" hidden="1">
      <c r="A404">
        <v>12.8</v>
      </c>
      <c r="G404">
        <v>2004</v>
      </c>
      <c r="H404" t="s">
        <v>40</v>
      </c>
    </row>
    <row r="405" spans="1:8" hidden="1">
      <c r="A405">
        <v>12.8</v>
      </c>
      <c r="G405">
        <v>2005</v>
      </c>
      <c r="H405" t="s">
        <v>40</v>
      </c>
    </row>
    <row r="406" spans="1:8" hidden="1">
      <c r="A406">
        <v>12.6</v>
      </c>
      <c r="G406">
        <v>2006</v>
      </c>
      <c r="H406" t="s">
        <v>40</v>
      </c>
    </row>
    <row r="407" spans="1:8" hidden="1">
      <c r="A407">
        <v>14.5</v>
      </c>
      <c r="G407">
        <v>2007</v>
      </c>
      <c r="H407" t="s">
        <v>40</v>
      </c>
    </row>
    <row r="408" spans="1:8" hidden="1">
      <c r="A408">
        <v>12.3</v>
      </c>
      <c r="G408">
        <v>2008</v>
      </c>
      <c r="H408" t="s">
        <v>40</v>
      </c>
    </row>
    <row r="409" spans="1:8" hidden="1">
      <c r="A409">
        <v>12.4</v>
      </c>
      <c r="G409">
        <v>2009</v>
      </c>
      <c r="H409" t="s">
        <v>40</v>
      </c>
    </row>
    <row r="410" spans="1:8" hidden="1">
      <c r="A410">
        <v>11.9</v>
      </c>
      <c r="G410">
        <v>2010</v>
      </c>
      <c r="H410" t="s">
        <v>40</v>
      </c>
    </row>
    <row r="411" spans="1:8" hidden="1">
      <c r="A411">
        <v>16.3</v>
      </c>
      <c r="G411">
        <v>2011</v>
      </c>
      <c r="H411" t="s">
        <v>40</v>
      </c>
    </row>
    <row r="412" spans="1:8" hidden="1">
      <c r="A412">
        <v>16.2</v>
      </c>
      <c r="G412">
        <v>2012</v>
      </c>
      <c r="H412" t="s">
        <v>40</v>
      </c>
    </row>
    <row r="413" spans="1:8" hidden="1">
      <c r="A413">
        <v>15.8</v>
      </c>
      <c r="G413">
        <v>2013</v>
      </c>
      <c r="H413" t="s">
        <v>40</v>
      </c>
    </row>
    <row r="414" spans="1:8" hidden="1">
      <c r="A414">
        <v>14.6</v>
      </c>
      <c r="G414">
        <v>2014</v>
      </c>
      <c r="H414" t="s">
        <v>40</v>
      </c>
    </row>
    <row r="415" spans="1:8" hidden="1">
      <c r="A415">
        <v>15.1</v>
      </c>
      <c r="G415">
        <v>2015</v>
      </c>
      <c r="H415" t="s">
        <v>40</v>
      </c>
    </row>
    <row r="416" spans="1:8" hidden="1">
      <c r="A416">
        <v>19.2</v>
      </c>
      <c r="G416">
        <v>2016</v>
      </c>
      <c r="H416" t="s">
        <v>40</v>
      </c>
    </row>
    <row r="417" spans="1:8" hidden="1">
      <c r="A417">
        <v>20.8</v>
      </c>
      <c r="G417">
        <v>2017</v>
      </c>
      <c r="H417" t="s">
        <v>40</v>
      </c>
    </row>
    <row r="418" spans="1:8" hidden="1">
      <c r="A418">
        <v>20.2</v>
      </c>
      <c r="G418">
        <v>2018</v>
      </c>
      <c r="H418" t="s">
        <v>40</v>
      </c>
    </row>
    <row r="419" spans="1:8" hidden="1">
      <c r="A419">
        <v>20.399999999999999</v>
      </c>
      <c r="G419">
        <v>2019</v>
      </c>
      <c r="H419" t="s">
        <v>40</v>
      </c>
    </row>
    <row r="420" spans="1:8" hidden="1">
      <c r="A420">
        <v>18.899999999999999</v>
      </c>
      <c r="G420">
        <v>2020</v>
      </c>
      <c r="H420" t="s">
        <v>40</v>
      </c>
    </row>
    <row r="421" spans="1:8" hidden="1">
      <c r="A421">
        <v>19.600000000000001</v>
      </c>
      <c r="G421">
        <v>2021</v>
      </c>
      <c r="H421" t="s">
        <v>40</v>
      </c>
    </row>
    <row r="422" spans="1:8" hidden="1">
      <c r="A422">
        <v>20</v>
      </c>
      <c r="G422">
        <v>2022</v>
      </c>
      <c r="H422" t="s">
        <v>40</v>
      </c>
    </row>
    <row r="423" spans="1:8" hidden="1">
      <c r="A423">
        <v>0</v>
      </c>
      <c r="E423">
        <v>2000</v>
      </c>
      <c r="F423" s="48" t="s">
        <v>40</v>
      </c>
    </row>
    <row r="424" spans="1:8" hidden="1">
      <c r="A424">
        <v>0</v>
      </c>
      <c r="E424">
        <v>2001</v>
      </c>
      <c r="F424" s="48" t="s">
        <v>40</v>
      </c>
    </row>
    <row r="425" spans="1:8" hidden="1">
      <c r="A425">
        <v>0</v>
      </c>
      <c r="E425">
        <v>2002</v>
      </c>
      <c r="F425" s="48" t="s">
        <v>40</v>
      </c>
    </row>
    <row r="426" spans="1:8" hidden="1">
      <c r="A426">
        <v>0</v>
      </c>
      <c r="E426">
        <v>2003</v>
      </c>
      <c r="F426" s="48" t="s">
        <v>40</v>
      </c>
    </row>
    <row r="427" spans="1:8" hidden="1">
      <c r="A427">
        <v>0</v>
      </c>
      <c r="E427">
        <v>2004</v>
      </c>
      <c r="F427" s="48" t="s">
        <v>40</v>
      </c>
    </row>
    <row r="428" spans="1:8" hidden="1">
      <c r="A428">
        <v>0</v>
      </c>
      <c r="E428">
        <v>2005</v>
      </c>
      <c r="F428" s="48" t="s">
        <v>40</v>
      </c>
    </row>
    <row r="429" spans="1:8" hidden="1">
      <c r="A429">
        <v>0</v>
      </c>
      <c r="E429">
        <v>2006</v>
      </c>
      <c r="F429" s="48" t="s">
        <v>40</v>
      </c>
    </row>
    <row r="430" spans="1:8" hidden="1">
      <c r="A430">
        <v>0</v>
      </c>
      <c r="E430">
        <v>2007</v>
      </c>
      <c r="F430" s="48" t="s">
        <v>40</v>
      </c>
    </row>
    <row r="431" spans="1:8" hidden="1">
      <c r="A431">
        <v>0</v>
      </c>
      <c r="E431">
        <v>2008</v>
      </c>
      <c r="F431" s="48" t="s">
        <v>40</v>
      </c>
    </row>
    <row r="432" spans="1:8" hidden="1">
      <c r="A432">
        <v>0</v>
      </c>
      <c r="E432">
        <v>2009</v>
      </c>
      <c r="F432" s="48" t="s">
        <v>40</v>
      </c>
    </row>
    <row r="433" spans="1:6" hidden="1">
      <c r="A433">
        <v>0</v>
      </c>
      <c r="E433">
        <v>2010</v>
      </c>
      <c r="F433" s="48" t="s">
        <v>40</v>
      </c>
    </row>
    <row r="434" spans="1:6" hidden="1">
      <c r="A434">
        <v>0</v>
      </c>
      <c r="E434">
        <v>2011</v>
      </c>
      <c r="F434" s="48" t="s">
        <v>40</v>
      </c>
    </row>
    <row r="435" spans="1:6" hidden="1">
      <c r="A435">
        <v>0</v>
      </c>
      <c r="E435">
        <v>2012</v>
      </c>
      <c r="F435" s="48" t="s">
        <v>40</v>
      </c>
    </row>
    <row r="436" spans="1:6" hidden="1">
      <c r="A436">
        <v>0</v>
      </c>
      <c r="E436">
        <v>2013</v>
      </c>
      <c r="F436" s="48" t="s">
        <v>40</v>
      </c>
    </row>
    <row r="437" spans="1:6" hidden="1">
      <c r="A437">
        <v>0</v>
      </c>
      <c r="E437">
        <v>2014</v>
      </c>
      <c r="F437" s="48" t="s">
        <v>40</v>
      </c>
    </row>
    <row r="438" spans="1:6" hidden="1">
      <c r="A438">
        <v>0</v>
      </c>
      <c r="E438">
        <v>2015</v>
      </c>
      <c r="F438" s="48" t="s">
        <v>40</v>
      </c>
    </row>
    <row r="439" spans="1:6" hidden="1">
      <c r="A439">
        <v>0</v>
      </c>
      <c r="E439">
        <v>2016</v>
      </c>
      <c r="F439" s="48" t="s">
        <v>40</v>
      </c>
    </row>
    <row r="440" spans="1:6" hidden="1">
      <c r="A440">
        <v>0</v>
      </c>
      <c r="E440">
        <v>2017</v>
      </c>
      <c r="F440" s="48" t="s">
        <v>40</v>
      </c>
    </row>
    <row r="441" spans="1:6" hidden="1">
      <c r="A441">
        <v>0</v>
      </c>
      <c r="E441">
        <v>2018</v>
      </c>
      <c r="F441" s="48" t="s">
        <v>40</v>
      </c>
    </row>
    <row r="442" spans="1:6" hidden="1">
      <c r="A442">
        <v>0</v>
      </c>
      <c r="E442">
        <v>2019</v>
      </c>
      <c r="F442" s="48" t="s">
        <v>40</v>
      </c>
    </row>
    <row r="443" spans="1:6" hidden="1">
      <c r="A443">
        <v>1910.5</v>
      </c>
      <c r="E443">
        <v>2020</v>
      </c>
      <c r="F443" s="48" t="s">
        <v>40</v>
      </c>
    </row>
    <row r="444" spans="1:6" hidden="1">
      <c r="A444">
        <v>1926</v>
      </c>
      <c r="E444">
        <v>2021</v>
      </c>
      <c r="F444" s="48" t="s">
        <v>40</v>
      </c>
    </row>
    <row r="445" spans="1:6" hidden="1">
      <c r="A445">
        <v>1806.1</v>
      </c>
      <c r="E445">
        <v>2022</v>
      </c>
      <c r="F445" s="48" t="s">
        <v>40</v>
      </c>
    </row>
    <row r="446" spans="1:6" hidden="1">
      <c r="A446">
        <v>0</v>
      </c>
      <c r="D446">
        <v>2000</v>
      </c>
      <c r="E446" t="s">
        <v>40</v>
      </c>
    </row>
    <row r="447" spans="1:6" hidden="1">
      <c r="A447">
        <v>0</v>
      </c>
      <c r="D447">
        <v>2001</v>
      </c>
      <c r="E447" t="s">
        <v>40</v>
      </c>
    </row>
    <row r="448" spans="1:6" hidden="1">
      <c r="A448">
        <v>0</v>
      </c>
      <c r="D448">
        <v>2002</v>
      </c>
      <c r="E448" t="s">
        <v>40</v>
      </c>
    </row>
    <row r="449" spans="1:5" hidden="1">
      <c r="A449">
        <v>0</v>
      </c>
      <c r="D449">
        <v>2003</v>
      </c>
      <c r="E449" t="s">
        <v>40</v>
      </c>
    </row>
    <row r="450" spans="1:5" hidden="1">
      <c r="A450">
        <v>0</v>
      </c>
      <c r="D450">
        <v>2004</v>
      </c>
      <c r="E450" t="s">
        <v>40</v>
      </c>
    </row>
    <row r="451" spans="1:5" hidden="1">
      <c r="A451">
        <v>0</v>
      </c>
      <c r="D451">
        <v>2005</v>
      </c>
      <c r="E451" t="s">
        <v>40</v>
      </c>
    </row>
    <row r="452" spans="1:5" hidden="1">
      <c r="A452">
        <v>0</v>
      </c>
      <c r="D452">
        <v>2006</v>
      </c>
      <c r="E452" t="s">
        <v>40</v>
      </c>
    </row>
    <row r="453" spans="1:5" hidden="1">
      <c r="A453">
        <v>0</v>
      </c>
      <c r="D453">
        <v>2007</v>
      </c>
      <c r="E453" t="s">
        <v>40</v>
      </c>
    </row>
    <row r="454" spans="1:5" hidden="1">
      <c r="A454">
        <v>0</v>
      </c>
      <c r="D454">
        <v>2008</v>
      </c>
      <c r="E454" t="s">
        <v>40</v>
      </c>
    </row>
    <row r="455" spans="1:5" hidden="1">
      <c r="A455">
        <v>75.3</v>
      </c>
      <c r="D455">
        <v>2009</v>
      </c>
      <c r="E455" t="s">
        <v>40</v>
      </c>
    </row>
    <row r="456" spans="1:5" hidden="1">
      <c r="A456">
        <v>80.099999999999994</v>
      </c>
      <c r="D456">
        <v>2010</v>
      </c>
      <c r="E456" t="s">
        <v>40</v>
      </c>
    </row>
    <row r="457" spans="1:5" hidden="1">
      <c r="A457">
        <v>79.5</v>
      </c>
      <c r="D457">
        <v>2011</v>
      </c>
      <c r="E457" t="s">
        <v>40</v>
      </c>
    </row>
    <row r="458" spans="1:5" hidden="1">
      <c r="A458">
        <v>67.2</v>
      </c>
      <c r="D458">
        <v>2012</v>
      </c>
      <c r="E458" t="s">
        <v>40</v>
      </c>
    </row>
    <row r="459" spans="1:5" hidden="1">
      <c r="A459">
        <v>80.3</v>
      </c>
      <c r="D459">
        <v>2013</v>
      </c>
      <c r="E459" t="s">
        <v>40</v>
      </c>
    </row>
    <row r="460" spans="1:5" hidden="1">
      <c r="A460">
        <v>65.8</v>
      </c>
      <c r="D460">
        <v>2014</v>
      </c>
      <c r="E460" t="s">
        <v>40</v>
      </c>
    </row>
    <row r="461" spans="1:5" hidden="1">
      <c r="A461">
        <v>66.2</v>
      </c>
      <c r="D461">
        <v>2015</v>
      </c>
      <c r="E461" t="s">
        <v>40</v>
      </c>
    </row>
    <row r="462" spans="1:5" hidden="1">
      <c r="A462">
        <v>66.900000000000006</v>
      </c>
      <c r="D462">
        <v>2016</v>
      </c>
      <c r="E462" t="s">
        <v>40</v>
      </c>
    </row>
    <row r="463" spans="1:5" hidden="1">
      <c r="A463">
        <v>71.7</v>
      </c>
      <c r="D463">
        <v>2017</v>
      </c>
      <c r="E463" t="s">
        <v>40</v>
      </c>
    </row>
    <row r="464" spans="1:5" hidden="1">
      <c r="A464">
        <v>70.900000000000006</v>
      </c>
      <c r="D464">
        <v>2018</v>
      </c>
      <c r="E464" t="s">
        <v>40</v>
      </c>
    </row>
    <row r="465" spans="1:5" hidden="1">
      <c r="A465">
        <v>71</v>
      </c>
      <c r="D465">
        <v>2019</v>
      </c>
      <c r="E465" t="s">
        <v>40</v>
      </c>
    </row>
    <row r="466" spans="1:5" hidden="1">
      <c r="A466">
        <v>70.099999999999994</v>
      </c>
      <c r="D466">
        <v>2020</v>
      </c>
      <c r="E466" t="s">
        <v>40</v>
      </c>
    </row>
    <row r="467" spans="1:5" hidden="1">
      <c r="A467">
        <v>61.8</v>
      </c>
      <c r="D467">
        <v>2021</v>
      </c>
      <c r="E467" t="s">
        <v>40</v>
      </c>
    </row>
    <row r="468" spans="1:5" hidden="1">
      <c r="A468">
        <v>60.7</v>
      </c>
      <c r="D468">
        <v>2022</v>
      </c>
      <c r="E468" t="s">
        <v>40</v>
      </c>
    </row>
    <row r="469" spans="1:5" hidden="1">
      <c r="A469">
        <v>0</v>
      </c>
      <c r="C469">
        <v>2000</v>
      </c>
      <c r="D469" t="s">
        <v>40</v>
      </c>
    </row>
    <row r="470" spans="1:5" hidden="1">
      <c r="A470">
        <v>0</v>
      </c>
      <c r="C470">
        <v>2001</v>
      </c>
      <c r="D470" t="s">
        <v>40</v>
      </c>
    </row>
    <row r="471" spans="1:5" hidden="1">
      <c r="A471">
        <v>0</v>
      </c>
      <c r="C471">
        <v>2002</v>
      </c>
      <c r="D471" t="s">
        <v>40</v>
      </c>
    </row>
    <row r="472" spans="1:5" hidden="1">
      <c r="A472">
        <v>0</v>
      </c>
      <c r="C472">
        <v>2003</v>
      </c>
      <c r="D472" t="s">
        <v>40</v>
      </c>
    </row>
    <row r="473" spans="1:5" hidden="1">
      <c r="A473">
        <v>0</v>
      </c>
      <c r="C473">
        <v>2004</v>
      </c>
      <c r="D473" t="s">
        <v>40</v>
      </c>
    </row>
    <row r="474" spans="1:5" hidden="1">
      <c r="A474">
        <v>0</v>
      </c>
      <c r="C474">
        <v>2005</v>
      </c>
      <c r="D474" t="s">
        <v>40</v>
      </c>
    </row>
    <row r="475" spans="1:5" hidden="1">
      <c r="A475">
        <v>0</v>
      </c>
      <c r="C475">
        <v>2006</v>
      </c>
      <c r="D475" t="s">
        <v>40</v>
      </c>
    </row>
    <row r="476" spans="1:5" hidden="1">
      <c r="A476">
        <v>0</v>
      </c>
      <c r="C476">
        <v>2007</v>
      </c>
      <c r="D476" t="s">
        <v>40</v>
      </c>
    </row>
    <row r="477" spans="1:5" hidden="1">
      <c r="A477">
        <v>0</v>
      </c>
      <c r="C477">
        <v>2008</v>
      </c>
      <c r="D477" t="s">
        <v>40</v>
      </c>
    </row>
    <row r="478" spans="1:5" hidden="1">
      <c r="A478">
        <v>0</v>
      </c>
      <c r="C478">
        <v>2009</v>
      </c>
      <c r="D478" t="s">
        <v>40</v>
      </c>
    </row>
    <row r="479" spans="1:5" hidden="1">
      <c r="A479">
        <v>0</v>
      </c>
      <c r="C479">
        <v>2010</v>
      </c>
      <c r="D479" t="s">
        <v>40</v>
      </c>
    </row>
    <row r="480" spans="1:5" hidden="1">
      <c r="A480">
        <v>0</v>
      </c>
      <c r="C480">
        <v>2011</v>
      </c>
      <c r="D480" t="s">
        <v>40</v>
      </c>
    </row>
    <row r="481" spans="1:4" hidden="1">
      <c r="A481">
        <v>16.100000000000001</v>
      </c>
      <c r="C481">
        <v>2012</v>
      </c>
      <c r="D481" t="s">
        <v>40</v>
      </c>
    </row>
    <row r="482" spans="1:4" hidden="1">
      <c r="A482">
        <v>21.2</v>
      </c>
      <c r="C482">
        <v>2013</v>
      </c>
      <c r="D482" t="s">
        <v>40</v>
      </c>
    </row>
    <row r="483" spans="1:4" hidden="1">
      <c r="A483">
        <v>15.3</v>
      </c>
      <c r="C483">
        <v>2014</v>
      </c>
      <c r="D483" t="s">
        <v>40</v>
      </c>
    </row>
    <row r="484" spans="1:4" hidden="1">
      <c r="A484">
        <v>16</v>
      </c>
      <c r="C484">
        <v>2015</v>
      </c>
      <c r="D484" t="s">
        <v>40</v>
      </c>
    </row>
    <row r="485" spans="1:4" hidden="1">
      <c r="A485">
        <v>16.100000000000001</v>
      </c>
      <c r="C485">
        <v>2016</v>
      </c>
      <c r="D485" t="s">
        <v>40</v>
      </c>
    </row>
    <row r="486" spans="1:4" hidden="1">
      <c r="A486">
        <v>10.6</v>
      </c>
      <c r="C486">
        <v>2017</v>
      </c>
      <c r="D486" t="s">
        <v>40</v>
      </c>
    </row>
    <row r="487" spans="1:4" hidden="1">
      <c r="A487">
        <v>9.6999999999999993</v>
      </c>
      <c r="C487">
        <v>2018</v>
      </c>
      <c r="D487" t="s">
        <v>40</v>
      </c>
    </row>
    <row r="488" spans="1:4" hidden="1">
      <c r="A488">
        <v>9.1999999999999993</v>
      </c>
      <c r="C488">
        <v>2019</v>
      </c>
      <c r="D488" t="s">
        <v>40</v>
      </c>
    </row>
    <row r="489" spans="1:4" hidden="1">
      <c r="A489">
        <v>11.4</v>
      </c>
      <c r="C489">
        <v>2020</v>
      </c>
      <c r="D489" t="s">
        <v>40</v>
      </c>
    </row>
    <row r="490" spans="1:4" hidden="1">
      <c r="A490">
        <v>8.6</v>
      </c>
      <c r="C490">
        <v>2021</v>
      </c>
      <c r="D490" t="s">
        <v>40</v>
      </c>
    </row>
    <row r="491" spans="1:4" hidden="1">
      <c r="A491">
        <v>8.6999999999999993</v>
      </c>
      <c r="C491">
        <v>2022</v>
      </c>
      <c r="D491" t="s">
        <v>40</v>
      </c>
    </row>
    <row r="492" spans="1:4" hidden="1">
      <c r="A492">
        <v>349</v>
      </c>
      <c r="B492">
        <v>2000</v>
      </c>
      <c r="C492" t="s">
        <v>40</v>
      </c>
    </row>
    <row r="493" spans="1:4" hidden="1">
      <c r="A493">
        <v>347</v>
      </c>
      <c r="B493">
        <v>2001</v>
      </c>
      <c r="C493" t="s">
        <v>40</v>
      </c>
    </row>
    <row r="494" spans="1:4" hidden="1">
      <c r="A494">
        <v>345</v>
      </c>
      <c r="B494">
        <v>2002</v>
      </c>
      <c r="C494" t="s">
        <v>40</v>
      </c>
    </row>
    <row r="495" spans="1:4" hidden="1">
      <c r="A495">
        <v>344</v>
      </c>
      <c r="B495">
        <v>2003</v>
      </c>
      <c r="C495" t="s">
        <v>40</v>
      </c>
    </row>
    <row r="496" spans="1:4" hidden="1">
      <c r="A496">
        <v>338.1</v>
      </c>
      <c r="B496">
        <v>2004</v>
      </c>
      <c r="C496" t="s">
        <v>40</v>
      </c>
    </row>
    <row r="497" spans="1:3" hidden="1">
      <c r="A497">
        <v>334.1</v>
      </c>
      <c r="B497">
        <v>2005</v>
      </c>
      <c r="C497" t="s">
        <v>40</v>
      </c>
    </row>
    <row r="498" spans="1:3" hidden="1">
      <c r="A498">
        <v>344.5</v>
      </c>
      <c r="B498">
        <v>2006</v>
      </c>
      <c r="C498" t="s">
        <v>40</v>
      </c>
    </row>
    <row r="499" spans="1:3" hidden="1">
      <c r="A499">
        <v>342.2</v>
      </c>
      <c r="B499">
        <v>2007</v>
      </c>
      <c r="C499" t="s">
        <v>40</v>
      </c>
    </row>
    <row r="500" spans="1:3" hidden="1">
      <c r="A500">
        <v>335.6</v>
      </c>
      <c r="B500">
        <v>2008</v>
      </c>
      <c r="C500" t="s">
        <v>40</v>
      </c>
    </row>
    <row r="501" spans="1:3" hidden="1">
      <c r="A501">
        <v>339.2</v>
      </c>
      <c r="B501">
        <v>2009</v>
      </c>
      <c r="C501" t="s">
        <v>40</v>
      </c>
    </row>
    <row r="502" spans="1:3" hidden="1">
      <c r="A502">
        <v>340.4</v>
      </c>
      <c r="B502">
        <v>2010</v>
      </c>
      <c r="C502" t="s">
        <v>40</v>
      </c>
    </row>
    <row r="503" spans="1:3" hidden="1">
      <c r="A503">
        <v>329.9</v>
      </c>
      <c r="B503">
        <v>2011</v>
      </c>
      <c r="C503" t="s">
        <v>40</v>
      </c>
    </row>
    <row r="504" spans="1:3" hidden="1">
      <c r="A504">
        <v>328.7</v>
      </c>
      <c r="B504">
        <v>2012</v>
      </c>
      <c r="C504" t="s">
        <v>40</v>
      </c>
    </row>
    <row r="505" spans="1:3" hidden="1">
      <c r="A505">
        <v>327.8</v>
      </c>
      <c r="B505">
        <v>2013</v>
      </c>
      <c r="C505" t="s">
        <v>40</v>
      </c>
    </row>
    <row r="506" spans="1:3" hidden="1">
      <c r="A506">
        <v>319.5</v>
      </c>
      <c r="B506">
        <v>2014</v>
      </c>
      <c r="C506" t="s">
        <v>40</v>
      </c>
    </row>
    <row r="507" spans="1:3" hidden="1">
      <c r="A507">
        <v>320.60000000000002</v>
      </c>
      <c r="B507">
        <v>2015</v>
      </c>
      <c r="C507" t="s">
        <v>40</v>
      </c>
    </row>
    <row r="508" spans="1:3" hidden="1">
      <c r="A508">
        <v>326.2</v>
      </c>
      <c r="B508">
        <v>2016</v>
      </c>
      <c r="C508" t="s">
        <v>40</v>
      </c>
    </row>
    <row r="509" spans="1:3" hidden="1">
      <c r="A509">
        <v>326.7</v>
      </c>
      <c r="B509">
        <v>2017</v>
      </c>
      <c r="C509" t="s">
        <v>40</v>
      </c>
    </row>
    <row r="510" spans="1:3" hidden="1">
      <c r="A510">
        <v>319.89999999999998</v>
      </c>
      <c r="B510">
        <v>2018</v>
      </c>
      <c r="C510" t="s">
        <v>40</v>
      </c>
    </row>
    <row r="511" spans="1:3" hidden="1">
      <c r="A511">
        <v>311.89999999999998</v>
      </c>
      <c r="B511">
        <v>2019</v>
      </c>
      <c r="C511" t="s">
        <v>40</v>
      </c>
    </row>
    <row r="512" spans="1:3" hidden="1">
      <c r="A512">
        <v>308.7</v>
      </c>
      <c r="B512">
        <v>2020</v>
      </c>
      <c r="C512" t="s">
        <v>40</v>
      </c>
    </row>
    <row r="513" spans="1:8" hidden="1">
      <c r="A513">
        <v>313.89999999999998</v>
      </c>
      <c r="B513">
        <v>2021</v>
      </c>
      <c r="C513" t="s">
        <v>40</v>
      </c>
    </row>
    <row r="514" spans="1:8" hidden="1">
      <c r="A514">
        <v>339.3</v>
      </c>
      <c r="B514">
        <v>2022</v>
      </c>
      <c r="C514" t="s">
        <v>40</v>
      </c>
    </row>
    <row r="515" spans="1:8" hidden="1">
      <c r="A515">
        <v>50.6</v>
      </c>
      <c r="G515">
        <v>2000</v>
      </c>
      <c r="H515" t="s">
        <v>36</v>
      </c>
    </row>
    <row r="516" spans="1:8" hidden="1">
      <c r="A516">
        <v>51.5</v>
      </c>
      <c r="G516">
        <v>2001</v>
      </c>
      <c r="H516" t="s">
        <v>36</v>
      </c>
    </row>
    <row r="517" spans="1:8" hidden="1">
      <c r="A517">
        <v>56.6</v>
      </c>
      <c r="G517">
        <v>2002</v>
      </c>
      <c r="H517" t="s">
        <v>36</v>
      </c>
    </row>
    <row r="518" spans="1:8" hidden="1">
      <c r="A518">
        <v>52.5</v>
      </c>
      <c r="G518">
        <v>2003</v>
      </c>
      <c r="H518" t="s">
        <v>36</v>
      </c>
    </row>
    <row r="519" spans="1:8" hidden="1">
      <c r="A519">
        <v>50.7</v>
      </c>
      <c r="G519">
        <v>2004</v>
      </c>
      <c r="H519" t="s">
        <v>36</v>
      </c>
    </row>
    <row r="520" spans="1:8" hidden="1">
      <c r="A520">
        <v>46.2</v>
      </c>
      <c r="G520">
        <v>2005</v>
      </c>
      <c r="H520" t="s">
        <v>36</v>
      </c>
    </row>
    <row r="521" spans="1:8" hidden="1">
      <c r="A521">
        <v>54.6</v>
      </c>
      <c r="G521">
        <v>2006</v>
      </c>
      <c r="H521" t="s">
        <v>36</v>
      </c>
    </row>
    <row r="522" spans="1:8" hidden="1">
      <c r="A522">
        <v>55</v>
      </c>
      <c r="G522">
        <v>2007</v>
      </c>
      <c r="H522" t="s">
        <v>36</v>
      </c>
    </row>
    <row r="523" spans="1:8" hidden="1">
      <c r="A523">
        <v>50.4</v>
      </c>
      <c r="G523">
        <v>2008</v>
      </c>
      <c r="H523" t="s">
        <v>36</v>
      </c>
    </row>
    <row r="524" spans="1:8" hidden="1">
      <c r="A524">
        <v>51.8</v>
      </c>
      <c r="G524">
        <v>2009</v>
      </c>
      <c r="H524" t="s">
        <v>36</v>
      </c>
    </row>
    <row r="525" spans="1:8" hidden="1">
      <c r="A525">
        <v>51.7</v>
      </c>
      <c r="G525">
        <v>2010</v>
      </c>
      <c r="H525" t="s">
        <v>36</v>
      </c>
    </row>
    <row r="526" spans="1:8" hidden="1">
      <c r="A526">
        <v>50.9</v>
      </c>
      <c r="G526">
        <v>2011</v>
      </c>
      <c r="H526" t="s">
        <v>36</v>
      </c>
    </row>
    <row r="527" spans="1:8" hidden="1">
      <c r="A527">
        <v>55.3</v>
      </c>
      <c r="G527">
        <v>2012</v>
      </c>
      <c r="H527" t="s">
        <v>36</v>
      </c>
    </row>
    <row r="528" spans="1:8" hidden="1">
      <c r="A528">
        <v>59.2</v>
      </c>
      <c r="G528">
        <v>2013</v>
      </c>
      <c r="H528" t="s">
        <v>36</v>
      </c>
    </row>
    <row r="529" spans="1:8" hidden="1">
      <c r="A529">
        <v>66.5</v>
      </c>
      <c r="G529">
        <v>2014</v>
      </c>
      <c r="H529" t="s">
        <v>36</v>
      </c>
    </row>
    <row r="530" spans="1:8" hidden="1">
      <c r="A530">
        <v>58.8</v>
      </c>
      <c r="G530">
        <v>2015</v>
      </c>
      <c r="H530" t="s">
        <v>36</v>
      </c>
    </row>
    <row r="531" spans="1:8" hidden="1">
      <c r="A531">
        <v>49.9</v>
      </c>
      <c r="G531">
        <v>2016</v>
      </c>
      <c r="H531" t="s">
        <v>36</v>
      </c>
    </row>
    <row r="532" spans="1:8" hidden="1">
      <c r="A532">
        <v>56.3</v>
      </c>
      <c r="G532">
        <v>2017</v>
      </c>
      <c r="H532" t="s">
        <v>36</v>
      </c>
    </row>
    <row r="533" spans="1:8" hidden="1">
      <c r="A533">
        <v>65.5</v>
      </c>
      <c r="G533">
        <v>2018</v>
      </c>
      <c r="H533" t="s">
        <v>36</v>
      </c>
    </row>
    <row r="534" spans="1:8" hidden="1">
      <c r="A534">
        <v>59.2</v>
      </c>
      <c r="G534">
        <v>2019</v>
      </c>
      <c r="H534" t="s">
        <v>36</v>
      </c>
    </row>
    <row r="535" spans="1:8" hidden="1">
      <c r="A535">
        <v>64</v>
      </c>
      <c r="G535">
        <v>2020</v>
      </c>
      <c r="H535" t="s">
        <v>36</v>
      </c>
    </row>
    <row r="536" spans="1:8" hidden="1">
      <c r="A536">
        <v>62.9</v>
      </c>
      <c r="G536">
        <v>2021</v>
      </c>
      <c r="H536" t="s">
        <v>36</v>
      </c>
    </row>
    <row r="537" spans="1:8" hidden="1">
      <c r="A537">
        <v>62.9</v>
      </c>
      <c r="G537">
        <v>2022</v>
      </c>
      <c r="H537" t="s">
        <v>36</v>
      </c>
    </row>
    <row r="538" spans="1:8" hidden="1">
      <c r="A538">
        <v>215.1</v>
      </c>
      <c r="F538" s="48">
        <v>2000</v>
      </c>
      <c r="G538" t="s">
        <v>36</v>
      </c>
    </row>
    <row r="539" spans="1:8" hidden="1">
      <c r="A539">
        <v>273.89999999999998</v>
      </c>
      <c r="F539" s="48">
        <v>2001</v>
      </c>
      <c r="G539" t="s">
        <v>36</v>
      </c>
    </row>
    <row r="540" spans="1:8" hidden="1">
      <c r="A540">
        <v>368.5</v>
      </c>
      <c r="F540" s="48">
        <v>2002</v>
      </c>
      <c r="G540" t="s">
        <v>36</v>
      </c>
    </row>
    <row r="541" spans="1:8" hidden="1">
      <c r="A541">
        <v>368.7</v>
      </c>
      <c r="F541" s="48">
        <v>2003</v>
      </c>
      <c r="G541" t="s">
        <v>36</v>
      </c>
    </row>
    <row r="542" spans="1:8" hidden="1">
      <c r="A542">
        <v>372.9</v>
      </c>
      <c r="F542" s="48">
        <v>2004</v>
      </c>
      <c r="G542" t="s">
        <v>36</v>
      </c>
    </row>
    <row r="543" spans="1:8" hidden="1">
      <c r="A543">
        <v>110.8</v>
      </c>
      <c r="F543" s="48">
        <v>2005</v>
      </c>
      <c r="G543" t="s">
        <v>36</v>
      </c>
    </row>
    <row r="544" spans="1:8" hidden="1">
      <c r="A544">
        <v>98.1</v>
      </c>
      <c r="F544" s="48">
        <v>2006</v>
      </c>
      <c r="G544" t="s">
        <v>36</v>
      </c>
    </row>
    <row r="545" spans="1:7" hidden="1">
      <c r="A545">
        <v>104.3</v>
      </c>
      <c r="F545" s="48">
        <v>2007</v>
      </c>
      <c r="G545" t="s">
        <v>36</v>
      </c>
    </row>
    <row r="546" spans="1:7" hidden="1">
      <c r="A546">
        <v>22.6</v>
      </c>
      <c r="F546" s="48">
        <v>2008</v>
      </c>
      <c r="G546" t="s">
        <v>36</v>
      </c>
    </row>
    <row r="547" spans="1:7" hidden="1">
      <c r="A547">
        <v>26.3</v>
      </c>
      <c r="F547" s="48">
        <v>2009</v>
      </c>
      <c r="G547" t="s">
        <v>36</v>
      </c>
    </row>
    <row r="548" spans="1:7" hidden="1">
      <c r="A548">
        <v>0.9</v>
      </c>
      <c r="F548" s="48">
        <v>2010</v>
      </c>
      <c r="G548" t="s">
        <v>36</v>
      </c>
    </row>
    <row r="549" spans="1:7" hidden="1">
      <c r="A549">
        <v>1.3</v>
      </c>
      <c r="F549" s="48">
        <v>2011</v>
      </c>
      <c r="G549" t="s">
        <v>36</v>
      </c>
    </row>
    <row r="550" spans="1:7" hidden="1">
      <c r="A550">
        <v>5.6</v>
      </c>
      <c r="F550" s="48">
        <v>2012</v>
      </c>
      <c r="G550" t="s">
        <v>36</v>
      </c>
    </row>
    <row r="551" spans="1:7" hidden="1">
      <c r="A551">
        <v>4.8</v>
      </c>
      <c r="F551" s="48">
        <v>2013</v>
      </c>
      <c r="G551" t="s">
        <v>36</v>
      </c>
    </row>
    <row r="552" spans="1:7" hidden="1">
      <c r="A552">
        <v>4.7</v>
      </c>
      <c r="F552" s="48">
        <v>2014</v>
      </c>
      <c r="G552" t="s">
        <v>36</v>
      </c>
    </row>
    <row r="553" spans="1:7" hidden="1">
      <c r="A553">
        <v>4.9000000000000004</v>
      </c>
      <c r="F553" s="48">
        <v>2015</v>
      </c>
      <c r="G553" t="s">
        <v>36</v>
      </c>
    </row>
    <row r="554" spans="1:7" hidden="1">
      <c r="A554">
        <v>5.3</v>
      </c>
      <c r="F554" s="48">
        <v>2016</v>
      </c>
      <c r="G554" t="s">
        <v>36</v>
      </c>
    </row>
    <row r="555" spans="1:7" hidden="1">
      <c r="A555">
        <v>5</v>
      </c>
      <c r="F555" s="48">
        <v>2017</v>
      </c>
      <c r="G555" t="s">
        <v>36</v>
      </c>
    </row>
    <row r="556" spans="1:7" hidden="1">
      <c r="A556">
        <v>0.1</v>
      </c>
      <c r="F556" s="48">
        <v>2018</v>
      </c>
      <c r="G556" t="s">
        <v>36</v>
      </c>
    </row>
    <row r="557" spans="1:7" hidden="1">
      <c r="A557">
        <v>0.1</v>
      </c>
      <c r="F557" s="48">
        <v>2019</v>
      </c>
      <c r="G557" t="s">
        <v>36</v>
      </c>
    </row>
    <row r="558" spans="1:7" hidden="1">
      <c r="A558">
        <v>0</v>
      </c>
      <c r="F558" s="48">
        <v>2020</v>
      </c>
      <c r="G558" t="s">
        <v>36</v>
      </c>
    </row>
    <row r="559" spans="1:7" hidden="1">
      <c r="A559">
        <v>0</v>
      </c>
      <c r="F559" s="48">
        <v>2021</v>
      </c>
      <c r="G559" t="s">
        <v>36</v>
      </c>
    </row>
    <row r="560" spans="1:7" hidden="1">
      <c r="A560">
        <v>0</v>
      </c>
      <c r="F560" s="48">
        <v>2022</v>
      </c>
      <c r="G560" t="s">
        <v>36</v>
      </c>
    </row>
    <row r="561" spans="1:10">
      <c r="A561">
        <v>5093.1000000000004</v>
      </c>
      <c r="E561">
        <v>2000</v>
      </c>
      <c r="F561" s="48" t="s">
        <v>36</v>
      </c>
      <c r="I561">
        <f t="shared" ref="I561:I583" si="4">E561</f>
        <v>2000</v>
      </c>
      <c r="J561">
        <f t="shared" ref="J561:J583" si="5">A561</f>
        <v>5093.1000000000004</v>
      </c>
    </row>
    <row r="562" spans="1:10">
      <c r="A562">
        <v>4634</v>
      </c>
      <c r="E562">
        <v>2001</v>
      </c>
      <c r="F562" s="48" t="s">
        <v>36</v>
      </c>
      <c r="I562">
        <f t="shared" si="4"/>
        <v>2001</v>
      </c>
      <c r="J562">
        <f t="shared" si="5"/>
        <v>4634</v>
      </c>
    </row>
    <row r="563" spans="1:10">
      <c r="A563">
        <v>4388.3999999999996</v>
      </c>
      <c r="E563">
        <v>2002</v>
      </c>
      <c r="F563" s="48" t="s">
        <v>36</v>
      </c>
      <c r="I563">
        <f t="shared" si="4"/>
        <v>2002</v>
      </c>
      <c r="J563">
        <f t="shared" si="5"/>
        <v>4388.3999999999996</v>
      </c>
    </row>
    <row r="564" spans="1:10">
      <c r="A564">
        <v>4283.5</v>
      </c>
      <c r="E564">
        <v>2003</v>
      </c>
      <c r="F564" s="48" t="s">
        <v>36</v>
      </c>
      <c r="I564">
        <f t="shared" si="4"/>
        <v>2003</v>
      </c>
      <c r="J564">
        <f t="shared" si="5"/>
        <v>4283.5</v>
      </c>
    </row>
    <row r="565" spans="1:10">
      <c r="A565">
        <v>4177.3999999999996</v>
      </c>
      <c r="E565">
        <v>2004</v>
      </c>
      <c r="F565" s="48" t="s">
        <v>36</v>
      </c>
      <c r="I565">
        <f t="shared" si="4"/>
        <v>2004</v>
      </c>
      <c r="J565">
        <f t="shared" si="5"/>
        <v>4177.3999999999996</v>
      </c>
    </row>
    <row r="566" spans="1:10">
      <c r="A566">
        <v>4236.2</v>
      </c>
      <c r="E566">
        <v>2005</v>
      </c>
      <c r="F566" s="48" t="s">
        <v>36</v>
      </c>
      <c r="I566">
        <f t="shared" si="4"/>
        <v>2005</v>
      </c>
      <c r="J566">
        <f t="shared" si="5"/>
        <v>4236.2</v>
      </c>
    </row>
    <row r="567" spans="1:10">
      <c r="A567">
        <v>4296</v>
      </c>
      <c r="E567">
        <v>2006</v>
      </c>
      <c r="F567" s="48" t="s">
        <v>36</v>
      </c>
      <c r="I567">
        <f t="shared" si="4"/>
        <v>2006</v>
      </c>
      <c r="J567">
        <f t="shared" si="5"/>
        <v>4296</v>
      </c>
    </row>
    <row r="568" spans="1:10">
      <c r="A568">
        <v>4154.7</v>
      </c>
      <c r="E568">
        <v>2007</v>
      </c>
      <c r="F568" s="48" t="s">
        <v>36</v>
      </c>
      <c r="I568">
        <f t="shared" si="4"/>
        <v>2007</v>
      </c>
      <c r="J568">
        <f t="shared" si="5"/>
        <v>4154.7</v>
      </c>
    </row>
    <row r="569" spans="1:10">
      <c r="A569">
        <v>4170.1000000000004</v>
      </c>
      <c r="E569">
        <v>2008</v>
      </c>
      <c r="F569" s="48" t="s">
        <v>36</v>
      </c>
      <c r="I569">
        <f t="shared" si="4"/>
        <v>2008</v>
      </c>
      <c r="J569">
        <f t="shared" si="5"/>
        <v>4170.1000000000004</v>
      </c>
    </row>
    <row r="570" spans="1:10">
      <c r="A570">
        <v>4178.2</v>
      </c>
      <c r="E570">
        <v>2009</v>
      </c>
      <c r="F570" s="48" t="s">
        <v>36</v>
      </c>
      <c r="I570">
        <f t="shared" si="4"/>
        <v>2009</v>
      </c>
      <c r="J570">
        <f t="shared" si="5"/>
        <v>4178.2</v>
      </c>
    </row>
    <row r="571" spans="1:10">
      <c r="A571">
        <v>3522</v>
      </c>
      <c r="E571">
        <v>2010</v>
      </c>
      <c r="F571" s="48" t="s">
        <v>36</v>
      </c>
      <c r="I571">
        <f t="shared" si="4"/>
        <v>2010</v>
      </c>
      <c r="J571">
        <f t="shared" si="5"/>
        <v>3522</v>
      </c>
    </row>
    <row r="572" spans="1:10">
      <c r="A572">
        <v>3382.6</v>
      </c>
      <c r="E572">
        <v>2011</v>
      </c>
      <c r="F572" s="48" t="s">
        <v>36</v>
      </c>
      <c r="I572">
        <f t="shared" si="4"/>
        <v>2011</v>
      </c>
      <c r="J572">
        <f t="shared" si="5"/>
        <v>3382.6</v>
      </c>
    </row>
    <row r="573" spans="1:10">
      <c r="A573">
        <v>3384.4</v>
      </c>
      <c r="E573">
        <v>2012</v>
      </c>
      <c r="F573" s="48" t="s">
        <v>36</v>
      </c>
      <c r="I573">
        <f t="shared" si="4"/>
        <v>2012</v>
      </c>
      <c r="J573">
        <f t="shared" si="5"/>
        <v>3384.4</v>
      </c>
    </row>
    <row r="574" spans="1:10">
      <c r="A574">
        <v>2970</v>
      </c>
      <c r="E574">
        <v>2013</v>
      </c>
      <c r="F574" s="48" t="s">
        <v>36</v>
      </c>
      <c r="I574">
        <f t="shared" si="4"/>
        <v>2013</v>
      </c>
      <c r="J574">
        <f t="shared" si="5"/>
        <v>2970</v>
      </c>
    </row>
    <row r="575" spans="1:10">
      <c r="A575">
        <v>2652.8</v>
      </c>
      <c r="E575">
        <v>2014</v>
      </c>
      <c r="F575" s="48" t="s">
        <v>36</v>
      </c>
      <c r="I575">
        <f t="shared" si="4"/>
        <v>2014</v>
      </c>
      <c r="J575">
        <f t="shared" si="5"/>
        <v>2652.8</v>
      </c>
    </row>
    <row r="576" spans="1:10">
      <c r="A576">
        <v>2163</v>
      </c>
      <c r="E576">
        <v>2015</v>
      </c>
      <c r="F576" s="48" t="s">
        <v>36</v>
      </c>
      <c r="I576">
        <f t="shared" si="4"/>
        <v>2015</v>
      </c>
      <c r="J576">
        <f t="shared" si="5"/>
        <v>2163</v>
      </c>
    </row>
    <row r="577" spans="1:10">
      <c r="A577">
        <v>2834.5</v>
      </c>
      <c r="E577">
        <v>2016</v>
      </c>
      <c r="F577" s="48" t="s">
        <v>36</v>
      </c>
      <c r="I577">
        <f t="shared" si="4"/>
        <v>2016</v>
      </c>
      <c r="J577">
        <f t="shared" si="5"/>
        <v>2834.5</v>
      </c>
    </row>
    <row r="578" spans="1:10">
      <c r="A578">
        <v>2497.1999999999998</v>
      </c>
      <c r="E578">
        <v>2017</v>
      </c>
      <c r="F578" s="48" t="s">
        <v>36</v>
      </c>
      <c r="I578">
        <f t="shared" si="4"/>
        <v>2017</v>
      </c>
      <c r="J578">
        <f t="shared" si="5"/>
        <v>2497.1999999999998</v>
      </c>
    </row>
    <row r="579" spans="1:10">
      <c r="A579">
        <v>2239.6999999999998</v>
      </c>
      <c r="E579">
        <v>2018</v>
      </c>
      <c r="F579" s="48" t="s">
        <v>36</v>
      </c>
      <c r="I579">
        <f t="shared" si="4"/>
        <v>2018</v>
      </c>
      <c r="J579">
        <f t="shared" si="5"/>
        <v>2239.6999999999998</v>
      </c>
    </row>
    <row r="580" spans="1:10">
      <c r="A580">
        <v>2604.9</v>
      </c>
      <c r="E580">
        <v>2019</v>
      </c>
      <c r="F580" s="48" t="s">
        <v>36</v>
      </c>
      <c r="I580">
        <f t="shared" si="4"/>
        <v>2019</v>
      </c>
      <c r="J580">
        <f t="shared" si="5"/>
        <v>2604.9</v>
      </c>
    </row>
    <row r="581" spans="1:10">
      <c r="A581">
        <v>2134.4</v>
      </c>
      <c r="E581">
        <v>2020</v>
      </c>
      <c r="F581" s="48" t="s">
        <v>36</v>
      </c>
      <c r="I581">
        <f t="shared" si="4"/>
        <v>2020</v>
      </c>
      <c r="J581">
        <f t="shared" si="5"/>
        <v>2134.4</v>
      </c>
    </row>
    <row r="582" spans="1:10">
      <c r="A582">
        <v>2256.5</v>
      </c>
      <c r="E582">
        <v>2021</v>
      </c>
      <c r="F582" s="48" t="s">
        <v>36</v>
      </c>
      <c r="I582">
        <f t="shared" si="4"/>
        <v>2021</v>
      </c>
      <c r="J582">
        <f t="shared" si="5"/>
        <v>2256.5</v>
      </c>
    </row>
    <row r="583" spans="1:10">
      <c r="A583">
        <v>3302.7</v>
      </c>
      <c r="E583">
        <v>2022</v>
      </c>
      <c r="F583" s="48" t="s">
        <v>36</v>
      </c>
      <c r="I583">
        <f t="shared" si="4"/>
        <v>2022</v>
      </c>
      <c r="J583">
        <f t="shared" si="5"/>
        <v>3302.7</v>
      </c>
    </row>
    <row r="584" spans="1:10" hidden="1">
      <c r="A584">
        <v>1527.6</v>
      </c>
      <c r="D584">
        <v>2000</v>
      </c>
      <c r="E584" t="s">
        <v>36</v>
      </c>
    </row>
    <row r="585" spans="1:10" hidden="1">
      <c r="A585">
        <v>1402.5</v>
      </c>
      <c r="D585">
        <v>2001</v>
      </c>
      <c r="E585" t="s">
        <v>36</v>
      </c>
    </row>
    <row r="586" spans="1:10" hidden="1">
      <c r="A586">
        <v>1370.6</v>
      </c>
      <c r="D586">
        <v>2002</v>
      </c>
      <c r="E586" t="s">
        <v>36</v>
      </c>
    </row>
    <row r="587" spans="1:10" hidden="1">
      <c r="A587">
        <v>1408.9</v>
      </c>
      <c r="D587">
        <v>2003</v>
      </c>
      <c r="E587" t="s">
        <v>36</v>
      </c>
    </row>
    <row r="588" spans="1:10" hidden="1">
      <c r="A588">
        <v>1348</v>
      </c>
      <c r="D588">
        <v>2004</v>
      </c>
      <c r="E588" t="s">
        <v>36</v>
      </c>
    </row>
    <row r="589" spans="1:10" hidden="1">
      <c r="A589">
        <v>1253.5</v>
      </c>
      <c r="D589">
        <v>2005</v>
      </c>
      <c r="E589" t="s">
        <v>36</v>
      </c>
    </row>
    <row r="590" spans="1:10" hidden="1">
      <c r="A590">
        <v>1335.7</v>
      </c>
      <c r="D590">
        <v>2006</v>
      </c>
      <c r="E590" t="s">
        <v>36</v>
      </c>
    </row>
    <row r="591" spans="1:10" hidden="1">
      <c r="A591">
        <v>1258.5999999999999</v>
      </c>
      <c r="D591">
        <v>2007</v>
      </c>
      <c r="E591" t="s">
        <v>36</v>
      </c>
    </row>
    <row r="592" spans="1:10" hidden="1">
      <c r="A592">
        <v>1215.9000000000001</v>
      </c>
      <c r="D592">
        <v>2008</v>
      </c>
      <c r="E592" t="s">
        <v>36</v>
      </c>
    </row>
    <row r="593" spans="1:5" hidden="1">
      <c r="A593">
        <v>1089.9000000000001</v>
      </c>
      <c r="D593">
        <v>2009</v>
      </c>
      <c r="E593" t="s">
        <v>36</v>
      </c>
    </row>
    <row r="594" spans="1:5" hidden="1">
      <c r="A594">
        <v>1164.0999999999999</v>
      </c>
      <c r="D594">
        <v>2010</v>
      </c>
      <c r="E594" t="s">
        <v>36</v>
      </c>
    </row>
    <row r="595" spans="1:5" hidden="1">
      <c r="A595">
        <v>1141.5999999999999</v>
      </c>
      <c r="D595">
        <v>2011</v>
      </c>
      <c r="E595" t="s">
        <v>36</v>
      </c>
    </row>
    <row r="596" spans="1:5" hidden="1">
      <c r="A596">
        <v>1122.7</v>
      </c>
      <c r="D596">
        <v>2012</v>
      </c>
      <c r="E596" t="s">
        <v>36</v>
      </c>
    </row>
    <row r="597" spans="1:5" hidden="1">
      <c r="A597">
        <v>1025.8</v>
      </c>
      <c r="D597">
        <v>2013</v>
      </c>
      <c r="E597" t="s">
        <v>36</v>
      </c>
    </row>
    <row r="598" spans="1:5" hidden="1">
      <c r="A598">
        <v>1036.5999999999999</v>
      </c>
      <c r="D598">
        <v>2014</v>
      </c>
      <c r="E598" t="s">
        <v>36</v>
      </c>
    </row>
    <row r="599" spans="1:5" hidden="1">
      <c r="A599">
        <v>954</v>
      </c>
      <c r="D599">
        <v>2015</v>
      </c>
      <c r="E599" t="s">
        <v>36</v>
      </c>
    </row>
    <row r="600" spans="1:5" hidden="1">
      <c r="A600">
        <v>957</v>
      </c>
      <c r="D600">
        <v>2016</v>
      </c>
      <c r="E600" t="s">
        <v>36</v>
      </c>
    </row>
    <row r="601" spans="1:5" hidden="1">
      <c r="A601">
        <v>1041.8</v>
      </c>
      <c r="D601">
        <v>2017</v>
      </c>
      <c r="E601" t="s">
        <v>36</v>
      </c>
    </row>
    <row r="602" spans="1:5" hidden="1">
      <c r="A602">
        <v>1022.9</v>
      </c>
      <c r="D602">
        <v>2018</v>
      </c>
      <c r="E602" t="s">
        <v>36</v>
      </c>
    </row>
    <row r="603" spans="1:5" hidden="1">
      <c r="A603">
        <v>980.9</v>
      </c>
      <c r="D603">
        <v>2019</v>
      </c>
      <c r="E603" t="s">
        <v>36</v>
      </c>
    </row>
    <row r="604" spans="1:5" hidden="1">
      <c r="A604">
        <v>968</v>
      </c>
      <c r="D604">
        <v>2020</v>
      </c>
      <c r="E604" t="s">
        <v>36</v>
      </c>
    </row>
    <row r="605" spans="1:5" hidden="1">
      <c r="A605">
        <v>1049.2</v>
      </c>
      <c r="D605">
        <v>2021</v>
      </c>
      <c r="E605" t="s">
        <v>36</v>
      </c>
    </row>
    <row r="606" spans="1:5" hidden="1">
      <c r="A606">
        <v>1653.9</v>
      </c>
      <c r="D606">
        <v>2022</v>
      </c>
      <c r="E606" t="s">
        <v>36</v>
      </c>
    </row>
    <row r="607" spans="1:5" hidden="1">
      <c r="A607">
        <v>33.1</v>
      </c>
      <c r="C607">
        <v>2000</v>
      </c>
      <c r="D607" t="s">
        <v>36</v>
      </c>
    </row>
    <row r="608" spans="1:5" hidden="1">
      <c r="A608">
        <v>30.5</v>
      </c>
      <c r="C608">
        <v>2001</v>
      </c>
      <c r="D608" t="s">
        <v>36</v>
      </c>
    </row>
    <row r="609" spans="1:4" hidden="1">
      <c r="A609">
        <v>33.200000000000003</v>
      </c>
      <c r="C609">
        <v>2002</v>
      </c>
      <c r="D609" t="s">
        <v>36</v>
      </c>
    </row>
    <row r="610" spans="1:4" hidden="1">
      <c r="A610">
        <v>22</v>
      </c>
      <c r="C610">
        <v>2003</v>
      </c>
      <c r="D610" t="s">
        <v>36</v>
      </c>
    </row>
    <row r="611" spans="1:4" hidden="1">
      <c r="A611">
        <v>37.700000000000003</v>
      </c>
      <c r="C611">
        <v>2004</v>
      </c>
      <c r="D611" t="s">
        <v>36</v>
      </c>
    </row>
    <row r="612" spans="1:4" hidden="1">
      <c r="A612">
        <v>30.7</v>
      </c>
      <c r="C612">
        <v>2005</v>
      </c>
      <c r="D612" t="s">
        <v>36</v>
      </c>
    </row>
    <row r="613" spans="1:4" hidden="1">
      <c r="A613">
        <v>35.799999999999997</v>
      </c>
      <c r="C613">
        <v>2006</v>
      </c>
      <c r="D613" t="s">
        <v>36</v>
      </c>
    </row>
    <row r="614" spans="1:4" hidden="1">
      <c r="A614">
        <v>37.5</v>
      </c>
      <c r="C614">
        <v>2007</v>
      </c>
      <c r="D614" t="s">
        <v>36</v>
      </c>
    </row>
    <row r="615" spans="1:4" hidden="1">
      <c r="A615">
        <v>41.1</v>
      </c>
      <c r="C615">
        <v>2008</v>
      </c>
      <c r="D615" t="s">
        <v>36</v>
      </c>
    </row>
    <row r="616" spans="1:4" hidden="1">
      <c r="A616">
        <v>41.8</v>
      </c>
      <c r="C616">
        <v>2009</v>
      </c>
      <c r="D616" t="s">
        <v>36</v>
      </c>
    </row>
    <row r="617" spans="1:4" hidden="1">
      <c r="A617">
        <v>39.9</v>
      </c>
      <c r="C617">
        <v>2010</v>
      </c>
      <c r="D617" t="s">
        <v>36</v>
      </c>
    </row>
    <row r="618" spans="1:4" hidden="1">
      <c r="A618">
        <v>40.5</v>
      </c>
      <c r="C618">
        <v>2011</v>
      </c>
      <c r="D618" t="s">
        <v>36</v>
      </c>
    </row>
    <row r="619" spans="1:4" hidden="1">
      <c r="A619">
        <v>39.700000000000003</v>
      </c>
      <c r="C619">
        <v>2012</v>
      </c>
      <c r="D619" t="s">
        <v>36</v>
      </c>
    </row>
    <row r="620" spans="1:4" hidden="1">
      <c r="A620">
        <v>38.700000000000003</v>
      </c>
      <c r="C620">
        <v>2013</v>
      </c>
      <c r="D620" t="s">
        <v>36</v>
      </c>
    </row>
    <row r="621" spans="1:4" hidden="1">
      <c r="A621">
        <v>37.700000000000003</v>
      </c>
      <c r="C621">
        <v>2014</v>
      </c>
      <c r="D621" t="s">
        <v>36</v>
      </c>
    </row>
    <row r="622" spans="1:4" hidden="1">
      <c r="A622">
        <v>38.700000000000003</v>
      </c>
      <c r="C622">
        <v>2015</v>
      </c>
      <c r="D622" t="s">
        <v>36</v>
      </c>
    </row>
    <row r="623" spans="1:4" hidden="1">
      <c r="A623">
        <v>39.9</v>
      </c>
      <c r="C623">
        <v>2016</v>
      </c>
      <c r="D623" t="s">
        <v>36</v>
      </c>
    </row>
    <row r="624" spans="1:4" hidden="1">
      <c r="A624">
        <v>39.4</v>
      </c>
      <c r="C624">
        <v>2017</v>
      </c>
      <c r="D624" t="s">
        <v>36</v>
      </c>
    </row>
    <row r="625" spans="1:4" hidden="1">
      <c r="A625">
        <v>42.1</v>
      </c>
      <c r="C625">
        <v>2018</v>
      </c>
      <c r="D625" t="s">
        <v>36</v>
      </c>
    </row>
    <row r="626" spans="1:4" hidden="1">
      <c r="A626">
        <v>44.8</v>
      </c>
      <c r="C626">
        <v>2019</v>
      </c>
      <c r="D626" t="s">
        <v>36</v>
      </c>
    </row>
    <row r="627" spans="1:4" hidden="1">
      <c r="A627">
        <v>43.5</v>
      </c>
      <c r="C627">
        <v>2020</v>
      </c>
      <c r="D627" t="s">
        <v>36</v>
      </c>
    </row>
    <row r="628" spans="1:4" hidden="1">
      <c r="A628">
        <v>43.5</v>
      </c>
      <c r="C628">
        <v>2021</v>
      </c>
      <c r="D628" t="s">
        <v>36</v>
      </c>
    </row>
    <row r="629" spans="1:4" hidden="1">
      <c r="A629">
        <v>0</v>
      </c>
      <c r="C629">
        <v>2022</v>
      </c>
      <c r="D629" t="s">
        <v>36</v>
      </c>
    </row>
    <row r="630" spans="1:4" hidden="1">
      <c r="A630">
        <v>727.6</v>
      </c>
      <c r="B630">
        <v>2000</v>
      </c>
      <c r="C630" t="s">
        <v>36</v>
      </c>
    </row>
    <row r="631" spans="1:4" hidden="1">
      <c r="A631">
        <v>720.9</v>
      </c>
      <c r="B631">
        <v>2001</v>
      </c>
      <c r="C631" t="s">
        <v>36</v>
      </c>
    </row>
    <row r="632" spans="1:4" hidden="1">
      <c r="A632">
        <v>726</v>
      </c>
      <c r="B632">
        <v>2002</v>
      </c>
      <c r="C632" t="s">
        <v>36</v>
      </c>
    </row>
    <row r="633" spans="1:4" hidden="1">
      <c r="A633">
        <v>735.6</v>
      </c>
      <c r="B633">
        <v>2003</v>
      </c>
      <c r="C633" t="s">
        <v>36</v>
      </c>
    </row>
    <row r="634" spans="1:4" hidden="1">
      <c r="A634">
        <v>723.5</v>
      </c>
      <c r="B634">
        <v>2004</v>
      </c>
      <c r="C634" t="s">
        <v>36</v>
      </c>
    </row>
    <row r="635" spans="1:4" hidden="1">
      <c r="A635">
        <v>720.3</v>
      </c>
      <c r="B635">
        <v>2005</v>
      </c>
      <c r="C635" t="s">
        <v>36</v>
      </c>
    </row>
    <row r="636" spans="1:4" hidden="1">
      <c r="A636">
        <v>720.9</v>
      </c>
      <c r="B636">
        <v>2006</v>
      </c>
      <c r="C636" t="s">
        <v>36</v>
      </c>
    </row>
    <row r="637" spans="1:4" hidden="1">
      <c r="A637">
        <v>709.3</v>
      </c>
      <c r="B637">
        <v>2007</v>
      </c>
      <c r="C637" t="s">
        <v>36</v>
      </c>
    </row>
    <row r="638" spans="1:4" hidden="1">
      <c r="A638">
        <v>699.6</v>
      </c>
      <c r="B638">
        <v>2008</v>
      </c>
      <c r="C638" t="s">
        <v>36</v>
      </c>
    </row>
    <row r="639" spans="1:4" hidden="1">
      <c r="A639">
        <v>709.3</v>
      </c>
      <c r="B639">
        <v>2009</v>
      </c>
      <c r="C639" t="s">
        <v>36</v>
      </c>
    </row>
    <row r="640" spans="1:4" hidden="1">
      <c r="A640">
        <v>715.2</v>
      </c>
      <c r="B640">
        <v>2010</v>
      </c>
      <c r="C640" t="s">
        <v>36</v>
      </c>
    </row>
    <row r="641" spans="1:8" hidden="1">
      <c r="A641">
        <v>735.4</v>
      </c>
      <c r="B641">
        <v>2011</v>
      </c>
      <c r="C641" t="s">
        <v>36</v>
      </c>
    </row>
    <row r="642" spans="1:8" hidden="1">
      <c r="A642">
        <v>724.9</v>
      </c>
      <c r="B642">
        <v>2012</v>
      </c>
      <c r="C642" t="s">
        <v>36</v>
      </c>
    </row>
    <row r="643" spans="1:8" hidden="1">
      <c r="A643">
        <v>733.6</v>
      </c>
      <c r="B643">
        <v>2013</v>
      </c>
      <c r="C643" t="s">
        <v>36</v>
      </c>
    </row>
    <row r="644" spans="1:8" hidden="1">
      <c r="A644">
        <v>720.8</v>
      </c>
      <c r="B644">
        <v>2014</v>
      </c>
      <c r="C644" t="s">
        <v>36</v>
      </c>
    </row>
    <row r="645" spans="1:8" hidden="1">
      <c r="A645">
        <v>739.5</v>
      </c>
      <c r="B645">
        <v>2015</v>
      </c>
      <c r="C645" t="s">
        <v>36</v>
      </c>
    </row>
    <row r="646" spans="1:8" hidden="1">
      <c r="A646">
        <v>728.1</v>
      </c>
      <c r="B646">
        <v>2016</v>
      </c>
      <c r="C646" t="s">
        <v>36</v>
      </c>
    </row>
    <row r="647" spans="1:8" hidden="1">
      <c r="A647">
        <v>736.7</v>
      </c>
      <c r="B647">
        <v>2017</v>
      </c>
      <c r="C647" t="s">
        <v>36</v>
      </c>
    </row>
    <row r="648" spans="1:8" hidden="1">
      <c r="A648">
        <v>747.1</v>
      </c>
      <c r="B648">
        <v>2018</v>
      </c>
      <c r="C648" t="s">
        <v>36</v>
      </c>
    </row>
    <row r="649" spans="1:8" hidden="1">
      <c r="A649">
        <v>743.1</v>
      </c>
      <c r="B649">
        <v>2019</v>
      </c>
      <c r="C649" t="s">
        <v>36</v>
      </c>
    </row>
    <row r="650" spans="1:8" hidden="1">
      <c r="A650">
        <v>757.5</v>
      </c>
      <c r="B650">
        <v>2020</v>
      </c>
      <c r="C650" t="s">
        <v>36</v>
      </c>
    </row>
    <row r="651" spans="1:8" hidden="1">
      <c r="A651">
        <v>853.1</v>
      </c>
      <c r="B651">
        <v>2021</v>
      </c>
      <c r="C651" t="s">
        <v>36</v>
      </c>
    </row>
    <row r="652" spans="1:8" hidden="1">
      <c r="A652">
        <v>740.2</v>
      </c>
      <c r="B652">
        <v>2022</v>
      </c>
      <c r="C652" t="s">
        <v>36</v>
      </c>
    </row>
    <row r="653" spans="1:8" hidden="1">
      <c r="A653">
        <v>236.1</v>
      </c>
      <c r="G653">
        <v>2000</v>
      </c>
      <c r="H653" t="s">
        <v>258</v>
      </c>
    </row>
    <row r="654" spans="1:8" hidden="1">
      <c r="A654">
        <v>246.3</v>
      </c>
      <c r="G654">
        <v>2001</v>
      </c>
      <c r="H654" t="s">
        <v>258</v>
      </c>
    </row>
    <row r="655" spans="1:8" hidden="1">
      <c r="A655">
        <v>251</v>
      </c>
      <c r="G655">
        <v>2002</v>
      </c>
      <c r="H655" t="s">
        <v>258</v>
      </c>
    </row>
    <row r="656" spans="1:8" hidden="1">
      <c r="A656">
        <v>395.1</v>
      </c>
      <c r="G656">
        <v>2003</v>
      </c>
      <c r="H656" t="s">
        <v>258</v>
      </c>
    </row>
    <row r="657" spans="1:8" hidden="1">
      <c r="A657">
        <v>280.2</v>
      </c>
      <c r="G657">
        <v>2004</v>
      </c>
      <c r="H657" t="s">
        <v>258</v>
      </c>
    </row>
    <row r="658" spans="1:8" hidden="1">
      <c r="A658">
        <v>303.8</v>
      </c>
      <c r="G658">
        <v>2005</v>
      </c>
      <c r="H658" t="s">
        <v>258</v>
      </c>
    </row>
    <row r="659" spans="1:8" hidden="1">
      <c r="A659">
        <v>374</v>
      </c>
      <c r="G659">
        <v>2006</v>
      </c>
      <c r="H659" t="s">
        <v>258</v>
      </c>
    </row>
    <row r="660" spans="1:8" hidden="1">
      <c r="A660">
        <v>291.39999999999998</v>
      </c>
      <c r="G660">
        <v>2007</v>
      </c>
      <c r="H660" t="s">
        <v>258</v>
      </c>
    </row>
    <row r="661" spans="1:8" hidden="1">
      <c r="A661">
        <v>269.60000000000002</v>
      </c>
      <c r="G661">
        <v>2008</v>
      </c>
      <c r="H661" t="s">
        <v>258</v>
      </c>
    </row>
    <row r="662" spans="1:8" hidden="1">
      <c r="A662">
        <v>245.4</v>
      </c>
      <c r="G662">
        <v>2009</v>
      </c>
      <c r="H662" t="s">
        <v>258</v>
      </c>
    </row>
    <row r="663" spans="1:8" hidden="1">
      <c r="A663">
        <v>249.1</v>
      </c>
      <c r="G663">
        <v>2010</v>
      </c>
      <c r="H663" t="s">
        <v>258</v>
      </c>
    </row>
    <row r="664" spans="1:8" hidden="1">
      <c r="A664">
        <v>164.1</v>
      </c>
      <c r="G664">
        <v>2011</v>
      </c>
      <c r="H664" t="s">
        <v>258</v>
      </c>
    </row>
    <row r="665" spans="1:8" hidden="1">
      <c r="A665">
        <v>160.4</v>
      </c>
      <c r="G665">
        <v>2012</v>
      </c>
      <c r="H665" t="s">
        <v>258</v>
      </c>
    </row>
    <row r="666" spans="1:8" hidden="1">
      <c r="A666">
        <v>256.39999999999998</v>
      </c>
      <c r="G666">
        <v>2013</v>
      </c>
      <c r="H666" t="s">
        <v>258</v>
      </c>
    </row>
    <row r="667" spans="1:8" hidden="1">
      <c r="A667">
        <v>143.6</v>
      </c>
      <c r="G667">
        <v>2014</v>
      </c>
      <c r="H667" t="s">
        <v>258</v>
      </c>
    </row>
    <row r="668" spans="1:8" hidden="1">
      <c r="A668">
        <v>243.9</v>
      </c>
      <c r="G668">
        <v>2015</v>
      </c>
      <c r="H668" t="s">
        <v>258</v>
      </c>
    </row>
    <row r="669" spans="1:8" hidden="1">
      <c r="A669">
        <v>192.1</v>
      </c>
      <c r="G669">
        <v>2016</v>
      </c>
      <c r="H669" t="s">
        <v>258</v>
      </c>
    </row>
    <row r="670" spans="1:8" hidden="1">
      <c r="A670">
        <v>221.4</v>
      </c>
      <c r="G670">
        <v>2017</v>
      </c>
      <c r="H670" t="s">
        <v>258</v>
      </c>
    </row>
    <row r="671" spans="1:8" hidden="1">
      <c r="A671">
        <v>166.2</v>
      </c>
      <c r="G671">
        <v>2018</v>
      </c>
      <c r="H671" t="s">
        <v>258</v>
      </c>
    </row>
    <row r="672" spans="1:8" hidden="1">
      <c r="A672">
        <v>165</v>
      </c>
      <c r="G672">
        <v>2019</v>
      </c>
      <c r="H672" t="s">
        <v>258</v>
      </c>
    </row>
    <row r="673" spans="1:8" hidden="1">
      <c r="A673">
        <v>186.9</v>
      </c>
      <c r="G673">
        <v>2020</v>
      </c>
      <c r="H673" t="s">
        <v>258</v>
      </c>
    </row>
    <row r="674" spans="1:8" hidden="1">
      <c r="A674">
        <v>202.3</v>
      </c>
      <c r="G674">
        <v>2021</v>
      </c>
      <c r="H674" t="s">
        <v>258</v>
      </c>
    </row>
    <row r="675" spans="1:8" hidden="1">
      <c r="A675">
        <v>168</v>
      </c>
      <c r="G675">
        <v>2022</v>
      </c>
      <c r="H675" t="s">
        <v>258</v>
      </c>
    </row>
    <row r="676" spans="1:8" hidden="1">
      <c r="A676">
        <v>0</v>
      </c>
      <c r="F676" s="48">
        <v>2000</v>
      </c>
      <c r="G676" t="s">
        <v>258</v>
      </c>
    </row>
    <row r="677" spans="1:8" hidden="1">
      <c r="A677">
        <v>0</v>
      </c>
      <c r="F677" s="48">
        <v>2001</v>
      </c>
      <c r="G677" t="s">
        <v>258</v>
      </c>
    </row>
    <row r="678" spans="1:8" hidden="1">
      <c r="A678">
        <v>0</v>
      </c>
      <c r="F678" s="48">
        <v>2002</v>
      </c>
      <c r="G678" t="s">
        <v>258</v>
      </c>
    </row>
    <row r="679" spans="1:8" hidden="1">
      <c r="A679">
        <v>0</v>
      </c>
      <c r="F679" s="48">
        <v>2003</v>
      </c>
      <c r="G679" t="s">
        <v>258</v>
      </c>
    </row>
    <row r="680" spans="1:8" hidden="1">
      <c r="A680">
        <v>0</v>
      </c>
      <c r="F680" s="48">
        <v>2004</v>
      </c>
      <c r="G680" t="s">
        <v>258</v>
      </c>
    </row>
    <row r="681" spans="1:8" hidden="1">
      <c r="A681">
        <v>0</v>
      </c>
      <c r="F681" s="48">
        <v>2005</v>
      </c>
      <c r="G681" t="s">
        <v>258</v>
      </c>
    </row>
    <row r="682" spans="1:8" hidden="1">
      <c r="A682">
        <v>0</v>
      </c>
      <c r="F682" s="48">
        <v>2006</v>
      </c>
      <c r="G682" t="s">
        <v>258</v>
      </c>
    </row>
    <row r="683" spans="1:8" hidden="1">
      <c r="A683">
        <v>0</v>
      </c>
      <c r="F683" s="48">
        <v>2007</v>
      </c>
      <c r="G683" t="s">
        <v>258</v>
      </c>
    </row>
    <row r="684" spans="1:8" hidden="1">
      <c r="A684">
        <v>0</v>
      </c>
      <c r="F684" s="48">
        <v>2008</v>
      </c>
      <c r="G684" t="s">
        <v>258</v>
      </c>
    </row>
    <row r="685" spans="1:8" hidden="1">
      <c r="A685">
        <v>0</v>
      </c>
      <c r="F685" s="48">
        <v>2009</v>
      </c>
      <c r="G685" t="s">
        <v>258</v>
      </c>
    </row>
    <row r="686" spans="1:8" hidden="1">
      <c r="A686">
        <v>0</v>
      </c>
      <c r="F686" s="48">
        <v>2010</v>
      </c>
      <c r="G686" t="s">
        <v>258</v>
      </c>
    </row>
    <row r="687" spans="1:8" hidden="1">
      <c r="A687">
        <v>0</v>
      </c>
      <c r="F687" s="48">
        <v>2011</v>
      </c>
      <c r="G687" t="s">
        <v>258</v>
      </c>
    </row>
    <row r="688" spans="1:8" hidden="1">
      <c r="A688">
        <v>2.2000000000000002</v>
      </c>
      <c r="F688" s="48">
        <v>2012</v>
      </c>
      <c r="G688" t="s">
        <v>258</v>
      </c>
    </row>
    <row r="689" spans="1:7" hidden="1">
      <c r="A689">
        <v>0</v>
      </c>
      <c r="F689" s="48">
        <v>2013</v>
      </c>
      <c r="G689" t="s">
        <v>258</v>
      </c>
    </row>
    <row r="690" spans="1:7" hidden="1">
      <c r="A690">
        <v>0</v>
      </c>
      <c r="F690" s="48">
        <v>2014</v>
      </c>
      <c r="G690" t="s">
        <v>258</v>
      </c>
    </row>
    <row r="691" spans="1:7" hidden="1">
      <c r="A691">
        <v>0</v>
      </c>
      <c r="F691" s="48">
        <v>2015</v>
      </c>
      <c r="G691" t="s">
        <v>258</v>
      </c>
    </row>
    <row r="692" spans="1:7" hidden="1">
      <c r="A692">
        <v>0</v>
      </c>
      <c r="F692" s="48">
        <v>2016</v>
      </c>
      <c r="G692" t="s">
        <v>258</v>
      </c>
    </row>
    <row r="693" spans="1:7" hidden="1">
      <c r="A693">
        <v>0</v>
      </c>
      <c r="F693" s="48">
        <v>2017</v>
      </c>
      <c r="G693" t="s">
        <v>258</v>
      </c>
    </row>
    <row r="694" spans="1:7" hidden="1">
      <c r="A694">
        <v>0</v>
      </c>
      <c r="F694" s="48">
        <v>2018</v>
      </c>
      <c r="G694" t="s">
        <v>258</v>
      </c>
    </row>
    <row r="695" spans="1:7" hidden="1">
      <c r="A695">
        <v>0</v>
      </c>
      <c r="F695" s="48">
        <v>2019</v>
      </c>
      <c r="G695" t="s">
        <v>258</v>
      </c>
    </row>
    <row r="696" spans="1:7" hidden="1">
      <c r="A696">
        <v>0</v>
      </c>
      <c r="F696" s="48">
        <v>2020</v>
      </c>
      <c r="G696" t="s">
        <v>258</v>
      </c>
    </row>
    <row r="697" spans="1:7" hidden="1">
      <c r="A697">
        <v>0</v>
      </c>
      <c r="F697" s="48">
        <v>2021</v>
      </c>
      <c r="G697" t="s">
        <v>258</v>
      </c>
    </row>
    <row r="698" spans="1:7" hidden="1">
      <c r="A698">
        <v>0</v>
      </c>
      <c r="F698" s="48">
        <v>2022</v>
      </c>
      <c r="G698" t="s">
        <v>258</v>
      </c>
    </row>
    <row r="699" spans="1:7" hidden="1">
      <c r="A699">
        <v>36.5</v>
      </c>
      <c r="E699">
        <v>2000</v>
      </c>
      <c r="F699" s="48" t="s">
        <v>258</v>
      </c>
    </row>
    <row r="700" spans="1:7" hidden="1">
      <c r="A700">
        <v>38.799999999999997</v>
      </c>
      <c r="E700">
        <v>2001</v>
      </c>
      <c r="F700" s="48" t="s">
        <v>258</v>
      </c>
    </row>
    <row r="701" spans="1:7" hidden="1">
      <c r="A701">
        <v>37.799999999999997</v>
      </c>
      <c r="E701">
        <v>2002</v>
      </c>
      <c r="F701" s="48" t="s">
        <v>258</v>
      </c>
    </row>
    <row r="702" spans="1:7" hidden="1">
      <c r="A702">
        <v>38</v>
      </c>
      <c r="E702">
        <v>2003</v>
      </c>
      <c r="F702" s="48" t="s">
        <v>258</v>
      </c>
    </row>
    <row r="703" spans="1:7" hidden="1">
      <c r="A703">
        <v>38.1</v>
      </c>
      <c r="E703">
        <v>2004</v>
      </c>
      <c r="F703" s="48" t="s">
        <v>258</v>
      </c>
    </row>
    <row r="704" spans="1:7" hidden="1">
      <c r="A704">
        <v>37.9</v>
      </c>
      <c r="E704">
        <v>2005</v>
      </c>
      <c r="F704" s="48" t="s">
        <v>258</v>
      </c>
    </row>
    <row r="705" spans="1:6" hidden="1">
      <c r="A705">
        <v>1682</v>
      </c>
      <c r="E705">
        <v>2006</v>
      </c>
      <c r="F705" s="48" t="s">
        <v>258</v>
      </c>
    </row>
    <row r="706" spans="1:6" hidden="1">
      <c r="A706">
        <v>37.6</v>
      </c>
      <c r="E706">
        <v>2007</v>
      </c>
      <c r="F706" s="48" t="s">
        <v>258</v>
      </c>
    </row>
    <row r="707" spans="1:6" hidden="1">
      <c r="A707">
        <v>39.1</v>
      </c>
      <c r="E707">
        <v>2008</v>
      </c>
      <c r="F707" s="48" t="s">
        <v>258</v>
      </c>
    </row>
    <row r="708" spans="1:6" hidden="1">
      <c r="A708">
        <v>39.4</v>
      </c>
      <c r="E708">
        <v>2009</v>
      </c>
      <c r="F708" s="48" t="s">
        <v>258</v>
      </c>
    </row>
    <row r="709" spans="1:6" hidden="1">
      <c r="A709">
        <v>38.299999999999997</v>
      </c>
      <c r="E709">
        <v>2010</v>
      </c>
      <c r="F709" s="48" t="s">
        <v>258</v>
      </c>
    </row>
    <row r="710" spans="1:6" hidden="1">
      <c r="A710">
        <v>37</v>
      </c>
      <c r="E710">
        <v>2011</v>
      </c>
      <c r="F710" s="48" t="s">
        <v>258</v>
      </c>
    </row>
    <row r="711" spans="1:6" hidden="1">
      <c r="A711">
        <v>37.4</v>
      </c>
      <c r="E711">
        <v>2012</v>
      </c>
      <c r="F711" s="48" t="s">
        <v>258</v>
      </c>
    </row>
    <row r="712" spans="1:6" hidden="1">
      <c r="A712">
        <v>39</v>
      </c>
      <c r="E712">
        <v>2013</v>
      </c>
      <c r="F712" s="48" t="s">
        <v>258</v>
      </c>
    </row>
    <row r="713" spans="1:6" hidden="1">
      <c r="A713">
        <v>36.6</v>
      </c>
      <c r="E713">
        <v>2014</v>
      </c>
      <c r="F713" s="48" t="s">
        <v>258</v>
      </c>
    </row>
    <row r="714" spans="1:6" hidden="1">
      <c r="A714">
        <v>35.799999999999997</v>
      </c>
      <c r="E714">
        <v>2015</v>
      </c>
      <c r="F714" s="48" t="s">
        <v>258</v>
      </c>
    </row>
    <row r="715" spans="1:6" hidden="1">
      <c r="A715">
        <v>36.5</v>
      </c>
      <c r="E715">
        <v>2016</v>
      </c>
      <c r="F715" s="48" t="s">
        <v>258</v>
      </c>
    </row>
    <row r="716" spans="1:6" hidden="1">
      <c r="A716">
        <v>0</v>
      </c>
      <c r="E716">
        <v>2017</v>
      </c>
      <c r="F716" s="48" t="s">
        <v>258</v>
      </c>
    </row>
    <row r="717" spans="1:6" hidden="1">
      <c r="A717">
        <v>0</v>
      </c>
      <c r="E717">
        <v>2018</v>
      </c>
      <c r="F717" s="48" t="s">
        <v>258</v>
      </c>
    </row>
    <row r="718" spans="1:6" hidden="1">
      <c r="A718">
        <v>0</v>
      </c>
      <c r="E718">
        <v>2019</v>
      </c>
      <c r="F718" s="48" t="s">
        <v>258</v>
      </c>
    </row>
    <row r="719" spans="1:6" hidden="1">
      <c r="A719">
        <v>0</v>
      </c>
      <c r="E719">
        <v>2020</v>
      </c>
      <c r="F719" s="48" t="s">
        <v>258</v>
      </c>
    </row>
    <row r="720" spans="1:6" hidden="1">
      <c r="A720">
        <v>0</v>
      </c>
      <c r="E720">
        <v>2021</v>
      </c>
      <c r="F720" s="48" t="s">
        <v>258</v>
      </c>
    </row>
    <row r="721" spans="1:6" hidden="1">
      <c r="A721">
        <v>0</v>
      </c>
      <c r="E721">
        <v>2022</v>
      </c>
      <c r="F721" s="48" t="s">
        <v>258</v>
      </c>
    </row>
    <row r="722" spans="1:6" hidden="1">
      <c r="A722">
        <v>172</v>
      </c>
      <c r="D722">
        <v>2000</v>
      </c>
      <c r="E722" t="s">
        <v>258</v>
      </c>
    </row>
    <row r="723" spans="1:6" hidden="1">
      <c r="A723">
        <v>174</v>
      </c>
      <c r="D723">
        <v>2001</v>
      </c>
      <c r="E723" t="s">
        <v>258</v>
      </c>
    </row>
    <row r="724" spans="1:6" hidden="1">
      <c r="A724">
        <v>190</v>
      </c>
      <c r="D724">
        <v>2002</v>
      </c>
      <c r="E724" t="s">
        <v>258</v>
      </c>
    </row>
    <row r="725" spans="1:6" hidden="1">
      <c r="A725">
        <v>158</v>
      </c>
      <c r="D725">
        <v>2003</v>
      </c>
      <c r="E725" t="s">
        <v>258</v>
      </c>
    </row>
    <row r="726" spans="1:6" hidden="1">
      <c r="A726">
        <v>179</v>
      </c>
      <c r="D726">
        <v>2004</v>
      </c>
      <c r="E726" t="s">
        <v>258</v>
      </c>
    </row>
    <row r="727" spans="1:6" hidden="1">
      <c r="A727">
        <v>172</v>
      </c>
      <c r="D727">
        <v>2005</v>
      </c>
      <c r="E727" t="s">
        <v>258</v>
      </c>
    </row>
    <row r="728" spans="1:6" hidden="1">
      <c r="A728">
        <v>490</v>
      </c>
      <c r="D728">
        <v>2006</v>
      </c>
      <c r="E728" t="s">
        <v>258</v>
      </c>
    </row>
    <row r="729" spans="1:6" hidden="1">
      <c r="A729">
        <v>155.4</v>
      </c>
      <c r="D729">
        <v>2007</v>
      </c>
      <c r="E729" t="s">
        <v>258</v>
      </c>
    </row>
    <row r="730" spans="1:6" hidden="1">
      <c r="A730">
        <v>171</v>
      </c>
      <c r="D730">
        <v>2008</v>
      </c>
      <c r="E730" t="s">
        <v>258</v>
      </c>
    </row>
    <row r="731" spans="1:6" hidden="1">
      <c r="A731">
        <v>191</v>
      </c>
      <c r="D731">
        <v>2009</v>
      </c>
      <c r="E731" t="s">
        <v>258</v>
      </c>
    </row>
    <row r="732" spans="1:6" hidden="1">
      <c r="A732">
        <v>180</v>
      </c>
      <c r="D732">
        <v>2010</v>
      </c>
      <c r="E732" t="s">
        <v>258</v>
      </c>
    </row>
    <row r="733" spans="1:6" hidden="1">
      <c r="A733">
        <v>198</v>
      </c>
      <c r="D733">
        <v>2011</v>
      </c>
      <c r="E733" t="s">
        <v>258</v>
      </c>
    </row>
    <row r="734" spans="1:6" hidden="1">
      <c r="A734">
        <v>592</v>
      </c>
      <c r="D734">
        <v>2012</v>
      </c>
      <c r="E734" t="s">
        <v>258</v>
      </c>
    </row>
    <row r="735" spans="1:6" hidden="1">
      <c r="A735">
        <v>198</v>
      </c>
      <c r="D735">
        <v>2013</v>
      </c>
      <c r="E735" t="s">
        <v>258</v>
      </c>
    </row>
    <row r="736" spans="1:6" hidden="1">
      <c r="A736">
        <v>199</v>
      </c>
      <c r="D736">
        <v>2014</v>
      </c>
      <c r="E736" t="s">
        <v>258</v>
      </c>
    </row>
    <row r="737" spans="1:5" hidden="1">
      <c r="A737">
        <v>212</v>
      </c>
      <c r="D737">
        <v>2015</v>
      </c>
      <c r="E737" t="s">
        <v>258</v>
      </c>
    </row>
    <row r="738" spans="1:5" hidden="1">
      <c r="A738">
        <v>212</v>
      </c>
      <c r="D738">
        <v>2016</v>
      </c>
      <c r="E738" t="s">
        <v>258</v>
      </c>
    </row>
    <row r="739" spans="1:5" hidden="1">
      <c r="A739">
        <v>212</v>
      </c>
      <c r="D739">
        <v>2017</v>
      </c>
      <c r="E739" t="s">
        <v>258</v>
      </c>
    </row>
    <row r="740" spans="1:5" hidden="1">
      <c r="A740">
        <v>223.7</v>
      </c>
      <c r="D740">
        <v>2018</v>
      </c>
      <c r="E740" t="s">
        <v>258</v>
      </c>
    </row>
    <row r="741" spans="1:5" hidden="1">
      <c r="A741">
        <v>0</v>
      </c>
      <c r="D741">
        <v>2019</v>
      </c>
      <c r="E741" t="s">
        <v>258</v>
      </c>
    </row>
    <row r="742" spans="1:5" hidden="1">
      <c r="A742">
        <v>0</v>
      </c>
      <c r="D742">
        <v>2020</v>
      </c>
      <c r="E742" t="s">
        <v>258</v>
      </c>
    </row>
    <row r="743" spans="1:5" hidden="1">
      <c r="A743">
        <v>0</v>
      </c>
      <c r="D743">
        <v>2021</v>
      </c>
      <c r="E743" t="s">
        <v>258</v>
      </c>
    </row>
    <row r="744" spans="1:5" hidden="1">
      <c r="A744">
        <v>0</v>
      </c>
      <c r="D744">
        <v>2022</v>
      </c>
      <c r="E744" t="s">
        <v>258</v>
      </c>
    </row>
    <row r="745" spans="1:5" hidden="1">
      <c r="A745">
        <v>0</v>
      </c>
      <c r="C745">
        <v>2000</v>
      </c>
      <c r="D745" t="s">
        <v>258</v>
      </c>
    </row>
    <row r="746" spans="1:5" hidden="1">
      <c r="A746">
        <v>0</v>
      </c>
      <c r="C746">
        <v>2001</v>
      </c>
      <c r="D746" t="s">
        <v>258</v>
      </c>
    </row>
    <row r="747" spans="1:5" hidden="1">
      <c r="A747">
        <v>0</v>
      </c>
      <c r="C747">
        <v>2002</v>
      </c>
      <c r="D747" t="s">
        <v>258</v>
      </c>
    </row>
    <row r="748" spans="1:5" hidden="1">
      <c r="A748">
        <v>0</v>
      </c>
      <c r="C748">
        <v>2003</v>
      </c>
      <c r="D748" t="s">
        <v>258</v>
      </c>
    </row>
    <row r="749" spans="1:5" hidden="1">
      <c r="A749">
        <v>0</v>
      </c>
      <c r="C749">
        <v>2004</v>
      </c>
      <c r="D749" t="s">
        <v>258</v>
      </c>
    </row>
    <row r="750" spans="1:5" hidden="1">
      <c r="A750">
        <v>0</v>
      </c>
      <c r="C750">
        <v>2005</v>
      </c>
      <c r="D750" t="s">
        <v>258</v>
      </c>
    </row>
    <row r="751" spans="1:5" hidden="1">
      <c r="A751">
        <v>15</v>
      </c>
      <c r="C751">
        <v>2006</v>
      </c>
      <c r="D751" t="s">
        <v>258</v>
      </c>
    </row>
    <row r="752" spans="1:5" hidden="1">
      <c r="A752">
        <v>0</v>
      </c>
      <c r="C752">
        <v>2007</v>
      </c>
      <c r="D752" t="s">
        <v>258</v>
      </c>
    </row>
    <row r="753" spans="1:4" hidden="1">
      <c r="A753">
        <v>0</v>
      </c>
      <c r="C753">
        <v>2008</v>
      </c>
      <c r="D753" t="s">
        <v>258</v>
      </c>
    </row>
    <row r="754" spans="1:4" hidden="1">
      <c r="A754">
        <v>0</v>
      </c>
      <c r="C754">
        <v>2009</v>
      </c>
      <c r="D754" t="s">
        <v>258</v>
      </c>
    </row>
    <row r="755" spans="1:4" hidden="1">
      <c r="A755">
        <v>0</v>
      </c>
      <c r="C755">
        <v>2010</v>
      </c>
      <c r="D755" t="s">
        <v>258</v>
      </c>
    </row>
    <row r="756" spans="1:4" hidden="1">
      <c r="A756">
        <v>0</v>
      </c>
      <c r="C756">
        <v>2011</v>
      </c>
      <c r="D756" t="s">
        <v>258</v>
      </c>
    </row>
    <row r="757" spans="1:4" hidden="1">
      <c r="A757">
        <v>11.1</v>
      </c>
      <c r="C757">
        <v>2012</v>
      </c>
      <c r="D757" t="s">
        <v>258</v>
      </c>
    </row>
    <row r="758" spans="1:4" hidden="1">
      <c r="A758">
        <v>0</v>
      </c>
      <c r="C758">
        <v>2013</v>
      </c>
      <c r="D758" t="s">
        <v>258</v>
      </c>
    </row>
    <row r="759" spans="1:4" hidden="1">
      <c r="A759">
        <v>0</v>
      </c>
      <c r="C759">
        <v>2014</v>
      </c>
      <c r="D759" t="s">
        <v>258</v>
      </c>
    </row>
    <row r="760" spans="1:4" hidden="1">
      <c r="A760">
        <v>0</v>
      </c>
      <c r="C760">
        <v>2015</v>
      </c>
      <c r="D760" t="s">
        <v>258</v>
      </c>
    </row>
    <row r="761" spans="1:4" hidden="1">
      <c r="A761">
        <v>0</v>
      </c>
      <c r="C761">
        <v>2016</v>
      </c>
      <c r="D761" t="s">
        <v>258</v>
      </c>
    </row>
    <row r="762" spans="1:4" hidden="1">
      <c r="A762">
        <v>0</v>
      </c>
      <c r="C762">
        <v>2017</v>
      </c>
      <c r="D762" t="s">
        <v>258</v>
      </c>
    </row>
    <row r="763" spans="1:4" hidden="1">
      <c r="A763">
        <v>0</v>
      </c>
      <c r="C763">
        <v>2018</v>
      </c>
      <c r="D763" t="s">
        <v>258</v>
      </c>
    </row>
    <row r="764" spans="1:4" hidden="1">
      <c r="A764">
        <v>0</v>
      </c>
      <c r="C764">
        <v>2019</v>
      </c>
      <c r="D764" t="s">
        <v>258</v>
      </c>
    </row>
    <row r="765" spans="1:4" hidden="1">
      <c r="A765">
        <v>0</v>
      </c>
      <c r="C765">
        <v>2020</v>
      </c>
      <c r="D765" t="s">
        <v>258</v>
      </c>
    </row>
    <row r="766" spans="1:4" hidden="1">
      <c r="A766">
        <v>0</v>
      </c>
      <c r="C766">
        <v>2021</v>
      </c>
      <c r="D766" t="s">
        <v>258</v>
      </c>
    </row>
    <row r="767" spans="1:4" hidden="1">
      <c r="A767">
        <v>0</v>
      </c>
      <c r="C767">
        <v>2022</v>
      </c>
      <c r="D767" t="s">
        <v>258</v>
      </c>
    </row>
    <row r="768" spans="1:4" hidden="1">
      <c r="A768">
        <v>1066</v>
      </c>
      <c r="B768">
        <v>2000</v>
      </c>
      <c r="C768" t="s">
        <v>258</v>
      </c>
    </row>
    <row r="769" spans="1:3" hidden="1">
      <c r="A769">
        <v>1036</v>
      </c>
      <c r="B769">
        <v>2001</v>
      </c>
      <c r="C769" t="s">
        <v>258</v>
      </c>
    </row>
    <row r="770" spans="1:3" hidden="1">
      <c r="A770">
        <v>1069</v>
      </c>
      <c r="B770">
        <v>2002</v>
      </c>
      <c r="C770" t="s">
        <v>258</v>
      </c>
    </row>
    <row r="771" spans="1:3" hidden="1">
      <c r="A771">
        <v>1085</v>
      </c>
      <c r="B771">
        <v>2003</v>
      </c>
      <c r="C771" t="s">
        <v>258</v>
      </c>
    </row>
    <row r="772" spans="1:3" hidden="1">
      <c r="A772">
        <v>1029</v>
      </c>
      <c r="B772">
        <v>2004</v>
      </c>
      <c r="C772" t="s">
        <v>258</v>
      </c>
    </row>
    <row r="773" spans="1:3" hidden="1">
      <c r="A773">
        <v>1004</v>
      </c>
      <c r="B773">
        <v>2005</v>
      </c>
      <c r="C773" t="s">
        <v>258</v>
      </c>
    </row>
    <row r="774" spans="1:3" hidden="1">
      <c r="A774">
        <v>980</v>
      </c>
      <c r="B774">
        <v>2006</v>
      </c>
      <c r="C774" t="s">
        <v>258</v>
      </c>
    </row>
    <row r="775" spans="1:3" hidden="1">
      <c r="A775">
        <v>960</v>
      </c>
      <c r="B775">
        <v>2007</v>
      </c>
      <c r="C775" t="s">
        <v>258</v>
      </c>
    </row>
    <row r="776" spans="1:3" hidden="1">
      <c r="A776">
        <v>980</v>
      </c>
      <c r="B776">
        <v>2008</v>
      </c>
      <c r="C776" t="s">
        <v>258</v>
      </c>
    </row>
    <row r="777" spans="1:3" hidden="1">
      <c r="A777">
        <v>967</v>
      </c>
      <c r="B777">
        <v>2009</v>
      </c>
      <c r="C777" t="s">
        <v>258</v>
      </c>
    </row>
    <row r="778" spans="1:3" hidden="1">
      <c r="A778">
        <v>940</v>
      </c>
      <c r="B778">
        <v>2010</v>
      </c>
      <c r="C778" t="s">
        <v>258</v>
      </c>
    </row>
    <row r="779" spans="1:3" hidden="1">
      <c r="A779">
        <v>954</v>
      </c>
      <c r="B779">
        <v>2011</v>
      </c>
      <c r="C779" t="s">
        <v>258</v>
      </c>
    </row>
    <row r="780" spans="1:3" hidden="1">
      <c r="A780">
        <v>935</v>
      </c>
      <c r="B780">
        <v>2012</v>
      </c>
      <c r="C780" t="s">
        <v>258</v>
      </c>
    </row>
    <row r="781" spans="1:3" hidden="1">
      <c r="A781">
        <v>917</v>
      </c>
      <c r="B781">
        <v>2013</v>
      </c>
      <c r="C781" t="s">
        <v>258</v>
      </c>
    </row>
    <row r="782" spans="1:3" hidden="1">
      <c r="A782">
        <v>901</v>
      </c>
      <c r="B782">
        <v>2014</v>
      </c>
      <c r="C782" t="s">
        <v>258</v>
      </c>
    </row>
    <row r="783" spans="1:3" hidden="1">
      <c r="A783">
        <v>933</v>
      </c>
      <c r="B783">
        <v>2015</v>
      </c>
      <c r="C783" t="s">
        <v>258</v>
      </c>
    </row>
    <row r="784" spans="1:3" hidden="1">
      <c r="A784">
        <v>923</v>
      </c>
      <c r="B784">
        <v>2016</v>
      </c>
      <c r="C784" t="s">
        <v>258</v>
      </c>
    </row>
    <row r="785" spans="1:8" hidden="1">
      <c r="A785">
        <v>931</v>
      </c>
      <c r="B785">
        <v>2017</v>
      </c>
      <c r="C785" t="s">
        <v>258</v>
      </c>
    </row>
    <row r="786" spans="1:8" hidden="1">
      <c r="A786">
        <v>953</v>
      </c>
      <c r="B786">
        <v>2018</v>
      </c>
      <c r="C786" t="s">
        <v>258</v>
      </c>
    </row>
    <row r="787" spans="1:8" hidden="1">
      <c r="A787">
        <v>928</v>
      </c>
      <c r="B787">
        <v>2019</v>
      </c>
      <c r="C787" t="s">
        <v>258</v>
      </c>
    </row>
    <row r="788" spans="1:8" hidden="1">
      <c r="A788">
        <v>939</v>
      </c>
      <c r="B788">
        <v>2020</v>
      </c>
      <c r="C788" t="s">
        <v>258</v>
      </c>
    </row>
    <row r="789" spans="1:8" hidden="1">
      <c r="A789">
        <v>915</v>
      </c>
      <c r="B789">
        <v>2021</v>
      </c>
      <c r="C789" t="s">
        <v>258</v>
      </c>
    </row>
    <row r="790" spans="1:8" hidden="1">
      <c r="A790">
        <v>931</v>
      </c>
      <c r="B790">
        <v>2022</v>
      </c>
      <c r="C790" t="s">
        <v>258</v>
      </c>
    </row>
    <row r="791" spans="1:8" hidden="1">
      <c r="A791">
        <v>144.69999999999999</v>
      </c>
      <c r="G791">
        <v>2000</v>
      </c>
      <c r="H791" t="s">
        <v>72</v>
      </c>
    </row>
    <row r="792" spans="1:8" hidden="1">
      <c r="A792">
        <v>139.1</v>
      </c>
      <c r="G792">
        <v>2001</v>
      </c>
      <c r="H792" t="s">
        <v>72</v>
      </c>
    </row>
    <row r="793" spans="1:8" hidden="1">
      <c r="A793">
        <v>160.6</v>
      </c>
      <c r="G793">
        <v>2002</v>
      </c>
      <c r="H793" t="s">
        <v>72</v>
      </c>
    </row>
    <row r="794" spans="1:8" hidden="1">
      <c r="A794">
        <v>180.8</v>
      </c>
      <c r="G794">
        <v>2003</v>
      </c>
      <c r="H794" t="s">
        <v>72</v>
      </c>
    </row>
    <row r="795" spans="1:8" hidden="1">
      <c r="A795">
        <v>203.9</v>
      </c>
      <c r="G795">
        <v>2004</v>
      </c>
      <c r="H795" t="s">
        <v>72</v>
      </c>
    </row>
    <row r="796" spans="1:8" hidden="1">
      <c r="A796">
        <v>165.4</v>
      </c>
      <c r="G796">
        <v>2005</v>
      </c>
      <c r="H796" t="s">
        <v>72</v>
      </c>
    </row>
    <row r="797" spans="1:8" hidden="1">
      <c r="A797">
        <v>153.19999999999999</v>
      </c>
      <c r="G797">
        <v>2006</v>
      </c>
      <c r="H797" t="s">
        <v>72</v>
      </c>
    </row>
    <row r="798" spans="1:8" hidden="1">
      <c r="A798">
        <v>143</v>
      </c>
      <c r="G798">
        <v>2007</v>
      </c>
      <c r="H798" t="s">
        <v>72</v>
      </c>
    </row>
    <row r="799" spans="1:8" hidden="1">
      <c r="A799">
        <v>111</v>
      </c>
      <c r="G799">
        <v>2008</v>
      </c>
      <c r="H799" t="s">
        <v>72</v>
      </c>
    </row>
    <row r="800" spans="1:8" hidden="1">
      <c r="A800">
        <v>141</v>
      </c>
      <c r="G800">
        <v>2009</v>
      </c>
      <c r="H800" t="s">
        <v>72</v>
      </c>
    </row>
    <row r="801" spans="1:10" hidden="1">
      <c r="A801">
        <v>149.4</v>
      </c>
      <c r="G801">
        <v>2010</v>
      </c>
      <c r="H801" t="s">
        <v>72</v>
      </c>
    </row>
    <row r="802" spans="1:10" hidden="1">
      <c r="A802">
        <v>164.6</v>
      </c>
      <c r="G802">
        <v>2011</v>
      </c>
      <c r="H802" t="s">
        <v>72</v>
      </c>
    </row>
    <row r="803" spans="1:10" hidden="1">
      <c r="A803">
        <v>171</v>
      </c>
      <c r="G803">
        <v>2012</v>
      </c>
      <c r="H803" t="s">
        <v>72</v>
      </c>
    </row>
    <row r="804" spans="1:10" hidden="1">
      <c r="A804">
        <v>167.6</v>
      </c>
      <c r="G804">
        <v>2013</v>
      </c>
      <c r="H804" t="s">
        <v>72</v>
      </c>
    </row>
    <row r="805" spans="1:10" hidden="1">
      <c r="A805">
        <v>148.30000000000001</v>
      </c>
      <c r="G805">
        <v>2014</v>
      </c>
      <c r="H805" t="s">
        <v>72</v>
      </c>
    </row>
    <row r="806" spans="1:10" hidden="1">
      <c r="A806">
        <v>165.2</v>
      </c>
      <c r="G806">
        <v>2015</v>
      </c>
      <c r="H806" t="s">
        <v>72</v>
      </c>
    </row>
    <row r="807" spans="1:10" hidden="1">
      <c r="A807">
        <v>170.3</v>
      </c>
      <c r="G807">
        <v>2016</v>
      </c>
      <c r="H807" t="s">
        <v>72</v>
      </c>
    </row>
    <row r="808" spans="1:10" hidden="1">
      <c r="A808">
        <v>167.2</v>
      </c>
      <c r="G808">
        <v>2017</v>
      </c>
      <c r="H808" t="s">
        <v>72</v>
      </c>
    </row>
    <row r="809" spans="1:10" hidden="1">
      <c r="A809">
        <v>157.30000000000001</v>
      </c>
      <c r="G809">
        <v>2018</v>
      </c>
      <c r="H809" t="s">
        <v>72</v>
      </c>
    </row>
    <row r="810" spans="1:10" hidden="1">
      <c r="A810">
        <v>147.9</v>
      </c>
      <c r="G810">
        <v>2019</v>
      </c>
      <c r="H810" t="s">
        <v>72</v>
      </c>
    </row>
    <row r="811" spans="1:10" hidden="1">
      <c r="A811">
        <v>156.19999999999999</v>
      </c>
      <c r="G811">
        <v>2020</v>
      </c>
      <c r="H811" t="s">
        <v>72</v>
      </c>
    </row>
    <row r="812" spans="1:10" hidden="1">
      <c r="A812">
        <v>163.19999999999999</v>
      </c>
      <c r="G812">
        <v>2021</v>
      </c>
      <c r="H812" t="s">
        <v>72</v>
      </c>
    </row>
    <row r="813" spans="1:10" hidden="1">
      <c r="A813">
        <v>161</v>
      </c>
      <c r="G813">
        <v>2022</v>
      </c>
      <c r="H813" t="s">
        <v>72</v>
      </c>
    </row>
    <row r="814" spans="1:10">
      <c r="A814">
        <v>0</v>
      </c>
      <c r="E814">
        <v>2000</v>
      </c>
      <c r="F814" s="48" t="s">
        <v>72</v>
      </c>
      <c r="I814">
        <f t="shared" ref="I814:I836" si="6">E814</f>
        <v>2000</v>
      </c>
      <c r="J814">
        <f t="shared" ref="J814:J836" si="7">A814</f>
        <v>0</v>
      </c>
    </row>
    <row r="815" spans="1:10">
      <c r="A815">
        <v>0</v>
      </c>
      <c r="E815">
        <v>2001</v>
      </c>
      <c r="F815" s="48" t="s">
        <v>72</v>
      </c>
      <c r="I815">
        <f t="shared" si="6"/>
        <v>2001</v>
      </c>
      <c r="J815">
        <f t="shared" si="7"/>
        <v>0</v>
      </c>
    </row>
    <row r="816" spans="1:10">
      <c r="A816">
        <v>0</v>
      </c>
      <c r="E816">
        <v>2002</v>
      </c>
      <c r="F816" s="48" t="s">
        <v>72</v>
      </c>
      <c r="I816">
        <f t="shared" si="6"/>
        <v>2002</v>
      </c>
      <c r="J816">
        <f t="shared" si="7"/>
        <v>0</v>
      </c>
    </row>
    <row r="817" spans="1:10">
      <c r="A817">
        <v>0</v>
      </c>
      <c r="E817">
        <v>2003</v>
      </c>
      <c r="F817" s="48" t="s">
        <v>72</v>
      </c>
      <c r="I817">
        <f t="shared" si="6"/>
        <v>2003</v>
      </c>
      <c r="J817">
        <f t="shared" si="7"/>
        <v>0</v>
      </c>
    </row>
    <row r="818" spans="1:10">
      <c r="A818">
        <v>0</v>
      </c>
      <c r="E818">
        <v>2004</v>
      </c>
      <c r="F818" s="48" t="s">
        <v>72</v>
      </c>
      <c r="I818">
        <f t="shared" si="6"/>
        <v>2004</v>
      </c>
      <c r="J818">
        <f t="shared" si="7"/>
        <v>0</v>
      </c>
    </row>
    <row r="819" spans="1:10">
      <c r="A819">
        <v>0</v>
      </c>
      <c r="E819">
        <v>2005</v>
      </c>
      <c r="F819" s="48" t="s">
        <v>72</v>
      </c>
      <c r="I819">
        <f t="shared" si="6"/>
        <v>2005</v>
      </c>
      <c r="J819">
        <f t="shared" si="7"/>
        <v>0</v>
      </c>
    </row>
    <row r="820" spans="1:10">
      <c r="A820">
        <v>0</v>
      </c>
      <c r="E820">
        <v>2006</v>
      </c>
      <c r="F820" s="48" t="s">
        <v>72</v>
      </c>
      <c r="I820">
        <f t="shared" si="6"/>
        <v>2006</v>
      </c>
      <c r="J820">
        <f t="shared" si="7"/>
        <v>0</v>
      </c>
    </row>
    <row r="821" spans="1:10">
      <c r="A821">
        <v>0</v>
      </c>
      <c r="E821">
        <v>2007</v>
      </c>
      <c r="F821" s="48" t="s">
        <v>72</v>
      </c>
      <c r="I821">
        <f t="shared" si="6"/>
        <v>2007</v>
      </c>
      <c r="J821">
        <f t="shared" si="7"/>
        <v>0</v>
      </c>
    </row>
    <row r="822" spans="1:10">
      <c r="A822">
        <v>0</v>
      </c>
      <c r="E822">
        <v>2008</v>
      </c>
      <c r="F822" s="48" t="s">
        <v>72</v>
      </c>
      <c r="I822">
        <f t="shared" si="6"/>
        <v>2008</v>
      </c>
      <c r="J822">
        <f t="shared" si="7"/>
        <v>0</v>
      </c>
    </row>
    <row r="823" spans="1:10">
      <c r="A823">
        <v>0</v>
      </c>
      <c r="E823">
        <v>2009</v>
      </c>
      <c r="F823" s="48" t="s">
        <v>72</v>
      </c>
      <c r="I823">
        <f t="shared" si="6"/>
        <v>2009</v>
      </c>
      <c r="J823">
        <f t="shared" si="7"/>
        <v>0</v>
      </c>
    </row>
    <row r="824" spans="1:10">
      <c r="A824">
        <v>0</v>
      </c>
      <c r="E824">
        <v>2010</v>
      </c>
      <c r="F824" s="48" t="s">
        <v>72</v>
      </c>
      <c r="I824">
        <f t="shared" si="6"/>
        <v>2010</v>
      </c>
      <c r="J824">
        <f t="shared" si="7"/>
        <v>0</v>
      </c>
    </row>
    <row r="825" spans="1:10">
      <c r="A825">
        <v>0</v>
      </c>
      <c r="E825">
        <v>2011</v>
      </c>
      <c r="F825" s="48" t="s">
        <v>72</v>
      </c>
      <c r="I825">
        <f t="shared" si="6"/>
        <v>2011</v>
      </c>
      <c r="J825">
        <f t="shared" si="7"/>
        <v>0</v>
      </c>
    </row>
    <row r="826" spans="1:10">
      <c r="A826">
        <v>0</v>
      </c>
      <c r="E826">
        <v>2012</v>
      </c>
      <c r="F826" s="48" t="s">
        <v>72</v>
      </c>
      <c r="I826">
        <f t="shared" si="6"/>
        <v>2012</v>
      </c>
      <c r="J826">
        <f t="shared" si="7"/>
        <v>0</v>
      </c>
    </row>
    <row r="827" spans="1:10">
      <c r="A827">
        <v>0</v>
      </c>
      <c r="E827">
        <v>2013</v>
      </c>
      <c r="F827" s="48" t="s">
        <v>72</v>
      </c>
      <c r="I827">
        <f t="shared" si="6"/>
        <v>2013</v>
      </c>
      <c r="J827">
        <f t="shared" si="7"/>
        <v>0</v>
      </c>
    </row>
    <row r="828" spans="1:10">
      <c r="A828">
        <v>0</v>
      </c>
      <c r="E828">
        <v>2014</v>
      </c>
      <c r="F828" s="48" t="s">
        <v>72</v>
      </c>
      <c r="I828">
        <f t="shared" si="6"/>
        <v>2014</v>
      </c>
      <c r="J828">
        <f t="shared" si="7"/>
        <v>0</v>
      </c>
    </row>
    <row r="829" spans="1:10">
      <c r="A829">
        <v>0</v>
      </c>
      <c r="E829">
        <v>2015</v>
      </c>
      <c r="F829" s="48" t="s">
        <v>72</v>
      </c>
      <c r="I829">
        <f t="shared" si="6"/>
        <v>2015</v>
      </c>
      <c r="J829">
        <f t="shared" si="7"/>
        <v>0</v>
      </c>
    </row>
    <row r="830" spans="1:10">
      <c r="A830">
        <v>0</v>
      </c>
      <c r="E830">
        <v>2016</v>
      </c>
      <c r="F830" s="48" t="s">
        <v>72</v>
      </c>
      <c r="I830">
        <f t="shared" si="6"/>
        <v>2016</v>
      </c>
      <c r="J830">
        <f t="shared" si="7"/>
        <v>0</v>
      </c>
    </row>
    <row r="831" spans="1:10">
      <c r="A831">
        <v>0</v>
      </c>
      <c r="E831">
        <v>2017</v>
      </c>
      <c r="F831" s="48" t="s">
        <v>72</v>
      </c>
      <c r="I831">
        <f t="shared" si="6"/>
        <v>2017</v>
      </c>
      <c r="J831">
        <f t="shared" si="7"/>
        <v>0</v>
      </c>
    </row>
    <row r="832" spans="1:10">
      <c r="A832">
        <v>0</v>
      </c>
      <c r="E832">
        <v>2018</v>
      </c>
      <c r="F832" s="48" t="s">
        <v>72</v>
      </c>
      <c r="I832">
        <f t="shared" si="6"/>
        <v>2018</v>
      </c>
      <c r="J832">
        <f t="shared" si="7"/>
        <v>0</v>
      </c>
    </row>
    <row r="833" spans="1:10">
      <c r="A833">
        <v>0</v>
      </c>
      <c r="E833">
        <v>2019</v>
      </c>
      <c r="F833" s="48" t="s">
        <v>72</v>
      </c>
      <c r="I833">
        <f t="shared" si="6"/>
        <v>2019</v>
      </c>
      <c r="J833">
        <f t="shared" si="7"/>
        <v>0</v>
      </c>
    </row>
    <row r="834" spans="1:10">
      <c r="A834">
        <v>14.3</v>
      </c>
      <c r="E834">
        <v>2020</v>
      </c>
      <c r="F834" s="48" t="s">
        <v>72</v>
      </c>
      <c r="I834">
        <f t="shared" si="6"/>
        <v>2020</v>
      </c>
      <c r="J834">
        <f t="shared" si="7"/>
        <v>14.3</v>
      </c>
    </row>
    <row r="835" spans="1:10">
      <c r="A835">
        <v>14.8</v>
      </c>
      <c r="E835">
        <v>2021</v>
      </c>
      <c r="F835" s="48" t="s">
        <v>72</v>
      </c>
      <c r="I835">
        <f t="shared" si="6"/>
        <v>2021</v>
      </c>
      <c r="J835">
        <f t="shared" si="7"/>
        <v>14.8</v>
      </c>
    </row>
    <row r="836" spans="1:10">
      <c r="A836">
        <v>15.1</v>
      </c>
      <c r="E836">
        <v>2022</v>
      </c>
      <c r="F836" s="48" t="s">
        <v>72</v>
      </c>
      <c r="I836">
        <f t="shared" si="6"/>
        <v>2022</v>
      </c>
      <c r="J836">
        <f t="shared" si="7"/>
        <v>15.1</v>
      </c>
    </row>
    <row r="837" spans="1:10" hidden="1">
      <c r="A837">
        <v>9.6</v>
      </c>
      <c r="D837">
        <v>2000</v>
      </c>
      <c r="E837" t="s">
        <v>72</v>
      </c>
    </row>
    <row r="838" spans="1:10" hidden="1">
      <c r="A838">
        <v>10.1</v>
      </c>
      <c r="D838">
        <v>2001</v>
      </c>
      <c r="E838" t="s">
        <v>72</v>
      </c>
    </row>
    <row r="839" spans="1:10" hidden="1">
      <c r="A839">
        <v>2.8</v>
      </c>
      <c r="D839">
        <v>2002</v>
      </c>
      <c r="E839" t="s">
        <v>72</v>
      </c>
    </row>
    <row r="840" spans="1:10" hidden="1">
      <c r="A840">
        <v>2.8</v>
      </c>
      <c r="D840">
        <v>2003</v>
      </c>
      <c r="E840" t="s">
        <v>72</v>
      </c>
    </row>
    <row r="841" spans="1:10" hidden="1">
      <c r="A841">
        <v>2.8</v>
      </c>
      <c r="D841">
        <v>2004</v>
      </c>
      <c r="E841" t="s">
        <v>72</v>
      </c>
    </row>
    <row r="842" spans="1:10" hidden="1">
      <c r="A842">
        <v>4.8</v>
      </c>
      <c r="D842">
        <v>2005</v>
      </c>
      <c r="E842" t="s">
        <v>72</v>
      </c>
    </row>
    <row r="843" spans="1:10" hidden="1">
      <c r="A843">
        <v>5.0999999999999996</v>
      </c>
      <c r="D843">
        <v>2006</v>
      </c>
      <c r="E843" t="s">
        <v>72</v>
      </c>
    </row>
    <row r="844" spans="1:10" hidden="1">
      <c r="A844">
        <v>5.9</v>
      </c>
      <c r="D844">
        <v>2007</v>
      </c>
      <c r="E844" t="s">
        <v>72</v>
      </c>
    </row>
    <row r="845" spans="1:10" hidden="1">
      <c r="A845">
        <v>6.2</v>
      </c>
      <c r="D845">
        <v>2008</v>
      </c>
      <c r="E845" t="s">
        <v>72</v>
      </c>
    </row>
    <row r="846" spans="1:10" hidden="1">
      <c r="A846">
        <v>5.4</v>
      </c>
      <c r="D846">
        <v>2009</v>
      </c>
      <c r="E846" t="s">
        <v>72</v>
      </c>
    </row>
    <row r="847" spans="1:10" hidden="1">
      <c r="A847">
        <v>5</v>
      </c>
      <c r="D847">
        <v>2010</v>
      </c>
      <c r="E847" t="s">
        <v>72</v>
      </c>
    </row>
    <row r="848" spans="1:10" hidden="1">
      <c r="A848">
        <v>4.4000000000000004</v>
      </c>
      <c r="D848">
        <v>2011</v>
      </c>
      <c r="E848" t="s">
        <v>72</v>
      </c>
    </row>
    <row r="849" spans="1:5" hidden="1">
      <c r="A849">
        <v>3.3</v>
      </c>
      <c r="D849">
        <v>2012</v>
      </c>
      <c r="E849" t="s">
        <v>72</v>
      </c>
    </row>
    <row r="850" spans="1:5" hidden="1">
      <c r="A850">
        <v>3</v>
      </c>
      <c r="D850">
        <v>2013</v>
      </c>
      <c r="E850" t="s">
        <v>72</v>
      </c>
    </row>
    <row r="851" spans="1:5" hidden="1">
      <c r="A851">
        <v>2.9</v>
      </c>
      <c r="D851">
        <v>2014</v>
      </c>
      <c r="E851" t="s">
        <v>72</v>
      </c>
    </row>
    <row r="852" spans="1:5" hidden="1">
      <c r="A852">
        <v>2.9</v>
      </c>
      <c r="D852">
        <v>2015</v>
      </c>
      <c r="E852" t="s">
        <v>72</v>
      </c>
    </row>
    <row r="853" spans="1:5" hidden="1">
      <c r="A853">
        <v>3</v>
      </c>
      <c r="D853">
        <v>2016</v>
      </c>
      <c r="E853" t="s">
        <v>72</v>
      </c>
    </row>
    <row r="854" spans="1:5" hidden="1">
      <c r="A854">
        <v>3</v>
      </c>
      <c r="D854">
        <v>2017</v>
      </c>
      <c r="E854" t="s">
        <v>72</v>
      </c>
    </row>
    <row r="855" spans="1:5" hidden="1">
      <c r="A855">
        <v>3.3</v>
      </c>
      <c r="D855">
        <v>2018</v>
      </c>
      <c r="E855" t="s">
        <v>72</v>
      </c>
    </row>
    <row r="856" spans="1:5" hidden="1">
      <c r="A856">
        <v>0</v>
      </c>
      <c r="D856">
        <v>2019</v>
      </c>
      <c r="E856" t="s">
        <v>72</v>
      </c>
    </row>
    <row r="857" spans="1:5" hidden="1">
      <c r="A857">
        <v>0</v>
      </c>
      <c r="D857">
        <v>2020</v>
      </c>
      <c r="E857" t="s">
        <v>72</v>
      </c>
    </row>
    <row r="858" spans="1:5" hidden="1">
      <c r="A858">
        <v>0</v>
      </c>
      <c r="D858">
        <v>2021</v>
      </c>
      <c r="E858" t="s">
        <v>72</v>
      </c>
    </row>
    <row r="859" spans="1:5" hidden="1">
      <c r="A859">
        <v>0</v>
      </c>
      <c r="D859">
        <v>2022</v>
      </c>
      <c r="E859" t="s">
        <v>72</v>
      </c>
    </row>
    <row r="860" spans="1:5" hidden="1">
      <c r="A860">
        <v>0</v>
      </c>
      <c r="C860">
        <v>2000</v>
      </c>
      <c r="D860" t="s">
        <v>72</v>
      </c>
    </row>
    <row r="861" spans="1:5" hidden="1">
      <c r="A861">
        <v>0</v>
      </c>
      <c r="C861">
        <v>2001</v>
      </c>
      <c r="D861" t="s">
        <v>72</v>
      </c>
    </row>
    <row r="862" spans="1:5" hidden="1">
      <c r="A862">
        <v>0</v>
      </c>
      <c r="C862">
        <v>2002</v>
      </c>
      <c r="D862" t="s">
        <v>72</v>
      </c>
    </row>
    <row r="863" spans="1:5" hidden="1">
      <c r="A863">
        <v>0</v>
      </c>
      <c r="C863">
        <v>2003</v>
      </c>
      <c r="D863" t="s">
        <v>72</v>
      </c>
    </row>
    <row r="864" spans="1:5" hidden="1">
      <c r="A864">
        <v>0</v>
      </c>
      <c r="C864">
        <v>2004</v>
      </c>
      <c r="D864" t="s">
        <v>72</v>
      </c>
    </row>
    <row r="865" spans="1:4" hidden="1">
      <c r="A865">
        <v>0</v>
      </c>
      <c r="C865">
        <v>2005</v>
      </c>
      <c r="D865" t="s">
        <v>72</v>
      </c>
    </row>
    <row r="866" spans="1:4" hidden="1">
      <c r="A866">
        <v>0</v>
      </c>
      <c r="C866">
        <v>2006</v>
      </c>
      <c r="D866" t="s">
        <v>72</v>
      </c>
    </row>
    <row r="867" spans="1:4" hidden="1">
      <c r="A867">
        <v>0</v>
      </c>
      <c r="C867">
        <v>2007</v>
      </c>
      <c r="D867" t="s">
        <v>72</v>
      </c>
    </row>
    <row r="868" spans="1:4" hidden="1">
      <c r="A868">
        <v>0</v>
      </c>
      <c r="C868">
        <v>2008</v>
      </c>
      <c r="D868" t="s">
        <v>72</v>
      </c>
    </row>
    <row r="869" spans="1:4" hidden="1">
      <c r="A869">
        <v>0</v>
      </c>
      <c r="C869">
        <v>2009</v>
      </c>
      <c r="D869" t="s">
        <v>72</v>
      </c>
    </row>
    <row r="870" spans="1:4" hidden="1">
      <c r="A870">
        <v>0</v>
      </c>
      <c r="C870">
        <v>2010</v>
      </c>
      <c r="D870" t="s">
        <v>72</v>
      </c>
    </row>
    <row r="871" spans="1:4" hidden="1">
      <c r="A871">
        <v>0</v>
      </c>
      <c r="C871">
        <v>2011</v>
      </c>
      <c r="D871" t="s">
        <v>72</v>
      </c>
    </row>
    <row r="872" spans="1:4" hidden="1">
      <c r="A872">
        <v>0</v>
      </c>
      <c r="C872">
        <v>2012</v>
      </c>
      <c r="D872" t="s">
        <v>72</v>
      </c>
    </row>
    <row r="873" spans="1:4" hidden="1">
      <c r="A873">
        <v>0</v>
      </c>
      <c r="C873">
        <v>2013</v>
      </c>
      <c r="D873" t="s">
        <v>72</v>
      </c>
    </row>
    <row r="874" spans="1:4" hidden="1">
      <c r="A874">
        <v>0</v>
      </c>
      <c r="C874">
        <v>2014</v>
      </c>
      <c r="D874" t="s">
        <v>72</v>
      </c>
    </row>
    <row r="875" spans="1:4" hidden="1">
      <c r="A875">
        <v>0</v>
      </c>
      <c r="C875">
        <v>2015</v>
      </c>
      <c r="D875" t="s">
        <v>72</v>
      </c>
    </row>
    <row r="876" spans="1:4" hidden="1">
      <c r="A876">
        <v>0</v>
      </c>
      <c r="C876">
        <v>2016</v>
      </c>
      <c r="D876" t="s">
        <v>72</v>
      </c>
    </row>
    <row r="877" spans="1:4" hidden="1">
      <c r="A877">
        <v>0</v>
      </c>
      <c r="C877">
        <v>2017</v>
      </c>
      <c r="D877" t="s">
        <v>72</v>
      </c>
    </row>
    <row r="878" spans="1:4" hidden="1">
      <c r="A878">
        <v>0</v>
      </c>
      <c r="C878">
        <v>2018</v>
      </c>
      <c r="D878" t="s">
        <v>72</v>
      </c>
    </row>
    <row r="879" spans="1:4" hidden="1">
      <c r="A879">
        <v>0</v>
      </c>
      <c r="C879">
        <v>2019</v>
      </c>
      <c r="D879" t="s">
        <v>72</v>
      </c>
    </row>
    <row r="880" spans="1:4" hidden="1">
      <c r="A880">
        <v>0</v>
      </c>
      <c r="C880">
        <v>2020</v>
      </c>
      <c r="D880" t="s">
        <v>72</v>
      </c>
    </row>
    <row r="881" spans="1:4" hidden="1">
      <c r="A881">
        <v>0</v>
      </c>
      <c r="C881">
        <v>2021</v>
      </c>
      <c r="D881" t="s">
        <v>72</v>
      </c>
    </row>
    <row r="882" spans="1:4" hidden="1">
      <c r="A882">
        <v>0</v>
      </c>
      <c r="C882">
        <v>2022</v>
      </c>
      <c r="D882" t="s">
        <v>72</v>
      </c>
    </row>
    <row r="883" spans="1:4" hidden="1">
      <c r="A883">
        <v>46.3</v>
      </c>
      <c r="B883">
        <v>2000</v>
      </c>
      <c r="C883" t="s">
        <v>72</v>
      </c>
    </row>
    <row r="884" spans="1:4" hidden="1">
      <c r="A884">
        <v>53.7</v>
      </c>
      <c r="B884">
        <v>2001</v>
      </c>
      <c r="C884" t="s">
        <v>72</v>
      </c>
    </row>
    <row r="885" spans="1:4" hidden="1">
      <c r="A885">
        <v>46.1</v>
      </c>
      <c r="B885">
        <v>2002</v>
      </c>
      <c r="C885" t="s">
        <v>72</v>
      </c>
    </row>
    <row r="886" spans="1:4" hidden="1">
      <c r="A886">
        <v>48.7</v>
      </c>
      <c r="B886">
        <v>2003</v>
      </c>
      <c r="C886" t="s">
        <v>72</v>
      </c>
    </row>
    <row r="887" spans="1:4" hidden="1">
      <c r="A887">
        <v>52.8</v>
      </c>
      <c r="B887">
        <v>2004</v>
      </c>
      <c r="C887" t="s">
        <v>72</v>
      </c>
    </row>
    <row r="888" spans="1:4" hidden="1">
      <c r="A888">
        <v>55.1</v>
      </c>
      <c r="B888">
        <v>2005</v>
      </c>
      <c r="C888" t="s">
        <v>72</v>
      </c>
    </row>
    <row r="889" spans="1:4" hidden="1">
      <c r="A889">
        <v>65.2</v>
      </c>
      <c r="B889">
        <v>2006</v>
      </c>
      <c r="C889" t="s">
        <v>72</v>
      </c>
    </row>
    <row r="890" spans="1:4" hidden="1">
      <c r="A890">
        <v>65.599999999999994</v>
      </c>
      <c r="B890">
        <v>2007</v>
      </c>
      <c r="C890" t="s">
        <v>72</v>
      </c>
    </row>
    <row r="891" spans="1:4" hidden="1">
      <c r="A891">
        <v>44.8</v>
      </c>
      <c r="B891">
        <v>2008</v>
      </c>
      <c r="C891" t="s">
        <v>72</v>
      </c>
    </row>
    <row r="892" spans="1:4" hidden="1">
      <c r="A892">
        <v>36.6</v>
      </c>
      <c r="B892">
        <v>2009</v>
      </c>
      <c r="C892" t="s">
        <v>72</v>
      </c>
    </row>
    <row r="893" spans="1:4" hidden="1">
      <c r="A893">
        <v>49.4</v>
      </c>
      <c r="B893">
        <v>2010</v>
      </c>
      <c r="C893" t="s">
        <v>72</v>
      </c>
    </row>
    <row r="894" spans="1:4" hidden="1">
      <c r="A894">
        <v>52.9</v>
      </c>
      <c r="B894">
        <v>2011</v>
      </c>
      <c r="C894" t="s">
        <v>72</v>
      </c>
    </row>
    <row r="895" spans="1:4" hidden="1">
      <c r="A895">
        <v>78.5</v>
      </c>
      <c r="B895">
        <v>2012</v>
      </c>
      <c r="C895" t="s">
        <v>72</v>
      </c>
    </row>
    <row r="896" spans="1:4" hidden="1">
      <c r="A896">
        <v>84.1</v>
      </c>
      <c r="B896">
        <v>2013</v>
      </c>
      <c r="C896" t="s">
        <v>72</v>
      </c>
    </row>
    <row r="897" spans="1:8" hidden="1">
      <c r="A897">
        <v>65.599999999999994</v>
      </c>
      <c r="B897">
        <v>2014</v>
      </c>
      <c r="C897" t="s">
        <v>72</v>
      </c>
    </row>
    <row r="898" spans="1:8" hidden="1">
      <c r="A898">
        <v>61.3</v>
      </c>
      <c r="B898">
        <v>2015</v>
      </c>
      <c r="C898" t="s">
        <v>72</v>
      </c>
    </row>
    <row r="899" spans="1:8" hidden="1">
      <c r="A899">
        <v>43.7</v>
      </c>
      <c r="B899">
        <v>2016</v>
      </c>
      <c r="C899" t="s">
        <v>72</v>
      </c>
    </row>
    <row r="900" spans="1:8" hidden="1">
      <c r="A900">
        <v>44.7</v>
      </c>
      <c r="B900">
        <v>2017</v>
      </c>
      <c r="C900" t="s">
        <v>72</v>
      </c>
    </row>
    <row r="901" spans="1:8" hidden="1">
      <c r="A901">
        <v>44.8</v>
      </c>
      <c r="B901">
        <v>2018</v>
      </c>
      <c r="C901" t="s">
        <v>72</v>
      </c>
    </row>
    <row r="902" spans="1:8" hidden="1">
      <c r="A902">
        <v>53.6</v>
      </c>
      <c r="B902">
        <v>2019</v>
      </c>
      <c r="C902" t="s">
        <v>72</v>
      </c>
    </row>
    <row r="903" spans="1:8" hidden="1">
      <c r="A903">
        <v>73.400000000000006</v>
      </c>
      <c r="B903">
        <v>2020</v>
      </c>
      <c r="C903" t="s">
        <v>72</v>
      </c>
    </row>
    <row r="904" spans="1:8" hidden="1">
      <c r="A904">
        <v>60.6</v>
      </c>
      <c r="B904">
        <v>2021</v>
      </c>
      <c r="C904" t="s">
        <v>72</v>
      </c>
    </row>
    <row r="905" spans="1:8" hidden="1">
      <c r="A905">
        <v>58.9</v>
      </c>
      <c r="B905">
        <v>2022</v>
      </c>
      <c r="C905" t="s">
        <v>72</v>
      </c>
    </row>
    <row r="906" spans="1:8" hidden="1">
      <c r="A906">
        <v>20.8</v>
      </c>
      <c r="G906">
        <v>2000</v>
      </c>
      <c r="H906" t="s">
        <v>1430</v>
      </c>
    </row>
    <row r="907" spans="1:8" hidden="1">
      <c r="A907">
        <v>18.5</v>
      </c>
      <c r="G907">
        <v>2001</v>
      </c>
      <c r="H907" t="s">
        <v>1430</v>
      </c>
    </row>
    <row r="908" spans="1:8" hidden="1">
      <c r="A908">
        <v>25.9</v>
      </c>
      <c r="G908">
        <v>2002</v>
      </c>
      <c r="H908" t="s">
        <v>1430</v>
      </c>
    </row>
    <row r="909" spans="1:8" hidden="1">
      <c r="A909">
        <v>91.3</v>
      </c>
      <c r="G909">
        <v>2003</v>
      </c>
      <c r="H909" t="s">
        <v>1430</v>
      </c>
    </row>
    <row r="910" spans="1:8" hidden="1">
      <c r="A910">
        <v>38</v>
      </c>
      <c r="G910">
        <v>2004</v>
      </c>
      <c r="H910" t="s">
        <v>1430</v>
      </c>
    </row>
    <row r="911" spans="1:8" hidden="1">
      <c r="A911">
        <v>31.8</v>
      </c>
      <c r="G911">
        <v>2005</v>
      </c>
      <c r="H911" t="s">
        <v>1430</v>
      </c>
    </row>
    <row r="912" spans="1:8" hidden="1">
      <c r="A912">
        <v>36.9</v>
      </c>
      <c r="G912">
        <v>2006</v>
      </c>
      <c r="H912" t="s">
        <v>1430</v>
      </c>
    </row>
    <row r="913" spans="1:8" hidden="1">
      <c r="A913">
        <v>45.2</v>
      </c>
      <c r="G913">
        <v>2007</v>
      </c>
      <c r="H913" t="s">
        <v>1430</v>
      </c>
    </row>
    <row r="914" spans="1:8" hidden="1">
      <c r="A914">
        <v>44.8</v>
      </c>
      <c r="G914">
        <v>2008</v>
      </c>
      <c r="H914" t="s">
        <v>1430</v>
      </c>
    </row>
    <row r="915" spans="1:8" hidden="1">
      <c r="A915">
        <v>52.8</v>
      </c>
      <c r="G915">
        <v>2009</v>
      </c>
      <c r="H915" t="s">
        <v>1430</v>
      </c>
    </row>
    <row r="916" spans="1:8" hidden="1">
      <c r="A916">
        <v>49.9</v>
      </c>
      <c r="G916">
        <v>2010</v>
      </c>
      <c r="H916" t="s">
        <v>1430</v>
      </c>
    </row>
    <row r="917" spans="1:8" hidden="1">
      <c r="A917">
        <v>52.5</v>
      </c>
      <c r="G917">
        <v>2011</v>
      </c>
      <c r="H917" t="s">
        <v>1430</v>
      </c>
    </row>
    <row r="918" spans="1:8" hidden="1">
      <c r="A918">
        <v>56.2</v>
      </c>
      <c r="G918">
        <v>2012</v>
      </c>
      <c r="H918" t="s">
        <v>1430</v>
      </c>
    </row>
    <row r="919" spans="1:8" hidden="1">
      <c r="A919">
        <v>57</v>
      </c>
      <c r="G919">
        <v>2013</v>
      </c>
      <c r="H919" t="s">
        <v>1430</v>
      </c>
    </row>
    <row r="920" spans="1:8" hidden="1">
      <c r="A920">
        <v>60.8</v>
      </c>
      <c r="G920">
        <v>2014</v>
      </c>
      <c r="H920" t="s">
        <v>1430</v>
      </c>
    </row>
    <row r="921" spans="1:8" hidden="1">
      <c r="A921">
        <v>66.900000000000006</v>
      </c>
      <c r="G921">
        <v>2015</v>
      </c>
      <c r="H921" t="s">
        <v>1430</v>
      </c>
    </row>
    <row r="922" spans="1:8" hidden="1">
      <c r="A922">
        <v>61.3</v>
      </c>
      <c r="G922">
        <v>2016</v>
      </c>
      <c r="H922" t="s">
        <v>1430</v>
      </c>
    </row>
    <row r="923" spans="1:8" hidden="1">
      <c r="A923">
        <v>62.2</v>
      </c>
      <c r="G923">
        <v>2017</v>
      </c>
      <c r="H923" t="s">
        <v>1430</v>
      </c>
    </row>
    <row r="924" spans="1:8" hidden="1">
      <c r="A924">
        <v>62.7</v>
      </c>
      <c r="G924">
        <v>2018</v>
      </c>
      <c r="H924" t="s">
        <v>1430</v>
      </c>
    </row>
    <row r="925" spans="1:8" hidden="1">
      <c r="A925">
        <v>57.5</v>
      </c>
      <c r="G925">
        <v>2019</v>
      </c>
      <c r="H925" t="s">
        <v>1430</v>
      </c>
    </row>
    <row r="926" spans="1:8" hidden="1">
      <c r="A926">
        <v>52</v>
      </c>
      <c r="G926">
        <v>2020</v>
      </c>
      <c r="H926" t="s">
        <v>1430</v>
      </c>
    </row>
    <row r="927" spans="1:8" hidden="1">
      <c r="A927">
        <v>50</v>
      </c>
      <c r="G927">
        <v>2021</v>
      </c>
      <c r="H927" t="s">
        <v>1430</v>
      </c>
    </row>
    <row r="928" spans="1:8" hidden="1">
      <c r="A928">
        <v>50</v>
      </c>
      <c r="G928">
        <v>2022</v>
      </c>
      <c r="H928" t="s">
        <v>1430</v>
      </c>
    </row>
    <row r="929" spans="1:7" hidden="1">
      <c r="A929">
        <v>0</v>
      </c>
      <c r="F929" s="48">
        <v>2000</v>
      </c>
      <c r="G929" t="s">
        <v>1430</v>
      </c>
    </row>
    <row r="930" spans="1:7" hidden="1">
      <c r="A930">
        <v>0</v>
      </c>
      <c r="F930" s="48">
        <v>2001</v>
      </c>
      <c r="G930" t="s">
        <v>1430</v>
      </c>
    </row>
    <row r="931" spans="1:7" hidden="1">
      <c r="A931">
        <v>2.6</v>
      </c>
      <c r="F931" s="48">
        <v>2002</v>
      </c>
      <c r="G931" t="s">
        <v>1430</v>
      </c>
    </row>
    <row r="932" spans="1:7" hidden="1">
      <c r="A932">
        <v>0.1</v>
      </c>
      <c r="F932" s="48">
        <v>2003</v>
      </c>
      <c r="G932" t="s">
        <v>1430</v>
      </c>
    </row>
    <row r="933" spans="1:7" hidden="1">
      <c r="A933">
        <v>0.5</v>
      </c>
      <c r="F933" s="48">
        <v>2004</v>
      </c>
      <c r="G933" t="s">
        <v>1430</v>
      </c>
    </row>
    <row r="934" spans="1:7" hidden="1">
      <c r="A934">
        <v>0.4</v>
      </c>
      <c r="F934" s="48">
        <v>2005</v>
      </c>
      <c r="G934" t="s">
        <v>1430</v>
      </c>
    </row>
    <row r="935" spans="1:7" hidden="1">
      <c r="A935">
        <v>0.5</v>
      </c>
      <c r="F935" s="48">
        <v>2006</v>
      </c>
      <c r="G935" t="s">
        <v>1430</v>
      </c>
    </row>
    <row r="936" spans="1:7" hidden="1">
      <c r="A936">
        <v>0.5</v>
      </c>
      <c r="F936" s="48">
        <v>2007</v>
      </c>
      <c r="G936" t="s">
        <v>1430</v>
      </c>
    </row>
    <row r="937" spans="1:7" hidden="1">
      <c r="A937">
        <v>0.3</v>
      </c>
      <c r="F937" s="48">
        <v>2008</v>
      </c>
      <c r="G937" t="s">
        <v>1430</v>
      </c>
    </row>
    <row r="938" spans="1:7" hidden="1">
      <c r="A938">
        <v>0.3</v>
      </c>
      <c r="F938" s="48">
        <v>2009</v>
      </c>
      <c r="G938" t="s">
        <v>1430</v>
      </c>
    </row>
    <row r="939" spans="1:7" hidden="1">
      <c r="A939">
        <v>0.2</v>
      </c>
      <c r="F939" s="48">
        <v>2010</v>
      </c>
      <c r="G939" t="s">
        <v>1430</v>
      </c>
    </row>
    <row r="940" spans="1:7" hidden="1">
      <c r="A940">
        <v>0.2</v>
      </c>
      <c r="F940" s="48">
        <v>2011</v>
      </c>
      <c r="G940" t="s">
        <v>1430</v>
      </c>
    </row>
    <row r="941" spans="1:7" hidden="1">
      <c r="A941">
        <v>0.2</v>
      </c>
      <c r="F941" s="48">
        <v>2012</v>
      </c>
      <c r="G941" t="s">
        <v>1430</v>
      </c>
    </row>
    <row r="942" spans="1:7" hidden="1">
      <c r="A942">
        <v>0.2</v>
      </c>
      <c r="F942" s="48">
        <v>2013</v>
      </c>
      <c r="G942" t="s">
        <v>1430</v>
      </c>
    </row>
    <row r="943" spans="1:7" hidden="1">
      <c r="A943">
        <v>0.1</v>
      </c>
      <c r="F943" s="48">
        <v>2014</v>
      </c>
      <c r="G943" t="s">
        <v>1430</v>
      </c>
    </row>
    <row r="944" spans="1:7" hidden="1">
      <c r="A944">
        <v>0.1</v>
      </c>
      <c r="F944" s="48">
        <v>2015</v>
      </c>
      <c r="G944" t="s">
        <v>1430</v>
      </c>
    </row>
    <row r="945" spans="1:10" hidden="1">
      <c r="A945">
        <v>0.3</v>
      </c>
      <c r="F945" s="48">
        <v>2016</v>
      </c>
      <c r="G945" t="s">
        <v>1430</v>
      </c>
    </row>
    <row r="946" spans="1:10" hidden="1">
      <c r="A946">
        <v>0.2</v>
      </c>
      <c r="F946" s="48">
        <v>2017</v>
      </c>
      <c r="G946" t="s">
        <v>1430</v>
      </c>
    </row>
    <row r="947" spans="1:10" hidden="1">
      <c r="A947">
        <v>0.1</v>
      </c>
      <c r="F947" s="48">
        <v>2018</v>
      </c>
      <c r="G947" t="s">
        <v>1430</v>
      </c>
    </row>
    <row r="948" spans="1:10" hidden="1">
      <c r="A948">
        <v>0</v>
      </c>
      <c r="F948" s="48">
        <v>2019</v>
      </c>
      <c r="G948" t="s">
        <v>1430</v>
      </c>
    </row>
    <row r="949" spans="1:10" hidden="1">
      <c r="A949">
        <v>0.1</v>
      </c>
      <c r="F949" s="48">
        <v>2020</v>
      </c>
      <c r="G949" t="s">
        <v>1430</v>
      </c>
    </row>
    <row r="950" spans="1:10" hidden="1">
      <c r="A950">
        <v>0.1</v>
      </c>
      <c r="F950" s="48">
        <v>2021</v>
      </c>
      <c r="G950" t="s">
        <v>1430</v>
      </c>
    </row>
    <row r="951" spans="1:10" hidden="1">
      <c r="A951">
        <v>0.1</v>
      </c>
      <c r="F951" s="48">
        <v>2022</v>
      </c>
      <c r="G951" t="s">
        <v>1430</v>
      </c>
    </row>
    <row r="952" spans="1:10">
      <c r="A952">
        <v>513.79999999999995</v>
      </c>
      <c r="E952">
        <v>2000</v>
      </c>
      <c r="F952" s="48" t="s">
        <v>1430</v>
      </c>
      <c r="I952">
        <f t="shared" ref="I952:I974" si="8">E952</f>
        <v>2000</v>
      </c>
      <c r="J952">
        <f t="shared" ref="J952:J974" si="9">A952</f>
        <v>513.79999999999995</v>
      </c>
    </row>
    <row r="953" spans="1:10">
      <c r="A953">
        <v>501.9</v>
      </c>
      <c r="E953">
        <v>2001</v>
      </c>
      <c r="F953" s="48" t="s">
        <v>1430</v>
      </c>
      <c r="I953">
        <f t="shared" si="8"/>
        <v>2001</v>
      </c>
      <c r="J953">
        <f t="shared" si="9"/>
        <v>501.9</v>
      </c>
    </row>
    <row r="954" spans="1:10">
      <c r="A954">
        <v>576.79999999999995</v>
      </c>
      <c r="E954">
        <v>2002</v>
      </c>
      <c r="F954" s="48" t="s">
        <v>1430</v>
      </c>
      <c r="I954">
        <f t="shared" si="8"/>
        <v>2002</v>
      </c>
      <c r="J954">
        <f t="shared" si="9"/>
        <v>576.79999999999995</v>
      </c>
    </row>
    <row r="955" spans="1:10">
      <c r="A955">
        <v>624.6</v>
      </c>
      <c r="E955">
        <v>2003</v>
      </c>
      <c r="F955" s="48" t="s">
        <v>1430</v>
      </c>
      <c r="I955">
        <f t="shared" si="8"/>
        <v>2003</v>
      </c>
      <c r="J955">
        <f t="shared" si="9"/>
        <v>624.6</v>
      </c>
    </row>
    <row r="956" spans="1:10">
      <c r="A956">
        <v>612.5</v>
      </c>
      <c r="E956">
        <v>2004</v>
      </c>
      <c r="F956" s="48" t="s">
        <v>1430</v>
      </c>
      <c r="I956">
        <f t="shared" si="8"/>
        <v>2004</v>
      </c>
      <c r="J956">
        <f t="shared" si="9"/>
        <v>612.5</v>
      </c>
    </row>
    <row r="957" spans="1:10">
      <c r="A957">
        <v>599</v>
      </c>
      <c r="E957">
        <v>2005</v>
      </c>
      <c r="F957" s="48" t="s">
        <v>1430</v>
      </c>
      <c r="I957">
        <f t="shared" si="8"/>
        <v>2005</v>
      </c>
      <c r="J957">
        <f t="shared" si="9"/>
        <v>599</v>
      </c>
    </row>
    <row r="958" spans="1:10">
      <c r="A958">
        <v>581.1</v>
      </c>
      <c r="E958">
        <v>2006</v>
      </c>
      <c r="F958" s="48" t="s">
        <v>1430</v>
      </c>
      <c r="I958">
        <f t="shared" si="8"/>
        <v>2006</v>
      </c>
      <c r="J958">
        <f t="shared" si="9"/>
        <v>581.1</v>
      </c>
    </row>
    <row r="959" spans="1:10">
      <c r="A959">
        <v>607.1</v>
      </c>
      <c r="E959">
        <v>2007</v>
      </c>
      <c r="F959" s="48" t="s">
        <v>1430</v>
      </c>
      <c r="I959">
        <f t="shared" si="8"/>
        <v>2007</v>
      </c>
      <c r="J959">
        <f t="shared" si="9"/>
        <v>607.1</v>
      </c>
    </row>
    <row r="960" spans="1:10">
      <c r="A960">
        <v>637.6</v>
      </c>
      <c r="E960">
        <v>2008</v>
      </c>
      <c r="F960" s="48" t="s">
        <v>1430</v>
      </c>
      <c r="I960">
        <f t="shared" si="8"/>
        <v>2008</v>
      </c>
      <c r="J960">
        <f t="shared" si="9"/>
        <v>637.6</v>
      </c>
    </row>
    <row r="961" spans="1:10">
      <c r="A961">
        <v>682.7</v>
      </c>
      <c r="E961">
        <v>2009</v>
      </c>
      <c r="F961" s="48" t="s">
        <v>1430</v>
      </c>
      <c r="I961">
        <f t="shared" si="8"/>
        <v>2009</v>
      </c>
      <c r="J961">
        <f t="shared" si="9"/>
        <v>682.7</v>
      </c>
    </row>
    <row r="962" spans="1:10">
      <c r="A962">
        <v>697.5</v>
      </c>
      <c r="E962">
        <v>2010</v>
      </c>
      <c r="F962" s="48" t="s">
        <v>1430</v>
      </c>
      <c r="I962">
        <f t="shared" si="8"/>
        <v>2010</v>
      </c>
      <c r="J962">
        <f t="shared" si="9"/>
        <v>697.5</v>
      </c>
    </row>
    <row r="963" spans="1:10">
      <c r="A963">
        <v>681.9</v>
      </c>
      <c r="E963">
        <v>2011</v>
      </c>
      <c r="F963" s="48" t="s">
        <v>1430</v>
      </c>
      <c r="I963">
        <f t="shared" si="8"/>
        <v>2011</v>
      </c>
      <c r="J963">
        <f t="shared" si="9"/>
        <v>681.9</v>
      </c>
    </row>
    <row r="964" spans="1:10">
      <c r="A964">
        <v>627.5</v>
      </c>
      <c r="E964">
        <v>2012</v>
      </c>
      <c r="F964" s="48" t="s">
        <v>1430</v>
      </c>
      <c r="I964">
        <f t="shared" si="8"/>
        <v>2012</v>
      </c>
      <c r="J964">
        <f t="shared" si="9"/>
        <v>627.5</v>
      </c>
    </row>
    <row r="965" spans="1:10">
      <c r="A965">
        <v>496.1</v>
      </c>
      <c r="E965">
        <v>2013</v>
      </c>
      <c r="F965" s="48" t="s">
        <v>1430</v>
      </c>
      <c r="I965">
        <f t="shared" si="8"/>
        <v>2013</v>
      </c>
      <c r="J965">
        <f t="shared" si="9"/>
        <v>496.1</v>
      </c>
    </row>
    <row r="966" spans="1:10">
      <c r="A966">
        <v>491.9</v>
      </c>
      <c r="E966">
        <v>2014</v>
      </c>
      <c r="F966" s="48" t="s">
        <v>1430</v>
      </c>
      <c r="I966">
        <f t="shared" si="8"/>
        <v>2014</v>
      </c>
      <c r="J966">
        <f t="shared" si="9"/>
        <v>491.9</v>
      </c>
    </row>
    <row r="967" spans="1:10">
      <c r="A967">
        <v>439.1</v>
      </c>
      <c r="E967">
        <v>2015</v>
      </c>
      <c r="F967" s="48" t="s">
        <v>1430</v>
      </c>
      <c r="I967">
        <f t="shared" si="8"/>
        <v>2015</v>
      </c>
      <c r="J967">
        <f t="shared" si="9"/>
        <v>439.1</v>
      </c>
    </row>
    <row r="968" spans="1:10">
      <c r="A968">
        <v>514.29999999999995</v>
      </c>
      <c r="E968">
        <v>2016</v>
      </c>
      <c r="F968" s="48" t="s">
        <v>1430</v>
      </c>
      <c r="I968">
        <f t="shared" si="8"/>
        <v>2016</v>
      </c>
      <c r="J968">
        <f t="shared" si="9"/>
        <v>514.29999999999995</v>
      </c>
    </row>
    <row r="969" spans="1:10">
      <c r="A969">
        <v>481.2</v>
      </c>
      <c r="E969">
        <v>2017</v>
      </c>
      <c r="F969" s="48" t="s">
        <v>1430</v>
      </c>
      <c r="I969">
        <f t="shared" si="8"/>
        <v>2017</v>
      </c>
      <c r="J969">
        <f t="shared" si="9"/>
        <v>481.2</v>
      </c>
    </row>
    <row r="970" spans="1:10">
      <c r="A970">
        <v>408.6</v>
      </c>
      <c r="E970">
        <v>2018</v>
      </c>
      <c r="F970" s="48" t="s">
        <v>1430</v>
      </c>
      <c r="I970">
        <f t="shared" si="8"/>
        <v>2018</v>
      </c>
      <c r="J970">
        <f t="shared" si="9"/>
        <v>408.6</v>
      </c>
    </row>
    <row r="971" spans="1:10">
      <c r="A971">
        <v>359.6</v>
      </c>
      <c r="E971">
        <v>2019</v>
      </c>
      <c r="F971" s="48" t="s">
        <v>1430</v>
      </c>
      <c r="I971">
        <f t="shared" si="8"/>
        <v>2019</v>
      </c>
      <c r="J971">
        <f t="shared" si="9"/>
        <v>359.6</v>
      </c>
    </row>
    <row r="972" spans="1:10">
      <c r="A972">
        <v>289.2</v>
      </c>
      <c r="E972">
        <v>2020</v>
      </c>
      <c r="F972" s="48" t="s">
        <v>1430</v>
      </c>
      <c r="I972">
        <f t="shared" si="8"/>
        <v>2020</v>
      </c>
      <c r="J972">
        <f t="shared" si="9"/>
        <v>289.2</v>
      </c>
    </row>
    <row r="973" spans="1:10">
      <c r="A973">
        <v>264.5</v>
      </c>
      <c r="E973">
        <v>2021</v>
      </c>
      <c r="F973" s="48" t="s">
        <v>1430</v>
      </c>
      <c r="I973">
        <f t="shared" si="8"/>
        <v>2021</v>
      </c>
      <c r="J973">
        <f t="shared" si="9"/>
        <v>264.5</v>
      </c>
    </row>
    <row r="974" spans="1:10">
      <c r="A974">
        <v>354</v>
      </c>
      <c r="E974">
        <v>2022</v>
      </c>
      <c r="F974" s="48" t="s">
        <v>1430</v>
      </c>
      <c r="I974">
        <f t="shared" si="8"/>
        <v>2022</v>
      </c>
      <c r="J974">
        <f t="shared" si="9"/>
        <v>354</v>
      </c>
    </row>
    <row r="975" spans="1:10" hidden="1">
      <c r="A975">
        <v>370.3</v>
      </c>
      <c r="D975">
        <v>2000</v>
      </c>
      <c r="E975" t="s">
        <v>1430</v>
      </c>
    </row>
    <row r="976" spans="1:10" hidden="1">
      <c r="A976">
        <v>348.8</v>
      </c>
      <c r="D976">
        <v>2001</v>
      </c>
      <c r="E976" t="s">
        <v>1430</v>
      </c>
    </row>
    <row r="977" spans="1:5" hidden="1">
      <c r="A977">
        <v>339.1</v>
      </c>
      <c r="D977">
        <v>2002</v>
      </c>
      <c r="E977" t="s">
        <v>1430</v>
      </c>
    </row>
    <row r="978" spans="1:5" hidden="1">
      <c r="A978">
        <v>346.4</v>
      </c>
      <c r="D978">
        <v>2003</v>
      </c>
      <c r="E978" t="s">
        <v>1430</v>
      </c>
    </row>
    <row r="979" spans="1:5" hidden="1">
      <c r="A979">
        <v>325</v>
      </c>
      <c r="D979">
        <v>2004</v>
      </c>
      <c r="E979" t="s">
        <v>1430</v>
      </c>
    </row>
    <row r="980" spans="1:5" hidden="1">
      <c r="A980">
        <v>309.7</v>
      </c>
      <c r="D980">
        <v>2005</v>
      </c>
      <c r="E980" t="s">
        <v>1430</v>
      </c>
    </row>
    <row r="981" spans="1:5" hidden="1">
      <c r="A981">
        <v>314.10000000000002</v>
      </c>
      <c r="D981">
        <v>2006</v>
      </c>
      <c r="E981" t="s">
        <v>1430</v>
      </c>
    </row>
    <row r="982" spans="1:5" hidden="1">
      <c r="A982">
        <v>303.8</v>
      </c>
      <c r="D982">
        <v>2007</v>
      </c>
      <c r="E982" t="s">
        <v>1430</v>
      </c>
    </row>
    <row r="983" spans="1:5" hidden="1">
      <c r="A983">
        <v>249.3</v>
      </c>
      <c r="D983">
        <v>2008</v>
      </c>
      <c r="E983" t="s">
        <v>1430</v>
      </c>
    </row>
    <row r="984" spans="1:5" hidden="1">
      <c r="A984">
        <v>253.3</v>
      </c>
      <c r="D984">
        <v>2009</v>
      </c>
      <c r="E984" t="s">
        <v>1430</v>
      </c>
    </row>
    <row r="985" spans="1:5" hidden="1">
      <c r="A985">
        <v>243.6</v>
      </c>
      <c r="D985">
        <v>2010</v>
      </c>
      <c r="E985" t="s">
        <v>1430</v>
      </c>
    </row>
    <row r="986" spans="1:5" hidden="1">
      <c r="A986">
        <v>234</v>
      </c>
      <c r="D986">
        <v>2011</v>
      </c>
      <c r="E986" t="s">
        <v>1430</v>
      </c>
    </row>
    <row r="987" spans="1:5" hidden="1">
      <c r="A987">
        <v>235.5</v>
      </c>
      <c r="D987">
        <v>2012</v>
      </c>
      <c r="E987" t="s">
        <v>1430</v>
      </c>
    </row>
    <row r="988" spans="1:5" hidden="1">
      <c r="A988">
        <v>214.6</v>
      </c>
      <c r="D988">
        <v>2013</v>
      </c>
      <c r="E988" t="s">
        <v>1430</v>
      </c>
    </row>
    <row r="989" spans="1:5" hidden="1">
      <c r="A989">
        <v>227</v>
      </c>
      <c r="D989">
        <v>2014</v>
      </c>
      <c r="E989" t="s">
        <v>1430</v>
      </c>
    </row>
    <row r="990" spans="1:5" hidden="1">
      <c r="A990">
        <v>226.7</v>
      </c>
      <c r="D990">
        <v>2015</v>
      </c>
      <c r="E990" t="s">
        <v>1430</v>
      </c>
    </row>
    <row r="991" spans="1:5" hidden="1">
      <c r="A991">
        <v>217.6</v>
      </c>
      <c r="D991">
        <v>2016</v>
      </c>
      <c r="E991" t="s">
        <v>1430</v>
      </c>
    </row>
    <row r="992" spans="1:5" hidden="1">
      <c r="A992">
        <v>222.7</v>
      </c>
      <c r="D992">
        <v>2017</v>
      </c>
      <c r="E992" t="s">
        <v>1430</v>
      </c>
    </row>
    <row r="993" spans="1:5" hidden="1">
      <c r="A993">
        <v>227.1</v>
      </c>
      <c r="D993">
        <v>2018</v>
      </c>
      <c r="E993" t="s">
        <v>1430</v>
      </c>
    </row>
    <row r="994" spans="1:5" hidden="1">
      <c r="A994">
        <v>222.1</v>
      </c>
      <c r="D994">
        <v>2019</v>
      </c>
      <c r="E994" t="s">
        <v>1430</v>
      </c>
    </row>
    <row r="995" spans="1:5" hidden="1">
      <c r="A995">
        <v>203.1</v>
      </c>
      <c r="D995">
        <v>2020</v>
      </c>
      <c r="E995" t="s">
        <v>1430</v>
      </c>
    </row>
    <row r="996" spans="1:5" hidden="1">
      <c r="A996">
        <v>216.1</v>
      </c>
      <c r="D996">
        <v>2021</v>
      </c>
      <c r="E996" t="s">
        <v>1430</v>
      </c>
    </row>
    <row r="997" spans="1:5" hidden="1">
      <c r="A997">
        <v>209.3</v>
      </c>
      <c r="D997">
        <v>2022</v>
      </c>
      <c r="E997" t="s">
        <v>1430</v>
      </c>
    </row>
    <row r="998" spans="1:5" hidden="1">
      <c r="A998">
        <v>3.1</v>
      </c>
      <c r="C998">
        <v>2000</v>
      </c>
      <c r="D998" t="s">
        <v>1430</v>
      </c>
    </row>
    <row r="999" spans="1:5" hidden="1">
      <c r="A999">
        <v>3.5</v>
      </c>
      <c r="C999">
        <v>2001</v>
      </c>
      <c r="D999" t="s">
        <v>1430</v>
      </c>
    </row>
    <row r="1000" spans="1:5" hidden="1">
      <c r="A1000">
        <v>36.200000000000003</v>
      </c>
      <c r="C1000">
        <v>2002</v>
      </c>
      <c r="D1000" t="s">
        <v>1430</v>
      </c>
    </row>
    <row r="1001" spans="1:5" hidden="1">
      <c r="A1001">
        <v>39.9</v>
      </c>
      <c r="C1001">
        <v>2003</v>
      </c>
      <c r="D1001" t="s">
        <v>1430</v>
      </c>
    </row>
    <row r="1002" spans="1:5" hidden="1">
      <c r="A1002">
        <v>37.9</v>
      </c>
      <c r="C1002">
        <v>2004</v>
      </c>
      <c r="D1002" t="s">
        <v>1430</v>
      </c>
    </row>
    <row r="1003" spans="1:5" hidden="1">
      <c r="A1003">
        <v>45.4</v>
      </c>
      <c r="C1003">
        <v>2005</v>
      </c>
      <c r="D1003" t="s">
        <v>1430</v>
      </c>
    </row>
    <row r="1004" spans="1:5" hidden="1">
      <c r="A1004">
        <v>45.4</v>
      </c>
      <c r="C1004">
        <v>2006</v>
      </c>
      <c r="D1004" t="s">
        <v>1430</v>
      </c>
    </row>
    <row r="1005" spans="1:5" hidden="1">
      <c r="A1005">
        <v>42.1</v>
      </c>
      <c r="C1005">
        <v>2007</v>
      </c>
      <c r="D1005" t="s">
        <v>1430</v>
      </c>
    </row>
    <row r="1006" spans="1:5" hidden="1">
      <c r="A1006">
        <v>42.5</v>
      </c>
      <c r="C1006">
        <v>2008</v>
      </c>
      <c r="D1006" t="s">
        <v>1430</v>
      </c>
    </row>
    <row r="1007" spans="1:5" hidden="1">
      <c r="A1007">
        <v>37.200000000000003</v>
      </c>
      <c r="C1007">
        <v>2009</v>
      </c>
      <c r="D1007" t="s">
        <v>1430</v>
      </c>
    </row>
    <row r="1008" spans="1:5" hidden="1">
      <c r="A1008">
        <v>38.5</v>
      </c>
      <c r="C1008">
        <v>2010</v>
      </c>
      <c r="D1008" t="s">
        <v>1430</v>
      </c>
    </row>
    <row r="1009" spans="1:4" hidden="1">
      <c r="A1009">
        <v>37.1</v>
      </c>
      <c r="C1009">
        <v>2011</v>
      </c>
      <c r="D1009" t="s">
        <v>1430</v>
      </c>
    </row>
    <row r="1010" spans="1:4" hidden="1">
      <c r="A1010">
        <v>36.200000000000003</v>
      </c>
      <c r="C1010">
        <v>2012</v>
      </c>
      <c r="D1010" t="s">
        <v>1430</v>
      </c>
    </row>
    <row r="1011" spans="1:4" hidden="1">
      <c r="A1011">
        <v>33.799999999999997</v>
      </c>
      <c r="C1011">
        <v>2013</v>
      </c>
      <c r="D1011" t="s">
        <v>1430</v>
      </c>
    </row>
    <row r="1012" spans="1:4" hidden="1">
      <c r="A1012">
        <v>34.6</v>
      </c>
      <c r="C1012">
        <v>2014</v>
      </c>
      <c r="D1012" t="s">
        <v>1430</v>
      </c>
    </row>
    <row r="1013" spans="1:4" hidden="1">
      <c r="A1013">
        <v>35.1</v>
      </c>
      <c r="C1013">
        <v>2015</v>
      </c>
      <c r="D1013" t="s">
        <v>1430</v>
      </c>
    </row>
    <row r="1014" spans="1:4" hidden="1">
      <c r="A1014">
        <v>33.200000000000003</v>
      </c>
      <c r="C1014">
        <v>2016</v>
      </c>
      <c r="D1014" t="s">
        <v>1430</v>
      </c>
    </row>
    <row r="1015" spans="1:4" hidden="1">
      <c r="A1015">
        <v>34.5</v>
      </c>
      <c r="C1015">
        <v>2017</v>
      </c>
      <c r="D1015" t="s">
        <v>1430</v>
      </c>
    </row>
    <row r="1016" spans="1:4" hidden="1">
      <c r="A1016">
        <v>33.6</v>
      </c>
      <c r="C1016">
        <v>2018</v>
      </c>
      <c r="D1016" t="s">
        <v>1430</v>
      </c>
    </row>
    <row r="1017" spans="1:4" hidden="1">
      <c r="A1017">
        <v>31.8</v>
      </c>
      <c r="C1017">
        <v>2019</v>
      </c>
      <c r="D1017" t="s">
        <v>1430</v>
      </c>
    </row>
    <row r="1018" spans="1:4" hidden="1">
      <c r="A1018">
        <v>28.6</v>
      </c>
      <c r="C1018">
        <v>2020</v>
      </c>
      <c r="D1018" t="s">
        <v>1430</v>
      </c>
    </row>
    <row r="1019" spans="1:4" hidden="1">
      <c r="A1019">
        <v>26.8</v>
      </c>
      <c r="C1019">
        <v>2021</v>
      </c>
      <c r="D1019" t="s">
        <v>1430</v>
      </c>
    </row>
    <row r="1020" spans="1:4" hidden="1">
      <c r="A1020">
        <v>25.8</v>
      </c>
      <c r="C1020">
        <v>2022</v>
      </c>
      <c r="D1020" t="s">
        <v>1430</v>
      </c>
    </row>
    <row r="1021" spans="1:4" hidden="1">
      <c r="A1021">
        <v>807.9</v>
      </c>
      <c r="B1021">
        <v>2000</v>
      </c>
      <c r="C1021" t="s">
        <v>1430</v>
      </c>
    </row>
    <row r="1022" spans="1:4" hidden="1">
      <c r="A1022">
        <v>776.9</v>
      </c>
      <c r="B1022">
        <v>2001</v>
      </c>
      <c r="C1022" t="s">
        <v>1430</v>
      </c>
    </row>
    <row r="1023" spans="1:4" hidden="1">
      <c r="A1023">
        <v>764.1</v>
      </c>
      <c r="B1023">
        <v>2002</v>
      </c>
      <c r="C1023" t="s">
        <v>1430</v>
      </c>
    </row>
    <row r="1024" spans="1:4" hidden="1">
      <c r="A1024">
        <v>767.6</v>
      </c>
      <c r="B1024">
        <v>2003</v>
      </c>
      <c r="C1024" t="s">
        <v>1430</v>
      </c>
    </row>
    <row r="1025" spans="1:3" hidden="1">
      <c r="A1025">
        <v>738.2</v>
      </c>
      <c r="B1025">
        <v>2004</v>
      </c>
      <c r="C1025" t="s">
        <v>1430</v>
      </c>
    </row>
    <row r="1026" spans="1:3" hidden="1">
      <c r="A1026">
        <v>709.1</v>
      </c>
      <c r="B1026">
        <v>2005</v>
      </c>
      <c r="C1026" t="s">
        <v>1430</v>
      </c>
    </row>
    <row r="1027" spans="1:3" hidden="1">
      <c r="A1027">
        <v>706</v>
      </c>
      <c r="B1027">
        <v>2006</v>
      </c>
      <c r="C1027" t="s">
        <v>1430</v>
      </c>
    </row>
    <row r="1028" spans="1:3" hidden="1">
      <c r="A1028">
        <v>701.6</v>
      </c>
      <c r="B1028">
        <v>2007</v>
      </c>
      <c r="C1028" t="s">
        <v>1430</v>
      </c>
    </row>
    <row r="1029" spans="1:3" hidden="1">
      <c r="A1029">
        <v>681.4</v>
      </c>
      <c r="B1029">
        <v>2008</v>
      </c>
      <c r="C1029" t="s">
        <v>1430</v>
      </c>
    </row>
    <row r="1030" spans="1:3" hidden="1">
      <c r="A1030">
        <v>672.1</v>
      </c>
      <c r="B1030">
        <v>2009</v>
      </c>
      <c r="C1030" t="s">
        <v>1430</v>
      </c>
    </row>
    <row r="1031" spans="1:3" hidden="1">
      <c r="A1031">
        <v>662.5</v>
      </c>
      <c r="B1031">
        <v>2010</v>
      </c>
      <c r="C1031" t="s">
        <v>1430</v>
      </c>
    </row>
    <row r="1032" spans="1:3" hidden="1">
      <c r="A1032">
        <v>638</v>
      </c>
      <c r="B1032">
        <v>2011</v>
      </c>
      <c r="C1032" t="s">
        <v>1430</v>
      </c>
    </row>
    <row r="1033" spans="1:3" hidden="1">
      <c r="A1033">
        <v>637.1</v>
      </c>
      <c r="B1033">
        <v>2012</v>
      </c>
      <c r="C1033" t="s">
        <v>1430</v>
      </c>
    </row>
    <row r="1034" spans="1:3" hidden="1">
      <c r="A1034">
        <v>618.4</v>
      </c>
      <c r="B1034">
        <v>2013</v>
      </c>
      <c r="C1034" t="s">
        <v>1430</v>
      </c>
    </row>
    <row r="1035" spans="1:3" hidden="1">
      <c r="A1035">
        <v>602</v>
      </c>
      <c r="B1035">
        <v>2014</v>
      </c>
      <c r="C1035" t="s">
        <v>1430</v>
      </c>
    </row>
    <row r="1036" spans="1:3" hidden="1">
      <c r="A1036">
        <v>612.9</v>
      </c>
      <c r="B1036">
        <v>2015</v>
      </c>
      <c r="C1036" t="s">
        <v>1430</v>
      </c>
    </row>
    <row r="1037" spans="1:3" hidden="1">
      <c r="A1037">
        <v>605.6</v>
      </c>
      <c r="B1037">
        <v>2016</v>
      </c>
      <c r="C1037" t="s">
        <v>1430</v>
      </c>
    </row>
    <row r="1038" spans="1:3" hidden="1">
      <c r="A1038">
        <v>616.70000000000005</v>
      </c>
      <c r="B1038">
        <v>2017</v>
      </c>
      <c r="C1038" t="s">
        <v>1430</v>
      </c>
    </row>
    <row r="1039" spans="1:3" hidden="1">
      <c r="A1039">
        <v>625.1</v>
      </c>
      <c r="B1039">
        <v>2018</v>
      </c>
      <c r="C1039" t="s">
        <v>1430</v>
      </c>
    </row>
    <row r="1040" spans="1:3" hidden="1">
      <c r="A1040">
        <v>616.29999999999995</v>
      </c>
      <c r="B1040">
        <v>2019</v>
      </c>
      <c r="C1040" t="s">
        <v>1430</v>
      </c>
    </row>
    <row r="1041" spans="1:8" hidden="1">
      <c r="A1041">
        <v>601.20000000000005</v>
      </c>
      <c r="B1041">
        <v>2020</v>
      </c>
      <c r="C1041" t="s">
        <v>1430</v>
      </c>
    </row>
    <row r="1042" spans="1:8" hidden="1">
      <c r="A1042">
        <v>598.5</v>
      </c>
      <c r="B1042">
        <v>2021</v>
      </c>
      <c r="C1042" t="s">
        <v>1430</v>
      </c>
    </row>
    <row r="1043" spans="1:8" hidden="1">
      <c r="A1043">
        <v>624</v>
      </c>
      <c r="B1043">
        <v>2022</v>
      </c>
      <c r="C1043" t="s">
        <v>1430</v>
      </c>
    </row>
    <row r="1044" spans="1:8" hidden="1">
      <c r="A1044">
        <v>204.9</v>
      </c>
      <c r="G1044">
        <v>2000</v>
      </c>
      <c r="H1044" t="s">
        <v>100</v>
      </c>
    </row>
    <row r="1045" spans="1:8" hidden="1">
      <c r="A1045">
        <v>226.3</v>
      </c>
      <c r="G1045">
        <v>2001</v>
      </c>
      <c r="H1045" t="s">
        <v>100</v>
      </c>
    </row>
    <row r="1046" spans="1:8" hidden="1">
      <c r="A1046">
        <v>225.6</v>
      </c>
      <c r="G1046">
        <v>2002</v>
      </c>
      <c r="H1046" t="s">
        <v>100</v>
      </c>
    </row>
    <row r="1047" spans="1:8" hidden="1">
      <c r="A1047">
        <v>226.3</v>
      </c>
      <c r="G1047">
        <v>2003</v>
      </c>
      <c r="H1047" t="s">
        <v>100</v>
      </c>
    </row>
    <row r="1048" spans="1:8" hidden="1">
      <c r="A1048">
        <v>194.6</v>
      </c>
      <c r="G1048">
        <v>2004</v>
      </c>
      <c r="H1048" t="s">
        <v>100</v>
      </c>
    </row>
    <row r="1049" spans="1:8" hidden="1">
      <c r="A1049">
        <v>204.9</v>
      </c>
      <c r="G1049">
        <v>2005</v>
      </c>
      <c r="H1049" t="s">
        <v>100</v>
      </c>
    </row>
    <row r="1050" spans="1:8" hidden="1">
      <c r="A1050">
        <v>193.1</v>
      </c>
      <c r="G1050">
        <v>2006</v>
      </c>
      <c r="H1050" t="s">
        <v>100</v>
      </c>
    </row>
    <row r="1051" spans="1:8" hidden="1">
      <c r="A1051">
        <v>171.8</v>
      </c>
      <c r="G1051">
        <v>2007</v>
      </c>
      <c r="H1051" t="s">
        <v>100</v>
      </c>
    </row>
    <row r="1052" spans="1:8" hidden="1">
      <c r="A1052">
        <v>199.4</v>
      </c>
      <c r="G1052">
        <v>2008</v>
      </c>
      <c r="H1052" t="s">
        <v>100</v>
      </c>
    </row>
    <row r="1053" spans="1:8" hidden="1">
      <c r="A1053">
        <v>226.9</v>
      </c>
      <c r="G1053">
        <v>2009</v>
      </c>
      <c r="H1053" t="s">
        <v>100</v>
      </c>
    </row>
    <row r="1054" spans="1:8" hidden="1">
      <c r="A1054">
        <v>254.5</v>
      </c>
      <c r="G1054">
        <v>2010</v>
      </c>
      <c r="H1054" t="s">
        <v>100</v>
      </c>
    </row>
    <row r="1055" spans="1:8" hidden="1">
      <c r="A1055">
        <v>292.39999999999998</v>
      </c>
      <c r="G1055">
        <v>2011</v>
      </c>
      <c r="H1055" t="s">
        <v>100</v>
      </c>
    </row>
    <row r="1056" spans="1:8" hidden="1">
      <c r="A1056">
        <v>330.3</v>
      </c>
      <c r="G1056">
        <v>2012</v>
      </c>
      <c r="H1056" t="s">
        <v>100</v>
      </c>
    </row>
    <row r="1057" spans="1:8" hidden="1">
      <c r="A1057">
        <v>368.2</v>
      </c>
      <c r="G1057">
        <v>2013</v>
      </c>
      <c r="H1057" t="s">
        <v>100</v>
      </c>
    </row>
    <row r="1058" spans="1:8" hidden="1">
      <c r="A1058">
        <v>374.2</v>
      </c>
      <c r="G1058">
        <v>2014</v>
      </c>
      <c r="H1058" t="s">
        <v>100</v>
      </c>
    </row>
    <row r="1059" spans="1:8" hidden="1">
      <c r="A1059">
        <v>380.2</v>
      </c>
      <c r="G1059">
        <v>2015</v>
      </c>
      <c r="H1059" t="s">
        <v>100</v>
      </c>
    </row>
    <row r="1060" spans="1:8" hidden="1">
      <c r="A1060">
        <v>386.2</v>
      </c>
      <c r="G1060">
        <v>2016</v>
      </c>
      <c r="H1060" t="s">
        <v>100</v>
      </c>
    </row>
    <row r="1061" spans="1:8" hidden="1">
      <c r="A1061">
        <v>448</v>
      </c>
      <c r="G1061">
        <v>2017</v>
      </c>
      <c r="H1061" t="s">
        <v>100</v>
      </c>
    </row>
    <row r="1062" spans="1:8" hidden="1">
      <c r="A1062">
        <v>509.8</v>
      </c>
      <c r="G1062">
        <v>2018</v>
      </c>
      <c r="H1062" t="s">
        <v>100</v>
      </c>
    </row>
    <row r="1063" spans="1:8" hidden="1">
      <c r="A1063">
        <v>571.4</v>
      </c>
      <c r="G1063">
        <v>2019</v>
      </c>
      <c r="H1063" t="s">
        <v>100</v>
      </c>
    </row>
    <row r="1064" spans="1:8" hidden="1">
      <c r="A1064">
        <v>509.5</v>
      </c>
      <c r="G1064">
        <v>2020</v>
      </c>
      <c r="H1064" t="s">
        <v>100</v>
      </c>
    </row>
    <row r="1065" spans="1:8" hidden="1">
      <c r="A1065">
        <v>496.8</v>
      </c>
      <c r="G1065">
        <v>2021</v>
      </c>
      <c r="H1065" t="s">
        <v>100</v>
      </c>
    </row>
    <row r="1066" spans="1:8" hidden="1">
      <c r="A1066">
        <v>496.8</v>
      </c>
      <c r="G1066">
        <v>2022</v>
      </c>
      <c r="H1066" t="s">
        <v>100</v>
      </c>
    </row>
    <row r="1067" spans="1:8" hidden="1">
      <c r="A1067">
        <v>765</v>
      </c>
      <c r="F1067" s="48">
        <v>2001</v>
      </c>
      <c r="G1067" t="s">
        <v>100</v>
      </c>
    </row>
    <row r="1068" spans="1:8" hidden="1">
      <c r="A1068">
        <v>583</v>
      </c>
      <c r="F1068" s="48">
        <v>2002</v>
      </c>
      <c r="G1068" t="s">
        <v>100</v>
      </c>
    </row>
    <row r="1069" spans="1:8" hidden="1">
      <c r="A1069">
        <v>401.2</v>
      </c>
      <c r="F1069" s="48">
        <v>2003</v>
      </c>
      <c r="G1069" t="s">
        <v>100</v>
      </c>
    </row>
    <row r="1070" spans="1:8" hidden="1">
      <c r="A1070">
        <v>219.2</v>
      </c>
      <c r="F1070" s="48">
        <v>2004</v>
      </c>
      <c r="G1070" t="s">
        <v>100</v>
      </c>
    </row>
    <row r="1071" spans="1:8" hidden="1">
      <c r="A1071">
        <v>214.2</v>
      </c>
      <c r="F1071" s="48">
        <v>2005</v>
      </c>
      <c r="G1071" t="s">
        <v>100</v>
      </c>
    </row>
    <row r="1072" spans="1:8" hidden="1">
      <c r="A1072">
        <v>209.3</v>
      </c>
      <c r="F1072" s="48">
        <v>2006</v>
      </c>
      <c r="G1072" t="s">
        <v>100</v>
      </c>
    </row>
    <row r="1073" spans="1:7" hidden="1">
      <c r="A1073">
        <v>204.3</v>
      </c>
      <c r="F1073" s="48">
        <v>2007</v>
      </c>
      <c r="G1073" t="s">
        <v>100</v>
      </c>
    </row>
    <row r="1074" spans="1:7" hidden="1">
      <c r="A1074">
        <v>548.6</v>
      </c>
      <c r="F1074" s="48">
        <v>2008</v>
      </c>
      <c r="G1074" t="s">
        <v>100</v>
      </c>
    </row>
    <row r="1075" spans="1:7" hidden="1">
      <c r="A1075">
        <v>893</v>
      </c>
      <c r="F1075" s="48">
        <v>2009</v>
      </c>
      <c r="G1075" t="s">
        <v>100</v>
      </c>
    </row>
    <row r="1076" spans="1:7" hidden="1">
      <c r="A1076">
        <v>1237.3</v>
      </c>
      <c r="F1076" s="48">
        <v>2010</v>
      </c>
      <c r="G1076" t="s">
        <v>100</v>
      </c>
    </row>
    <row r="1077" spans="1:7" hidden="1">
      <c r="A1077">
        <v>1195.3</v>
      </c>
      <c r="F1077" s="48">
        <v>2011</v>
      </c>
      <c r="G1077" t="s">
        <v>100</v>
      </c>
    </row>
    <row r="1078" spans="1:7" hidden="1">
      <c r="A1078">
        <v>1153.3</v>
      </c>
      <c r="F1078" s="48">
        <v>2012</v>
      </c>
      <c r="G1078" t="s">
        <v>100</v>
      </c>
    </row>
    <row r="1079" spans="1:7" hidden="1">
      <c r="A1079">
        <v>1111.2</v>
      </c>
      <c r="F1079" s="48">
        <v>2013</v>
      </c>
      <c r="G1079" t="s">
        <v>100</v>
      </c>
    </row>
    <row r="1080" spans="1:7" hidden="1">
      <c r="A1080">
        <v>1127.3</v>
      </c>
      <c r="F1080" s="48">
        <v>2014</v>
      </c>
      <c r="G1080" t="s">
        <v>100</v>
      </c>
    </row>
    <row r="1081" spans="1:7" hidden="1">
      <c r="A1081">
        <v>1143.3</v>
      </c>
      <c r="F1081" s="48">
        <v>2015</v>
      </c>
      <c r="G1081" t="s">
        <v>100</v>
      </c>
    </row>
    <row r="1082" spans="1:7" hidden="1">
      <c r="A1082">
        <v>1159.4000000000001</v>
      </c>
      <c r="F1082" s="48">
        <v>2016</v>
      </c>
      <c r="G1082" t="s">
        <v>100</v>
      </c>
    </row>
    <row r="1083" spans="1:7" hidden="1">
      <c r="A1083">
        <v>1113</v>
      </c>
      <c r="F1083" s="48">
        <v>2017</v>
      </c>
      <c r="G1083" t="s">
        <v>100</v>
      </c>
    </row>
    <row r="1084" spans="1:7" hidden="1">
      <c r="A1084">
        <v>1066.7</v>
      </c>
      <c r="F1084" s="48">
        <v>2018</v>
      </c>
      <c r="G1084" t="s">
        <v>100</v>
      </c>
    </row>
    <row r="1085" spans="1:7" hidden="1">
      <c r="A1085">
        <v>1020.4</v>
      </c>
      <c r="F1085" s="48">
        <v>2019</v>
      </c>
      <c r="G1085" t="s">
        <v>100</v>
      </c>
    </row>
    <row r="1086" spans="1:7" hidden="1">
      <c r="A1086">
        <v>0</v>
      </c>
      <c r="F1086" s="48">
        <v>2020</v>
      </c>
      <c r="G1086" t="s">
        <v>100</v>
      </c>
    </row>
    <row r="1087" spans="1:7" hidden="1">
      <c r="A1087">
        <v>0</v>
      </c>
      <c r="F1087" s="48">
        <v>2021</v>
      </c>
      <c r="G1087" t="s">
        <v>100</v>
      </c>
    </row>
    <row r="1088" spans="1:7" hidden="1">
      <c r="A1088">
        <v>0</v>
      </c>
      <c r="F1088" s="48">
        <v>2022</v>
      </c>
      <c r="G1088" t="s">
        <v>100</v>
      </c>
    </row>
    <row r="1089" spans="1:10">
      <c r="A1089">
        <v>27327.1</v>
      </c>
      <c r="E1089">
        <v>2000</v>
      </c>
      <c r="F1089" s="48" t="s">
        <v>100</v>
      </c>
      <c r="I1089">
        <f t="shared" ref="I1089:I1111" si="10">E1089</f>
        <v>2000</v>
      </c>
      <c r="J1089">
        <f t="shared" ref="J1089:J1111" si="11">A1089</f>
        <v>27327.1</v>
      </c>
    </row>
    <row r="1090" spans="1:10">
      <c r="A1090">
        <v>24072</v>
      </c>
      <c r="E1090">
        <v>2001</v>
      </c>
      <c r="F1090" s="48" t="s">
        <v>100</v>
      </c>
      <c r="I1090">
        <f t="shared" si="10"/>
        <v>2001</v>
      </c>
      <c r="J1090">
        <f t="shared" si="11"/>
        <v>24072</v>
      </c>
    </row>
    <row r="1091" spans="1:10">
      <c r="A1091">
        <v>23465</v>
      </c>
      <c r="E1091">
        <v>2002</v>
      </c>
      <c r="F1091" s="48" t="s">
        <v>100</v>
      </c>
      <c r="I1091">
        <f t="shared" si="10"/>
        <v>2002</v>
      </c>
      <c r="J1091">
        <f t="shared" si="11"/>
        <v>23465</v>
      </c>
    </row>
    <row r="1092" spans="1:10">
      <c r="A1092">
        <v>22857.9</v>
      </c>
      <c r="E1092">
        <v>2003</v>
      </c>
      <c r="F1092" s="48" t="s">
        <v>100</v>
      </c>
      <c r="I1092">
        <f t="shared" si="10"/>
        <v>2003</v>
      </c>
      <c r="J1092">
        <f t="shared" si="11"/>
        <v>22857.9</v>
      </c>
    </row>
    <row r="1093" spans="1:10">
      <c r="A1093">
        <v>22250.9</v>
      </c>
      <c r="E1093">
        <v>2004</v>
      </c>
      <c r="F1093" s="48" t="s">
        <v>100</v>
      </c>
      <c r="I1093">
        <f t="shared" si="10"/>
        <v>2004</v>
      </c>
      <c r="J1093">
        <f t="shared" si="11"/>
        <v>22250.9</v>
      </c>
    </row>
    <row r="1094" spans="1:10">
      <c r="A1094">
        <v>21327.3</v>
      </c>
      <c r="E1094">
        <v>2005</v>
      </c>
      <c r="F1094" s="48" t="s">
        <v>100</v>
      </c>
      <c r="I1094">
        <f t="shared" si="10"/>
        <v>2005</v>
      </c>
      <c r="J1094">
        <f t="shared" si="11"/>
        <v>21327.3</v>
      </c>
    </row>
    <row r="1095" spans="1:10">
      <c r="A1095">
        <v>20403.900000000001</v>
      </c>
      <c r="E1095">
        <v>2006</v>
      </c>
      <c r="F1095" s="48" t="s">
        <v>100</v>
      </c>
      <c r="I1095">
        <f t="shared" si="10"/>
        <v>2006</v>
      </c>
      <c r="J1095">
        <f t="shared" si="11"/>
        <v>20403.900000000001</v>
      </c>
    </row>
    <row r="1096" spans="1:10">
      <c r="A1096">
        <v>19480.3</v>
      </c>
      <c r="E1096">
        <v>2007</v>
      </c>
      <c r="F1096" s="48" t="s">
        <v>100</v>
      </c>
      <c r="I1096">
        <f t="shared" si="10"/>
        <v>2007</v>
      </c>
      <c r="J1096">
        <f t="shared" si="11"/>
        <v>19480.3</v>
      </c>
    </row>
    <row r="1097" spans="1:10">
      <c r="A1097">
        <v>19493.5</v>
      </c>
      <c r="E1097">
        <v>2008</v>
      </c>
      <c r="F1097" s="48" t="s">
        <v>100</v>
      </c>
      <c r="I1097">
        <f t="shared" si="10"/>
        <v>2008</v>
      </c>
      <c r="J1097">
        <f t="shared" si="11"/>
        <v>19493.5</v>
      </c>
    </row>
    <row r="1098" spans="1:10">
      <c r="A1098">
        <v>19550</v>
      </c>
      <c r="E1098">
        <v>2009</v>
      </c>
      <c r="F1098" s="48" t="s">
        <v>100</v>
      </c>
      <c r="I1098">
        <f t="shared" si="10"/>
        <v>2009</v>
      </c>
      <c r="J1098">
        <f t="shared" si="11"/>
        <v>19550</v>
      </c>
    </row>
    <row r="1099" spans="1:10">
      <c r="A1099">
        <v>19635.2</v>
      </c>
      <c r="E1099">
        <v>2010</v>
      </c>
      <c r="F1099" s="48" t="s">
        <v>100</v>
      </c>
      <c r="I1099">
        <f t="shared" si="10"/>
        <v>2010</v>
      </c>
      <c r="J1099">
        <f t="shared" si="11"/>
        <v>19635.2</v>
      </c>
    </row>
    <row r="1100" spans="1:10">
      <c r="A1100">
        <v>17299.2</v>
      </c>
      <c r="E1100">
        <v>2011</v>
      </c>
      <c r="F1100" s="48" t="s">
        <v>100</v>
      </c>
      <c r="I1100">
        <f t="shared" si="10"/>
        <v>2011</v>
      </c>
      <c r="J1100">
        <f t="shared" si="11"/>
        <v>17299.2</v>
      </c>
    </row>
    <row r="1101" spans="1:10">
      <c r="A1101">
        <v>14960</v>
      </c>
      <c r="E1101">
        <v>2012</v>
      </c>
      <c r="F1101" s="48" t="s">
        <v>100</v>
      </c>
      <c r="I1101">
        <f t="shared" si="10"/>
        <v>2012</v>
      </c>
      <c r="J1101">
        <f t="shared" si="11"/>
        <v>14960</v>
      </c>
    </row>
    <row r="1102" spans="1:10">
      <c r="A1102">
        <v>12636.4</v>
      </c>
      <c r="E1102">
        <v>2013</v>
      </c>
      <c r="F1102" s="48" t="s">
        <v>100</v>
      </c>
      <c r="I1102">
        <f t="shared" si="10"/>
        <v>2013</v>
      </c>
      <c r="J1102">
        <f t="shared" si="11"/>
        <v>12636.4</v>
      </c>
    </row>
    <row r="1103" spans="1:10">
      <c r="A1103">
        <v>12327.5</v>
      </c>
      <c r="E1103">
        <v>2014</v>
      </c>
      <c r="F1103" s="48" t="s">
        <v>100</v>
      </c>
      <c r="I1103">
        <f t="shared" si="10"/>
        <v>2014</v>
      </c>
      <c r="J1103">
        <f t="shared" si="11"/>
        <v>12327.5</v>
      </c>
    </row>
    <row r="1104" spans="1:10">
      <c r="A1104">
        <v>12018.7</v>
      </c>
      <c r="E1104">
        <v>2015</v>
      </c>
      <c r="F1104" s="48" t="s">
        <v>100</v>
      </c>
      <c r="I1104">
        <f t="shared" si="10"/>
        <v>2015</v>
      </c>
      <c r="J1104">
        <f t="shared" si="11"/>
        <v>12018.7</v>
      </c>
    </row>
    <row r="1105" spans="1:10">
      <c r="A1105">
        <v>11709.8</v>
      </c>
      <c r="E1105">
        <v>2016</v>
      </c>
      <c r="F1105" s="48" t="s">
        <v>100</v>
      </c>
      <c r="I1105">
        <f t="shared" si="10"/>
        <v>2016</v>
      </c>
      <c r="J1105">
        <f t="shared" si="11"/>
        <v>11709.8</v>
      </c>
    </row>
    <row r="1106" spans="1:10">
      <c r="A1106">
        <v>10497.8</v>
      </c>
      <c r="E1106">
        <v>2017</v>
      </c>
      <c r="F1106" s="48" t="s">
        <v>100</v>
      </c>
      <c r="I1106">
        <f t="shared" si="10"/>
        <v>2017</v>
      </c>
      <c r="J1106">
        <f t="shared" si="11"/>
        <v>10497.8</v>
      </c>
    </row>
    <row r="1107" spans="1:10">
      <c r="A1107">
        <v>9285.7999999999993</v>
      </c>
      <c r="E1107">
        <v>2018</v>
      </c>
      <c r="F1107" s="48" t="s">
        <v>100</v>
      </c>
      <c r="I1107">
        <f t="shared" si="10"/>
        <v>2018</v>
      </c>
      <c r="J1107">
        <f t="shared" si="11"/>
        <v>9285.7999999999993</v>
      </c>
    </row>
    <row r="1108" spans="1:10">
      <c r="A1108">
        <v>8073.8</v>
      </c>
      <c r="E1108">
        <v>2019</v>
      </c>
      <c r="F1108" s="48" t="s">
        <v>100</v>
      </c>
      <c r="I1108">
        <f t="shared" si="10"/>
        <v>2019</v>
      </c>
      <c r="J1108">
        <f t="shared" si="11"/>
        <v>8073.8</v>
      </c>
    </row>
    <row r="1109" spans="1:10">
      <c r="A1109">
        <v>12468.6</v>
      </c>
      <c r="E1109">
        <v>2020</v>
      </c>
      <c r="F1109" s="48" t="s">
        <v>100</v>
      </c>
      <c r="I1109">
        <f t="shared" si="10"/>
        <v>2020</v>
      </c>
      <c r="J1109">
        <f t="shared" si="11"/>
        <v>12468.6</v>
      </c>
    </row>
    <row r="1110" spans="1:10">
      <c r="A1110">
        <v>13321.6</v>
      </c>
      <c r="E1110">
        <v>2021</v>
      </c>
      <c r="F1110" s="48" t="s">
        <v>100</v>
      </c>
      <c r="I1110">
        <f t="shared" si="10"/>
        <v>2021</v>
      </c>
      <c r="J1110">
        <f t="shared" si="11"/>
        <v>13321.6</v>
      </c>
    </row>
    <row r="1111" spans="1:10">
      <c r="A1111">
        <v>13701.4</v>
      </c>
      <c r="E1111">
        <v>2022</v>
      </c>
      <c r="F1111" s="48" t="s">
        <v>100</v>
      </c>
      <c r="I1111">
        <f t="shared" si="10"/>
        <v>2022</v>
      </c>
      <c r="J1111">
        <f t="shared" si="11"/>
        <v>13701.4</v>
      </c>
    </row>
    <row r="1112" spans="1:10" hidden="1">
      <c r="A1112">
        <v>9044.7000000000007</v>
      </c>
      <c r="D1112">
        <v>2000</v>
      </c>
      <c r="E1112" t="s">
        <v>100</v>
      </c>
    </row>
    <row r="1113" spans="1:10" hidden="1">
      <c r="A1113">
        <v>5374.4</v>
      </c>
      <c r="D1113">
        <v>2001</v>
      </c>
      <c r="E1113" t="s">
        <v>100</v>
      </c>
    </row>
    <row r="1114" spans="1:10" hidden="1">
      <c r="A1114">
        <v>5386.9</v>
      </c>
      <c r="D1114">
        <v>2002</v>
      </c>
      <c r="E1114" t="s">
        <v>100</v>
      </c>
    </row>
    <row r="1115" spans="1:10" hidden="1">
      <c r="A1115">
        <v>5399.3</v>
      </c>
      <c r="D1115">
        <v>2003</v>
      </c>
      <c r="E1115" t="s">
        <v>100</v>
      </c>
    </row>
    <row r="1116" spans="1:10" hidden="1">
      <c r="A1116">
        <v>5411.8</v>
      </c>
      <c r="D1116">
        <v>2004</v>
      </c>
      <c r="E1116" t="s">
        <v>100</v>
      </c>
    </row>
    <row r="1117" spans="1:10" hidden="1">
      <c r="A1117">
        <v>5240.1000000000004</v>
      </c>
      <c r="D1117">
        <v>2005</v>
      </c>
      <c r="E1117" t="s">
        <v>100</v>
      </c>
    </row>
    <row r="1118" spans="1:10" hidden="1">
      <c r="A1118">
        <v>5068.5</v>
      </c>
      <c r="D1118">
        <v>2006</v>
      </c>
      <c r="E1118" t="s">
        <v>100</v>
      </c>
    </row>
    <row r="1119" spans="1:10" hidden="1">
      <c r="A1119">
        <v>4896.8</v>
      </c>
      <c r="D1119">
        <v>2007</v>
      </c>
      <c r="E1119" t="s">
        <v>100</v>
      </c>
    </row>
    <row r="1120" spans="1:10" hidden="1">
      <c r="A1120">
        <v>4818</v>
      </c>
      <c r="D1120">
        <v>2008</v>
      </c>
      <c r="E1120" t="s">
        <v>100</v>
      </c>
    </row>
    <row r="1121" spans="1:5" hidden="1">
      <c r="A1121">
        <v>4739.3</v>
      </c>
      <c r="D1121">
        <v>2009</v>
      </c>
      <c r="E1121" t="s">
        <v>100</v>
      </c>
    </row>
    <row r="1122" spans="1:5" hidden="1">
      <c r="A1122">
        <v>4660.5</v>
      </c>
      <c r="D1122">
        <v>2010</v>
      </c>
      <c r="E1122" t="s">
        <v>100</v>
      </c>
    </row>
    <row r="1123" spans="1:5" hidden="1">
      <c r="A1123">
        <v>4515.8999999999996</v>
      </c>
      <c r="D1123">
        <v>2011</v>
      </c>
      <c r="E1123" t="s">
        <v>100</v>
      </c>
    </row>
    <row r="1124" spans="1:5" hidden="1">
      <c r="A1124">
        <v>4371.3</v>
      </c>
      <c r="D1124">
        <v>2012</v>
      </c>
      <c r="E1124" t="s">
        <v>100</v>
      </c>
    </row>
    <row r="1125" spans="1:5" hidden="1">
      <c r="A1125">
        <v>4226.7</v>
      </c>
      <c r="D1125">
        <v>2013</v>
      </c>
      <c r="E1125" t="s">
        <v>100</v>
      </c>
    </row>
    <row r="1126" spans="1:5" hidden="1">
      <c r="A1126">
        <v>4279.7</v>
      </c>
      <c r="D1126">
        <v>2014</v>
      </c>
      <c r="E1126" t="s">
        <v>100</v>
      </c>
    </row>
    <row r="1127" spans="1:5" hidden="1">
      <c r="A1127">
        <v>4332.6000000000004</v>
      </c>
      <c r="D1127">
        <v>2015</v>
      </c>
      <c r="E1127" t="s">
        <v>100</v>
      </c>
    </row>
    <row r="1128" spans="1:5" hidden="1">
      <c r="A1128">
        <v>4385.6000000000004</v>
      </c>
      <c r="D1128">
        <v>2016</v>
      </c>
      <c r="E1128" t="s">
        <v>100</v>
      </c>
    </row>
    <row r="1129" spans="1:5" hidden="1">
      <c r="A1129">
        <v>4280.1000000000004</v>
      </c>
      <c r="D1129">
        <v>2017</v>
      </c>
      <c r="E1129" t="s">
        <v>100</v>
      </c>
    </row>
    <row r="1130" spans="1:5" hidden="1">
      <c r="A1130">
        <v>4174.6000000000004</v>
      </c>
      <c r="D1130">
        <v>2018</v>
      </c>
      <c r="E1130" t="s">
        <v>100</v>
      </c>
    </row>
    <row r="1131" spans="1:5" hidden="1">
      <c r="A1131">
        <v>4069.1</v>
      </c>
      <c r="D1131">
        <v>2019</v>
      </c>
      <c r="E1131" t="s">
        <v>100</v>
      </c>
    </row>
    <row r="1132" spans="1:5" hidden="1">
      <c r="A1132">
        <v>3625.3</v>
      </c>
      <c r="D1132">
        <v>2020</v>
      </c>
      <c r="E1132" t="s">
        <v>100</v>
      </c>
    </row>
    <row r="1133" spans="1:5" hidden="1">
      <c r="A1133">
        <v>4144.6000000000004</v>
      </c>
      <c r="D1133">
        <v>2021</v>
      </c>
      <c r="E1133" t="s">
        <v>100</v>
      </c>
    </row>
    <row r="1134" spans="1:5" hidden="1">
      <c r="A1134">
        <v>3738.5</v>
      </c>
      <c r="D1134">
        <v>2022</v>
      </c>
      <c r="E1134" t="s">
        <v>100</v>
      </c>
    </row>
    <row r="1135" spans="1:5" hidden="1">
      <c r="A1135">
        <v>0</v>
      </c>
      <c r="C1135">
        <v>2000</v>
      </c>
      <c r="D1135" t="s">
        <v>100</v>
      </c>
    </row>
    <row r="1136" spans="1:5" hidden="1">
      <c r="A1136">
        <v>2385.9</v>
      </c>
      <c r="C1136">
        <v>2001</v>
      </c>
      <c r="D1136" t="s">
        <v>100</v>
      </c>
    </row>
    <row r="1137" spans="1:4" hidden="1">
      <c r="A1137">
        <v>2358.4</v>
      </c>
      <c r="C1137">
        <v>2002</v>
      </c>
      <c r="D1137" t="s">
        <v>100</v>
      </c>
    </row>
    <row r="1138" spans="1:4" hidden="1">
      <c r="A1138">
        <v>2330.9</v>
      </c>
      <c r="C1138">
        <v>2003</v>
      </c>
      <c r="D1138" t="s">
        <v>100</v>
      </c>
    </row>
    <row r="1139" spans="1:4" hidden="1">
      <c r="A1139">
        <v>2303.4</v>
      </c>
      <c r="C1139">
        <v>2004</v>
      </c>
      <c r="D1139" t="s">
        <v>100</v>
      </c>
    </row>
    <row r="1140" spans="1:4" hidden="1">
      <c r="A1140">
        <v>2300.3000000000002</v>
      </c>
      <c r="C1140">
        <v>2005</v>
      </c>
      <c r="D1140" t="s">
        <v>100</v>
      </c>
    </row>
    <row r="1141" spans="1:4" hidden="1">
      <c r="A1141">
        <v>2297.3000000000002</v>
      </c>
      <c r="C1141">
        <v>2006</v>
      </c>
      <c r="D1141" t="s">
        <v>100</v>
      </c>
    </row>
    <row r="1142" spans="1:4" hidden="1">
      <c r="A1142">
        <v>2294.1999999999998</v>
      </c>
      <c r="C1142">
        <v>2007</v>
      </c>
      <c r="D1142" t="s">
        <v>100</v>
      </c>
    </row>
    <row r="1143" spans="1:4" hidden="1">
      <c r="A1143">
        <v>2236.9</v>
      </c>
      <c r="C1143">
        <v>2008</v>
      </c>
      <c r="D1143" t="s">
        <v>100</v>
      </c>
    </row>
    <row r="1144" spans="1:4" hidden="1">
      <c r="A1144">
        <v>2179.6</v>
      </c>
      <c r="C1144">
        <v>2009</v>
      </c>
      <c r="D1144" t="s">
        <v>100</v>
      </c>
    </row>
    <row r="1145" spans="1:4" hidden="1">
      <c r="A1145">
        <v>2122.3000000000002</v>
      </c>
      <c r="C1145">
        <v>2010</v>
      </c>
      <c r="D1145" t="s">
        <v>100</v>
      </c>
    </row>
    <row r="1146" spans="1:4" hidden="1">
      <c r="A1146">
        <v>2038.9</v>
      </c>
      <c r="C1146">
        <v>2011</v>
      </c>
      <c r="D1146" t="s">
        <v>100</v>
      </c>
    </row>
    <row r="1147" spans="1:4" hidden="1">
      <c r="A1147">
        <v>1955.5</v>
      </c>
      <c r="C1147">
        <v>2012</v>
      </c>
      <c r="D1147" t="s">
        <v>100</v>
      </c>
    </row>
    <row r="1148" spans="1:4" hidden="1">
      <c r="A1148">
        <v>1872.1</v>
      </c>
      <c r="C1148">
        <v>2013</v>
      </c>
      <c r="D1148" t="s">
        <v>100</v>
      </c>
    </row>
    <row r="1149" spans="1:4" hidden="1">
      <c r="A1149">
        <v>1731</v>
      </c>
      <c r="C1149">
        <v>2014</v>
      </c>
      <c r="D1149" t="s">
        <v>100</v>
      </c>
    </row>
    <row r="1150" spans="1:4" hidden="1">
      <c r="A1150">
        <v>1589.9</v>
      </c>
      <c r="C1150">
        <v>2015</v>
      </c>
      <c r="D1150" t="s">
        <v>100</v>
      </c>
    </row>
    <row r="1151" spans="1:4" hidden="1">
      <c r="A1151">
        <v>1448.9</v>
      </c>
      <c r="C1151">
        <v>2016</v>
      </c>
      <c r="D1151" t="s">
        <v>100</v>
      </c>
    </row>
    <row r="1152" spans="1:4" hidden="1">
      <c r="A1152">
        <v>1395.6</v>
      </c>
      <c r="C1152">
        <v>2017</v>
      </c>
      <c r="D1152" t="s">
        <v>100</v>
      </c>
    </row>
    <row r="1153" spans="1:4" hidden="1">
      <c r="A1153">
        <v>1342.3</v>
      </c>
      <c r="C1153">
        <v>2018</v>
      </c>
      <c r="D1153" t="s">
        <v>100</v>
      </c>
    </row>
    <row r="1154" spans="1:4" hidden="1">
      <c r="A1154">
        <v>1288.9000000000001</v>
      </c>
      <c r="C1154">
        <v>2019</v>
      </c>
      <c r="D1154" t="s">
        <v>100</v>
      </c>
    </row>
    <row r="1155" spans="1:4" hidden="1">
      <c r="A1155">
        <v>0</v>
      </c>
      <c r="C1155">
        <v>2020</v>
      </c>
      <c r="D1155" t="s">
        <v>100</v>
      </c>
    </row>
    <row r="1156" spans="1:4" hidden="1">
      <c r="A1156">
        <v>0</v>
      </c>
      <c r="C1156">
        <v>2021</v>
      </c>
      <c r="D1156" t="s">
        <v>100</v>
      </c>
    </row>
    <row r="1157" spans="1:4" hidden="1">
      <c r="A1157">
        <v>0</v>
      </c>
      <c r="C1157">
        <v>2022</v>
      </c>
      <c r="D1157" t="s">
        <v>100</v>
      </c>
    </row>
    <row r="1158" spans="1:4" hidden="1">
      <c r="A1158">
        <v>4791.8999999999996</v>
      </c>
      <c r="B1158">
        <v>2000</v>
      </c>
      <c r="C1158" t="s">
        <v>100</v>
      </c>
    </row>
    <row r="1159" spans="1:4" hidden="1">
      <c r="A1159">
        <v>5408.9</v>
      </c>
      <c r="B1159">
        <v>2001</v>
      </c>
      <c r="C1159" t="s">
        <v>100</v>
      </c>
    </row>
    <row r="1160" spans="1:4" hidden="1">
      <c r="A1160">
        <v>5396.5</v>
      </c>
      <c r="B1160">
        <v>2002</v>
      </c>
      <c r="C1160" t="s">
        <v>100</v>
      </c>
    </row>
    <row r="1161" spans="1:4" hidden="1">
      <c r="A1161">
        <v>5384.1</v>
      </c>
      <c r="B1161">
        <v>2003</v>
      </c>
      <c r="C1161" t="s">
        <v>100</v>
      </c>
    </row>
    <row r="1162" spans="1:4" hidden="1">
      <c r="A1162">
        <v>5371.7</v>
      </c>
      <c r="B1162">
        <v>2004</v>
      </c>
      <c r="C1162" t="s">
        <v>100</v>
      </c>
    </row>
    <row r="1163" spans="1:4" hidden="1">
      <c r="A1163">
        <v>5290.4</v>
      </c>
      <c r="B1163">
        <v>2005</v>
      </c>
      <c r="C1163" t="s">
        <v>100</v>
      </c>
    </row>
    <row r="1164" spans="1:4" hidden="1">
      <c r="A1164">
        <v>5208.8999999999996</v>
      </c>
      <c r="B1164">
        <v>2006</v>
      </c>
      <c r="C1164" t="s">
        <v>100</v>
      </c>
    </row>
    <row r="1165" spans="1:4" hidden="1">
      <c r="A1165">
        <v>5127.6000000000004</v>
      </c>
      <c r="B1165">
        <v>2007</v>
      </c>
      <c r="C1165" t="s">
        <v>100</v>
      </c>
    </row>
    <row r="1166" spans="1:4" hidden="1">
      <c r="A1166">
        <v>5112</v>
      </c>
      <c r="B1166">
        <v>2008</v>
      </c>
      <c r="C1166" t="s">
        <v>100</v>
      </c>
    </row>
    <row r="1167" spans="1:4" hidden="1">
      <c r="A1167">
        <v>5096.3</v>
      </c>
      <c r="B1167">
        <v>2009</v>
      </c>
      <c r="C1167" t="s">
        <v>100</v>
      </c>
    </row>
    <row r="1168" spans="1:4" hidden="1">
      <c r="A1168">
        <v>5080.7</v>
      </c>
      <c r="B1168">
        <v>2010</v>
      </c>
      <c r="C1168" t="s">
        <v>100</v>
      </c>
    </row>
    <row r="1169" spans="1:8" hidden="1">
      <c r="A1169">
        <v>5071.6000000000004</v>
      </c>
      <c r="B1169">
        <v>2011</v>
      </c>
      <c r="C1169" t="s">
        <v>100</v>
      </c>
    </row>
    <row r="1170" spans="1:8" hidden="1">
      <c r="A1170">
        <v>5062.5</v>
      </c>
      <c r="B1170">
        <v>2012</v>
      </c>
      <c r="C1170" t="s">
        <v>100</v>
      </c>
    </row>
    <row r="1171" spans="1:8" hidden="1">
      <c r="A1171">
        <v>5053.5</v>
      </c>
      <c r="B1171">
        <v>2013</v>
      </c>
      <c r="C1171" t="s">
        <v>100</v>
      </c>
    </row>
    <row r="1172" spans="1:8" hidden="1">
      <c r="A1172">
        <v>5103.7</v>
      </c>
      <c r="B1172">
        <v>2014</v>
      </c>
      <c r="C1172" t="s">
        <v>100</v>
      </c>
    </row>
    <row r="1173" spans="1:8" hidden="1">
      <c r="A1173">
        <v>5153.8999999999996</v>
      </c>
      <c r="B1173">
        <v>2015</v>
      </c>
      <c r="C1173" t="s">
        <v>100</v>
      </c>
    </row>
    <row r="1174" spans="1:8" hidden="1">
      <c r="A1174">
        <v>5204.2</v>
      </c>
      <c r="B1174">
        <v>2016</v>
      </c>
      <c r="C1174" t="s">
        <v>100</v>
      </c>
    </row>
    <row r="1175" spans="1:8" hidden="1">
      <c r="A1175">
        <v>5254.7</v>
      </c>
      <c r="B1175">
        <v>2017</v>
      </c>
      <c r="C1175" t="s">
        <v>100</v>
      </c>
    </row>
    <row r="1176" spans="1:8" hidden="1">
      <c r="A1176">
        <v>5305.1</v>
      </c>
      <c r="B1176">
        <v>2018</v>
      </c>
      <c r="C1176" t="s">
        <v>100</v>
      </c>
    </row>
    <row r="1177" spans="1:8" hidden="1">
      <c r="A1177">
        <v>5355.5</v>
      </c>
      <c r="B1177">
        <v>2019</v>
      </c>
      <c r="C1177" t="s">
        <v>100</v>
      </c>
    </row>
    <row r="1178" spans="1:8" hidden="1">
      <c r="A1178">
        <v>5269.2</v>
      </c>
      <c r="B1178">
        <v>2020</v>
      </c>
      <c r="C1178" t="s">
        <v>100</v>
      </c>
    </row>
    <row r="1179" spans="1:8" hidden="1">
      <c r="A1179">
        <v>5268.5</v>
      </c>
      <c r="B1179">
        <v>2021</v>
      </c>
      <c r="C1179" t="s">
        <v>100</v>
      </c>
    </row>
    <row r="1180" spans="1:8" hidden="1">
      <c r="A1180">
        <v>5273.7</v>
      </c>
      <c r="B1180">
        <v>2022</v>
      </c>
      <c r="C1180" t="s">
        <v>100</v>
      </c>
    </row>
    <row r="1181" spans="1:8" hidden="1">
      <c r="A1181">
        <v>435.6</v>
      </c>
      <c r="G1181">
        <v>2000</v>
      </c>
      <c r="H1181" t="s">
        <v>76</v>
      </c>
    </row>
    <row r="1182" spans="1:8" hidden="1">
      <c r="A1182">
        <v>439.8</v>
      </c>
      <c r="G1182">
        <v>2001</v>
      </c>
      <c r="H1182" t="s">
        <v>76</v>
      </c>
    </row>
    <row r="1183" spans="1:8" hidden="1">
      <c r="A1183">
        <v>409.4</v>
      </c>
      <c r="G1183">
        <v>2002</v>
      </c>
      <c r="H1183" t="s">
        <v>76</v>
      </c>
    </row>
    <row r="1184" spans="1:8" hidden="1">
      <c r="A1184">
        <v>412.6</v>
      </c>
      <c r="G1184">
        <v>2003</v>
      </c>
      <c r="H1184" t="s">
        <v>76</v>
      </c>
    </row>
    <row r="1185" spans="1:8" hidden="1">
      <c r="A1185">
        <v>439.3</v>
      </c>
      <c r="G1185">
        <v>2004</v>
      </c>
      <c r="H1185" t="s">
        <v>76</v>
      </c>
    </row>
    <row r="1186" spans="1:8" hidden="1">
      <c r="A1186">
        <v>418.5</v>
      </c>
      <c r="G1186">
        <v>2005</v>
      </c>
      <c r="H1186" t="s">
        <v>76</v>
      </c>
    </row>
    <row r="1187" spans="1:8" hidden="1">
      <c r="A1187">
        <v>477.3</v>
      </c>
      <c r="G1187">
        <v>2006</v>
      </c>
      <c r="H1187" t="s">
        <v>76</v>
      </c>
    </row>
    <row r="1188" spans="1:8" hidden="1">
      <c r="A1188">
        <v>357.8</v>
      </c>
      <c r="G1188">
        <v>2007</v>
      </c>
      <c r="H1188" t="s">
        <v>76</v>
      </c>
    </row>
    <row r="1189" spans="1:8" hidden="1">
      <c r="A1189">
        <v>488.8</v>
      </c>
      <c r="G1189">
        <v>2008</v>
      </c>
      <c r="H1189" t="s">
        <v>76</v>
      </c>
    </row>
    <row r="1190" spans="1:8" hidden="1">
      <c r="A1190">
        <v>476.1</v>
      </c>
      <c r="G1190">
        <v>2009</v>
      </c>
      <c r="H1190" t="s">
        <v>76</v>
      </c>
    </row>
    <row r="1191" spans="1:8" hidden="1">
      <c r="A1191">
        <v>498.8</v>
      </c>
      <c r="G1191">
        <v>2010</v>
      </c>
      <c r="H1191" t="s">
        <v>76</v>
      </c>
    </row>
    <row r="1192" spans="1:8" hidden="1">
      <c r="A1192">
        <v>524.4</v>
      </c>
      <c r="G1192">
        <v>2011</v>
      </c>
      <c r="H1192" t="s">
        <v>76</v>
      </c>
    </row>
    <row r="1193" spans="1:8" hidden="1">
      <c r="A1193">
        <v>434.8</v>
      </c>
      <c r="G1193">
        <v>2012</v>
      </c>
      <c r="H1193" t="s">
        <v>76</v>
      </c>
    </row>
    <row r="1194" spans="1:8" hidden="1">
      <c r="A1194">
        <v>582.9</v>
      </c>
      <c r="G1194">
        <v>2013</v>
      </c>
      <c r="H1194" t="s">
        <v>76</v>
      </c>
    </row>
    <row r="1195" spans="1:8" hidden="1">
      <c r="A1195">
        <v>584.6</v>
      </c>
      <c r="G1195">
        <v>2014</v>
      </c>
      <c r="H1195" t="s">
        <v>76</v>
      </c>
    </row>
    <row r="1196" spans="1:8" hidden="1">
      <c r="A1196">
        <v>519.6</v>
      </c>
      <c r="G1196">
        <v>2015</v>
      </c>
      <c r="H1196" t="s">
        <v>76</v>
      </c>
    </row>
    <row r="1197" spans="1:8" hidden="1">
      <c r="A1197">
        <v>464.2</v>
      </c>
      <c r="G1197">
        <v>2016</v>
      </c>
      <c r="H1197" t="s">
        <v>76</v>
      </c>
    </row>
    <row r="1198" spans="1:8" hidden="1">
      <c r="A1198">
        <v>479.2</v>
      </c>
      <c r="G1198">
        <v>2017</v>
      </c>
      <c r="H1198" t="s">
        <v>76</v>
      </c>
    </row>
    <row r="1199" spans="1:8" hidden="1">
      <c r="A1199">
        <v>664.4</v>
      </c>
      <c r="G1199">
        <v>2018</v>
      </c>
      <c r="H1199" t="s">
        <v>76</v>
      </c>
    </row>
    <row r="1200" spans="1:8" hidden="1">
      <c r="A1200">
        <v>512.4</v>
      </c>
      <c r="G1200">
        <v>2019</v>
      </c>
      <c r="H1200" t="s">
        <v>76</v>
      </c>
    </row>
    <row r="1201" spans="1:8" hidden="1">
      <c r="A1201">
        <v>526.20000000000005</v>
      </c>
      <c r="G1201">
        <v>2020</v>
      </c>
      <c r="H1201" t="s">
        <v>76</v>
      </c>
    </row>
    <row r="1202" spans="1:8" hidden="1">
      <c r="A1202">
        <v>534.5</v>
      </c>
      <c r="G1202">
        <v>2021</v>
      </c>
      <c r="H1202" t="s">
        <v>76</v>
      </c>
    </row>
    <row r="1203" spans="1:8" hidden="1">
      <c r="A1203">
        <v>557.4</v>
      </c>
      <c r="G1203">
        <v>2022</v>
      </c>
      <c r="H1203" t="s">
        <v>76</v>
      </c>
    </row>
    <row r="1204" spans="1:8" hidden="1">
      <c r="A1204">
        <v>0</v>
      </c>
      <c r="F1204" s="48">
        <v>2000</v>
      </c>
      <c r="G1204" t="s">
        <v>76</v>
      </c>
    </row>
    <row r="1205" spans="1:8" hidden="1">
      <c r="A1205">
        <v>0</v>
      </c>
      <c r="F1205" s="48">
        <v>2001</v>
      </c>
      <c r="G1205" t="s">
        <v>76</v>
      </c>
    </row>
    <row r="1206" spans="1:8" hidden="1">
      <c r="A1206">
        <v>0</v>
      </c>
      <c r="F1206" s="48">
        <v>2002</v>
      </c>
      <c r="G1206" t="s">
        <v>76</v>
      </c>
    </row>
    <row r="1207" spans="1:8" hidden="1">
      <c r="A1207">
        <v>0</v>
      </c>
      <c r="F1207" s="48">
        <v>2003</v>
      </c>
      <c r="G1207" t="s">
        <v>76</v>
      </c>
    </row>
    <row r="1208" spans="1:8" hidden="1">
      <c r="A1208">
        <v>0</v>
      </c>
      <c r="F1208" s="48">
        <v>2004</v>
      </c>
      <c r="G1208" t="s">
        <v>76</v>
      </c>
    </row>
    <row r="1209" spans="1:8" hidden="1">
      <c r="A1209">
        <v>0</v>
      </c>
      <c r="F1209" s="48">
        <v>2005</v>
      </c>
      <c r="G1209" t="s">
        <v>76</v>
      </c>
    </row>
    <row r="1210" spans="1:8" hidden="1">
      <c r="A1210">
        <v>0</v>
      </c>
      <c r="F1210" s="48">
        <v>2006</v>
      </c>
      <c r="G1210" t="s">
        <v>76</v>
      </c>
    </row>
    <row r="1211" spans="1:8" hidden="1">
      <c r="A1211">
        <v>0</v>
      </c>
      <c r="F1211" s="48">
        <v>2007</v>
      </c>
      <c r="G1211" t="s">
        <v>76</v>
      </c>
    </row>
    <row r="1212" spans="1:8" hidden="1">
      <c r="A1212">
        <v>0</v>
      </c>
      <c r="F1212" s="48">
        <v>2008</v>
      </c>
      <c r="G1212" t="s">
        <v>76</v>
      </c>
    </row>
    <row r="1213" spans="1:8" hidden="1">
      <c r="A1213">
        <v>0</v>
      </c>
      <c r="F1213" s="48">
        <v>2009</v>
      </c>
      <c r="G1213" t="s">
        <v>76</v>
      </c>
    </row>
    <row r="1214" spans="1:8" hidden="1">
      <c r="A1214">
        <v>0</v>
      </c>
      <c r="F1214" s="48">
        <v>2010</v>
      </c>
      <c r="G1214" t="s">
        <v>76</v>
      </c>
    </row>
    <row r="1215" spans="1:8" hidden="1">
      <c r="A1215">
        <v>0</v>
      </c>
      <c r="F1215" s="48">
        <v>2011</v>
      </c>
      <c r="G1215" t="s">
        <v>76</v>
      </c>
    </row>
    <row r="1216" spans="1:8" hidden="1">
      <c r="A1216">
        <v>0</v>
      </c>
      <c r="F1216" s="48">
        <v>2012</v>
      </c>
      <c r="G1216" t="s">
        <v>76</v>
      </c>
    </row>
    <row r="1217" spans="1:10" hidden="1">
      <c r="A1217">
        <v>0</v>
      </c>
      <c r="F1217" s="48">
        <v>2013</v>
      </c>
      <c r="G1217" t="s">
        <v>76</v>
      </c>
    </row>
    <row r="1218" spans="1:10" hidden="1">
      <c r="A1218">
        <v>0</v>
      </c>
      <c r="F1218" s="48">
        <v>2014</v>
      </c>
      <c r="G1218" t="s">
        <v>76</v>
      </c>
    </row>
    <row r="1219" spans="1:10" hidden="1">
      <c r="A1219">
        <v>0</v>
      </c>
      <c r="F1219" s="48">
        <v>2015</v>
      </c>
      <c r="G1219" t="s">
        <v>76</v>
      </c>
    </row>
    <row r="1220" spans="1:10" hidden="1">
      <c r="A1220">
        <v>0</v>
      </c>
      <c r="F1220" s="48">
        <v>2016</v>
      </c>
      <c r="G1220" t="s">
        <v>76</v>
      </c>
    </row>
    <row r="1221" spans="1:10" hidden="1">
      <c r="A1221">
        <v>0</v>
      </c>
      <c r="F1221" s="48">
        <v>2017</v>
      </c>
      <c r="G1221" t="s">
        <v>76</v>
      </c>
    </row>
    <row r="1222" spans="1:10" hidden="1">
      <c r="A1222">
        <v>0</v>
      </c>
      <c r="F1222" s="48">
        <v>2018</v>
      </c>
      <c r="G1222" t="s">
        <v>76</v>
      </c>
    </row>
    <row r="1223" spans="1:10" hidden="1">
      <c r="A1223">
        <v>0</v>
      </c>
      <c r="F1223" s="48">
        <v>2019</v>
      </c>
      <c r="G1223" t="s">
        <v>76</v>
      </c>
    </row>
    <row r="1224" spans="1:10" hidden="1">
      <c r="A1224">
        <v>0</v>
      </c>
      <c r="F1224" s="48">
        <v>2020</v>
      </c>
      <c r="G1224" t="s">
        <v>76</v>
      </c>
    </row>
    <row r="1225" spans="1:10" hidden="1">
      <c r="A1225">
        <v>0</v>
      </c>
      <c r="F1225" s="48">
        <v>2021</v>
      </c>
      <c r="G1225" t="s">
        <v>76</v>
      </c>
    </row>
    <row r="1226" spans="1:10" hidden="1">
      <c r="A1226">
        <v>0</v>
      </c>
      <c r="F1226" s="48">
        <v>2022</v>
      </c>
      <c r="G1226" t="s">
        <v>76</v>
      </c>
    </row>
    <row r="1227" spans="1:10">
      <c r="A1227">
        <v>4.3</v>
      </c>
      <c r="E1227">
        <v>2000</v>
      </c>
      <c r="F1227" s="48" t="s">
        <v>76</v>
      </c>
      <c r="I1227">
        <f t="shared" ref="I1227:I1249" si="12">E1227</f>
        <v>2000</v>
      </c>
      <c r="J1227">
        <f t="shared" ref="J1227:J1249" si="13">A1227</f>
        <v>4.3</v>
      </c>
    </row>
    <row r="1228" spans="1:10">
      <c r="A1228">
        <v>4.2</v>
      </c>
      <c r="E1228">
        <v>2001</v>
      </c>
      <c r="F1228" s="48" t="s">
        <v>76</v>
      </c>
      <c r="I1228">
        <f t="shared" si="12"/>
        <v>2001</v>
      </c>
      <c r="J1228">
        <f t="shared" si="13"/>
        <v>4.2</v>
      </c>
    </row>
    <row r="1229" spans="1:10">
      <c r="A1229">
        <v>4.2</v>
      </c>
      <c r="E1229">
        <v>2002</v>
      </c>
      <c r="F1229" s="48" t="s">
        <v>76</v>
      </c>
      <c r="I1229">
        <f t="shared" si="12"/>
        <v>2002</v>
      </c>
      <c r="J1229">
        <f t="shared" si="13"/>
        <v>4.2</v>
      </c>
    </row>
    <row r="1230" spans="1:10">
      <c r="A1230">
        <v>4.9000000000000004</v>
      </c>
      <c r="E1230">
        <v>2003</v>
      </c>
      <c r="F1230" s="48" t="s">
        <v>76</v>
      </c>
      <c r="I1230">
        <f t="shared" si="12"/>
        <v>2003</v>
      </c>
      <c r="J1230">
        <f t="shared" si="13"/>
        <v>4.9000000000000004</v>
      </c>
    </row>
    <row r="1231" spans="1:10">
      <c r="A1231">
        <v>3.4</v>
      </c>
      <c r="E1231">
        <v>2004</v>
      </c>
      <c r="F1231" s="48" t="s">
        <v>76</v>
      </c>
      <c r="I1231">
        <f t="shared" si="12"/>
        <v>2004</v>
      </c>
      <c r="J1231">
        <f t="shared" si="13"/>
        <v>3.4</v>
      </c>
    </row>
    <row r="1232" spans="1:10">
      <c r="A1232">
        <v>4.4000000000000004</v>
      </c>
      <c r="E1232">
        <v>2005</v>
      </c>
      <c r="F1232" s="48" t="s">
        <v>76</v>
      </c>
      <c r="I1232">
        <f t="shared" si="12"/>
        <v>2005</v>
      </c>
      <c r="J1232">
        <f t="shared" si="13"/>
        <v>4.4000000000000004</v>
      </c>
    </row>
    <row r="1233" spans="1:10">
      <c r="A1233">
        <v>2.9</v>
      </c>
      <c r="E1233">
        <v>2006</v>
      </c>
      <c r="F1233" s="48" t="s">
        <v>76</v>
      </c>
      <c r="I1233">
        <f t="shared" si="12"/>
        <v>2006</v>
      </c>
      <c r="J1233">
        <f t="shared" si="13"/>
        <v>2.9</v>
      </c>
    </row>
    <row r="1234" spans="1:10">
      <c r="A1234">
        <v>1.8</v>
      </c>
      <c r="E1234">
        <v>2007</v>
      </c>
      <c r="F1234" s="48" t="s">
        <v>76</v>
      </c>
      <c r="I1234">
        <f t="shared" si="12"/>
        <v>2007</v>
      </c>
      <c r="J1234">
        <f t="shared" si="13"/>
        <v>1.8</v>
      </c>
    </row>
    <row r="1235" spans="1:10">
      <c r="A1235">
        <v>2.2000000000000002</v>
      </c>
      <c r="E1235">
        <v>2008</v>
      </c>
      <c r="F1235" s="48" t="s">
        <v>76</v>
      </c>
      <c r="I1235">
        <f t="shared" si="12"/>
        <v>2008</v>
      </c>
      <c r="J1235">
        <f t="shared" si="13"/>
        <v>2.2000000000000002</v>
      </c>
    </row>
    <row r="1236" spans="1:10">
      <c r="A1236">
        <v>1.9</v>
      </c>
      <c r="E1236">
        <v>2009</v>
      </c>
      <c r="F1236" s="48" t="s">
        <v>76</v>
      </c>
      <c r="I1236">
        <f t="shared" si="12"/>
        <v>2009</v>
      </c>
      <c r="J1236">
        <f t="shared" si="13"/>
        <v>1.9</v>
      </c>
    </row>
    <row r="1237" spans="1:10">
      <c r="A1237">
        <v>2.1</v>
      </c>
      <c r="E1237">
        <v>2010</v>
      </c>
      <c r="F1237" s="48" t="s">
        <v>76</v>
      </c>
      <c r="I1237">
        <f t="shared" si="12"/>
        <v>2010</v>
      </c>
      <c r="J1237">
        <f t="shared" si="13"/>
        <v>2.1</v>
      </c>
    </row>
    <row r="1238" spans="1:10">
      <c r="A1238">
        <v>1.5</v>
      </c>
      <c r="E1238">
        <v>2011</v>
      </c>
      <c r="F1238" s="48" t="s">
        <v>76</v>
      </c>
      <c r="I1238">
        <f t="shared" si="12"/>
        <v>2011</v>
      </c>
      <c r="J1238">
        <f t="shared" si="13"/>
        <v>1.5</v>
      </c>
    </row>
    <row r="1239" spans="1:10">
      <c r="A1239">
        <v>1.3</v>
      </c>
      <c r="E1239">
        <v>2012</v>
      </c>
      <c r="F1239" s="48" t="s">
        <v>76</v>
      </c>
      <c r="I1239">
        <f t="shared" si="12"/>
        <v>2012</v>
      </c>
      <c r="J1239">
        <f t="shared" si="13"/>
        <v>1.3</v>
      </c>
    </row>
    <row r="1240" spans="1:10">
      <c r="A1240">
        <v>1.5</v>
      </c>
      <c r="E1240">
        <v>2013</v>
      </c>
      <c r="F1240" s="48" t="s">
        <v>76</v>
      </c>
      <c r="I1240">
        <f t="shared" si="12"/>
        <v>2013</v>
      </c>
      <c r="J1240">
        <f t="shared" si="13"/>
        <v>1.5</v>
      </c>
    </row>
    <row r="1241" spans="1:10">
      <c r="A1241">
        <v>2.1</v>
      </c>
      <c r="E1241">
        <v>2014</v>
      </c>
      <c r="F1241" s="48" t="s">
        <v>76</v>
      </c>
      <c r="I1241">
        <f t="shared" si="12"/>
        <v>2014</v>
      </c>
      <c r="J1241">
        <f t="shared" si="13"/>
        <v>2.1</v>
      </c>
    </row>
    <row r="1242" spans="1:10">
      <c r="A1242">
        <v>2</v>
      </c>
      <c r="E1242">
        <v>2015</v>
      </c>
      <c r="F1242" s="48" t="s">
        <v>76</v>
      </c>
      <c r="I1242">
        <f t="shared" si="12"/>
        <v>2015</v>
      </c>
      <c r="J1242">
        <f t="shared" si="13"/>
        <v>2</v>
      </c>
    </row>
    <row r="1243" spans="1:10">
      <c r="A1243">
        <v>1.3</v>
      </c>
      <c r="E1243">
        <v>2016</v>
      </c>
      <c r="F1243" s="48" t="s">
        <v>76</v>
      </c>
      <c r="I1243">
        <f t="shared" si="12"/>
        <v>2016</v>
      </c>
      <c r="J1243">
        <f t="shared" si="13"/>
        <v>1.3</v>
      </c>
    </row>
    <row r="1244" spans="1:10">
      <c r="A1244">
        <v>1.7</v>
      </c>
      <c r="E1244">
        <v>2017</v>
      </c>
      <c r="F1244" s="48" t="s">
        <v>76</v>
      </c>
      <c r="I1244">
        <f t="shared" si="12"/>
        <v>2017</v>
      </c>
      <c r="J1244">
        <f t="shared" si="13"/>
        <v>1.7</v>
      </c>
    </row>
    <row r="1245" spans="1:10">
      <c r="A1245">
        <v>2.9</v>
      </c>
      <c r="E1245">
        <v>2018</v>
      </c>
      <c r="F1245" s="48" t="s">
        <v>76</v>
      </c>
      <c r="I1245">
        <f t="shared" si="12"/>
        <v>2018</v>
      </c>
      <c r="J1245">
        <f t="shared" si="13"/>
        <v>2.9</v>
      </c>
    </row>
    <row r="1246" spans="1:10">
      <c r="A1246">
        <v>3.7</v>
      </c>
      <c r="E1246">
        <v>2019</v>
      </c>
      <c r="F1246" s="48" t="s">
        <v>76</v>
      </c>
      <c r="I1246">
        <f t="shared" si="12"/>
        <v>2019</v>
      </c>
      <c r="J1246">
        <f t="shared" si="13"/>
        <v>3.7</v>
      </c>
    </row>
    <row r="1247" spans="1:10">
      <c r="A1247">
        <v>3.8</v>
      </c>
      <c r="E1247">
        <v>2020</v>
      </c>
      <c r="F1247" s="48" t="s">
        <v>76</v>
      </c>
      <c r="I1247">
        <f t="shared" si="12"/>
        <v>2020</v>
      </c>
      <c r="J1247">
        <f t="shared" si="13"/>
        <v>3.8</v>
      </c>
    </row>
    <row r="1248" spans="1:10">
      <c r="A1248">
        <v>3.5</v>
      </c>
      <c r="E1248">
        <v>2021</v>
      </c>
      <c r="F1248" s="48" t="s">
        <v>76</v>
      </c>
      <c r="I1248">
        <f t="shared" si="12"/>
        <v>2021</v>
      </c>
      <c r="J1248">
        <f t="shared" si="13"/>
        <v>3.5</v>
      </c>
    </row>
    <row r="1249" spans="1:10">
      <c r="A1249">
        <v>0.9</v>
      </c>
      <c r="E1249">
        <v>2022</v>
      </c>
      <c r="F1249" s="48" t="s">
        <v>76</v>
      </c>
      <c r="I1249">
        <f t="shared" si="12"/>
        <v>2022</v>
      </c>
      <c r="J1249">
        <f t="shared" si="13"/>
        <v>0.9</v>
      </c>
    </row>
    <row r="1250" spans="1:10" hidden="1">
      <c r="A1250">
        <v>66.8</v>
      </c>
      <c r="D1250">
        <v>2000</v>
      </c>
      <c r="E1250" t="s">
        <v>76</v>
      </c>
    </row>
    <row r="1251" spans="1:10" hidden="1">
      <c r="A1251">
        <v>54.3</v>
      </c>
      <c r="D1251">
        <v>2001</v>
      </c>
      <c r="E1251" t="s">
        <v>76</v>
      </c>
    </row>
    <row r="1252" spans="1:10" hidden="1">
      <c r="A1252">
        <v>57.7</v>
      </c>
      <c r="D1252">
        <v>2002</v>
      </c>
      <c r="E1252" t="s">
        <v>76</v>
      </c>
    </row>
    <row r="1253" spans="1:10" hidden="1">
      <c r="A1253">
        <v>42.4</v>
      </c>
      <c r="D1253">
        <v>2003</v>
      </c>
      <c r="E1253" t="s">
        <v>76</v>
      </c>
    </row>
    <row r="1254" spans="1:10" hidden="1">
      <c r="A1254">
        <v>42.6</v>
      </c>
      <c r="D1254">
        <v>2004</v>
      </c>
      <c r="E1254" t="s">
        <v>76</v>
      </c>
    </row>
    <row r="1255" spans="1:10" hidden="1">
      <c r="A1255">
        <v>42.9</v>
      </c>
      <c r="D1255">
        <v>2005</v>
      </c>
      <c r="E1255" t="s">
        <v>76</v>
      </c>
    </row>
    <row r="1256" spans="1:10" hidden="1">
      <c r="A1256">
        <v>32.200000000000003</v>
      </c>
      <c r="D1256">
        <v>2006</v>
      </c>
      <c r="E1256" t="s">
        <v>76</v>
      </c>
    </row>
    <row r="1257" spans="1:10" hidden="1">
      <c r="A1257">
        <v>40.4</v>
      </c>
      <c r="D1257">
        <v>2007</v>
      </c>
      <c r="E1257" t="s">
        <v>76</v>
      </c>
    </row>
    <row r="1258" spans="1:10" hidden="1">
      <c r="A1258">
        <v>35.9</v>
      </c>
      <c r="D1258">
        <v>2008</v>
      </c>
      <c r="E1258" t="s">
        <v>76</v>
      </c>
    </row>
    <row r="1259" spans="1:10" hidden="1">
      <c r="A1259">
        <v>33.1</v>
      </c>
      <c r="D1259">
        <v>2009</v>
      </c>
      <c r="E1259" t="s">
        <v>76</v>
      </c>
    </row>
    <row r="1260" spans="1:10" hidden="1">
      <c r="A1260">
        <v>23.5</v>
      </c>
      <c r="D1260">
        <v>2010</v>
      </c>
      <c r="E1260" t="s">
        <v>76</v>
      </c>
    </row>
    <row r="1261" spans="1:10" hidden="1">
      <c r="A1261">
        <v>23.9</v>
      </c>
      <c r="D1261">
        <v>2011</v>
      </c>
      <c r="E1261" t="s">
        <v>76</v>
      </c>
    </row>
    <row r="1262" spans="1:10" hidden="1">
      <c r="A1262">
        <v>23.7</v>
      </c>
      <c r="D1262">
        <v>2012</v>
      </c>
      <c r="E1262" t="s">
        <v>76</v>
      </c>
    </row>
    <row r="1263" spans="1:10" hidden="1">
      <c r="A1263">
        <v>21.6</v>
      </c>
      <c r="D1263">
        <v>2013</v>
      </c>
      <c r="E1263" t="s">
        <v>76</v>
      </c>
    </row>
    <row r="1264" spans="1:10" hidden="1">
      <c r="A1264">
        <v>23.6</v>
      </c>
      <c r="D1264">
        <v>2014</v>
      </c>
      <c r="E1264" t="s">
        <v>76</v>
      </c>
    </row>
    <row r="1265" spans="1:5" hidden="1">
      <c r="A1265">
        <v>22.9</v>
      </c>
      <c r="D1265">
        <v>2015</v>
      </c>
      <c r="E1265" t="s">
        <v>76</v>
      </c>
    </row>
    <row r="1266" spans="1:5" hidden="1">
      <c r="A1266">
        <v>22.6</v>
      </c>
      <c r="D1266">
        <v>2016</v>
      </c>
      <c r="E1266" t="s">
        <v>76</v>
      </c>
    </row>
    <row r="1267" spans="1:5" hidden="1">
      <c r="A1267">
        <v>20.399999999999999</v>
      </c>
      <c r="D1267">
        <v>2017</v>
      </c>
      <c r="E1267" t="s">
        <v>76</v>
      </c>
    </row>
    <row r="1268" spans="1:5" hidden="1">
      <c r="A1268">
        <v>26.8</v>
      </c>
      <c r="D1268">
        <v>2018</v>
      </c>
      <c r="E1268" t="s">
        <v>76</v>
      </c>
    </row>
    <row r="1269" spans="1:5" hidden="1">
      <c r="A1269">
        <v>26.7</v>
      </c>
      <c r="D1269">
        <v>2019</v>
      </c>
      <c r="E1269" t="s">
        <v>76</v>
      </c>
    </row>
    <row r="1270" spans="1:5" hidden="1">
      <c r="A1270">
        <v>26</v>
      </c>
      <c r="D1270">
        <v>2020</v>
      </c>
      <c r="E1270" t="s">
        <v>76</v>
      </c>
    </row>
    <row r="1271" spans="1:5" hidden="1">
      <c r="A1271">
        <v>21.9</v>
      </c>
      <c r="D1271">
        <v>2021</v>
      </c>
      <c r="E1271" t="s">
        <v>76</v>
      </c>
    </row>
    <row r="1272" spans="1:5" hidden="1">
      <c r="A1272">
        <v>21.7</v>
      </c>
      <c r="D1272">
        <v>2022</v>
      </c>
      <c r="E1272" t="s">
        <v>76</v>
      </c>
    </row>
    <row r="1273" spans="1:5" hidden="1">
      <c r="A1273">
        <v>0</v>
      </c>
      <c r="C1273">
        <v>2000</v>
      </c>
      <c r="D1273" t="s">
        <v>76</v>
      </c>
    </row>
    <row r="1274" spans="1:5" hidden="1">
      <c r="A1274">
        <v>0</v>
      </c>
      <c r="C1274">
        <v>2001</v>
      </c>
      <c r="D1274" t="s">
        <v>76</v>
      </c>
    </row>
    <row r="1275" spans="1:5" hidden="1">
      <c r="A1275">
        <v>0</v>
      </c>
      <c r="C1275">
        <v>2002</v>
      </c>
      <c r="D1275" t="s">
        <v>76</v>
      </c>
    </row>
    <row r="1276" spans="1:5" hidden="1">
      <c r="A1276">
        <v>0</v>
      </c>
      <c r="C1276">
        <v>2003</v>
      </c>
      <c r="D1276" t="s">
        <v>76</v>
      </c>
    </row>
    <row r="1277" spans="1:5" hidden="1">
      <c r="A1277">
        <v>0</v>
      </c>
      <c r="C1277">
        <v>2004</v>
      </c>
      <c r="D1277" t="s">
        <v>76</v>
      </c>
    </row>
    <row r="1278" spans="1:5" hidden="1">
      <c r="A1278">
        <v>0</v>
      </c>
      <c r="C1278">
        <v>2005</v>
      </c>
      <c r="D1278" t="s">
        <v>76</v>
      </c>
    </row>
    <row r="1279" spans="1:5" hidden="1">
      <c r="A1279">
        <v>0</v>
      </c>
      <c r="C1279">
        <v>2006</v>
      </c>
      <c r="D1279" t="s">
        <v>76</v>
      </c>
    </row>
    <row r="1280" spans="1:5" hidden="1">
      <c r="A1280">
        <v>0</v>
      </c>
      <c r="C1280">
        <v>2007</v>
      </c>
      <c r="D1280" t="s">
        <v>76</v>
      </c>
    </row>
    <row r="1281" spans="1:4" hidden="1">
      <c r="A1281">
        <v>0</v>
      </c>
      <c r="C1281">
        <v>2008</v>
      </c>
      <c r="D1281" t="s">
        <v>76</v>
      </c>
    </row>
    <row r="1282" spans="1:4" hidden="1">
      <c r="A1282">
        <v>0</v>
      </c>
      <c r="C1282">
        <v>2009</v>
      </c>
      <c r="D1282" t="s">
        <v>76</v>
      </c>
    </row>
    <row r="1283" spans="1:4" hidden="1">
      <c r="A1283">
        <v>8.1999999999999993</v>
      </c>
      <c r="C1283">
        <v>2010</v>
      </c>
      <c r="D1283" t="s">
        <v>76</v>
      </c>
    </row>
    <row r="1284" spans="1:4" hidden="1">
      <c r="A1284">
        <v>8.3000000000000007</v>
      </c>
      <c r="C1284">
        <v>2011</v>
      </c>
      <c r="D1284" t="s">
        <v>76</v>
      </c>
    </row>
    <row r="1285" spans="1:4" hidden="1">
      <c r="A1285">
        <v>9.4</v>
      </c>
      <c r="C1285">
        <v>2012</v>
      </c>
      <c r="D1285" t="s">
        <v>76</v>
      </c>
    </row>
    <row r="1286" spans="1:4" hidden="1">
      <c r="A1286">
        <v>8.5</v>
      </c>
      <c r="C1286">
        <v>2013</v>
      </c>
      <c r="D1286" t="s">
        <v>76</v>
      </c>
    </row>
    <row r="1287" spans="1:4" hidden="1">
      <c r="A1287">
        <v>7.1</v>
      </c>
      <c r="C1287">
        <v>2014</v>
      </c>
      <c r="D1287" t="s">
        <v>76</v>
      </c>
    </row>
    <row r="1288" spans="1:4" hidden="1">
      <c r="A1288">
        <v>8.4</v>
      </c>
      <c r="C1288">
        <v>2015</v>
      </c>
      <c r="D1288" t="s">
        <v>76</v>
      </c>
    </row>
    <row r="1289" spans="1:4" hidden="1">
      <c r="A1289">
        <v>7.9</v>
      </c>
      <c r="C1289">
        <v>2016</v>
      </c>
      <c r="D1289" t="s">
        <v>76</v>
      </c>
    </row>
    <row r="1290" spans="1:4" hidden="1">
      <c r="A1290">
        <v>7.4</v>
      </c>
      <c r="C1290">
        <v>2017</v>
      </c>
      <c r="D1290" t="s">
        <v>76</v>
      </c>
    </row>
    <row r="1291" spans="1:4" hidden="1">
      <c r="A1291">
        <v>8.8000000000000007</v>
      </c>
      <c r="C1291">
        <v>2018</v>
      </c>
      <c r="D1291" t="s">
        <v>76</v>
      </c>
    </row>
    <row r="1292" spans="1:4" hidden="1">
      <c r="A1292">
        <v>9.3000000000000007</v>
      </c>
      <c r="C1292">
        <v>2019</v>
      </c>
      <c r="D1292" t="s">
        <v>76</v>
      </c>
    </row>
    <row r="1293" spans="1:4" hidden="1">
      <c r="A1293">
        <v>14.2</v>
      </c>
      <c r="C1293">
        <v>2020</v>
      </c>
      <c r="D1293" t="s">
        <v>76</v>
      </c>
    </row>
    <row r="1294" spans="1:4" hidden="1">
      <c r="A1294">
        <v>11.2</v>
      </c>
      <c r="C1294">
        <v>2021</v>
      </c>
      <c r="D1294" t="s">
        <v>76</v>
      </c>
    </row>
    <row r="1295" spans="1:4" hidden="1">
      <c r="A1295">
        <v>8.3000000000000007</v>
      </c>
      <c r="C1295">
        <v>2022</v>
      </c>
      <c r="D1295" t="s">
        <v>76</v>
      </c>
    </row>
    <row r="1296" spans="1:4" hidden="1">
      <c r="A1296">
        <v>424</v>
      </c>
      <c r="B1296">
        <v>2000</v>
      </c>
      <c r="C1296" t="s">
        <v>76</v>
      </c>
    </row>
    <row r="1297" spans="1:3" hidden="1">
      <c r="A1297">
        <v>414.8</v>
      </c>
      <c r="B1297">
        <v>2001</v>
      </c>
      <c r="C1297" t="s">
        <v>76</v>
      </c>
    </row>
    <row r="1298" spans="1:3" hidden="1">
      <c r="A1298">
        <v>427.6</v>
      </c>
      <c r="B1298">
        <v>2002</v>
      </c>
      <c r="C1298" t="s">
        <v>76</v>
      </c>
    </row>
    <row r="1299" spans="1:3" hidden="1">
      <c r="A1299">
        <v>422.3</v>
      </c>
      <c r="B1299">
        <v>2003</v>
      </c>
      <c r="C1299" t="s">
        <v>76</v>
      </c>
    </row>
    <row r="1300" spans="1:3" hidden="1">
      <c r="A1300">
        <v>432.3</v>
      </c>
      <c r="B1300">
        <v>2004</v>
      </c>
      <c r="C1300" t="s">
        <v>76</v>
      </c>
    </row>
    <row r="1301" spans="1:3" hidden="1">
      <c r="A1301">
        <v>419.7</v>
      </c>
      <c r="B1301">
        <v>2005</v>
      </c>
      <c r="C1301" t="s">
        <v>76</v>
      </c>
    </row>
    <row r="1302" spans="1:3" hidden="1">
      <c r="A1302">
        <v>403.5</v>
      </c>
      <c r="B1302">
        <v>2006</v>
      </c>
      <c r="C1302" t="s">
        <v>76</v>
      </c>
    </row>
    <row r="1303" spans="1:3" hidden="1">
      <c r="A1303">
        <v>405.7</v>
      </c>
      <c r="B1303">
        <v>2007</v>
      </c>
      <c r="C1303" t="s">
        <v>76</v>
      </c>
    </row>
    <row r="1304" spans="1:3" hidden="1">
      <c r="A1304">
        <v>406.1</v>
      </c>
      <c r="B1304">
        <v>2008</v>
      </c>
      <c r="C1304" t="s">
        <v>76</v>
      </c>
    </row>
    <row r="1305" spans="1:3" hidden="1">
      <c r="A1305">
        <v>384.9</v>
      </c>
      <c r="B1305">
        <v>2009</v>
      </c>
      <c r="C1305" t="s">
        <v>76</v>
      </c>
    </row>
    <row r="1306" spans="1:3" hidden="1">
      <c r="A1306">
        <v>410</v>
      </c>
      <c r="B1306">
        <v>2010</v>
      </c>
      <c r="C1306" t="s">
        <v>76</v>
      </c>
    </row>
    <row r="1307" spans="1:3" hidden="1">
      <c r="A1307">
        <v>402</v>
      </c>
      <c r="B1307">
        <v>2011</v>
      </c>
      <c r="C1307" t="s">
        <v>76</v>
      </c>
    </row>
    <row r="1308" spans="1:3" hidden="1">
      <c r="A1308">
        <v>402.3</v>
      </c>
      <c r="B1308">
        <v>2012</v>
      </c>
      <c r="C1308" t="s">
        <v>76</v>
      </c>
    </row>
    <row r="1309" spans="1:3" hidden="1">
      <c r="A1309">
        <v>399.8</v>
      </c>
      <c r="B1309">
        <v>2013</v>
      </c>
      <c r="C1309" t="s">
        <v>76</v>
      </c>
    </row>
    <row r="1310" spans="1:3" hidden="1">
      <c r="A1310">
        <v>394.1</v>
      </c>
      <c r="B1310">
        <v>2014</v>
      </c>
      <c r="C1310" t="s">
        <v>76</v>
      </c>
    </row>
    <row r="1311" spans="1:3" hidden="1">
      <c r="A1311">
        <v>384</v>
      </c>
      <c r="B1311">
        <v>2015</v>
      </c>
      <c r="C1311" t="s">
        <v>76</v>
      </c>
    </row>
    <row r="1312" spans="1:3" hidden="1">
      <c r="A1312">
        <v>390.4</v>
      </c>
      <c r="B1312">
        <v>2016</v>
      </c>
      <c r="C1312" t="s">
        <v>76</v>
      </c>
    </row>
    <row r="1313" spans="1:8" hidden="1">
      <c r="A1313">
        <v>386.3</v>
      </c>
      <c r="B1313">
        <v>2017</v>
      </c>
      <c r="C1313" t="s">
        <v>76</v>
      </c>
    </row>
    <row r="1314" spans="1:8" hidden="1">
      <c r="A1314">
        <v>401.8</v>
      </c>
      <c r="B1314">
        <v>2018</v>
      </c>
      <c r="C1314" t="s">
        <v>76</v>
      </c>
    </row>
    <row r="1315" spans="1:8" hidden="1">
      <c r="A1315">
        <v>387.1</v>
      </c>
      <c r="B1315">
        <v>2019</v>
      </c>
      <c r="C1315" t="s">
        <v>76</v>
      </c>
    </row>
    <row r="1316" spans="1:8" hidden="1">
      <c r="A1316">
        <v>400</v>
      </c>
      <c r="B1316">
        <v>2020</v>
      </c>
      <c r="C1316" t="s">
        <v>76</v>
      </c>
    </row>
    <row r="1317" spans="1:8" hidden="1">
      <c r="A1317">
        <v>389.2</v>
      </c>
      <c r="B1317">
        <v>2021</v>
      </c>
      <c r="C1317" t="s">
        <v>76</v>
      </c>
    </row>
    <row r="1318" spans="1:8" hidden="1">
      <c r="A1318">
        <v>392.2</v>
      </c>
      <c r="B1318">
        <v>2022</v>
      </c>
      <c r="C1318" t="s">
        <v>76</v>
      </c>
    </row>
    <row r="1319" spans="1:8" hidden="1">
      <c r="A1319">
        <v>45.5</v>
      </c>
      <c r="G1319">
        <v>2000</v>
      </c>
      <c r="H1319" t="s">
        <v>90</v>
      </c>
    </row>
    <row r="1320" spans="1:8" hidden="1">
      <c r="A1320">
        <v>48.4</v>
      </c>
      <c r="G1320">
        <v>2001</v>
      </c>
      <c r="H1320" t="s">
        <v>90</v>
      </c>
    </row>
    <row r="1321" spans="1:8" hidden="1">
      <c r="A1321">
        <v>36.200000000000003</v>
      </c>
      <c r="G1321">
        <v>2002</v>
      </c>
      <c r="H1321" t="s">
        <v>90</v>
      </c>
    </row>
    <row r="1322" spans="1:8" hidden="1">
      <c r="A1322">
        <v>57.5</v>
      </c>
      <c r="G1322">
        <v>2003</v>
      </c>
      <c r="H1322" t="s">
        <v>90</v>
      </c>
    </row>
    <row r="1323" spans="1:8" hidden="1">
      <c r="A1323">
        <v>79.099999999999994</v>
      </c>
      <c r="G1323">
        <v>2004</v>
      </c>
      <c r="H1323" t="s">
        <v>90</v>
      </c>
    </row>
    <row r="1324" spans="1:8" hidden="1">
      <c r="A1324">
        <v>17.7</v>
      </c>
      <c r="G1324">
        <v>2005</v>
      </c>
      <c r="H1324" t="s">
        <v>90</v>
      </c>
    </row>
    <row r="1325" spans="1:8" hidden="1">
      <c r="A1325">
        <v>14</v>
      </c>
      <c r="G1325">
        <v>2006</v>
      </c>
      <c r="H1325" t="s">
        <v>90</v>
      </c>
    </row>
    <row r="1326" spans="1:8" hidden="1">
      <c r="A1326">
        <v>13.6</v>
      </c>
      <c r="G1326">
        <v>2007</v>
      </c>
      <c r="H1326" t="s">
        <v>90</v>
      </c>
    </row>
    <row r="1327" spans="1:8" hidden="1">
      <c r="A1327">
        <v>13.6</v>
      </c>
      <c r="G1327">
        <v>2008</v>
      </c>
      <c r="H1327" t="s">
        <v>90</v>
      </c>
    </row>
    <row r="1328" spans="1:8" hidden="1">
      <c r="A1328">
        <v>5.4</v>
      </c>
      <c r="G1328">
        <v>2009</v>
      </c>
      <c r="H1328" t="s">
        <v>90</v>
      </c>
    </row>
    <row r="1329" spans="1:8" hidden="1">
      <c r="A1329">
        <v>5.3</v>
      </c>
      <c r="G1329">
        <v>2010</v>
      </c>
      <c r="H1329" t="s">
        <v>90</v>
      </c>
    </row>
    <row r="1330" spans="1:8" hidden="1">
      <c r="A1330">
        <v>5.2</v>
      </c>
      <c r="G1330">
        <v>2011</v>
      </c>
      <c r="H1330" t="s">
        <v>90</v>
      </c>
    </row>
    <row r="1331" spans="1:8" hidden="1">
      <c r="A1331">
        <v>5.6</v>
      </c>
      <c r="G1331">
        <v>2012</v>
      </c>
      <c r="H1331" t="s">
        <v>90</v>
      </c>
    </row>
    <row r="1332" spans="1:8" hidden="1">
      <c r="A1332">
        <v>4.4000000000000004</v>
      </c>
      <c r="G1332">
        <v>2013</v>
      </c>
      <c r="H1332" t="s">
        <v>90</v>
      </c>
    </row>
    <row r="1333" spans="1:8" hidden="1">
      <c r="A1333">
        <v>4.8</v>
      </c>
      <c r="G1333">
        <v>2014</v>
      </c>
      <c r="H1333" t="s">
        <v>90</v>
      </c>
    </row>
    <row r="1334" spans="1:8" hidden="1">
      <c r="A1334">
        <v>4.5999999999999996</v>
      </c>
      <c r="G1334">
        <v>2015</v>
      </c>
      <c r="H1334" t="s">
        <v>90</v>
      </c>
    </row>
    <row r="1335" spans="1:8" hidden="1">
      <c r="A1335">
        <v>4.9000000000000004</v>
      </c>
      <c r="G1335">
        <v>2016</v>
      </c>
      <c r="H1335" t="s">
        <v>90</v>
      </c>
    </row>
    <row r="1336" spans="1:8" hidden="1">
      <c r="A1336">
        <v>5.0999999999999996</v>
      </c>
      <c r="G1336">
        <v>2017</v>
      </c>
      <c r="H1336" t="s">
        <v>90</v>
      </c>
    </row>
    <row r="1337" spans="1:8" hidden="1">
      <c r="A1337">
        <v>5.2</v>
      </c>
      <c r="G1337">
        <v>2018</v>
      </c>
      <c r="H1337" t="s">
        <v>90</v>
      </c>
    </row>
    <row r="1338" spans="1:8" hidden="1">
      <c r="A1338">
        <v>6.7</v>
      </c>
      <c r="G1338">
        <v>2019</v>
      </c>
      <c r="H1338" t="s">
        <v>90</v>
      </c>
    </row>
    <row r="1339" spans="1:8" hidden="1">
      <c r="A1339">
        <v>6.5</v>
      </c>
      <c r="G1339">
        <v>2020</v>
      </c>
      <c r="H1339" t="s">
        <v>90</v>
      </c>
    </row>
    <row r="1340" spans="1:8" hidden="1">
      <c r="A1340">
        <v>6.9</v>
      </c>
      <c r="G1340">
        <v>2021</v>
      </c>
      <c r="H1340" t="s">
        <v>90</v>
      </c>
    </row>
    <row r="1341" spans="1:8" hidden="1">
      <c r="A1341">
        <v>6.9</v>
      </c>
      <c r="G1341">
        <v>2022</v>
      </c>
      <c r="H1341" t="s">
        <v>90</v>
      </c>
    </row>
    <row r="1342" spans="1:8" hidden="1">
      <c r="A1342">
        <v>0</v>
      </c>
      <c r="F1342" s="48">
        <v>2000</v>
      </c>
      <c r="G1342" t="s">
        <v>90</v>
      </c>
    </row>
    <row r="1343" spans="1:8" hidden="1">
      <c r="A1343">
        <v>0</v>
      </c>
      <c r="F1343" s="48">
        <v>2001</v>
      </c>
      <c r="G1343" t="s">
        <v>90</v>
      </c>
    </row>
    <row r="1344" spans="1:8" hidden="1">
      <c r="A1344">
        <v>0</v>
      </c>
      <c r="F1344" s="48">
        <v>2002</v>
      </c>
      <c r="G1344" t="s">
        <v>90</v>
      </c>
    </row>
    <row r="1345" spans="1:7" hidden="1">
      <c r="A1345">
        <v>0</v>
      </c>
      <c r="F1345" s="48">
        <v>2003</v>
      </c>
      <c r="G1345" t="s">
        <v>90</v>
      </c>
    </row>
    <row r="1346" spans="1:7" hidden="1">
      <c r="A1346">
        <v>0</v>
      </c>
      <c r="F1346" s="48">
        <v>2004</v>
      </c>
      <c r="G1346" t="s">
        <v>90</v>
      </c>
    </row>
    <row r="1347" spans="1:7" hidden="1">
      <c r="A1347">
        <v>0</v>
      </c>
      <c r="F1347" s="48">
        <v>2005</v>
      </c>
      <c r="G1347" t="s">
        <v>90</v>
      </c>
    </row>
    <row r="1348" spans="1:7" hidden="1">
      <c r="A1348">
        <v>0</v>
      </c>
      <c r="F1348" s="48">
        <v>2006</v>
      </c>
      <c r="G1348" t="s">
        <v>90</v>
      </c>
    </row>
    <row r="1349" spans="1:7" hidden="1">
      <c r="A1349">
        <v>0</v>
      </c>
      <c r="F1349" s="48">
        <v>2007</v>
      </c>
      <c r="G1349" t="s">
        <v>90</v>
      </c>
    </row>
    <row r="1350" spans="1:7" hidden="1">
      <c r="A1350">
        <v>0</v>
      </c>
      <c r="F1350" s="48">
        <v>2008</v>
      </c>
      <c r="G1350" t="s">
        <v>90</v>
      </c>
    </row>
    <row r="1351" spans="1:7" hidden="1">
      <c r="A1351">
        <v>1.2</v>
      </c>
      <c r="F1351" s="48">
        <v>2009</v>
      </c>
      <c r="G1351" t="s">
        <v>90</v>
      </c>
    </row>
    <row r="1352" spans="1:7" hidden="1">
      <c r="A1352">
        <v>0</v>
      </c>
      <c r="F1352" s="48">
        <v>2010</v>
      </c>
      <c r="G1352" t="s">
        <v>90</v>
      </c>
    </row>
    <row r="1353" spans="1:7" hidden="1">
      <c r="A1353">
        <v>0</v>
      </c>
      <c r="F1353" s="48">
        <v>2011</v>
      </c>
      <c r="G1353" t="s">
        <v>90</v>
      </c>
    </row>
    <row r="1354" spans="1:7" hidden="1">
      <c r="A1354">
        <v>0</v>
      </c>
      <c r="F1354" s="48">
        <v>2012</v>
      </c>
      <c r="G1354" t="s">
        <v>90</v>
      </c>
    </row>
    <row r="1355" spans="1:7" hidden="1">
      <c r="A1355">
        <v>0</v>
      </c>
      <c r="F1355" s="48">
        <v>2013</v>
      </c>
      <c r="G1355" t="s">
        <v>90</v>
      </c>
    </row>
    <row r="1356" spans="1:7" hidden="1">
      <c r="A1356">
        <v>0</v>
      </c>
      <c r="F1356" s="48">
        <v>2014</v>
      </c>
      <c r="G1356" t="s">
        <v>90</v>
      </c>
    </row>
    <row r="1357" spans="1:7" hidden="1">
      <c r="A1357">
        <v>0</v>
      </c>
      <c r="F1357" s="48">
        <v>2015</v>
      </c>
      <c r="G1357" t="s">
        <v>90</v>
      </c>
    </row>
    <row r="1358" spans="1:7" hidden="1">
      <c r="A1358">
        <v>0</v>
      </c>
      <c r="F1358" s="48">
        <v>2016</v>
      </c>
      <c r="G1358" t="s">
        <v>90</v>
      </c>
    </row>
    <row r="1359" spans="1:7" hidden="1">
      <c r="A1359">
        <v>0</v>
      </c>
      <c r="F1359" s="48">
        <v>2017</v>
      </c>
      <c r="G1359" t="s">
        <v>90</v>
      </c>
    </row>
    <row r="1360" spans="1:7" hidden="1">
      <c r="A1360">
        <v>0</v>
      </c>
      <c r="F1360" s="48">
        <v>2018</v>
      </c>
      <c r="G1360" t="s">
        <v>90</v>
      </c>
    </row>
    <row r="1361" spans="1:10" hidden="1">
      <c r="A1361">
        <v>0.2</v>
      </c>
      <c r="F1361" s="48">
        <v>2019</v>
      </c>
      <c r="G1361" t="s">
        <v>90</v>
      </c>
    </row>
    <row r="1362" spans="1:10" hidden="1">
      <c r="A1362">
        <v>0.1</v>
      </c>
      <c r="F1362" s="48">
        <v>2020</v>
      </c>
      <c r="G1362" t="s">
        <v>90</v>
      </c>
    </row>
    <row r="1363" spans="1:10" hidden="1">
      <c r="A1363">
        <v>0.1</v>
      </c>
      <c r="F1363" s="48">
        <v>2021</v>
      </c>
      <c r="G1363" t="s">
        <v>90</v>
      </c>
    </row>
    <row r="1364" spans="1:10" hidden="1">
      <c r="A1364">
        <v>0.1</v>
      </c>
      <c r="F1364" s="48">
        <v>2022</v>
      </c>
      <c r="G1364" t="s">
        <v>90</v>
      </c>
    </row>
    <row r="1365" spans="1:10">
      <c r="A1365">
        <v>1116.2</v>
      </c>
      <c r="E1365">
        <v>2000</v>
      </c>
      <c r="F1365" s="48" t="s">
        <v>90</v>
      </c>
      <c r="I1365">
        <f t="shared" ref="I1365:I1387" si="14">E1365</f>
        <v>2000</v>
      </c>
      <c r="J1365">
        <f t="shared" ref="J1365:J1387" si="15">A1365</f>
        <v>1116.2</v>
      </c>
    </row>
    <row r="1366" spans="1:10">
      <c r="A1366">
        <v>1097.5999999999999</v>
      </c>
      <c r="E1366">
        <v>2001</v>
      </c>
      <c r="F1366" s="48" t="s">
        <v>90</v>
      </c>
      <c r="I1366">
        <f t="shared" si="14"/>
        <v>2001</v>
      </c>
      <c r="J1366">
        <f t="shared" si="15"/>
        <v>1097.5999999999999</v>
      </c>
    </row>
    <row r="1367" spans="1:10">
      <c r="A1367">
        <v>1090.5999999999999</v>
      </c>
      <c r="E1367">
        <v>2002</v>
      </c>
      <c r="F1367" s="48" t="s">
        <v>90</v>
      </c>
      <c r="I1367">
        <f t="shared" si="14"/>
        <v>2002</v>
      </c>
      <c r="J1367">
        <f t="shared" si="15"/>
        <v>1090.5999999999999</v>
      </c>
    </row>
    <row r="1368" spans="1:10">
      <c r="A1368">
        <v>1358.6</v>
      </c>
      <c r="E1368">
        <v>2003</v>
      </c>
      <c r="F1368" s="48" t="s">
        <v>90</v>
      </c>
      <c r="I1368">
        <f t="shared" si="14"/>
        <v>2003</v>
      </c>
      <c r="J1368">
        <f t="shared" si="15"/>
        <v>1358.6</v>
      </c>
    </row>
    <row r="1369" spans="1:10">
      <c r="A1369">
        <v>1378</v>
      </c>
      <c r="E1369">
        <v>2004</v>
      </c>
      <c r="F1369" s="48" t="s">
        <v>90</v>
      </c>
      <c r="I1369">
        <f t="shared" si="14"/>
        <v>2004</v>
      </c>
      <c r="J1369">
        <f t="shared" si="15"/>
        <v>1378</v>
      </c>
    </row>
    <row r="1370" spans="1:10">
      <c r="A1370">
        <v>1364.8</v>
      </c>
      <c r="E1370">
        <v>2005</v>
      </c>
      <c r="F1370" s="48" t="s">
        <v>90</v>
      </c>
      <c r="I1370">
        <f t="shared" si="14"/>
        <v>2005</v>
      </c>
      <c r="J1370">
        <f t="shared" si="15"/>
        <v>1364.8</v>
      </c>
    </row>
    <row r="1371" spans="1:10">
      <c r="A1371">
        <v>1301.5</v>
      </c>
      <c r="E1371">
        <v>2006</v>
      </c>
      <c r="F1371" s="48" t="s">
        <v>90</v>
      </c>
      <c r="I1371">
        <f t="shared" si="14"/>
        <v>2006</v>
      </c>
      <c r="J1371">
        <f t="shared" si="15"/>
        <v>1301.5</v>
      </c>
    </row>
    <row r="1372" spans="1:10">
      <c r="A1372">
        <v>1630.2</v>
      </c>
      <c r="E1372">
        <v>2007</v>
      </c>
      <c r="F1372" s="48" t="s">
        <v>90</v>
      </c>
      <c r="I1372">
        <f t="shared" si="14"/>
        <v>2007</v>
      </c>
      <c r="J1372">
        <f t="shared" si="15"/>
        <v>1630.2</v>
      </c>
    </row>
    <row r="1373" spans="1:10">
      <c r="A1373">
        <v>1415.1</v>
      </c>
      <c r="E1373">
        <v>2008</v>
      </c>
      <c r="F1373" s="48" t="s">
        <v>90</v>
      </c>
      <c r="I1373">
        <f t="shared" si="14"/>
        <v>2008</v>
      </c>
      <c r="J1373">
        <f t="shared" si="15"/>
        <v>1415.1</v>
      </c>
    </row>
    <row r="1374" spans="1:10">
      <c r="A1374">
        <v>1012.2</v>
      </c>
      <c r="E1374">
        <v>2009</v>
      </c>
      <c r="F1374" s="48" t="s">
        <v>90</v>
      </c>
      <c r="I1374">
        <f t="shared" si="14"/>
        <v>2009</v>
      </c>
      <c r="J1374">
        <f t="shared" si="15"/>
        <v>1012.2</v>
      </c>
    </row>
    <row r="1375" spans="1:10">
      <c r="A1375">
        <v>1496</v>
      </c>
      <c r="E1375">
        <v>2010</v>
      </c>
      <c r="F1375" s="48" t="s">
        <v>90</v>
      </c>
      <c r="I1375">
        <f t="shared" si="14"/>
        <v>2010</v>
      </c>
      <c r="J1375">
        <f t="shared" si="15"/>
        <v>1496</v>
      </c>
    </row>
    <row r="1376" spans="1:10">
      <c r="A1376">
        <v>1527.9</v>
      </c>
      <c r="E1376">
        <v>2011</v>
      </c>
      <c r="F1376" s="48" t="s">
        <v>90</v>
      </c>
      <c r="I1376">
        <f t="shared" si="14"/>
        <v>2011</v>
      </c>
      <c r="J1376">
        <f t="shared" si="15"/>
        <v>1527.9</v>
      </c>
    </row>
    <row r="1377" spans="1:10">
      <c r="A1377">
        <v>1307.0999999999999</v>
      </c>
      <c r="E1377">
        <v>2012</v>
      </c>
      <c r="F1377" s="48" t="s">
        <v>90</v>
      </c>
      <c r="I1377">
        <f t="shared" si="14"/>
        <v>2012</v>
      </c>
      <c r="J1377">
        <f t="shared" si="15"/>
        <v>1307.0999999999999</v>
      </c>
    </row>
    <row r="1378" spans="1:10">
      <c r="A1378">
        <v>1480.5</v>
      </c>
      <c r="E1378">
        <v>2013</v>
      </c>
      <c r="F1378" s="48" t="s">
        <v>90</v>
      </c>
      <c r="I1378">
        <f t="shared" si="14"/>
        <v>2013</v>
      </c>
      <c r="J1378">
        <f t="shared" si="15"/>
        <v>1480.5</v>
      </c>
    </row>
    <row r="1379" spans="1:10">
      <c r="A1379">
        <v>1460.1</v>
      </c>
      <c r="E1379">
        <v>2014</v>
      </c>
      <c r="F1379" s="48" t="s">
        <v>90</v>
      </c>
      <c r="I1379">
        <f t="shared" si="14"/>
        <v>2014</v>
      </c>
      <c r="J1379">
        <f t="shared" si="15"/>
        <v>1460.1</v>
      </c>
    </row>
    <row r="1380" spans="1:10">
      <c r="A1380">
        <v>1329.6</v>
      </c>
      <c r="E1380">
        <v>2015</v>
      </c>
      <c r="F1380" s="48" t="s">
        <v>90</v>
      </c>
      <c r="I1380">
        <f t="shared" si="14"/>
        <v>2015</v>
      </c>
      <c r="J1380">
        <f t="shared" si="15"/>
        <v>1329.6</v>
      </c>
    </row>
    <row r="1381" spans="1:10">
      <c r="A1381">
        <v>1516.6</v>
      </c>
      <c r="E1381">
        <v>2016</v>
      </c>
      <c r="F1381" s="48" t="s">
        <v>90</v>
      </c>
      <c r="I1381">
        <f t="shared" si="14"/>
        <v>2016</v>
      </c>
      <c r="J1381">
        <f t="shared" si="15"/>
        <v>1516.6</v>
      </c>
    </row>
    <row r="1382" spans="1:10">
      <c r="A1382">
        <v>1454.3</v>
      </c>
      <c r="E1382">
        <v>2017</v>
      </c>
      <c r="F1382" s="48" t="s">
        <v>90</v>
      </c>
      <c r="I1382">
        <f t="shared" si="14"/>
        <v>2017</v>
      </c>
      <c r="J1382">
        <f t="shared" si="15"/>
        <v>1454.3</v>
      </c>
    </row>
    <row r="1383" spans="1:10">
      <c r="A1383">
        <v>1306.5999999999999</v>
      </c>
      <c r="E1383">
        <v>2018</v>
      </c>
      <c r="F1383" s="48" t="s">
        <v>90</v>
      </c>
      <c r="I1383">
        <f t="shared" si="14"/>
        <v>2018</v>
      </c>
      <c r="J1383">
        <f t="shared" si="15"/>
        <v>1306.5999999999999</v>
      </c>
    </row>
    <row r="1384" spans="1:10">
      <c r="A1384">
        <v>684.3</v>
      </c>
      <c r="E1384">
        <v>2019</v>
      </c>
      <c r="F1384" s="48" t="s">
        <v>90</v>
      </c>
      <c r="I1384">
        <f t="shared" si="14"/>
        <v>2019</v>
      </c>
      <c r="J1384">
        <f t="shared" si="15"/>
        <v>684.3</v>
      </c>
    </row>
    <row r="1385" spans="1:10">
      <c r="A1385">
        <v>547.79999999999995</v>
      </c>
      <c r="E1385">
        <v>2020</v>
      </c>
      <c r="F1385" s="48" t="s">
        <v>90</v>
      </c>
      <c r="I1385">
        <f t="shared" si="14"/>
        <v>2020</v>
      </c>
      <c r="J1385">
        <f t="shared" si="15"/>
        <v>547.79999999999995</v>
      </c>
    </row>
    <row r="1386" spans="1:10">
      <c r="A1386">
        <v>681.7</v>
      </c>
      <c r="E1386">
        <v>2021</v>
      </c>
      <c r="F1386" s="48" t="s">
        <v>90</v>
      </c>
      <c r="I1386">
        <f t="shared" si="14"/>
        <v>2021</v>
      </c>
      <c r="J1386">
        <f t="shared" si="15"/>
        <v>681.7</v>
      </c>
    </row>
    <row r="1387" spans="1:10">
      <c r="A1387">
        <v>890.4</v>
      </c>
      <c r="E1387">
        <v>2022</v>
      </c>
      <c r="F1387" s="48" t="s">
        <v>90</v>
      </c>
      <c r="I1387">
        <f t="shared" si="14"/>
        <v>2022</v>
      </c>
      <c r="J1387">
        <f t="shared" si="15"/>
        <v>890.4</v>
      </c>
    </row>
    <row r="1388" spans="1:10" hidden="1">
      <c r="A1388">
        <v>27.4</v>
      </c>
      <c r="D1388">
        <v>2000</v>
      </c>
      <c r="E1388" t="s">
        <v>90</v>
      </c>
    </row>
    <row r="1389" spans="1:10" hidden="1">
      <c r="A1389">
        <v>22.8</v>
      </c>
      <c r="D1389">
        <v>2001</v>
      </c>
      <c r="E1389" t="s">
        <v>90</v>
      </c>
    </row>
    <row r="1390" spans="1:10" hidden="1">
      <c r="A1390">
        <v>25.9</v>
      </c>
      <c r="D1390">
        <v>2002</v>
      </c>
      <c r="E1390" t="s">
        <v>90</v>
      </c>
    </row>
    <row r="1391" spans="1:10" hidden="1">
      <c r="A1391">
        <v>25.6</v>
      </c>
      <c r="D1391">
        <v>2003</v>
      </c>
      <c r="E1391" t="s">
        <v>90</v>
      </c>
    </row>
    <row r="1392" spans="1:10" hidden="1">
      <c r="A1392">
        <v>23.3</v>
      </c>
      <c r="D1392">
        <v>2004</v>
      </c>
      <c r="E1392" t="s">
        <v>90</v>
      </c>
    </row>
    <row r="1393" spans="1:5" hidden="1">
      <c r="A1393">
        <v>31.9</v>
      </c>
      <c r="D1393">
        <v>2005</v>
      </c>
      <c r="E1393" t="s">
        <v>90</v>
      </c>
    </row>
    <row r="1394" spans="1:5" hidden="1">
      <c r="A1394">
        <v>40.799999999999997</v>
      </c>
      <c r="D1394">
        <v>2006</v>
      </c>
      <c r="E1394" t="s">
        <v>90</v>
      </c>
    </row>
    <row r="1395" spans="1:5" hidden="1">
      <c r="A1395">
        <v>39.5</v>
      </c>
      <c r="D1395">
        <v>2007</v>
      </c>
      <c r="E1395" t="s">
        <v>90</v>
      </c>
    </row>
    <row r="1396" spans="1:5" hidden="1">
      <c r="A1396">
        <v>27</v>
      </c>
      <c r="D1396">
        <v>2008</v>
      </c>
      <c r="E1396" t="s">
        <v>90</v>
      </c>
    </row>
    <row r="1397" spans="1:5" hidden="1">
      <c r="A1397">
        <v>21</v>
      </c>
      <c r="D1397">
        <v>2009</v>
      </c>
      <c r="E1397" t="s">
        <v>90</v>
      </c>
    </row>
    <row r="1398" spans="1:5" hidden="1">
      <c r="A1398">
        <v>23.1</v>
      </c>
      <c r="D1398">
        <v>2010</v>
      </c>
      <c r="E1398" t="s">
        <v>90</v>
      </c>
    </row>
    <row r="1399" spans="1:5" hidden="1">
      <c r="A1399">
        <v>19.100000000000001</v>
      </c>
      <c r="D1399">
        <v>2011</v>
      </c>
      <c r="E1399" t="s">
        <v>90</v>
      </c>
    </row>
    <row r="1400" spans="1:5" hidden="1">
      <c r="A1400">
        <v>23</v>
      </c>
      <c r="D1400">
        <v>2012</v>
      </c>
      <c r="E1400" t="s">
        <v>90</v>
      </c>
    </row>
    <row r="1401" spans="1:5" hidden="1">
      <c r="A1401">
        <v>35.9</v>
      </c>
      <c r="D1401">
        <v>2013</v>
      </c>
      <c r="E1401" t="s">
        <v>90</v>
      </c>
    </row>
    <row r="1402" spans="1:5" hidden="1">
      <c r="A1402">
        <v>25.4</v>
      </c>
      <c r="D1402">
        <v>2014</v>
      </c>
      <c r="E1402" t="s">
        <v>90</v>
      </c>
    </row>
    <row r="1403" spans="1:5" hidden="1">
      <c r="A1403">
        <v>36.200000000000003</v>
      </c>
      <c r="D1403">
        <v>2015</v>
      </c>
      <c r="E1403" t="s">
        <v>90</v>
      </c>
    </row>
    <row r="1404" spans="1:5" hidden="1">
      <c r="A1404">
        <v>36.5</v>
      </c>
      <c r="D1404">
        <v>2016</v>
      </c>
      <c r="E1404" t="s">
        <v>90</v>
      </c>
    </row>
    <row r="1405" spans="1:5" hidden="1">
      <c r="A1405">
        <v>38.200000000000003</v>
      </c>
      <c r="D1405">
        <v>2017</v>
      </c>
      <c r="E1405" t="s">
        <v>90</v>
      </c>
    </row>
    <row r="1406" spans="1:5" hidden="1">
      <c r="A1406">
        <v>38.1</v>
      </c>
      <c r="D1406">
        <v>2018</v>
      </c>
      <c r="E1406" t="s">
        <v>90</v>
      </c>
    </row>
    <row r="1407" spans="1:5" hidden="1">
      <c r="A1407">
        <v>68.8</v>
      </c>
      <c r="D1407">
        <v>2019</v>
      </c>
      <c r="E1407" t="s">
        <v>90</v>
      </c>
    </row>
    <row r="1408" spans="1:5" hidden="1">
      <c r="A1408">
        <v>68.400000000000006</v>
      </c>
      <c r="D1408">
        <v>2020</v>
      </c>
      <c r="E1408" t="s">
        <v>90</v>
      </c>
    </row>
    <row r="1409" spans="1:5" hidden="1">
      <c r="A1409">
        <v>66.099999999999994</v>
      </c>
      <c r="D1409">
        <v>2021</v>
      </c>
      <c r="E1409" t="s">
        <v>90</v>
      </c>
    </row>
    <row r="1410" spans="1:5" hidden="1">
      <c r="A1410">
        <v>61</v>
      </c>
      <c r="D1410">
        <v>2022</v>
      </c>
      <c r="E1410" t="s">
        <v>90</v>
      </c>
    </row>
    <row r="1411" spans="1:5" hidden="1">
      <c r="A1411">
        <v>198</v>
      </c>
      <c r="C1411">
        <v>2000</v>
      </c>
      <c r="D1411" t="s">
        <v>90</v>
      </c>
    </row>
    <row r="1412" spans="1:5" hidden="1">
      <c r="A1412">
        <v>217</v>
      </c>
      <c r="C1412">
        <v>2001</v>
      </c>
      <c r="D1412" t="s">
        <v>90</v>
      </c>
    </row>
    <row r="1413" spans="1:5" hidden="1">
      <c r="A1413">
        <v>183</v>
      </c>
      <c r="C1413">
        <v>2002</v>
      </c>
      <c r="D1413" t="s">
        <v>90</v>
      </c>
    </row>
    <row r="1414" spans="1:5" hidden="1">
      <c r="A1414">
        <v>215</v>
      </c>
      <c r="C1414">
        <v>2003</v>
      </c>
      <c r="D1414" t="s">
        <v>90</v>
      </c>
    </row>
    <row r="1415" spans="1:5" hidden="1">
      <c r="A1415">
        <v>259</v>
      </c>
      <c r="C1415">
        <v>2004</v>
      </c>
      <c r="D1415" t="s">
        <v>90</v>
      </c>
    </row>
    <row r="1416" spans="1:5" hidden="1">
      <c r="A1416">
        <v>223.4</v>
      </c>
      <c r="C1416">
        <v>2005</v>
      </c>
      <c r="D1416" t="s">
        <v>90</v>
      </c>
    </row>
    <row r="1417" spans="1:5" hidden="1">
      <c r="A1417">
        <v>187.6</v>
      </c>
      <c r="C1417">
        <v>2006</v>
      </c>
      <c r="D1417" t="s">
        <v>90</v>
      </c>
    </row>
    <row r="1418" spans="1:5" hidden="1">
      <c r="A1418">
        <v>196.6</v>
      </c>
      <c r="C1418">
        <v>2007</v>
      </c>
      <c r="D1418" t="s">
        <v>90</v>
      </c>
    </row>
    <row r="1419" spans="1:5" hidden="1">
      <c r="A1419">
        <v>281.8</v>
      </c>
      <c r="C1419">
        <v>2008</v>
      </c>
      <c r="D1419" t="s">
        <v>90</v>
      </c>
    </row>
    <row r="1420" spans="1:5" hidden="1">
      <c r="A1420">
        <v>275.2</v>
      </c>
      <c r="C1420">
        <v>2009</v>
      </c>
      <c r="D1420" t="s">
        <v>90</v>
      </c>
    </row>
    <row r="1421" spans="1:5" hidden="1">
      <c r="A1421">
        <v>0</v>
      </c>
      <c r="C1421">
        <v>2010</v>
      </c>
      <c r="D1421" t="s">
        <v>90</v>
      </c>
    </row>
    <row r="1422" spans="1:5" hidden="1">
      <c r="A1422">
        <v>84.2</v>
      </c>
      <c r="C1422">
        <v>2011</v>
      </c>
      <c r="D1422" t="s">
        <v>90</v>
      </c>
    </row>
    <row r="1423" spans="1:5" hidden="1">
      <c r="A1423">
        <v>454</v>
      </c>
      <c r="C1423">
        <v>2012</v>
      </c>
      <c r="D1423" t="s">
        <v>90</v>
      </c>
    </row>
    <row r="1424" spans="1:5" hidden="1">
      <c r="A1424">
        <v>0</v>
      </c>
      <c r="C1424">
        <v>2013</v>
      </c>
      <c r="D1424" t="s">
        <v>90</v>
      </c>
    </row>
    <row r="1425" spans="1:4" hidden="1">
      <c r="A1425">
        <v>0</v>
      </c>
      <c r="C1425">
        <v>2014</v>
      </c>
      <c r="D1425" t="s">
        <v>90</v>
      </c>
    </row>
    <row r="1426" spans="1:4" hidden="1">
      <c r="A1426">
        <v>0</v>
      </c>
      <c r="C1426">
        <v>2015</v>
      </c>
      <c r="D1426" t="s">
        <v>90</v>
      </c>
    </row>
    <row r="1427" spans="1:4" hidden="1">
      <c r="A1427">
        <v>0</v>
      </c>
      <c r="C1427">
        <v>2016</v>
      </c>
      <c r="D1427" t="s">
        <v>90</v>
      </c>
    </row>
    <row r="1428" spans="1:4" hidden="1">
      <c r="A1428">
        <v>0</v>
      </c>
      <c r="C1428">
        <v>2017</v>
      </c>
      <c r="D1428" t="s">
        <v>90</v>
      </c>
    </row>
    <row r="1429" spans="1:4" hidden="1">
      <c r="A1429">
        <v>0</v>
      </c>
      <c r="C1429">
        <v>2018</v>
      </c>
      <c r="D1429" t="s">
        <v>90</v>
      </c>
    </row>
    <row r="1430" spans="1:4" hidden="1">
      <c r="A1430">
        <v>170.3</v>
      </c>
      <c r="C1430">
        <v>2019</v>
      </c>
      <c r="D1430" t="s">
        <v>90</v>
      </c>
    </row>
    <row r="1431" spans="1:4" hidden="1">
      <c r="A1431">
        <v>164.1</v>
      </c>
      <c r="C1431">
        <v>2020</v>
      </c>
      <c r="D1431" t="s">
        <v>90</v>
      </c>
    </row>
    <row r="1432" spans="1:4" hidden="1">
      <c r="A1432">
        <v>176.1</v>
      </c>
      <c r="C1432">
        <v>2021</v>
      </c>
      <c r="D1432" t="s">
        <v>90</v>
      </c>
    </row>
    <row r="1433" spans="1:4" hidden="1">
      <c r="A1433">
        <v>179.9</v>
      </c>
      <c r="C1433">
        <v>2022</v>
      </c>
      <c r="D1433" t="s">
        <v>90</v>
      </c>
    </row>
    <row r="1434" spans="1:4" hidden="1">
      <c r="A1434">
        <v>71.400000000000006</v>
      </c>
      <c r="B1434">
        <v>2000</v>
      </c>
      <c r="C1434" t="s">
        <v>90</v>
      </c>
    </row>
    <row r="1435" spans="1:4" hidden="1">
      <c r="A1435">
        <v>66.5</v>
      </c>
      <c r="B1435">
        <v>2001</v>
      </c>
      <c r="C1435" t="s">
        <v>90</v>
      </c>
    </row>
    <row r="1436" spans="1:4" hidden="1">
      <c r="A1436">
        <v>71.3</v>
      </c>
      <c r="B1436">
        <v>2002</v>
      </c>
      <c r="C1436" t="s">
        <v>90</v>
      </c>
    </row>
    <row r="1437" spans="1:4" hidden="1">
      <c r="A1437">
        <v>69.7</v>
      </c>
      <c r="B1437">
        <v>2003</v>
      </c>
      <c r="C1437" t="s">
        <v>90</v>
      </c>
    </row>
    <row r="1438" spans="1:4" hidden="1">
      <c r="A1438">
        <v>66.099999999999994</v>
      </c>
      <c r="B1438">
        <v>2004</v>
      </c>
      <c r="C1438" t="s">
        <v>90</v>
      </c>
    </row>
    <row r="1439" spans="1:4" hidden="1">
      <c r="A1439">
        <v>54</v>
      </c>
      <c r="B1439">
        <v>2005</v>
      </c>
      <c r="C1439" t="s">
        <v>90</v>
      </c>
    </row>
    <row r="1440" spans="1:4" hidden="1">
      <c r="A1440">
        <v>46.6</v>
      </c>
      <c r="B1440">
        <v>2006</v>
      </c>
      <c r="C1440" t="s">
        <v>90</v>
      </c>
    </row>
    <row r="1441" spans="1:3" hidden="1">
      <c r="A1441">
        <v>47.8</v>
      </c>
      <c r="B1441">
        <v>2007</v>
      </c>
      <c r="C1441" t="s">
        <v>90</v>
      </c>
    </row>
    <row r="1442" spans="1:3" hidden="1">
      <c r="A1442">
        <v>58.5</v>
      </c>
      <c r="B1442">
        <v>2008</v>
      </c>
      <c r="C1442" t="s">
        <v>90</v>
      </c>
    </row>
    <row r="1443" spans="1:3" hidden="1">
      <c r="A1443">
        <v>63</v>
      </c>
      <c r="B1443">
        <v>2009</v>
      </c>
      <c r="C1443" t="s">
        <v>90</v>
      </c>
    </row>
    <row r="1444" spans="1:3" hidden="1">
      <c r="A1444">
        <v>67.5</v>
      </c>
      <c r="B1444">
        <v>2010</v>
      </c>
      <c r="C1444" t="s">
        <v>90</v>
      </c>
    </row>
    <row r="1445" spans="1:3" hidden="1">
      <c r="A1445">
        <v>58.3</v>
      </c>
      <c r="B1445">
        <v>2011</v>
      </c>
      <c r="C1445" t="s">
        <v>90</v>
      </c>
    </row>
    <row r="1446" spans="1:3" hidden="1">
      <c r="A1446">
        <v>60.3</v>
      </c>
      <c r="B1446">
        <v>2012</v>
      </c>
      <c r="C1446" t="s">
        <v>90</v>
      </c>
    </row>
    <row r="1447" spans="1:3" hidden="1">
      <c r="A1447">
        <v>60.5</v>
      </c>
      <c r="B1447">
        <v>2013</v>
      </c>
      <c r="C1447" t="s">
        <v>90</v>
      </c>
    </row>
    <row r="1448" spans="1:3" hidden="1">
      <c r="A1448">
        <v>61.1</v>
      </c>
      <c r="B1448">
        <v>2014</v>
      </c>
      <c r="C1448" t="s">
        <v>90</v>
      </c>
    </row>
    <row r="1449" spans="1:3" hidden="1">
      <c r="A1449">
        <v>49.2</v>
      </c>
      <c r="B1449">
        <v>2015</v>
      </c>
      <c r="C1449" t="s">
        <v>90</v>
      </c>
    </row>
    <row r="1450" spans="1:3" hidden="1">
      <c r="A1450">
        <v>60.3</v>
      </c>
      <c r="B1450">
        <v>2016</v>
      </c>
      <c r="C1450" t="s">
        <v>90</v>
      </c>
    </row>
    <row r="1451" spans="1:3" hidden="1">
      <c r="A1451">
        <v>58.8</v>
      </c>
      <c r="B1451">
        <v>2017</v>
      </c>
      <c r="C1451" t="s">
        <v>90</v>
      </c>
    </row>
    <row r="1452" spans="1:3" hidden="1">
      <c r="A1452">
        <v>57.2</v>
      </c>
      <c r="B1452">
        <v>2018</v>
      </c>
      <c r="C1452" t="s">
        <v>90</v>
      </c>
    </row>
    <row r="1453" spans="1:3" hidden="1">
      <c r="A1453">
        <v>60.8</v>
      </c>
      <c r="B1453">
        <v>2019</v>
      </c>
      <c r="C1453" t="s">
        <v>90</v>
      </c>
    </row>
    <row r="1454" spans="1:3" hidden="1">
      <c r="A1454">
        <v>61</v>
      </c>
      <c r="B1454">
        <v>2020</v>
      </c>
      <c r="C1454" t="s">
        <v>90</v>
      </c>
    </row>
    <row r="1455" spans="1:3" hidden="1">
      <c r="A1455">
        <v>62.6</v>
      </c>
      <c r="B1455">
        <v>2021</v>
      </c>
      <c r="C1455" t="s">
        <v>90</v>
      </c>
    </row>
    <row r="1456" spans="1:3" hidden="1">
      <c r="A1456">
        <v>65</v>
      </c>
      <c r="B1456">
        <v>2022</v>
      </c>
      <c r="C1456" t="s">
        <v>90</v>
      </c>
    </row>
    <row r="1457" spans="1:8" hidden="1">
      <c r="A1457">
        <v>9067.2000000000007</v>
      </c>
      <c r="G1457">
        <v>2000</v>
      </c>
      <c r="H1457" t="s">
        <v>104</v>
      </c>
    </row>
    <row r="1458" spans="1:8" hidden="1">
      <c r="A1458">
        <v>8940.9</v>
      </c>
      <c r="G1458">
        <v>2001</v>
      </c>
      <c r="H1458" t="s">
        <v>104</v>
      </c>
    </row>
    <row r="1459" spans="1:8" hidden="1">
      <c r="A1459">
        <v>8419.7999999999993</v>
      </c>
      <c r="G1459">
        <v>2002</v>
      </c>
      <c r="H1459" t="s">
        <v>104</v>
      </c>
    </row>
    <row r="1460" spans="1:8" hidden="1">
      <c r="A1460">
        <v>8532.1</v>
      </c>
      <c r="G1460">
        <v>2003</v>
      </c>
      <c r="H1460" t="s">
        <v>104</v>
      </c>
    </row>
    <row r="1461" spans="1:8" hidden="1">
      <c r="A1461">
        <v>8620.6</v>
      </c>
      <c r="G1461">
        <v>2004</v>
      </c>
      <c r="H1461" t="s">
        <v>104</v>
      </c>
    </row>
    <row r="1462" spans="1:8" hidden="1">
      <c r="A1462">
        <v>8699.5</v>
      </c>
      <c r="G1462">
        <v>2005</v>
      </c>
      <c r="H1462" t="s">
        <v>104</v>
      </c>
    </row>
    <row r="1463" spans="1:8" hidden="1">
      <c r="A1463">
        <v>8455.2999999999993</v>
      </c>
      <c r="G1463">
        <v>2006</v>
      </c>
      <c r="H1463" t="s">
        <v>104</v>
      </c>
    </row>
    <row r="1464" spans="1:8" hidden="1">
      <c r="A1464">
        <v>8458</v>
      </c>
      <c r="G1464">
        <v>2007</v>
      </c>
      <c r="H1464" t="s">
        <v>104</v>
      </c>
    </row>
    <row r="1465" spans="1:8" hidden="1">
      <c r="A1465">
        <v>8483</v>
      </c>
      <c r="G1465">
        <v>2008</v>
      </c>
      <c r="H1465" t="s">
        <v>104</v>
      </c>
    </row>
    <row r="1466" spans="1:8" hidden="1">
      <c r="A1466">
        <v>8445</v>
      </c>
      <c r="G1466">
        <v>2009</v>
      </c>
      <c r="H1466" t="s">
        <v>104</v>
      </c>
    </row>
    <row r="1467" spans="1:8" hidden="1">
      <c r="A1467">
        <v>8409</v>
      </c>
      <c r="G1467">
        <v>2010</v>
      </c>
      <c r="H1467" t="s">
        <v>104</v>
      </c>
    </row>
    <row r="1468" spans="1:8" hidden="1">
      <c r="A1468">
        <v>8282.5</v>
      </c>
      <c r="G1468">
        <v>2011</v>
      </c>
      <c r="H1468" t="s">
        <v>104</v>
      </c>
    </row>
    <row r="1469" spans="1:8" hidden="1">
      <c r="A1469">
        <v>8263.6</v>
      </c>
      <c r="G1469">
        <v>2012</v>
      </c>
      <c r="H1469" t="s">
        <v>104</v>
      </c>
    </row>
    <row r="1470" spans="1:8" hidden="1">
      <c r="A1470">
        <v>8216.4</v>
      </c>
      <c r="G1470">
        <v>2013</v>
      </c>
      <c r="H1470" t="s">
        <v>104</v>
      </c>
    </row>
    <row r="1471" spans="1:8" hidden="1">
      <c r="A1471">
        <v>8169.2</v>
      </c>
      <c r="G1471">
        <v>2014</v>
      </c>
      <c r="H1471" t="s">
        <v>104</v>
      </c>
    </row>
    <row r="1472" spans="1:8" hidden="1">
      <c r="A1472">
        <v>8122</v>
      </c>
      <c r="G1472">
        <v>2015</v>
      </c>
      <c r="H1472" t="s">
        <v>104</v>
      </c>
    </row>
    <row r="1473" spans="1:10" hidden="1">
      <c r="A1473">
        <v>8107.1</v>
      </c>
      <c r="G1473">
        <v>2016</v>
      </c>
      <c r="H1473" t="s">
        <v>104</v>
      </c>
    </row>
    <row r="1474" spans="1:10" hidden="1">
      <c r="A1474">
        <v>8027.6</v>
      </c>
      <c r="G1474">
        <v>2017</v>
      </c>
      <c r="H1474" t="s">
        <v>104</v>
      </c>
    </row>
    <row r="1475" spans="1:10" hidden="1">
      <c r="A1475">
        <v>7980.4</v>
      </c>
      <c r="G1475">
        <v>2018</v>
      </c>
      <c r="H1475" t="s">
        <v>104</v>
      </c>
    </row>
    <row r="1476" spans="1:10" hidden="1">
      <c r="A1476">
        <v>7933.2</v>
      </c>
      <c r="G1476">
        <v>2019</v>
      </c>
      <c r="H1476" t="s">
        <v>104</v>
      </c>
    </row>
    <row r="1477" spans="1:10" hidden="1">
      <c r="A1477">
        <v>7886</v>
      </c>
      <c r="G1477">
        <v>2020</v>
      </c>
      <c r="H1477" t="s">
        <v>104</v>
      </c>
    </row>
    <row r="1478" spans="1:10" hidden="1">
      <c r="A1478">
        <v>7838.7</v>
      </c>
      <c r="G1478">
        <v>2021</v>
      </c>
      <c r="H1478" t="s">
        <v>104</v>
      </c>
    </row>
    <row r="1479" spans="1:10" hidden="1">
      <c r="A1479">
        <v>7838.7</v>
      </c>
      <c r="G1479">
        <v>2022</v>
      </c>
      <c r="H1479" t="s">
        <v>104</v>
      </c>
    </row>
    <row r="1480" spans="1:10">
      <c r="A1480">
        <v>170.9</v>
      </c>
      <c r="E1480">
        <v>2000</v>
      </c>
      <c r="F1480" s="48" t="s">
        <v>104</v>
      </c>
      <c r="I1480">
        <f t="shared" ref="I1480:I1502" si="16">E1480</f>
        <v>2000</v>
      </c>
      <c r="J1480">
        <f t="shared" ref="J1480:J1502" si="17">A1480</f>
        <v>170.9</v>
      </c>
    </row>
    <row r="1481" spans="1:10">
      <c r="A1481">
        <v>170.5</v>
      </c>
      <c r="E1481">
        <v>2001</v>
      </c>
      <c r="F1481" s="48" t="s">
        <v>104</v>
      </c>
      <c r="I1481">
        <f t="shared" si="16"/>
        <v>2001</v>
      </c>
      <c r="J1481">
        <f t="shared" si="17"/>
        <v>170.5</v>
      </c>
    </row>
    <row r="1482" spans="1:10">
      <c r="A1482">
        <v>173.3</v>
      </c>
      <c r="E1482">
        <v>2002</v>
      </c>
      <c r="F1482" s="48" t="s">
        <v>104</v>
      </c>
      <c r="I1482">
        <f t="shared" si="16"/>
        <v>2002</v>
      </c>
      <c r="J1482">
        <f t="shared" si="17"/>
        <v>173.3</v>
      </c>
    </row>
    <row r="1483" spans="1:10">
      <c r="A1483">
        <v>185.6</v>
      </c>
      <c r="E1483">
        <v>2003</v>
      </c>
      <c r="F1483" s="48" t="s">
        <v>104</v>
      </c>
      <c r="I1483">
        <f t="shared" si="16"/>
        <v>2003</v>
      </c>
      <c r="J1483">
        <f t="shared" si="17"/>
        <v>185.6</v>
      </c>
    </row>
    <row r="1484" spans="1:10">
      <c r="A1484">
        <v>188.3</v>
      </c>
      <c r="E1484">
        <v>2004</v>
      </c>
      <c r="F1484" s="48" t="s">
        <v>104</v>
      </c>
      <c r="I1484">
        <f t="shared" si="16"/>
        <v>2004</v>
      </c>
      <c r="J1484">
        <f t="shared" si="17"/>
        <v>188.3</v>
      </c>
    </row>
    <row r="1485" spans="1:10">
      <c r="A1485">
        <v>190.5</v>
      </c>
      <c r="E1485">
        <v>2005</v>
      </c>
      <c r="F1485" s="48" t="s">
        <v>104</v>
      </c>
      <c r="I1485">
        <f t="shared" si="16"/>
        <v>2005</v>
      </c>
      <c r="J1485">
        <f t="shared" si="17"/>
        <v>190.5</v>
      </c>
    </row>
    <row r="1486" spans="1:10">
      <c r="A1486">
        <v>192.9</v>
      </c>
      <c r="E1486">
        <v>2006</v>
      </c>
      <c r="F1486" s="48" t="s">
        <v>104</v>
      </c>
      <c r="I1486">
        <f t="shared" si="16"/>
        <v>2006</v>
      </c>
      <c r="J1486">
        <f t="shared" si="17"/>
        <v>192.9</v>
      </c>
    </row>
    <row r="1487" spans="1:10">
      <c r="A1487">
        <v>100.4</v>
      </c>
      <c r="E1487">
        <v>2007</v>
      </c>
      <c r="F1487" s="48" t="s">
        <v>104</v>
      </c>
      <c r="I1487">
        <f t="shared" si="16"/>
        <v>2007</v>
      </c>
      <c r="J1487">
        <f t="shared" si="17"/>
        <v>100.4</v>
      </c>
    </row>
    <row r="1488" spans="1:10">
      <c r="A1488">
        <v>116.5</v>
      </c>
      <c r="E1488">
        <v>2008</v>
      </c>
      <c r="F1488" s="48" t="s">
        <v>104</v>
      </c>
      <c r="I1488">
        <f t="shared" si="16"/>
        <v>2008</v>
      </c>
      <c r="J1488">
        <f t="shared" si="17"/>
        <v>116.5</v>
      </c>
    </row>
    <row r="1489" spans="1:10">
      <c r="A1489">
        <v>115.8</v>
      </c>
      <c r="E1489">
        <v>2009</v>
      </c>
      <c r="F1489" s="48" t="s">
        <v>104</v>
      </c>
      <c r="I1489">
        <f t="shared" si="16"/>
        <v>2009</v>
      </c>
      <c r="J1489">
        <f t="shared" si="17"/>
        <v>115.8</v>
      </c>
    </row>
    <row r="1490" spans="1:10">
      <c r="A1490">
        <v>87.9</v>
      </c>
      <c r="E1490">
        <v>2010</v>
      </c>
      <c r="F1490" s="48" t="s">
        <v>104</v>
      </c>
      <c r="I1490">
        <f t="shared" si="16"/>
        <v>2010</v>
      </c>
      <c r="J1490">
        <f t="shared" si="17"/>
        <v>87.9</v>
      </c>
    </row>
    <row r="1491" spans="1:10">
      <c r="A1491">
        <v>0</v>
      </c>
      <c r="E1491">
        <v>2011</v>
      </c>
      <c r="F1491" s="48" t="s">
        <v>104</v>
      </c>
      <c r="I1491">
        <f t="shared" si="16"/>
        <v>2011</v>
      </c>
      <c r="J1491">
        <f t="shared" si="17"/>
        <v>0</v>
      </c>
    </row>
    <row r="1492" spans="1:10">
      <c r="A1492">
        <v>0</v>
      </c>
      <c r="E1492">
        <v>2012</v>
      </c>
      <c r="F1492" s="48" t="s">
        <v>104</v>
      </c>
      <c r="I1492">
        <f t="shared" si="16"/>
        <v>2012</v>
      </c>
      <c r="J1492">
        <f t="shared" si="17"/>
        <v>0</v>
      </c>
    </row>
    <row r="1493" spans="1:10">
      <c r="A1493">
        <v>0</v>
      </c>
      <c r="E1493">
        <v>2013</v>
      </c>
      <c r="F1493" s="48" t="s">
        <v>104</v>
      </c>
      <c r="I1493">
        <f t="shared" si="16"/>
        <v>2013</v>
      </c>
      <c r="J1493">
        <f t="shared" si="17"/>
        <v>0</v>
      </c>
    </row>
    <row r="1494" spans="1:10">
      <c r="A1494">
        <v>0</v>
      </c>
      <c r="E1494">
        <v>2014</v>
      </c>
      <c r="F1494" s="48" t="s">
        <v>104</v>
      </c>
      <c r="I1494">
        <f t="shared" si="16"/>
        <v>2014</v>
      </c>
      <c r="J1494">
        <f t="shared" si="17"/>
        <v>0</v>
      </c>
    </row>
    <row r="1495" spans="1:10">
      <c r="A1495">
        <v>0</v>
      </c>
      <c r="E1495">
        <v>2015</v>
      </c>
      <c r="F1495" s="48" t="s">
        <v>104</v>
      </c>
      <c r="I1495">
        <f t="shared" si="16"/>
        <v>2015</v>
      </c>
      <c r="J1495">
        <f t="shared" si="17"/>
        <v>0</v>
      </c>
    </row>
    <row r="1496" spans="1:10">
      <c r="A1496">
        <v>0</v>
      </c>
      <c r="E1496">
        <v>2016</v>
      </c>
      <c r="F1496" s="48" t="s">
        <v>104</v>
      </c>
      <c r="I1496">
        <f t="shared" si="16"/>
        <v>2016</v>
      </c>
      <c r="J1496">
        <f t="shared" si="17"/>
        <v>0</v>
      </c>
    </row>
    <row r="1497" spans="1:10">
      <c r="A1497">
        <v>0</v>
      </c>
      <c r="E1497">
        <v>2017</v>
      </c>
      <c r="F1497" s="48" t="s">
        <v>104</v>
      </c>
      <c r="I1497">
        <f t="shared" si="16"/>
        <v>2017</v>
      </c>
      <c r="J1497">
        <f t="shared" si="17"/>
        <v>0</v>
      </c>
    </row>
    <row r="1498" spans="1:10">
      <c r="A1498">
        <v>0</v>
      </c>
      <c r="E1498">
        <v>2018</v>
      </c>
      <c r="F1498" s="48" t="s">
        <v>104</v>
      </c>
      <c r="I1498">
        <f t="shared" si="16"/>
        <v>2018</v>
      </c>
      <c r="J1498">
        <f t="shared" si="17"/>
        <v>0</v>
      </c>
    </row>
    <row r="1499" spans="1:10">
      <c r="A1499">
        <v>0</v>
      </c>
      <c r="E1499">
        <v>2019</v>
      </c>
      <c r="F1499" s="48" t="s">
        <v>104</v>
      </c>
      <c r="I1499">
        <f t="shared" si="16"/>
        <v>2019</v>
      </c>
      <c r="J1499">
        <f t="shared" si="17"/>
        <v>0</v>
      </c>
    </row>
    <row r="1500" spans="1:10">
      <c r="A1500">
        <v>0</v>
      </c>
      <c r="E1500">
        <v>2020</v>
      </c>
      <c r="F1500" s="48" t="s">
        <v>104</v>
      </c>
      <c r="I1500">
        <f t="shared" si="16"/>
        <v>2020</v>
      </c>
      <c r="J1500">
        <f t="shared" si="17"/>
        <v>0</v>
      </c>
    </row>
    <row r="1501" spans="1:10">
      <c r="A1501">
        <v>0</v>
      </c>
      <c r="E1501">
        <v>2021</v>
      </c>
      <c r="F1501" s="48" t="s">
        <v>104</v>
      </c>
      <c r="I1501">
        <f t="shared" si="16"/>
        <v>2021</v>
      </c>
      <c r="J1501">
        <f t="shared" si="17"/>
        <v>0</v>
      </c>
    </row>
    <row r="1502" spans="1:10">
      <c r="A1502">
        <v>0</v>
      </c>
      <c r="E1502">
        <v>2022</v>
      </c>
      <c r="F1502" s="48" t="s">
        <v>104</v>
      </c>
      <c r="I1502">
        <f t="shared" si="16"/>
        <v>2022</v>
      </c>
      <c r="J1502">
        <f t="shared" si="17"/>
        <v>0</v>
      </c>
    </row>
    <row r="1503" spans="1:10" hidden="1">
      <c r="A1503">
        <v>117.2</v>
      </c>
      <c r="D1503">
        <v>2000</v>
      </c>
      <c r="E1503" t="s">
        <v>104</v>
      </c>
    </row>
    <row r="1504" spans="1:10" hidden="1">
      <c r="A1504">
        <v>116.4</v>
      </c>
      <c r="D1504">
        <v>2001</v>
      </c>
      <c r="E1504" t="s">
        <v>104</v>
      </c>
    </row>
    <row r="1505" spans="1:5" hidden="1">
      <c r="A1505">
        <v>70.900000000000006</v>
      </c>
      <c r="D1505">
        <v>2002</v>
      </c>
      <c r="E1505" t="s">
        <v>104</v>
      </c>
    </row>
    <row r="1506" spans="1:5" hidden="1">
      <c r="A1506">
        <v>158.1</v>
      </c>
      <c r="D1506">
        <v>2003</v>
      </c>
      <c r="E1506" t="s">
        <v>104</v>
      </c>
    </row>
    <row r="1507" spans="1:5" hidden="1">
      <c r="A1507">
        <v>160.30000000000001</v>
      </c>
      <c r="D1507">
        <v>2004</v>
      </c>
      <c r="E1507" t="s">
        <v>104</v>
      </c>
    </row>
    <row r="1508" spans="1:5" hidden="1">
      <c r="A1508">
        <v>160.1</v>
      </c>
      <c r="D1508">
        <v>2005</v>
      </c>
      <c r="E1508" t="s">
        <v>104</v>
      </c>
    </row>
    <row r="1509" spans="1:5" hidden="1">
      <c r="A1509">
        <v>162.80000000000001</v>
      </c>
      <c r="D1509">
        <v>2006</v>
      </c>
      <c r="E1509" t="s">
        <v>104</v>
      </c>
    </row>
    <row r="1510" spans="1:5" hidden="1">
      <c r="A1510">
        <v>233.7</v>
      </c>
      <c r="D1510">
        <v>2007</v>
      </c>
      <c r="E1510" t="s">
        <v>104</v>
      </c>
    </row>
    <row r="1511" spans="1:5" hidden="1">
      <c r="A1511">
        <v>221.7</v>
      </c>
      <c r="D1511">
        <v>2008</v>
      </c>
      <c r="E1511" t="s">
        <v>104</v>
      </c>
    </row>
    <row r="1512" spans="1:5" hidden="1">
      <c r="A1512">
        <v>188.8</v>
      </c>
      <c r="D1512">
        <v>2009</v>
      </c>
      <c r="E1512" t="s">
        <v>104</v>
      </c>
    </row>
    <row r="1513" spans="1:5" hidden="1">
      <c r="A1513">
        <v>137.19999999999999</v>
      </c>
      <c r="D1513">
        <v>2010</v>
      </c>
      <c r="E1513" t="s">
        <v>104</v>
      </c>
    </row>
    <row r="1514" spans="1:5" hidden="1">
      <c r="A1514">
        <v>126</v>
      </c>
      <c r="D1514">
        <v>2011</v>
      </c>
      <c r="E1514" t="s">
        <v>104</v>
      </c>
    </row>
    <row r="1515" spans="1:5" hidden="1">
      <c r="A1515">
        <v>126</v>
      </c>
      <c r="D1515">
        <v>2012</v>
      </c>
      <c r="E1515" t="s">
        <v>104</v>
      </c>
    </row>
    <row r="1516" spans="1:5" hidden="1">
      <c r="A1516">
        <v>126</v>
      </c>
      <c r="D1516">
        <v>2013</v>
      </c>
      <c r="E1516" t="s">
        <v>104</v>
      </c>
    </row>
    <row r="1517" spans="1:5" hidden="1">
      <c r="A1517">
        <v>126</v>
      </c>
      <c r="D1517">
        <v>2014</v>
      </c>
      <c r="E1517" t="s">
        <v>104</v>
      </c>
    </row>
    <row r="1518" spans="1:5" hidden="1">
      <c r="A1518">
        <v>126</v>
      </c>
      <c r="D1518">
        <v>2015</v>
      </c>
      <c r="E1518" t="s">
        <v>104</v>
      </c>
    </row>
    <row r="1519" spans="1:5" hidden="1">
      <c r="A1519">
        <v>180.4</v>
      </c>
      <c r="D1519">
        <v>2016</v>
      </c>
      <c r="E1519" t="s">
        <v>104</v>
      </c>
    </row>
    <row r="1520" spans="1:5" hidden="1">
      <c r="A1520">
        <v>180.4</v>
      </c>
      <c r="D1520">
        <v>2017</v>
      </c>
      <c r="E1520" t="s">
        <v>104</v>
      </c>
    </row>
    <row r="1521" spans="1:5" hidden="1">
      <c r="A1521">
        <v>180.4</v>
      </c>
      <c r="D1521">
        <v>2018</v>
      </c>
      <c r="E1521" t="s">
        <v>104</v>
      </c>
    </row>
    <row r="1522" spans="1:5" hidden="1">
      <c r="A1522">
        <v>180.4</v>
      </c>
      <c r="D1522">
        <v>2019</v>
      </c>
      <c r="E1522" t="s">
        <v>104</v>
      </c>
    </row>
    <row r="1523" spans="1:5" hidden="1">
      <c r="A1523">
        <v>180.4</v>
      </c>
      <c r="D1523">
        <v>2020</v>
      </c>
      <c r="E1523" t="s">
        <v>104</v>
      </c>
    </row>
    <row r="1524" spans="1:5" hidden="1">
      <c r="A1524">
        <v>180.4</v>
      </c>
      <c r="D1524">
        <v>2021</v>
      </c>
      <c r="E1524" t="s">
        <v>104</v>
      </c>
    </row>
    <row r="1525" spans="1:5" hidden="1">
      <c r="A1525">
        <v>180.4</v>
      </c>
      <c r="D1525">
        <v>2022</v>
      </c>
      <c r="E1525" t="s">
        <v>104</v>
      </c>
    </row>
    <row r="1526" spans="1:5" hidden="1">
      <c r="A1526">
        <v>62</v>
      </c>
      <c r="C1526">
        <v>2000</v>
      </c>
      <c r="D1526" t="s">
        <v>104</v>
      </c>
    </row>
    <row r="1527" spans="1:5" hidden="1">
      <c r="A1527">
        <v>73</v>
      </c>
      <c r="C1527">
        <v>2001</v>
      </c>
      <c r="D1527" t="s">
        <v>104</v>
      </c>
    </row>
    <row r="1528" spans="1:5" hidden="1">
      <c r="A1528">
        <v>73</v>
      </c>
      <c r="C1528">
        <v>2002</v>
      </c>
      <c r="D1528" t="s">
        <v>104</v>
      </c>
    </row>
    <row r="1529" spans="1:5" hidden="1">
      <c r="A1529">
        <v>76.5</v>
      </c>
      <c r="C1529">
        <v>2003</v>
      </c>
      <c r="D1529" t="s">
        <v>104</v>
      </c>
    </row>
    <row r="1530" spans="1:5" hidden="1">
      <c r="A1530">
        <v>86</v>
      </c>
      <c r="C1530">
        <v>2004</v>
      </c>
      <c r="D1530" t="s">
        <v>104</v>
      </c>
    </row>
    <row r="1531" spans="1:5" hidden="1">
      <c r="A1531">
        <v>86</v>
      </c>
      <c r="C1531">
        <v>2005</v>
      </c>
      <c r="D1531" t="s">
        <v>104</v>
      </c>
    </row>
    <row r="1532" spans="1:5" hidden="1">
      <c r="A1532">
        <v>79</v>
      </c>
      <c r="C1532">
        <v>2006</v>
      </c>
      <c r="D1532" t="s">
        <v>104</v>
      </c>
    </row>
    <row r="1533" spans="1:5" hidden="1">
      <c r="A1533">
        <v>67</v>
      </c>
      <c r="C1533">
        <v>2007</v>
      </c>
      <c r="D1533" t="s">
        <v>104</v>
      </c>
    </row>
    <row r="1534" spans="1:5" hidden="1">
      <c r="A1534">
        <v>0</v>
      </c>
      <c r="C1534">
        <v>2008</v>
      </c>
      <c r="D1534" t="s">
        <v>104</v>
      </c>
    </row>
    <row r="1535" spans="1:5" hidden="1">
      <c r="A1535">
        <v>0</v>
      </c>
      <c r="C1535">
        <v>2009</v>
      </c>
      <c r="D1535" t="s">
        <v>104</v>
      </c>
    </row>
    <row r="1536" spans="1:5" hidden="1">
      <c r="A1536">
        <v>23</v>
      </c>
      <c r="C1536">
        <v>2010</v>
      </c>
      <c r="D1536" t="s">
        <v>104</v>
      </c>
    </row>
    <row r="1537" spans="1:4" hidden="1">
      <c r="A1537">
        <v>0</v>
      </c>
      <c r="C1537">
        <v>2011</v>
      </c>
      <c r="D1537" t="s">
        <v>104</v>
      </c>
    </row>
    <row r="1538" spans="1:4" hidden="1">
      <c r="A1538">
        <v>0</v>
      </c>
      <c r="C1538">
        <v>2012</v>
      </c>
      <c r="D1538" t="s">
        <v>104</v>
      </c>
    </row>
    <row r="1539" spans="1:4" hidden="1">
      <c r="A1539">
        <v>0</v>
      </c>
      <c r="C1539">
        <v>2013</v>
      </c>
      <c r="D1539" t="s">
        <v>104</v>
      </c>
    </row>
    <row r="1540" spans="1:4" hidden="1">
      <c r="A1540">
        <v>0</v>
      </c>
      <c r="C1540">
        <v>2014</v>
      </c>
      <c r="D1540" t="s">
        <v>104</v>
      </c>
    </row>
    <row r="1541" spans="1:4" hidden="1">
      <c r="A1541">
        <v>0</v>
      </c>
      <c r="C1541">
        <v>2015</v>
      </c>
      <c r="D1541" t="s">
        <v>104</v>
      </c>
    </row>
    <row r="1542" spans="1:4" hidden="1">
      <c r="A1542">
        <v>0</v>
      </c>
      <c r="C1542">
        <v>2016</v>
      </c>
      <c r="D1542" t="s">
        <v>104</v>
      </c>
    </row>
    <row r="1543" spans="1:4" hidden="1">
      <c r="A1543">
        <v>0</v>
      </c>
      <c r="C1543">
        <v>2017</v>
      </c>
      <c r="D1543" t="s">
        <v>104</v>
      </c>
    </row>
    <row r="1544" spans="1:4" hidden="1">
      <c r="A1544">
        <v>0</v>
      </c>
      <c r="C1544">
        <v>2018</v>
      </c>
      <c r="D1544" t="s">
        <v>104</v>
      </c>
    </row>
    <row r="1545" spans="1:4" hidden="1">
      <c r="A1545">
        <v>0</v>
      </c>
      <c r="C1545">
        <v>2019</v>
      </c>
      <c r="D1545" t="s">
        <v>104</v>
      </c>
    </row>
    <row r="1546" spans="1:4" hidden="1">
      <c r="A1546">
        <v>0</v>
      </c>
      <c r="C1546">
        <v>2020</v>
      </c>
      <c r="D1546" t="s">
        <v>104</v>
      </c>
    </row>
    <row r="1547" spans="1:4" hidden="1">
      <c r="A1547">
        <v>0</v>
      </c>
      <c r="C1547">
        <v>2021</v>
      </c>
      <c r="D1547" t="s">
        <v>104</v>
      </c>
    </row>
    <row r="1548" spans="1:4" hidden="1">
      <c r="A1548">
        <v>0</v>
      </c>
      <c r="C1548">
        <v>2022</v>
      </c>
      <c r="D1548" t="s">
        <v>104</v>
      </c>
    </row>
    <row r="1549" spans="1:4" hidden="1">
      <c r="A1549">
        <v>795.3</v>
      </c>
      <c r="B1549">
        <v>2000</v>
      </c>
      <c r="C1549" t="s">
        <v>104</v>
      </c>
    </row>
    <row r="1550" spans="1:4" hidden="1">
      <c r="A1550">
        <v>759.9</v>
      </c>
      <c r="B1550">
        <v>2001</v>
      </c>
      <c r="C1550" t="s">
        <v>104</v>
      </c>
    </row>
    <row r="1551" spans="1:4" hidden="1">
      <c r="A1551">
        <v>766.6</v>
      </c>
      <c r="B1551">
        <v>2002</v>
      </c>
      <c r="C1551" t="s">
        <v>104</v>
      </c>
    </row>
    <row r="1552" spans="1:4" hidden="1">
      <c r="A1552">
        <v>847.2</v>
      </c>
      <c r="B1552">
        <v>2003</v>
      </c>
      <c r="C1552" t="s">
        <v>104</v>
      </c>
    </row>
    <row r="1553" spans="1:3" hidden="1">
      <c r="A1553">
        <v>869.7</v>
      </c>
      <c r="B1553">
        <v>2004</v>
      </c>
      <c r="C1553" t="s">
        <v>104</v>
      </c>
    </row>
    <row r="1554" spans="1:3" hidden="1">
      <c r="A1554">
        <v>868.5</v>
      </c>
      <c r="B1554">
        <v>2005</v>
      </c>
      <c r="C1554" t="s">
        <v>104</v>
      </c>
    </row>
    <row r="1555" spans="1:3" hidden="1">
      <c r="A1555">
        <v>912.9</v>
      </c>
      <c r="B1555">
        <v>2006</v>
      </c>
      <c r="C1555" t="s">
        <v>104</v>
      </c>
    </row>
    <row r="1556" spans="1:3" hidden="1">
      <c r="A1556">
        <v>846.3</v>
      </c>
      <c r="B1556">
        <v>2007</v>
      </c>
      <c r="C1556" t="s">
        <v>104</v>
      </c>
    </row>
    <row r="1557" spans="1:3" hidden="1">
      <c r="A1557">
        <v>1085.4000000000001</v>
      </c>
      <c r="B1557">
        <v>2008</v>
      </c>
      <c r="C1557" t="s">
        <v>104</v>
      </c>
    </row>
    <row r="1558" spans="1:3" hidden="1">
      <c r="A1558">
        <v>1116.4000000000001</v>
      </c>
      <c r="B1558">
        <v>2009</v>
      </c>
      <c r="C1558" t="s">
        <v>104</v>
      </c>
    </row>
    <row r="1559" spans="1:3" hidden="1">
      <c r="A1559">
        <v>1146.5</v>
      </c>
      <c r="B1559">
        <v>2010</v>
      </c>
      <c r="C1559" t="s">
        <v>104</v>
      </c>
    </row>
    <row r="1560" spans="1:3" hidden="1">
      <c r="A1560">
        <v>1418.4</v>
      </c>
      <c r="B1560">
        <v>2011</v>
      </c>
      <c r="C1560" t="s">
        <v>104</v>
      </c>
    </row>
    <row r="1561" spans="1:3" hidden="1">
      <c r="A1561">
        <v>1418.4</v>
      </c>
      <c r="B1561">
        <v>2012</v>
      </c>
      <c r="C1561" t="s">
        <v>104</v>
      </c>
    </row>
    <row r="1562" spans="1:3" hidden="1">
      <c r="A1562">
        <v>1418.4</v>
      </c>
      <c r="B1562">
        <v>2013</v>
      </c>
      <c r="C1562" t="s">
        <v>104</v>
      </c>
    </row>
    <row r="1563" spans="1:3" hidden="1">
      <c r="A1563">
        <v>1418.4</v>
      </c>
      <c r="B1563">
        <v>2014</v>
      </c>
      <c r="C1563" t="s">
        <v>104</v>
      </c>
    </row>
    <row r="1564" spans="1:3" hidden="1">
      <c r="A1564">
        <v>1418.4</v>
      </c>
      <c r="B1564">
        <v>2015</v>
      </c>
      <c r="C1564" t="s">
        <v>104</v>
      </c>
    </row>
    <row r="1565" spans="1:3" hidden="1">
      <c r="A1565">
        <v>1687.1</v>
      </c>
      <c r="B1565">
        <v>2016</v>
      </c>
      <c r="C1565" t="s">
        <v>104</v>
      </c>
    </row>
    <row r="1566" spans="1:3" hidden="1">
      <c r="A1566">
        <v>1687.1</v>
      </c>
      <c r="B1566">
        <v>2017</v>
      </c>
      <c r="C1566" t="s">
        <v>104</v>
      </c>
    </row>
    <row r="1567" spans="1:3" hidden="1">
      <c r="A1567">
        <v>1687.1</v>
      </c>
      <c r="B1567">
        <v>2018</v>
      </c>
      <c r="C1567" t="s">
        <v>104</v>
      </c>
    </row>
    <row r="1568" spans="1:3" hidden="1">
      <c r="A1568">
        <v>1687.1</v>
      </c>
      <c r="B1568">
        <v>2019</v>
      </c>
      <c r="C1568" t="s">
        <v>104</v>
      </c>
    </row>
    <row r="1569" spans="1:8" hidden="1">
      <c r="A1569">
        <v>1687.1</v>
      </c>
      <c r="B1569">
        <v>2020</v>
      </c>
      <c r="C1569" t="s">
        <v>104</v>
      </c>
    </row>
    <row r="1570" spans="1:8" hidden="1">
      <c r="A1570">
        <v>1687.1</v>
      </c>
      <c r="B1570">
        <v>2021</v>
      </c>
      <c r="C1570" t="s">
        <v>104</v>
      </c>
    </row>
    <row r="1571" spans="1:8" hidden="1">
      <c r="A1571">
        <v>1687.1</v>
      </c>
      <c r="B1571">
        <v>2022</v>
      </c>
      <c r="C1571" t="s">
        <v>104</v>
      </c>
    </row>
    <row r="1572" spans="1:8" hidden="1">
      <c r="A1572">
        <v>23725.3</v>
      </c>
      <c r="G1572">
        <v>2000</v>
      </c>
      <c r="H1572" t="s">
        <v>250</v>
      </c>
    </row>
    <row r="1573" spans="1:8" hidden="1">
      <c r="A1573">
        <v>23384.400000000001</v>
      </c>
      <c r="G1573">
        <v>2001</v>
      </c>
      <c r="H1573" t="s">
        <v>250</v>
      </c>
    </row>
    <row r="1574" spans="1:8" hidden="1">
      <c r="A1574">
        <v>23084.400000000001</v>
      </c>
      <c r="G1574">
        <v>2002</v>
      </c>
      <c r="H1574" t="s">
        <v>250</v>
      </c>
    </row>
    <row r="1575" spans="1:8" hidden="1">
      <c r="A1575">
        <v>23308.3</v>
      </c>
      <c r="G1575">
        <v>2003</v>
      </c>
      <c r="H1575" t="s">
        <v>250</v>
      </c>
    </row>
    <row r="1576" spans="1:8" hidden="1">
      <c r="A1576">
        <v>22789.8</v>
      </c>
      <c r="G1576">
        <v>2004</v>
      </c>
      <c r="H1576" t="s">
        <v>250</v>
      </c>
    </row>
    <row r="1577" spans="1:8" hidden="1">
      <c r="A1577">
        <v>24509.599999999999</v>
      </c>
      <c r="G1577">
        <v>2005</v>
      </c>
      <c r="H1577" t="s">
        <v>250</v>
      </c>
    </row>
    <row r="1578" spans="1:8" hidden="1">
      <c r="A1578">
        <v>23238.6</v>
      </c>
      <c r="G1578">
        <v>2006</v>
      </c>
      <c r="H1578" t="s">
        <v>250</v>
      </c>
    </row>
    <row r="1579" spans="1:8" hidden="1">
      <c r="A1579">
        <v>23215</v>
      </c>
      <c r="G1579">
        <v>2007</v>
      </c>
      <c r="H1579" t="s">
        <v>250</v>
      </c>
    </row>
    <row r="1580" spans="1:8" hidden="1">
      <c r="A1580">
        <v>22792</v>
      </c>
      <c r="G1580">
        <v>2008</v>
      </c>
      <c r="H1580" t="s">
        <v>250</v>
      </c>
    </row>
    <row r="1581" spans="1:8" hidden="1">
      <c r="A1581">
        <v>24000</v>
      </c>
      <c r="G1581">
        <v>2009</v>
      </c>
      <c r="H1581" t="s">
        <v>250</v>
      </c>
    </row>
    <row r="1582" spans="1:8" hidden="1">
      <c r="A1582">
        <v>23388</v>
      </c>
      <c r="G1582">
        <v>2010</v>
      </c>
      <c r="H1582" t="s">
        <v>250</v>
      </c>
    </row>
    <row r="1583" spans="1:8" hidden="1">
      <c r="A1583">
        <v>23724.6</v>
      </c>
      <c r="G1583">
        <v>2011</v>
      </c>
      <c r="H1583" t="s">
        <v>250</v>
      </c>
    </row>
    <row r="1584" spans="1:8" hidden="1">
      <c r="A1584">
        <v>23088.799999999999</v>
      </c>
      <c r="G1584">
        <v>2012</v>
      </c>
      <c r="H1584" t="s">
        <v>250</v>
      </c>
    </row>
    <row r="1585" spans="1:8" hidden="1">
      <c r="A1585">
        <v>21246.5</v>
      </c>
      <c r="G1585">
        <v>2013</v>
      </c>
      <c r="H1585" t="s">
        <v>250</v>
      </c>
    </row>
    <row r="1586" spans="1:8" hidden="1">
      <c r="A1586">
        <v>21978.799999999999</v>
      </c>
      <c r="G1586">
        <v>2014</v>
      </c>
      <c r="H1586" t="s">
        <v>250</v>
      </c>
    </row>
    <row r="1587" spans="1:8" hidden="1">
      <c r="A1587">
        <v>20722</v>
      </c>
      <c r="G1587">
        <v>2015</v>
      </c>
      <c r="H1587" t="s">
        <v>250</v>
      </c>
    </row>
    <row r="1588" spans="1:8" hidden="1">
      <c r="A1588">
        <v>20365</v>
      </c>
      <c r="G1588">
        <v>2016</v>
      </c>
      <c r="H1588" t="s">
        <v>250</v>
      </c>
    </row>
    <row r="1589" spans="1:8" hidden="1">
      <c r="A1589">
        <v>19809</v>
      </c>
      <c r="G1589">
        <v>2017</v>
      </c>
      <c r="H1589" t="s">
        <v>250</v>
      </c>
    </row>
    <row r="1590" spans="1:8" hidden="1">
      <c r="A1590">
        <v>19254</v>
      </c>
      <c r="G1590">
        <v>2018</v>
      </c>
      <c r="H1590" t="s">
        <v>250</v>
      </c>
    </row>
    <row r="1591" spans="1:8" hidden="1">
      <c r="A1591">
        <v>19090</v>
      </c>
      <c r="G1591">
        <v>2019</v>
      </c>
      <c r="H1591" t="s">
        <v>250</v>
      </c>
    </row>
    <row r="1592" spans="1:8" hidden="1">
      <c r="A1592">
        <v>18960</v>
      </c>
      <c r="G1592">
        <v>2020</v>
      </c>
      <c r="H1592" t="s">
        <v>250</v>
      </c>
    </row>
    <row r="1593" spans="1:8" hidden="1">
      <c r="A1593">
        <v>19098</v>
      </c>
      <c r="G1593">
        <v>2021</v>
      </c>
      <c r="H1593" t="s">
        <v>250</v>
      </c>
    </row>
    <row r="1594" spans="1:8" hidden="1">
      <c r="A1594">
        <v>19622</v>
      </c>
      <c r="G1594">
        <v>2022</v>
      </c>
      <c r="H1594" t="s">
        <v>250</v>
      </c>
    </row>
    <row r="1595" spans="1:8" hidden="1">
      <c r="A1595">
        <v>0</v>
      </c>
      <c r="F1595" s="48">
        <v>2000</v>
      </c>
      <c r="G1595" t="s">
        <v>250</v>
      </c>
    </row>
    <row r="1596" spans="1:8" hidden="1">
      <c r="A1596">
        <v>0</v>
      </c>
      <c r="F1596" s="48">
        <v>2001</v>
      </c>
      <c r="G1596" t="s">
        <v>250</v>
      </c>
    </row>
    <row r="1597" spans="1:8" hidden="1">
      <c r="A1597">
        <v>0</v>
      </c>
      <c r="F1597" s="48">
        <v>2002</v>
      </c>
      <c r="G1597" t="s">
        <v>250</v>
      </c>
    </row>
    <row r="1598" spans="1:8" hidden="1">
      <c r="A1598">
        <v>0</v>
      </c>
      <c r="F1598" s="48">
        <v>2003</v>
      </c>
      <c r="G1598" t="s">
        <v>250</v>
      </c>
    </row>
    <row r="1599" spans="1:8" hidden="1">
      <c r="A1599">
        <v>0</v>
      </c>
      <c r="F1599" s="48">
        <v>2004</v>
      </c>
      <c r="G1599" t="s">
        <v>250</v>
      </c>
    </row>
    <row r="1600" spans="1:8" hidden="1">
      <c r="A1600">
        <v>0</v>
      </c>
      <c r="F1600" s="48">
        <v>2005</v>
      </c>
      <c r="G1600" t="s">
        <v>250</v>
      </c>
    </row>
    <row r="1601" spans="1:7" hidden="1">
      <c r="A1601">
        <v>0</v>
      </c>
      <c r="F1601" s="48">
        <v>2006</v>
      </c>
      <c r="G1601" t="s">
        <v>250</v>
      </c>
    </row>
    <row r="1602" spans="1:7" hidden="1">
      <c r="A1602">
        <v>0</v>
      </c>
      <c r="F1602" s="48">
        <v>2007</v>
      </c>
      <c r="G1602" t="s">
        <v>250</v>
      </c>
    </row>
    <row r="1603" spans="1:7" hidden="1">
      <c r="A1603">
        <v>0</v>
      </c>
      <c r="F1603" s="48">
        <v>2008</v>
      </c>
      <c r="G1603" t="s">
        <v>250</v>
      </c>
    </row>
    <row r="1604" spans="1:7" hidden="1">
      <c r="A1604">
        <v>0</v>
      </c>
      <c r="F1604" s="48">
        <v>2009</v>
      </c>
      <c r="G1604" t="s">
        <v>250</v>
      </c>
    </row>
    <row r="1605" spans="1:7" hidden="1">
      <c r="A1605">
        <v>0</v>
      </c>
      <c r="F1605" s="48">
        <v>2010</v>
      </c>
      <c r="G1605" t="s">
        <v>250</v>
      </c>
    </row>
    <row r="1606" spans="1:7" hidden="1">
      <c r="A1606">
        <v>0</v>
      </c>
      <c r="F1606" s="48">
        <v>2011</v>
      </c>
      <c r="G1606" t="s">
        <v>250</v>
      </c>
    </row>
    <row r="1607" spans="1:7" hidden="1">
      <c r="A1607">
        <v>0</v>
      </c>
      <c r="F1607" s="48">
        <v>2012</v>
      </c>
      <c r="G1607" t="s">
        <v>250</v>
      </c>
    </row>
    <row r="1608" spans="1:7" hidden="1">
      <c r="A1608">
        <v>0</v>
      </c>
      <c r="F1608" s="48">
        <v>2013</v>
      </c>
      <c r="G1608" t="s">
        <v>250</v>
      </c>
    </row>
    <row r="1609" spans="1:7" hidden="1">
      <c r="A1609">
        <v>0</v>
      </c>
      <c r="F1609" s="48">
        <v>2014</v>
      </c>
      <c r="G1609" t="s">
        <v>250</v>
      </c>
    </row>
    <row r="1610" spans="1:7" hidden="1">
      <c r="A1610">
        <v>0</v>
      </c>
      <c r="F1610" s="48">
        <v>2015</v>
      </c>
      <c r="G1610" t="s">
        <v>250</v>
      </c>
    </row>
    <row r="1611" spans="1:7" hidden="1">
      <c r="A1611">
        <v>0</v>
      </c>
      <c r="F1611" s="48">
        <v>2016</v>
      </c>
      <c r="G1611" t="s">
        <v>250</v>
      </c>
    </row>
    <row r="1612" spans="1:7" hidden="1">
      <c r="A1612">
        <v>0</v>
      </c>
      <c r="F1612" s="48">
        <v>2017</v>
      </c>
      <c r="G1612" t="s">
        <v>250</v>
      </c>
    </row>
    <row r="1613" spans="1:7" hidden="1">
      <c r="A1613">
        <v>0</v>
      </c>
      <c r="F1613" s="48">
        <v>2018</v>
      </c>
      <c r="G1613" t="s">
        <v>250</v>
      </c>
    </row>
    <row r="1614" spans="1:7" hidden="1">
      <c r="A1614">
        <v>0</v>
      </c>
      <c r="F1614" s="48">
        <v>2019</v>
      </c>
      <c r="G1614" t="s">
        <v>250</v>
      </c>
    </row>
    <row r="1615" spans="1:7" hidden="1">
      <c r="A1615">
        <v>0</v>
      </c>
      <c r="F1615" s="48">
        <v>2020</v>
      </c>
      <c r="G1615" t="s">
        <v>250</v>
      </c>
    </row>
    <row r="1616" spans="1:7" hidden="1">
      <c r="A1616">
        <v>0</v>
      </c>
      <c r="F1616" s="48">
        <v>2021</v>
      </c>
      <c r="G1616" t="s">
        <v>250</v>
      </c>
    </row>
    <row r="1617" spans="1:10" hidden="1">
      <c r="A1617">
        <v>0</v>
      </c>
      <c r="F1617" s="48">
        <v>2022</v>
      </c>
      <c r="G1617" t="s">
        <v>250</v>
      </c>
    </row>
    <row r="1618" spans="1:10">
      <c r="A1618">
        <v>5929.3</v>
      </c>
      <c r="E1618">
        <v>2000</v>
      </c>
      <c r="F1618" s="48" t="s">
        <v>250</v>
      </c>
      <c r="I1618">
        <f t="shared" ref="I1618:I1640" si="18">E1618</f>
        <v>2000</v>
      </c>
      <c r="J1618">
        <f t="shared" ref="J1618:J1640" si="19">A1618</f>
        <v>5929.3</v>
      </c>
    </row>
    <row r="1619" spans="1:10">
      <c r="A1619">
        <v>6029.8</v>
      </c>
      <c r="E1619">
        <v>2001</v>
      </c>
      <c r="F1619" s="48" t="s">
        <v>250</v>
      </c>
      <c r="I1619">
        <f t="shared" si="18"/>
        <v>2001</v>
      </c>
      <c r="J1619">
        <f t="shared" si="19"/>
        <v>6029.8</v>
      </c>
    </row>
    <row r="1620" spans="1:10">
      <c r="A1620">
        <v>6167</v>
      </c>
      <c r="E1620">
        <v>2002</v>
      </c>
      <c r="F1620" s="48" t="s">
        <v>250</v>
      </c>
      <c r="I1620">
        <f t="shared" si="18"/>
        <v>2002</v>
      </c>
      <c r="J1620">
        <f t="shared" si="19"/>
        <v>6167</v>
      </c>
    </row>
    <row r="1621" spans="1:10">
      <c r="A1621">
        <v>6285</v>
      </c>
      <c r="E1621">
        <v>2003</v>
      </c>
      <c r="F1621" s="48" t="s">
        <v>250</v>
      </c>
      <c r="I1621">
        <f t="shared" si="18"/>
        <v>2003</v>
      </c>
      <c r="J1621">
        <f t="shared" si="19"/>
        <v>6285</v>
      </c>
    </row>
    <row r="1622" spans="1:10">
      <c r="A1622">
        <v>6256</v>
      </c>
      <c r="E1622">
        <v>2004</v>
      </c>
      <c r="F1622" s="48" t="s">
        <v>250</v>
      </c>
      <c r="I1622">
        <f t="shared" si="18"/>
        <v>2004</v>
      </c>
      <c r="J1622">
        <f t="shared" si="19"/>
        <v>6256</v>
      </c>
    </row>
    <row r="1623" spans="1:10">
      <c r="A1623">
        <v>6650</v>
      </c>
      <c r="E1623">
        <v>2005</v>
      </c>
      <c r="F1623" s="48" t="s">
        <v>250</v>
      </c>
      <c r="I1623">
        <f t="shared" si="18"/>
        <v>2005</v>
      </c>
      <c r="J1623">
        <f t="shared" si="19"/>
        <v>6650</v>
      </c>
    </row>
    <row r="1624" spans="1:10">
      <c r="A1624">
        <v>6525</v>
      </c>
      <c r="E1624">
        <v>2006</v>
      </c>
      <c r="F1624" s="48" t="s">
        <v>250</v>
      </c>
      <c r="I1624">
        <f t="shared" si="18"/>
        <v>2006</v>
      </c>
      <c r="J1624">
        <f t="shared" si="19"/>
        <v>6525</v>
      </c>
    </row>
    <row r="1625" spans="1:10">
      <c r="A1625">
        <v>5850</v>
      </c>
      <c r="E1625">
        <v>2007</v>
      </c>
      <c r="F1625" s="48" t="s">
        <v>250</v>
      </c>
      <c r="I1625">
        <f t="shared" si="18"/>
        <v>2007</v>
      </c>
      <c r="J1625">
        <f t="shared" si="19"/>
        <v>5850</v>
      </c>
    </row>
    <row r="1626" spans="1:10">
      <c r="A1626">
        <v>6230</v>
      </c>
      <c r="E1626">
        <v>2008</v>
      </c>
      <c r="F1626" s="48" t="s">
        <v>250</v>
      </c>
      <c r="I1626">
        <f t="shared" si="18"/>
        <v>2008</v>
      </c>
      <c r="J1626">
        <f t="shared" si="19"/>
        <v>6230</v>
      </c>
    </row>
    <row r="1627" spans="1:10">
      <c r="A1627">
        <v>6100</v>
      </c>
      <c r="E1627">
        <v>2009</v>
      </c>
      <c r="F1627" s="48" t="s">
        <v>250</v>
      </c>
      <c r="I1627">
        <f t="shared" si="18"/>
        <v>2009</v>
      </c>
      <c r="J1627">
        <f t="shared" si="19"/>
        <v>6100</v>
      </c>
    </row>
    <row r="1628" spans="1:10">
      <c r="A1628">
        <v>6300</v>
      </c>
      <c r="E1628">
        <v>2010</v>
      </c>
      <c r="F1628" s="48" t="s">
        <v>250</v>
      </c>
      <c r="I1628">
        <f t="shared" si="18"/>
        <v>2010</v>
      </c>
      <c r="J1628">
        <f t="shared" si="19"/>
        <v>6300</v>
      </c>
    </row>
    <row r="1629" spans="1:10">
      <c r="A1629">
        <v>6150</v>
      </c>
      <c r="E1629">
        <v>2011</v>
      </c>
      <c r="F1629" s="48" t="s">
        <v>250</v>
      </c>
      <c r="I1629">
        <f t="shared" si="18"/>
        <v>2011</v>
      </c>
      <c r="J1629">
        <f t="shared" si="19"/>
        <v>6150</v>
      </c>
    </row>
    <row r="1630" spans="1:10">
      <c r="A1630">
        <v>6100</v>
      </c>
      <c r="E1630">
        <v>2012</v>
      </c>
      <c r="F1630" s="48" t="s">
        <v>250</v>
      </c>
      <c r="I1630">
        <f t="shared" si="18"/>
        <v>2012</v>
      </c>
      <c r="J1630">
        <f t="shared" si="19"/>
        <v>6100</v>
      </c>
    </row>
    <row r="1631" spans="1:10">
      <c r="A1631">
        <v>5950</v>
      </c>
      <c r="E1631">
        <v>2013</v>
      </c>
      <c r="F1631" s="48" t="s">
        <v>250</v>
      </c>
      <c r="I1631">
        <f t="shared" si="18"/>
        <v>2013</v>
      </c>
      <c r="J1631">
        <f t="shared" si="19"/>
        <v>5950</v>
      </c>
    </row>
    <row r="1632" spans="1:10">
      <c r="A1632">
        <v>5870</v>
      </c>
      <c r="E1632">
        <v>2014</v>
      </c>
      <c r="F1632" s="48" t="s">
        <v>250</v>
      </c>
      <c r="I1632">
        <f t="shared" si="18"/>
        <v>2014</v>
      </c>
      <c r="J1632">
        <f t="shared" si="19"/>
        <v>5870</v>
      </c>
    </row>
    <row r="1633" spans="1:10">
      <c r="A1633">
        <v>5750</v>
      </c>
      <c r="E1633">
        <v>2015</v>
      </c>
      <c r="F1633" s="48" t="s">
        <v>250</v>
      </c>
      <c r="I1633">
        <f t="shared" si="18"/>
        <v>2015</v>
      </c>
      <c r="J1633">
        <f t="shared" si="19"/>
        <v>5750</v>
      </c>
    </row>
    <row r="1634" spans="1:10">
      <c r="A1634">
        <v>5620</v>
      </c>
      <c r="E1634">
        <v>2016</v>
      </c>
      <c r="F1634" s="48" t="s">
        <v>250</v>
      </c>
      <c r="I1634">
        <f t="shared" si="18"/>
        <v>2016</v>
      </c>
      <c r="J1634">
        <f t="shared" si="19"/>
        <v>5620</v>
      </c>
    </row>
    <row r="1635" spans="1:10">
      <c r="A1635">
        <v>5320</v>
      </c>
      <c r="E1635">
        <v>2017</v>
      </c>
      <c r="F1635" s="48" t="s">
        <v>250</v>
      </c>
      <c r="I1635">
        <f t="shared" si="18"/>
        <v>2017</v>
      </c>
      <c r="J1635">
        <f t="shared" si="19"/>
        <v>5320</v>
      </c>
    </row>
    <row r="1636" spans="1:10">
      <c r="A1636">
        <v>5450</v>
      </c>
      <c r="E1636">
        <v>2018</v>
      </c>
      <c r="F1636" s="48" t="s">
        <v>250</v>
      </c>
      <c r="I1636">
        <f t="shared" si="18"/>
        <v>2018</v>
      </c>
      <c r="J1636">
        <f t="shared" si="19"/>
        <v>5450</v>
      </c>
    </row>
    <row r="1637" spans="1:10">
      <c r="A1637">
        <v>5350</v>
      </c>
      <c r="E1637">
        <v>2019</v>
      </c>
      <c r="F1637" s="48" t="s">
        <v>250</v>
      </c>
      <c r="I1637">
        <f t="shared" si="18"/>
        <v>2019</v>
      </c>
      <c r="J1637">
        <f t="shared" si="19"/>
        <v>5350</v>
      </c>
    </row>
    <row r="1638" spans="1:10">
      <c r="A1638">
        <v>5500</v>
      </c>
      <c r="E1638">
        <v>2020</v>
      </c>
      <c r="F1638" s="48" t="s">
        <v>250</v>
      </c>
      <c r="I1638">
        <f t="shared" si="18"/>
        <v>2020</v>
      </c>
      <c r="J1638">
        <f t="shared" si="19"/>
        <v>5500</v>
      </c>
    </row>
    <row r="1639" spans="1:10">
      <c r="A1639">
        <v>4682.7</v>
      </c>
      <c r="E1639">
        <v>2021</v>
      </c>
      <c r="F1639" s="48" t="s">
        <v>250</v>
      </c>
      <c r="I1639">
        <f t="shared" si="18"/>
        <v>2021</v>
      </c>
      <c r="J1639">
        <f t="shared" si="19"/>
        <v>4682.7</v>
      </c>
    </row>
    <row r="1640" spans="1:10">
      <c r="A1640">
        <v>5727</v>
      </c>
      <c r="E1640">
        <v>2022</v>
      </c>
      <c r="F1640" s="48" t="s">
        <v>250</v>
      </c>
      <c r="I1640">
        <f t="shared" si="18"/>
        <v>2022</v>
      </c>
      <c r="J1640">
        <f t="shared" si="19"/>
        <v>5727</v>
      </c>
    </row>
    <row r="1641" spans="1:10" hidden="1">
      <c r="A1641">
        <v>1306.5</v>
      </c>
      <c r="D1641">
        <v>2000</v>
      </c>
      <c r="E1641" t="s">
        <v>250</v>
      </c>
    </row>
    <row r="1642" spans="1:10" hidden="1">
      <c r="A1642">
        <v>1219</v>
      </c>
      <c r="D1642">
        <v>2001</v>
      </c>
      <c r="E1642" t="s">
        <v>250</v>
      </c>
    </row>
    <row r="1643" spans="1:10" hidden="1">
      <c r="A1643">
        <v>1292.4000000000001</v>
      </c>
      <c r="D1643">
        <v>2002</v>
      </c>
      <c r="E1643" t="s">
        <v>250</v>
      </c>
    </row>
    <row r="1644" spans="1:10" hidden="1">
      <c r="A1644">
        <v>1208.3</v>
      </c>
      <c r="D1644">
        <v>2003</v>
      </c>
      <c r="E1644" t="s">
        <v>250</v>
      </c>
    </row>
    <row r="1645" spans="1:10" hidden="1">
      <c r="A1645">
        <v>1115</v>
      </c>
      <c r="D1645">
        <v>2004</v>
      </c>
      <c r="E1645" t="s">
        <v>250</v>
      </c>
    </row>
    <row r="1646" spans="1:10" hidden="1">
      <c r="A1646">
        <v>897.7</v>
      </c>
      <c r="D1646">
        <v>2005</v>
      </c>
      <c r="E1646" t="s">
        <v>250</v>
      </c>
    </row>
    <row r="1647" spans="1:10" hidden="1">
      <c r="A1647">
        <v>791</v>
      </c>
      <c r="D1647">
        <v>2006</v>
      </c>
      <c r="E1647" t="s">
        <v>250</v>
      </c>
    </row>
    <row r="1648" spans="1:10" hidden="1">
      <c r="A1648">
        <v>645</v>
      </c>
      <c r="D1648">
        <v>2007</v>
      </c>
      <c r="E1648" t="s">
        <v>250</v>
      </c>
    </row>
    <row r="1649" spans="1:5" hidden="1">
      <c r="A1649">
        <v>503</v>
      </c>
      <c r="D1649">
        <v>2008</v>
      </c>
      <c r="E1649" t="s">
        <v>250</v>
      </c>
    </row>
    <row r="1650" spans="1:5" hidden="1">
      <c r="A1650">
        <v>507</v>
      </c>
      <c r="D1650">
        <v>2009</v>
      </c>
      <c r="E1650" t="s">
        <v>250</v>
      </c>
    </row>
    <row r="1651" spans="1:5" hidden="1">
      <c r="A1651">
        <v>514</v>
      </c>
      <c r="D1651">
        <v>2010</v>
      </c>
      <c r="E1651" t="s">
        <v>250</v>
      </c>
    </row>
    <row r="1652" spans="1:5" hidden="1">
      <c r="A1652">
        <v>498.7</v>
      </c>
      <c r="D1652">
        <v>2011</v>
      </c>
      <c r="E1652" t="s">
        <v>250</v>
      </c>
    </row>
    <row r="1653" spans="1:5" hidden="1">
      <c r="A1653">
        <v>475.7</v>
      </c>
      <c r="D1653">
        <v>2012</v>
      </c>
      <c r="E1653" t="s">
        <v>250</v>
      </c>
    </row>
    <row r="1654" spans="1:5" hidden="1">
      <c r="A1654">
        <v>472.6</v>
      </c>
      <c r="D1654">
        <v>2013</v>
      </c>
      <c r="E1654" t="s">
        <v>250</v>
      </c>
    </row>
    <row r="1655" spans="1:5" hidden="1">
      <c r="A1655">
        <v>469.6</v>
      </c>
      <c r="D1655">
        <v>2014</v>
      </c>
      <c r="E1655" t="s">
        <v>250</v>
      </c>
    </row>
    <row r="1656" spans="1:5" hidden="1">
      <c r="A1656">
        <v>437.2</v>
      </c>
      <c r="D1656">
        <v>2015</v>
      </c>
      <c r="E1656" t="s">
        <v>250</v>
      </c>
    </row>
    <row r="1657" spans="1:5" hidden="1">
      <c r="A1657">
        <v>385.9</v>
      </c>
      <c r="D1657">
        <v>2016</v>
      </c>
      <c r="E1657" t="s">
        <v>250</v>
      </c>
    </row>
    <row r="1658" spans="1:5" hidden="1">
      <c r="A1658">
        <v>374</v>
      </c>
      <c r="D1658">
        <v>2017</v>
      </c>
      <c r="E1658" t="s">
        <v>250</v>
      </c>
    </row>
    <row r="1659" spans="1:5" hidden="1">
      <c r="A1659">
        <v>362.1</v>
      </c>
      <c r="D1659">
        <v>2018</v>
      </c>
      <c r="E1659" t="s">
        <v>250</v>
      </c>
    </row>
    <row r="1660" spans="1:5" hidden="1">
      <c r="A1660">
        <v>356.1</v>
      </c>
      <c r="D1660">
        <v>2019</v>
      </c>
      <c r="E1660" t="s">
        <v>250</v>
      </c>
    </row>
    <row r="1661" spans="1:5" hidden="1">
      <c r="A1661">
        <v>354.1</v>
      </c>
      <c r="D1661">
        <v>2020</v>
      </c>
      <c r="E1661" t="s">
        <v>250</v>
      </c>
    </row>
    <row r="1662" spans="1:5" hidden="1">
      <c r="A1662">
        <v>686.2</v>
      </c>
      <c r="D1662">
        <v>2021</v>
      </c>
      <c r="E1662" t="s">
        <v>250</v>
      </c>
    </row>
    <row r="1663" spans="1:5" hidden="1">
      <c r="A1663">
        <v>636.70000000000005</v>
      </c>
      <c r="D1663">
        <v>2022</v>
      </c>
      <c r="E1663" t="s">
        <v>250</v>
      </c>
    </row>
    <row r="1664" spans="1:5" hidden="1">
      <c r="A1664">
        <v>0</v>
      </c>
      <c r="C1664">
        <v>2000</v>
      </c>
      <c r="D1664" t="s">
        <v>250</v>
      </c>
    </row>
    <row r="1665" spans="1:4" hidden="1">
      <c r="A1665">
        <v>0</v>
      </c>
      <c r="C1665">
        <v>2001</v>
      </c>
      <c r="D1665" t="s">
        <v>250</v>
      </c>
    </row>
    <row r="1666" spans="1:4" hidden="1">
      <c r="A1666">
        <v>0</v>
      </c>
      <c r="C1666">
        <v>2002</v>
      </c>
      <c r="D1666" t="s">
        <v>250</v>
      </c>
    </row>
    <row r="1667" spans="1:4" hidden="1">
      <c r="A1667">
        <v>0</v>
      </c>
      <c r="C1667">
        <v>2003</v>
      </c>
      <c r="D1667" t="s">
        <v>250</v>
      </c>
    </row>
    <row r="1668" spans="1:4" hidden="1">
      <c r="A1668">
        <v>0</v>
      </c>
      <c r="C1668">
        <v>2004</v>
      </c>
      <c r="D1668" t="s">
        <v>250</v>
      </c>
    </row>
    <row r="1669" spans="1:4" hidden="1">
      <c r="A1669">
        <v>0</v>
      </c>
      <c r="C1669">
        <v>2005</v>
      </c>
      <c r="D1669" t="s">
        <v>250</v>
      </c>
    </row>
    <row r="1670" spans="1:4" hidden="1">
      <c r="A1670">
        <v>0</v>
      </c>
      <c r="C1670">
        <v>2006</v>
      </c>
      <c r="D1670" t="s">
        <v>250</v>
      </c>
    </row>
    <row r="1671" spans="1:4" hidden="1">
      <c r="A1671">
        <v>0</v>
      </c>
      <c r="C1671">
        <v>2007</v>
      </c>
      <c r="D1671" t="s">
        <v>250</v>
      </c>
    </row>
    <row r="1672" spans="1:4" hidden="1">
      <c r="A1672">
        <v>0</v>
      </c>
      <c r="C1672">
        <v>2008</v>
      </c>
      <c r="D1672" t="s">
        <v>250</v>
      </c>
    </row>
    <row r="1673" spans="1:4" hidden="1">
      <c r="A1673">
        <v>0</v>
      </c>
      <c r="C1673">
        <v>2009</v>
      </c>
      <c r="D1673" t="s">
        <v>250</v>
      </c>
    </row>
    <row r="1674" spans="1:4" hidden="1">
      <c r="A1674">
        <v>0</v>
      </c>
      <c r="C1674">
        <v>2010</v>
      </c>
      <c r="D1674" t="s">
        <v>250</v>
      </c>
    </row>
    <row r="1675" spans="1:4" hidden="1">
      <c r="A1675">
        <v>0</v>
      </c>
      <c r="C1675">
        <v>2011</v>
      </c>
      <c r="D1675" t="s">
        <v>250</v>
      </c>
    </row>
    <row r="1676" spans="1:4" hidden="1">
      <c r="A1676">
        <v>0</v>
      </c>
      <c r="C1676">
        <v>2012</v>
      </c>
      <c r="D1676" t="s">
        <v>250</v>
      </c>
    </row>
    <row r="1677" spans="1:4" hidden="1">
      <c r="A1677">
        <v>0</v>
      </c>
      <c r="C1677">
        <v>2013</v>
      </c>
      <c r="D1677" t="s">
        <v>250</v>
      </c>
    </row>
    <row r="1678" spans="1:4" hidden="1">
      <c r="A1678">
        <v>0</v>
      </c>
      <c r="C1678">
        <v>2014</v>
      </c>
      <c r="D1678" t="s">
        <v>250</v>
      </c>
    </row>
    <row r="1679" spans="1:4" hidden="1">
      <c r="A1679">
        <v>0</v>
      </c>
      <c r="C1679">
        <v>2015</v>
      </c>
      <c r="D1679" t="s">
        <v>250</v>
      </c>
    </row>
    <row r="1680" spans="1:4" hidden="1">
      <c r="A1680">
        <v>0</v>
      </c>
      <c r="C1680">
        <v>2016</v>
      </c>
      <c r="D1680" t="s">
        <v>250</v>
      </c>
    </row>
    <row r="1681" spans="1:4" hidden="1">
      <c r="A1681">
        <v>0</v>
      </c>
      <c r="C1681">
        <v>2017</v>
      </c>
      <c r="D1681" t="s">
        <v>250</v>
      </c>
    </row>
    <row r="1682" spans="1:4" hidden="1">
      <c r="A1682">
        <v>0</v>
      </c>
      <c r="C1682">
        <v>2018</v>
      </c>
      <c r="D1682" t="s">
        <v>250</v>
      </c>
    </row>
    <row r="1683" spans="1:4" hidden="1">
      <c r="A1683">
        <v>0</v>
      </c>
      <c r="C1683">
        <v>2019</v>
      </c>
      <c r="D1683" t="s">
        <v>250</v>
      </c>
    </row>
    <row r="1684" spans="1:4" hidden="1">
      <c r="A1684">
        <v>0</v>
      </c>
      <c r="C1684">
        <v>2020</v>
      </c>
      <c r="D1684" t="s">
        <v>250</v>
      </c>
    </row>
    <row r="1685" spans="1:4" hidden="1">
      <c r="A1685">
        <v>0</v>
      </c>
      <c r="C1685">
        <v>2021</v>
      </c>
      <c r="D1685" t="s">
        <v>250</v>
      </c>
    </row>
    <row r="1686" spans="1:4" hidden="1">
      <c r="A1686">
        <v>0</v>
      </c>
      <c r="C1686">
        <v>2022</v>
      </c>
      <c r="D1686" t="s">
        <v>250</v>
      </c>
    </row>
    <row r="1687" spans="1:4" hidden="1">
      <c r="A1687">
        <v>5475.8</v>
      </c>
      <c r="B1687">
        <v>2000</v>
      </c>
      <c r="C1687" t="s">
        <v>250</v>
      </c>
    </row>
    <row r="1688" spans="1:4" hidden="1">
      <c r="A1688">
        <v>5383.1</v>
      </c>
      <c r="B1688">
        <v>2001</v>
      </c>
      <c r="C1688" t="s">
        <v>250</v>
      </c>
    </row>
    <row r="1689" spans="1:4" hidden="1">
      <c r="A1689">
        <v>5299</v>
      </c>
      <c r="B1689">
        <v>2002</v>
      </c>
      <c r="C1689" t="s">
        <v>250</v>
      </c>
    </row>
    <row r="1690" spans="1:4" hidden="1">
      <c r="A1690">
        <v>5719.7</v>
      </c>
      <c r="B1690">
        <v>2003</v>
      </c>
      <c r="C1690" t="s">
        <v>250</v>
      </c>
    </row>
    <row r="1691" spans="1:4" hidden="1">
      <c r="A1691">
        <v>5824.2</v>
      </c>
      <c r="B1691">
        <v>2004</v>
      </c>
      <c r="C1691" t="s">
        <v>250</v>
      </c>
    </row>
    <row r="1692" spans="1:4" hidden="1">
      <c r="A1692">
        <v>5890</v>
      </c>
      <c r="B1692">
        <v>2005</v>
      </c>
      <c r="C1692" t="s">
        <v>250</v>
      </c>
    </row>
    <row r="1693" spans="1:4" hidden="1">
      <c r="A1693">
        <v>5701</v>
      </c>
      <c r="B1693">
        <v>2006</v>
      </c>
      <c r="C1693" t="s">
        <v>250</v>
      </c>
    </row>
    <row r="1694" spans="1:4" hidden="1">
      <c r="A1694">
        <v>5790</v>
      </c>
      <c r="B1694">
        <v>2007</v>
      </c>
      <c r="C1694" t="s">
        <v>250</v>
      </c>
    </row>
    <row r="1695" spans="1:4" hidden="1">
      <c r="A1695">
        <v>5765</v>
      </c>
      <c r="B1695">
        <v>2008</v>
      </c>
      <c r="C1695" t="s">
        <v>250</v>
      </c>
    </row>
    <row r="1696" spans="1:4" hidden="1">
      <c r="A1696">
        <v>5450</v>
      </c>
      <c r="B1696">
        <v>2009</v>
      </c>
      <c r="C1696" t="s">
        <v>250</v>
      </c>
    </row>
    <row r="1697" spans="1:8" hidden="1">
      <c r="A1697">
        <v>5050</v>
      </c>
      <c r="B1697">
        <v>2010</v>
      </c>
      <c r="C1697" t="s">
        <v>250</v>
      </c>
    </row>
    <row r="1698" spans="1:8" hidden="1">
      <c r="A1698">
        <v>4644.1000000000004</v>
      </c>
      <c r="B1698">
        <v>2011</v>
      </c>
      <c r="C1698" t="s">
        <v>250</v>
      </c>
    </row>
    <row r="1699" spans="1:8" hidden="1">
      <c r="A1699">
        <v>4598.6000000000004</v>
      </c>
      <c r="B1699">
        <v>2012</v>
      </c>
      <c r="C1699" t="s">
        <v>250</v>
      </c>
    </row>
    <row r="1700" spans="1:8" hidden="1">
      <c r="A1700">
        <v>4628.8</v>
      </c>
      <c r="B1700">
        <v>2013</v>
      </c>
      <c r="C1700" t="s">
        <v>250</v>
      </c>
    </row>
    <row r="1701" spans="1:8" hidden="1">
      <c r="A1701">
        <v>4551.8</v>
      </c>
      <c r="B1701">
        <v>2014</v>
      </c>
      <c r="C1701" t="s">
        <v>250</v>
      </c>
    </row>
    <row r="1702" spans="1:8" hidden="1">
      <c r="A1702">
        <v>4735</v>
      </c>
      <c r="B1702">
        <v>2015</v>
      </c>
      <c r="C1702" t="s">
        <v>250</v>
      </c>
    </row>
    <row r="1703" spans="1:8" hidden="1">
      <c r="A1703">
        <v>4890</v>
      </c>
      <c r="B1703">
        <v>2016</v>
      </c>
      <c r="C1703" t="s">
        <v>250</v>
      </c>
    </row>
    <row r="1704" spans="1:8" hidden="1">
      <c r="A1704">
        <v>4694</v>
      </c>
      <c r="B1704">
        <v>2017</v>
      </c>
      <c r="C1704" t="s">
        <v>250</v>
      </c>
    </row>
    <row r="1705" spans="1:8" hidden="1">
      <c r="A1705">
        <v>4498.1000000000004</v>
      </c>
      <c r="B1705">
        <v>2018</v>
      </c>
      <c r="C1705" t="s">
        <v>250</v>
      </c>
    </row>
    <row r="1706" spans="1:8" hidden="1">
      <c r="A1706">
        <v>4512</v>
      </c>
      <c r="B1706">
        <v>2019</v>
      </c>
      <c r="C1706" t="s">
        <v>250</v>
      </c>
    </row>
    <row r="1707" spans="1:8" hidden="1">
      <c r="A1707">
        <v>4599</v>
      </c>
      <c r="B1707">
        <v>2020</v>
      </c>
      <c r="C1707" t="s">
        <v>250</v>
      </c>
    </row>
    <row r="1708" spans="1:8" hidden="1">
      <c r="A1708">
        <v>5440.8</v>
      </c>
      <c r="B1708">
        <v>2021</v>
      </c>
      <c r="C1708" t="s">
        <v>250</v>
      </c>
    </row>
    <row r="1709" spans="1:8" hidden="1">
      <c r="A1709">
        <v>5444.7</v>
      </c>
      <c r="B1709">
        <v>2022</v>
      </c>
      <c r="C1709" t="s">
        <v>250</v>
      </c>
    </row>
    <row r="1710" spans="1:8" hidden="1">
      <c r="A1710">
        <v>50</v>
      </c>
      <c r="G1710">
        <v>2000</v>
      </c>
      <c r="H1710" t="s">
        <v>92</v>
      </c>
    </row>
    <row r="1711" spans="1:8" hidden="1">
      <c r="A1711">
        <v>50</v>
      </c>
      <c r="G1711">
        <v>2001</v>
      </c>
      <c r="H1711" t="s">
        <v>92</v>
      </c>
    </row>
    <row r="1712" spans="1:8" hidden="1">
      <c r="A1712">
        <v>50</v>
      </c>
      <c r="G1712">
        <v>2002</v>
      </c>
      <c r="H1712" t="s">
        <v>92</v>
      </c>
    </row>
    <row r="1713" spans="1:8" hidden="1">
      <c r="A1713">
        <v>50</v>
      </c>
      <c r="G1713">
        <v>2003</v>
      </c>
      <c r="H1713" t="s">
        <v>92</v>
      </c>
    </row>
    <row r="1714" spans="1:8" hidden="1">
      <c r="A1714">
        <v>50</v>
      </c>
      <c r="G1714">
        <v>2004</v>
      </c>
      <c r="H1714" t="s">
        <v>92</v>
      </c>
    </row>
    <row r="1715" spans="1:8" hidden="1">
      <c r="A1715">
        <v>50</v>
      </c>
      <c r="G1715">
        <v>2005</v>
      </c>
      <c r="H1715" t="s">
        <v>92</v>
      </c>
    </row>
    <row r="1716" spans="1:8" hidden="1">
      <c r="A1716">
        <v>48.1</v>
      </c>
      <c r="G1716">
        <v>2006</v>
      </c>
      <c r="H1716" t="s">
        <v>92</v>
      </c>
    </row>
    <row r="1717" spans="1:8" hidden="1">
      <c r="A1717">
        <v>48</v>
      </c>
      <c r="G1717">
        <v>2007</v>
      </c>
      <c r="H1717" t="s">
        <v>92</v>
      </c>
    </row>
    <row r="1718" spans="1:8" hidden="1">
      <c r="A1718">
        <v>48.1</v>
      </c>
      <c r="G1718">
        <v>2008</v>
      </c>
      <c r="H1718" t="s">
        <v>92</v>
      </c>
    </row>
    <row r="1719" spans="1:8" hidden="1">
      <c r="A1719">
        <v>48.1</v>
      </c>
      <c r="G1719">
        <v>2009</v>
      </c>
      <c r="H1719" t="s">
        <v>92</v>
      </c>
    </row>
    <row r="1720" spans="1:8" hidden="1">
      <c r="A1720">
        <v>48.1</v>
      </c>
      <c r="G1720">
        <v>2010</v>
      </c>
      <c r="H1720" t="s">
        <v>92</v>
      </c>
    </row>
    <row r="1721" spans="1:8" hidden="1">
      <c r="A1721">
        <v>46.9</v>
      </c>
      <c r="G1721">
        <v>2011</v>
      </c>
      <c r="H1721" t="s">
        <v>92</v>
      </c>
    </row>
    <row r="1722" spans="1:8" hidden="1">
      <c r="A1722">
        <v>46.9</v>
      </c>
      <c r="G1722">
        <v>2012</v>
      </c>
      <c r="H1722" t="s">
        <v>92</v>
      </c>
    </row>
    <row r="1723" spans="1:8" hidden="1">
      <c r="A1723">
        <v>46.1</v>
      </c>
      <c r="G1723">
        <v>2013</v>
      </c>
      <c r="H1723" t="s">
        <v>92</v>
      </c>
    </row>
    <row r="1724" spans="1:8" hidden="1">
      <c r="A1724">
        <v>46.1</v>
      </c>
      <c r="G1724">
        <v>2014</v>
      </c>
      <c r="H1724" t="s">
        <v>92</v>
      </c>
    </row>
    <row r="1725" spans="1:8" hidden="1">
      <c r="A1725">
        <v>46.1</v>
      </c>
      <c r="G1725">
        <v>2015</v>
      </c>
      <c r="H1725" t="s">
        <v>92</v>
      </c>
    </row>
    <row r="1726" spans="1:8" hidden="1">
      <c r="A1726">
        <v>46.2</v>
      </c>
      <c r="G1726">
        <v>2016</v>
      </c>
      <c r="H1726" t="s">
        <v>92</v>
      </c>
    </row>
    <row r="1727" spans="1:8" hidden="1">
      <c r="A1727">
        <v>46.2</v>
      </c>
      <c r="G1727">
        <v>2017</v>
      </c>
      <c r="H1727" t="s">
        <v>92</v>
      </c>
    </row>
    <row r="1728" spans="1:8" hidden="1">
      <c r="A1728">
        <v>46.2</v>
      </c>
      <c r="G1728">
        <v>2018</v>
      </c>
      <c r="H1728" t="s">
        <v>92</v>
      </c>
    </row>
    <row r="1729" spans="1:10" hidden="1">
      <c r="A1729">
        <v>46.2</v>
      </c>
      <c r="G1729">
        <v>2019</v>
      </c>
      <c r="H1729" t="s">
        <v>92</v>
      </c>
    </row>
    <row r="1730" spans="1:10" hidden="1">
      <c r="A1730">
        <v>45.3</v>
      </c>
      <c r="G1730">
        <v>2020</v>
      </c>
      <c r="H1730" t="s">
        <v>92</v>
      </c>
    </row>
    <row r="1731" spans="1:10" hidden="1">
      <c r="A1731">
        <v>46</v>
      </c>
      <c r="G1731">
        <v>2021</v>
      </c>
      <c r="H1731" t="s">
        <v>92</v>
      </c>
    </row>
    <row r="1732" spans="1:10" hidden="1">
      <c r="A1732">
        <v>45.9</v>
      </c>
      <c r="G1732">
        <v>2022</v>
      </c>
      <c r="H1732" t="s">
        <v>92</v>
      </c>
    </row>
    <row r="1733" spans="1:10">
      <c r="A1733">
        <v>250</v>
      </c>
      <c r="E1733">
        <v>2000</v>
      </c>
      <c r="F1733" s="48" t="s">
        <v>92</v>
      </c>
      <c r="I1733">
        <f t="shared" ref="I1733:I1755" si="20">E1733</f>
        <v>2000</v>
      </c>
      <c r="J1733">
        <f t="shared" ref="J1733:J1755" si="21">A1733</f>
        <v>250</v>
      </c>
    </row>
    <row r="1734" spans="1:10">
      <c r="A1734">
        <v>250</v>
      </c>
      <c r="E1734">
        <v>2001</v>
      </c>
      <c r="F1734" s="48" t="s">
        <v>92</v>
      </c>
      <c r="I1734">
        <f t="shared" si="20"/>
        <v>2001</v>
      </c>
      <c r="J1734">
        <f t="shared" si="21"/>
        <v>250</v>
      </c>
    </row>
    <row r="1735" spans="1:10">
      <c r="A1735">
        <v>282</v>
      </c>
      <c r="E1735">
        <v>2002</v>
      </c>
      <c r="F1735" s="48" t="s">
        <v>92</v>
      </c>
      <c r="I1735">
        <f t="shared" si="20"/>
        <v>2002</v>
      </c>
      <c r="J1735">
        <f t="shared" si="21"/>
        <v>282</v>
      </c>
    </row>
    <row r="1736" spans="1:10">
      <c r="A1736">
        <v>329</v>
      </c>
      <c r="E1736">
        <v>2003</v>
      </c>
      <c r="F1736" s="48" t="s">
        <v>92</v>
      </c>
      <c r="I1736">
        <f t="shared" si="20"/>
        <v>2003</v>
      </c>
      <c r="J1736">
        <f t="shared" si="21"/>
        <v>329</v>
      </c>
    </row>
    <row r="1737" spans="1:10">
      <c r="A1737">
        <v>344</v>
      </c>
      <c r="E1737">
        <v>2004</v>
      </c>
      <c r="F1737" s="48" t="s">
        <v>92</v>
      </c>
      <c r="I1737">
        <f t="shared" si="20"/>
        <v>2004</v>
      </c>
      <c r="J1737">
        <f t="shared" si="21"/>
        <v>344</v>
      </c>
    </row>
    <row r="1738" spans="1:10">
      <c r="A1738">
        <v>174</v>
      </c>
      <c r="E1738">
        <v>2005</v>
      </c>
      <c r="F1738" s="48" t="s">
        <v>92</v>
      </c>
      <c r="I1738">
        <f t="shared" si="20"/>
        <v>2005</v>
      </c>
      <c r="J1738">
        <f t="shared" si="21"/>
        <v>174</v>
      </c>
    </row>
    <row r="1739" spans="1:10">
      <c r="A1739">
        <v>376.9</v>
      </c>
      <c r="E1739">
        <v>2006</v>
      </c>
      <c r="F1739" s="48" t="s">
        <v>92</v>
      </c>
      <c r="I1739">
        <f t="shared" si="20"/>
        <v>2006</v>
      </c>
      <c r="J1739">
        <f t="shared" si="21"/>
        <v>376.9</v>
      </c>
    </row>
    <row r="1740" spans="1:10">
      <c r="A1740">
        <v>372</v>
      </c>
      <c r="E1740">
        <v>2007</v>
      </c>
      <c r="F1740" s="48" t="s">
        <v>92</v>
      </c>
      <c r="I1740">
        <f t="shared" si="20"/>
        <v>2007</v>
      </c>
      <c r="J1740">
        <f t="shared" si="21"/>
        <v>372</v>
      </c>
    </row>
    <row r="1741" spans="1:10">
      <c r="A1741">
        <v>354.6</v>
      </c>
      <c r="E1741">
        <v>2008</v>
      </c>
      <c r="F1741" s="48" t="s">
        <v>92</v>
      </c>
      <c r="I1741">
        <f t="shared" si="20"/>
        <v>2008</v>
      </c>
      <c r="J1741">
        <f t="shared" si="21"/>
        <v>354.6</v>
      </c>
    </row>
    <row r="1742" spans="1:10">
      <c r="A1742">
        <v>330</v>
      </c>
      <c r="E1742">
        <v>2009</v>
      </c>
      <c r="F1742" s="48" t="s">
        <v>92</v>
      </c>
      <c r="I1742">
        <f t="shared" si="20"/>
        <v>2009</v>
      </c>
      <c r="J1742">
        <f t="shared" si="21"/>
        <v>330</v>
      </c>
    </row>
    <row r="1743" spans="1:10">
      <c r="A1743">
        <v>369.4</v>
      </c>
      <c r="E1743">
        <v>2010</v>
      </c>
      <c r="F1743" s="48" t="s">
        <v>92</v>
      </c>
      <c r="I1743">
        <f t="shared" si="20"/>
        <v>2010</v>
      </c>
      <c r="J1743">
        <f t="shared" si="21"/>
        <v>369.4</v>
      </c>
    </row>
    <row r="1744" spans="1:10">
      <c r="A1744">
        <v>336.6</v>
      </c>
      <c r="E1744">
        <v>2011</v>
      </c>
      <c r="F1744" s="48" t="s">
        <v>92</v>
      </c>
      <c r="I1744">
        <f t="shared" si="20"/>
        <v>2011</v>
      </c>
      <c r="J1744">
        <f t="shared" si="21"/>
        <v>336.6</v>
      </c>
    </row>
    <row r="1745" spans="1:10">
      <c r="A1745">
        <v>322.39999999999998</v>
      </c>
      <c r="E1745">
        <v>2012</v>
      </c>
      <c r="F1745" s="48" t="s">
        <v>92</v>
      </c>
      <c r="I1745">
        <f t="shared" si="20"/>
        <v>2012</v>
      </c>
      <c r="J1745">
        <f t="shared" si="21"/>
        <v>322.39999999999998</v>
      </c>
    </row>
    <row r="1746" spans="1:10">
      <c r="A1746">
        <v>326.3</v>
      </c>
      <c r="E1746">
        <v>2013</v>
      </c>
      <c r="F1746" s="48" t="s">
        <v>92</v>
      </c>
      <c r="I1746">
        <f t="shared" si="20"/>
        <v>2013</v>
      </c>
      <c r="J1746">
        <f t="shared" si="21"/>
        <v>326.3</v>
      </c>
    </row>
    <row r="1747" spans="1:10">
      <c r="A1747">
        <v>629.29999999999995</v>
      </c>
      <c r="E1747">
        <v>2014</v>
      </c>
      <c r="F1747" s="48" t="s">
        <v>92</v>
      </c>
      <c r="I1747">
        <f t="shared" si="20"/>
        <v>2014</v>
      </c>
      <c r="J1747">
        <f t="shared" si="21"/>
        <v>629.29999999999995</v>
      </c>
    </row>
    <row r="1748" spans="1:10">
      <c r="A1748">
        <v>643.4</v>
      </c>
      <c r="E1748">
        <v>2015</v>
      </c>
      <c r="F1748" s="48" t="s">
        <v>92</v>
      </c>
      <c r="I1748">
        <f t="shared" si="20"/>
        <v>2015</v>
      </c>
      <c r="J1748">
        <f t="shared" si="21"/>
        <v>643.4</v>
      </c>
    </row>
    <row r="1749" spans="1:10">
      <c r="A1749">
        <v>554.4</v>
      </c>
      <c r="E1749">
        <v>2016</v>
      </c>
      <c r="F1749" s="48" t="s">
        <v>92</v>
      </c>
      <c r="I1749">
        <f t="shared" si="20"/>
        <v>2016</v>
      </c>
      <c r="J1749">
        <f t="shared" si="21"/>
        <v>554.4</v>
      </c>
    </row>
    <row r="1750" spans="1:10">
      <c r="A1750">
        <v>489.1</v>
      </c>
      <c r="E1750">
        <v>2017</v>
      </c>
      <c r="F1750" s="48" t="s">
        <v>92</v>
      </c>
      <c r="I1750">
        <f t="shared" si="20"/>
        <v>2017</v>
      </c>
      <c r="J1750">
        <f t="shared" si="21"/>
        <v>489.1</v>
      </c>
    </row>
    <row r="1751" spans="1:10">
      <c r="A1751">
        <v>472.3</v>
      </c>
      <c r="E1751">
        <v>2018</v>
      </c>
      <c r="F1751" s="48" t="s">
        <v>92</v>
      </c>
      <c r="I1751">
        <f t="shared" si="20"/>
        <v>2018</v>
      </c>
      <c r="J1751">
        <f t="shared" si="21"/>
        <v>472.3</v>
      </c>
    </row>
    <row r="1752" spans="1:10">
      <c r="A1752">
        <v>436.1</v>
      </c>
      <c r="E1752">
        <v>2019</v>
      </c>
      <c r="F1752" s="48" t="s">
        <v>92</v>
      </c>
      <c r="I1752">
        <f t="shared" si="20"/>
        <v>2019</v>
      </c>
      <c r="J1752">
        <f t="shared" si="21"/>
        <v>436.1</v>
      </c>
    </row>
    <row r="1753" spans="1:10">
      <c r="A1753">
        <v>440.9</v>
      </c>
      <c r="E1753">
        <v>2020</v>
      </c>
      <c r="F1753" s="48" t="s">
        <v>92</v>
      </c>
      <c r="I1753">
        <f t="shared" si="20"/>
        <v>2020</v>
      </c>
      <c r="J1753">
        <f t="shared" si="21"/>
        <v>440.9</v>
      </c>
    </row>
    <row r="1754" spans="1:10">
      <c r="A1754">
        <v>405.4</v>
      </c>
      <c r="E1754">
        <v>2021</v>
      </c>
      <c r="F1754" s="48" t="s">
        <v>92</v>
      </c>
      <c r="I1754">
        <f t="shared" si="20"/>
        <v>2021</v>
      </c>
      <c r="J1754">
        <f t="shared" si="21"/>
        <v>405.4</v>
      </c>
    </row>
    <row r="1755" spans="1:10">
      <c r="A1755">
        <v>303.3</v>
      </c>
      <c r="E1755">
        <v>2022</v>
      </c>
      <c r="F1755" s="48" t="s">
        <v>92</v>
      </c>
      <c r="I1755">
        <f t="shared" si="20"/>
        <v>2022</v>
      </c>
      <c r="J1755">
        <f t="shared" si="21"/>
        <v>303.3</v>
      </c>
    </row>
    <row r="1756" spans="1:10" hidden="1">
      <c r="A1756">
        <v>1566</v>
      </c>
      <c r="D1756">
        <v>2000</v>
      </c>
      <c r="E1756" t="s">
        <v>92</v>
      </c>
    </row>
    <row r="1757" spans="1:10" hidden="1">
      <c r="A1757">
        <v>1566</v>
      </c>
      <c r="D1757">
        <v>2001</v>
      </c>
      <c r="E1757" t="s">
        <v>92</v>
      </c>
    </row>
    <row r="1758" spans="1:10" hidden="1">
      <c r="A1758">
        <v>1026.3</v>
      </c>
      <c r="D1758">
        <v>2002</v>
      </c>
      <c r="E1758" t="s">
        <v>92</v>
      </c>
    </row>
    <row r="1759" spans="1:10" hidden="1">
      <c r="A1759">
        <v>951.5</v>
      </c>
      <c r="D1759">
        <v>2003</v>
      </c>
      <c r="E1759" t="s">
        <v>92</v>
      </c>
    </row>
    <row r="1760" spans="1:10" hidden="1">
      <c r="A1760">
        <v>979.7</v>
      </c>
      <c r="D1760">
        <v>2004</v>
      </c>
      <c r="E1760" t="s">
        <v>92</v>
      </c>
    </row>
    <row r="1761" spans="1:5" hidden="1">
      <c r="A1761">
        <v>1005.9</v>
      </c>
      <c r="D1761">
        <v>2005</v>
      </c>
      <c r="E1761" t="s">
        <v>92</v>
      </c>
    </row>
    <row r="1762" spans="1:5" hidden="1">
      <c r="A1762">
        <v>2519</v>
      </c>
      <c r="D1762">
        <v>2006</v>
      </c>
      <c r="E1762" t="s">
        <v>92</v>
      </c>
    </row>
    <row r="1763" spans="1:5" hidden="1">
      <c r="A1763">
        <v>2110</v>
      </c>
      <c r="D1763">
        <v>2007</v>
      </c>
      <c r="E1763" t="s">
        <v>92</v>
      </c>
    </row>
    <row r="1764" spans="1:5" hidden="1">
      <c r="A1764">
        <v>1701</v>
      </c>
      <c r="D1764">
        <v>2008</v>
      </c>
      <c r="E1764" t="s">
        <v>92</v>
      </c>
    </row>
    <row r="1765" spans="1:5" hidden="1">
      <c r="A1765">
        <v>1292</v>
      </c>
      <c r="D1765">
        <v>2009</v>
      </c>
      <c r="E1765" t="s">
        <v>92</v>
      </c>
    </row>
    <row r="1766" spans="1:5" hidden="1">
      <c r="A1766">
        <v>1422</v>
      </c>
      <c r="D1766">
        <v>2010</v>
      </c>
      <c r="E1766" t="s">
        <v>92</v>
      </c>
    </row>
    <row r="1767" spans="1:5" hidden="1">
      <c r="A1767">
        <v>1347.4</v>
      </c>
      <c r="D1767">
        <v>2011</v>
      </c>
      <c r="E1767" t="s">
        <v>92</v>
      </c>
    </row>
    <row r="1768" spans="1:5" hidden="1">
      <c r="A1768">
        <v>1272.7</v>
      </c>
      <c r="D1768">
        <v>2012</v>
      </c>
      <c r="E1768" t="s">
        <v>92</v>
      </c>
    </row>
    <row r="1769" spans="1:5" hidden="1">
      <c r="A1769">
        <v>1429</v>
      </c>
      <c r="D1769">
        <v>2013</v>
      </c>
      <c r="E1769" t="s">
        <v>92</v>
      </c>
    </row>
    <row r="1770" spans="1:5" hidden="1">
      <c r="A1770">
        <v>1427.8</v>
      </c>
      <c r="D1770">
        <v>2014</v>
      </c>
      <c r="E1770" t="s">
        <v>92</v>
      </c>
    </row>
    <row r="1771" spans="1:5" hidden="1">
      <c r="A1771">
        <v>1362</v>
      </c>
      <c r="D1771">
        <v>2015</v>
      </c>
      <c r="E1771" t="s">
        <v>92</v>
      </c>
    </row>
    <row r="1772" spans="1:5" hidden="1">
      <c r="A1772">
        <v>1416.9</v>
      </c>
      <c r="D1772">
        <v>2016</v>
      </c>
      <c r="E1772" t="s">
        <v>92</v>
      </c>
    </row>
    <row r="1773" spans="1:5" hidden="1">
      <c r="A1773">
        <v>1109.2</v>
      </c>
      <c r="D1773">
        <v>2017</v>
      </c>
      <c r="E1773" t="s">
        <v>92</v>
      </c>
    </row>
    <row r="1774" spans="1:5" hidden="1">
      <c r="A1774">
        <v>1434</v>
      </c>
      <c r="D1774">
        <v>2018</v>
      </c>
      <c r="E1774" t="s">
        <v>92</v>
      </c>
    </row>
    <row r="1775" spans="1:5" hidden="1">
      <c r="A1775">
        <v>1548.4</v>
      </c>
      <c r="D1775">
        <v>2019</v>
      </c>
      <c r="E1775" t="s">
        <v>92</v>
      </c>
    </row>
    <row r="1776" spans="1:5" hidden="1">
      <c r="A1776">
        <v>1498.9</v>
      </c>
      <c r="D1776">
        <v>2020</v>
      </c>
      <c r="E1776" t="s">
        <v>92</v>
      </c>
    </row>
    <row r="1777" spans="1:5" hidden="1">
      <c r="A1777">
        <v>1406.6</v>
      </c>
      <c r="D1777">
        <v>2021</v>
      </c>
      <c r="E1777" t="s">
        <v>92</v>
      </c>
    </row>
    <row r="1778" spans="1:5" hidden="1">
      <c r="A1778">
        <v>1288.0999999999999</v>
      </c>
      <c r="D1778">
        <v>2022</v>
      </c>
      <c r="E1778" t="s">
        <v>92</v>
      </c>
    </row>
    <row r="1779" spans="1:5" hidden="1">
      <c r="A1779">
        <v>0</v>
      </c>
      <c r="C1779">
        <v>2000</v>
      </c>
      <c r="D1779" t="s">
        <v>92</v>
      </c>
    </row>
    <row r="1780" spans="1:5" hidden="1">
      <c r="A1780">
        <v>0</v>
      </c>
      <c r="C1780">
        <v>2001</v>
      </c>
      <c r="D1780" t="s">
        <v>92</v>
      </c>
    </row>
    <row r="1781" spans="1:5" hidden="1">
      <c r="A1781">
        <v>0</v>
      </c>
      <c r="C1781">
        <v>2002</v>
      </c>
      <c r="D1781" t="s">
        <v>92</v>
      </c>
    </row>
    <row r="1782" spans="1:5" hidden="1">
      <c r="A1782">
        <v>0</v>
      </c>
      <c r="C1782">
        <v>2003</v>
      </c>
      <c r="D1782" t="s">
        <v>92</v>
      </c>
    </row>
    <row r="1783" spans="1:5" hidden="1">
      <c r="A1783">
        <v>0</v>
      </c>
      <c r="C1783">
        <v>2004</v>
      </c>
      <c r="D1783" t="s">
        <v>92</v>
      </c>
    </row>
    <row r="1784" spans="1:5" hidden="1">
      <c r="A1784">
        <v>0</v>
      </c>
      <c r="C1784">
        <v>2005</v>
      </c>
      <c r="D1784" t="s">
        <v>92</v>
      </c>
    </row>
    <row r="1785" spans="1:5" hidden="1">
      <c r="A1785">
        <v>15</v>
      </c>
      <c r="C1785">
        <v>2006</v>
      </c>
      <c r="D1785" t="s">
        <v>92</v>
      </c>
    </row>
    <row r="1786" spans="1:5" hidden="1">
      <c r="A1786">
        <v>0</v>
      </c>
      <c r="C1786">
        <v>2007</v>
      </c>
      <c r="D1786" t="s">
        <v>92</v>
      </c>
    </row>
    <row r="1787" spans="1:5" hidden="1">
      <c r="A1787">
        <v>0</v>
      </c>
      <c r="C1787">
        <v>2008</v>
      </c>
      <c r="D1787" t="s">
        <v>92</v>
      </c>
    </row>
    <row r="1788" spans="1:5" hidden="1">
      <c r="A1788">
        <v>2.4</v>
      </c>
      <c r="C1788">
        <v>2009</v>
      </c>
      <c r="D1788" t="s">
        <v>92</v>
      </c>
    </row>
    <row r="1789" spans="1:5" hidden="1">
      <c r="A1789">
        <v>2.2000000000000002</v>
      </c>
      <c r="C1789">
        <v>2010</v>
      </c>
      <c r="D1789" t="s">
        <v>92</v>
      </c>
    </row>
    <row r="1790" spans="1:5" hidden="1">
      <c r="A1790">
        <v>2</v>
      </c>
      <c r="C1790">
        <v>2011</v>
      </c>
      <c r="D1790" t="s">
        <v>92</v>
      </c>
    </row>
    <row r="1791" spans="1:5" hidden="1">
      <c r="A1791">
        <v>18.899999999999999</v>
      </c>
      <c r="C1791">
        <v>2012</v>
      </c>
      <c r="D1791" t="s">
        <v>92</v>
      </c>
    </row>
    <row r="1792" spans="1:5" hidden="1">
      <c r="A1792">
        <v>13.7</v>
      </c>
      <c r="C1792">
        <v>2013</v>
      </c>
      <c r="D1792" t="s">
        <v>92</v>
      </c>
    </row>
    <row r="1793" spans="1:4" hidden="1">
      <c r="A1793">
        <v>11.8</v>
      </c>
      <c r="C1793">
        <v>2014</v>
      </c>
      <c r="D1793" t="s">
        <v>92</v>
      </c>
    </row>
    <row r="1794" spans="1:4" hidden="1">
      <c r="A1794">
        <v>5.3</v>
      </c>
      <c r="C1794">
        <v>2015</v>
      </c>
      <c r="D1794" t="s">
        <v>92</v>
      </c>
    </row>
    <row r="1795" spans="1:4" hidden="1">
      <c r="A1795">
        <v>10.5</v>
      </c>
      <c r="C1795">
        <v>2016</v>
      </c>
      <c r="D1795" t="s">
        <v>92</v>
      </c>
    </row>
    <row r="1796" spans="1:4" hidden="1">
      <c r="A1796">
        <v>5.8</v>
      </c>
      <c r="C1796">
        <v>2017</v>
      </c>
      <c r="D1796" t="s">
        <v>92</v>
      </c>
    </row>
    <row r="1797" spans="1:4" hidden="1">
      <c r="A1797">
        <v>7.3</v>
      </c>
      <c r="C1797">
        <v>2018</v>
      </c>
      <c r="D1797" t="s">
        <v>92</v>
      </c>
    </row>
    <row r="1798" spans="1:4" hidden="1">
      <c r="A1798">
        <v>13.9</v>
      </c>
      <c r="C1798">
        <v>2019</v>
      </c>
      <c r="D1798" t="s">
        <v>92</v>
      </c>
    </row>
    <row r="1799" spans="1:4" hidden="1">
      <c r="A1799">
        <v>8.4</v>
      </c>
      <c r="C1799">
        <v>2020</v>
      </c>
      <c r="D1799" t="s">
        <v>92</v>
      </c>
    </row>
    <row r="1800" spans="1:4" hidden="1">
      <c r="A1800">
        <v>7.7</v>
      </c>
      <c r="C1800">
        <v>2021</v>
      </c>
      <c r="D1800" t="s">
        <v>92</v>
      </c>
    </row>
    <row r="1801" spans="1:4" hidden="1">
      <c r="A1801">
        <v>11</v>
      </c>
      <c r="C1801">
        <v>2022</v>
      </c>
      <c r="D1801" t="s">
        <v>92</v>
      </c>
    </row>
    <row r="1802" spans="1:4" hidden="1">
      <c r="A1802">
        <v>404</v>
      </c>
      <c r="B1802">
        <v>2000</v>
      </c>
      <c r="C1802" t="s">
        <v>92</v>
      </c>
    </row>
    <row r="1803" spans="1:4" hidden="1">
      <c r="A1803">
        <v>404</v>
      </c>
      <c r="B1803">
        <v>2001</v>
      </c>
      <c r="C1803" t="s">
        <v>92</v>
      </c>
    </row>
    <row r="1804" spans="1:4" hidden="1">
      <c r="A1804">
        <v>404</v>
      </c>
      <c r="B1804">
        <v>2002</v>
      </c>
      <c r="C1804" t="s">
        <v>92</v>
      </c>
    </row>
    <row r="1805" spans="1:4" hidden="1">
      <c r="A1805">
        <v>404</v>
      </c>
      <c r="B1805">
        <v>2003</v>
      </c>
      <c r="C1805" t="s">
        <v>92</v>
      </c>
    </row>
    <row r="1806" spans="1:4" hidden="1">
      <c r="A1806">
        <v>404</v>
      </c>
      <c r="B1806">
        <v>2004</v>
      </c>
      <c r="C1806" t="s">
        <v>92</v>
      </c>
    </row>
    <row r="1807" spans="1:4" hidden="1">
      <c r="A1807">
        <v>404</v>
      </c>
      <c r="B1807">
        <v>2005</v>
      </c>
      <c r="C1807" t="s">
        <v>92</v>
      </c>
    </row>
    <row r="1808" spans="1:4" hidden="1">
      <c r="A1808">
        <v>394.8</v>
      </c>
      <c r="B1808">
        <v>2006</v>
      </c>
      <c r="C1808" t="s">
        <v>92</v>
      </c>
    </row>
    <row r="1809" spans="1:3" hidden="1">
      <c r="A1809">
        <v>392.8</v>
      </c>
      <c r="B1809">
        <v>2007</v>
      </c>
      <c r="C1809" t="s">
        <v>92</v>
      </c>
    </row>
    <row r="1810" spans="1:3" hidden="1">
      <c r="A1810">
        <v>372.4</v>
      </c>
      <c r="B1810">
        <v>2008</v>
      </c>
      <c r="C1810" t="s">
        <v>92</v>
      </c>
    </row>
    <row r="1811" spans="1:3" hidden="1">
      <c r="A1811">
        <v>369.7</v>
      </c>
      <c r="B1811">
        <v>2009</v>
      </c>
      <c r="C1811" t="s">
        <v>92</v>
      </c>
    </row>
    <row r="1812" spans="1:3" hidden="1">
      <c r="A1812">
        <v>410</v>
      </c>
      <c r="B1812">
        <v>2010</v>
      </c>
      <c r="C1812" t="s">
        <v>92</v>
      </c>
    </row>
    <row r="1813" spans="1:3" hidden="1">
      <c r="A1813">
        <v>400</v>
      </c>
      <c r="B1813">
        <v>2011</v>
      </c>
      <c r="C1813" t="s">
        <v>92</v>
      </c>
    </row>
    <row r="1814" spans="1:3" hidden="1">
      <c r="A1814">
        <v>414</v>
      </c>
      <c r="B1814">
        <v>2012</v>
      </c>
      <c r="C1814" t="s">
        <v>92</v>
      </c>
    </row>
    <row r="1815" spans="1:3" hidden="1">
      <c r="A1815">
        <v>412</v>
      </c>
      <c r="B1815">
        <v>2013</v>
      </c>
      <c r="C1815" t="s">
        <v>92</v>
      </c>
    </row>
    <row r="1816" spans="1:3" hidden="1">
      <c r="A1816">
        <v>409</v>
      </c>
      <c r="B1816">
        <v>2014</v>
      </c>
      <c r="C1816" t="s">
        <v>92</v>
      </c>
    </row>
    <row r="1817" spans="1:3" hidden="1">
      <c r="A1817">
        <v>413.3</v>
      </c>
      <c r="B1817">
        <v>2015</v>
      </c>
      <c r="C1817" t="s">
        <v>92</v>
      </c>
    </row>
    <row r="1818" spans="1:3" hidden="1">
      <c r="A1818">
        <v>417.3</v>
      </c>
      <c r="B1818">
        <v>2016</v>
      </c>
      <c r="C1818" t="s">
        <v>92</v>
      </c>
    </row>
    <row r="1819" spans="1:3" hidden="1">
      <c r="A1819">
        <v>418.5</v>
      </c>
      <c r="B1819">
        <v>2017</v>
      </c>
      <c r="C1819" t="s">
        <v>92</v>
      </c>
    </row>
    <row r="1820" spans="1:3" hidden="1">
      <c r="A1820">
        <v>419.2</v>
      </c>
      <c r="B1820">
        <v>2018</v>
      </c>
      <c r="C1820" t="s">
        <v>92</v>
      </c>
    </row>
    <row r="1821" spans="1:3" hidden="1">
      <c r="A1821">
        <v>419.7</v>
      </c>
      <c r="B1821">
        <v>2019</v>
      </c>
      <c r="C1821" t="s">
        <v>92</v>
      </c>
    </row>
    <row r="1822" spans="1:3" hidden="1">
      <c r="A1822">
        <v>418.1</v>
      </c>
      <c r="B1822">
        <v>2020</v>
      </c>
      <c r="C1822" t="s">
        <v>92</v>
      </c>
    </row>
    <row r="1823" spans="1:3" hidden="1">
      <c r="A1823">
        <v>418.8</v>
      </c>
      <c r="B1823">
        <v>2021</v>
      </c>
      <c r="C1823" t="s">
        <v>92</v>
      </c>
    </row>
    <row r="1824" spans="1:3" hidden="1">
      <c r="A1824">
        <v>419.9</v>
      </c>
      <c r="B1824">
        <v>2022</v>
      </c>
      <c r="C1824" t="s">
        <v>92</v>
      </c>
    </row>
    <row r="1825" spans="1:8" hidden="1">
      <c r="A1825">
        <v>4872</v>
      </c>
      <c r="G1825">
        <v>2000</v>
      </c>
      <c r="H1825" t="s">
        <v>94</v>
      </c>
    </row>
    <row r="1826" spans="1:8" hidden="1">
      <c r="A1826">
        <v>4767.3</v>
      </c>
      <c r="G1826">
        <v>2001</v>
      </c>
      <c r="H1826" t="s">
        <v>94</v>
      </c>
    </row>
    <row r="1827" spans="1:8" hidden="1">
      <c r="A1827">
        <v>4290.6000000000004</v>
      </c>
      <c r="G1827">
        <v>2002</v>
      </c>
      <c r="H1827" t="s">
        <v>94</v>
      </c>
    </row>
    <row r="1828" spans="1:8" hidden="1">
      <c r="A1828">
        <v>5516.9</v>
      </c>
      <c r="G1828">
        <v>2003</v>
      </c>
      <c r="H1828" t="s">
        <v>94</v>
      </c>
    </row>
    <row r="1829" spans="1:8" hidden="1">
      <c r="A1829">
        <v>5148</v>
      </c>
      <c r="G1829">
        <v>2004</v>
      </c>
      <c r="H1829" t="s">
        <v>94</v>
      </c>
    </row>
    <row r="1830" spans="1:8" hidden="1">
      <c r="A1830">
        <v>4695.5</v>
      </c>
      <c r="G1830">
        <v>2005</v>
      </c>
      <c r="H1830" t="s">
        <v>94</v>
      </c>
    </row>
    <row r="1831" spans="1:8" hidden="1">
      <c r="A1831">
        <v>4757.1000000000004</v>
      </c>
      <c r="G1831">
        <v>2006</v>
      </c>
      <c r="H1831" t="s">
        <v>94</v>
      </c>
    </row>
    <row r="1832" spans="1:8" hidden="1">
      <c r="A1832">
        <v>3932.8</v>
      </c>
      <c r="G1832">
        <v>2007</v>
      </c>
      <c r="H1832" t="s">
        <v>94</v>
      </c>
    </row>
    <row r="1833" spans="1:8" hidden="1">
      <c r="A1833">
        <v>2587.9</v>
      </c>
      <c r="G1833">
        <v>2008</v>
      </c>
      <c r="H1833" t="s">
        <v>94</v>
      </c>
    </row>
    <row r="1834" spans="1:8" hidden="1">
      <c r="A1834">
        <v>3144.9</v>
      </c>
      <c r="G1834">
        <v>2009</v>
      </c>
      <c r="H1834" t="s">
        <v>94</v>
      </c>
    </row>
    <row r="1835" spans="1:8" hidden="1">
      <c r="A1835">
        <v>3251.9</v>
      </c>
      <c r="G1835">
        <v>2010</v>
      </c>
      <c r="H1835" t="s">
        <v>94</v>
      </c>
    </row>
    <row r="1836" spans="1:8" hidden="1">
      <c r="A1836">
        <v>3273.7</v>
      </c>
      <c r="G1836">
        <v>2011</v>
      </c>
      <c r="H1836" t="s">
        <v>94</v>
      </c>
    </row>
    <row r="1837" spans="1:8" hidden="1">
      <c r="A1837">
        <v>3145.5</v>
      </c>
      <c r="G1837">
        <v>2012</v>
      </c>
      <c r="H1837" t="s">
        <v>94</v>
      </c>
    </row>
    <row r="1838" spans="1:8" hidden="1">
      <c r="A1838">
        <v>3007.6</v>
      </c>
      <c r="G1838">
        <v>2013</v>
      </c>
      <c r="H1838" t="s">
        <v>94</v>
      </c>
    </row>
    <row r="1839" spans="1:8" hidden="1">
      <c r="A1839">
        <v>2288</v>
      </c>
      <c r="G1839">
        <v>2014</v>
      </c>
      <c r="H1839" t="s">
        <v>94</v>
      </c>
    </row>
    <row r="1840" spans="1:8" hidden="1">
      <c r="A1840">
        <v>3377.8</v>
      </c>
      <c r="G1840">
        <v>2015</v>
      </c>
      <c r="H1840" t="s">
        <v>94</v>
      </c>
    </row>
    <row r="1841" spans="1:8" hidden="1">
      <c r="A1841">
        <v>3273.2</v>
      </c>
      <c r="G1841">
        <v>2016</v>
      </c>
      <c r="H1841" t="s">
        <v>94</v>
      </c>
    </row>
    <row r="1842" spans="1:8" hidden="1">
      <c r="A1842">
        <v>3124.1</v>
      </c>
      <c r="G1842">
        <v>2017</v>
      </c>
      <c r="H1842" t="s">
        <v>94</v>
      </c>
    </row>
    <row r="1843" spans="1:8" hidden="1">
      <c r="A1843">
        <v>3132.7</v>
      </c>
      <c r="G1843">
        <v>2018</v>
      </c>
      <c r="H1843" t="s">
        <v>94</v>
      </c>
    </row>
    <row r="1844" spans="1:8" hidden="1">
      <c r="A1844">
        <v>3322.9</v>
      </c>
      <c r="G1844">
        <v>2019</v>
      </c>
      <c r="H1844" t="s">
        <v>94</v>
      </c>
    </row>
    <row r="1845" spans="1:8" hidden="1">
      <c r="A1845">
        <v>3541.9</v>
      </c>
      <c r="G1845">
        <v>2020</v>
      </c>
      <c r="H1845" t="s">
        <v>94</v>
      </c>
    </row>
    <row r="1846" spans="1:8" hidden="1">
      <c r="A1846">
        <v>2621.9</v>
      </c>
      <c r="G1846">
        <v>2021</v>
      </c>
      <c r="H1846" t="s">
        <v>94</v>
      </c>
    </row>
    <row r="1847" spans="1:8" hidden="1">
      <c r="A1847">
        <v>3309.7</v>
      </c>
      <c r="G1847">
        <v>2022</v>
      </c>
      <c r="H1847" t="s">
        <v>94</v>
      </c>
    </row>
    <row r="1848" spans="1:8" hidden="1">
      <c r="A1848">
        <v>0</v>
      </c>
      <c r="F1848" s="48">
        <v>2000</v>
      </c>
      <c r="G1848" t="s">
        <v>94</v>
      </c>
    </row>
    <row r="1849" spans="1:8" hidden="1">
      <c r="A1849">
        <v>0</v>
      </c>
      <c r="F1849" s="48">
        <v>2001</v>
      </c>
      <c r="G1849" t="s">
        <v>94</v>
      </c>
    </row>
    <row r="1850" spans="1:8" hidden="1">
      <c r="A1850">
        <v>0</v>
      </c>
      <c r="F1850" s="48">
        <v>2002</v>
      </c>
      <c r="G1850" t="s">
        <v>94</v>
      </c>
    </row>
    <row r="1851" spans="1:8" hidden="1">
      <c r="A1851">
        <v>0</v>
      </c>
      <c r="F1851" s="48">
        <v>2003</v>
      </c>
      <c r="G1851" t="s">
        <v>94</v>
      </c>
    </row>
    <row r="1852" spans="1:8" hidden="1">
      <c r="A1852">
        <v>0</v>
      </c>
      <c r="F1852" s="48">
        <v>2004</v>
      </c>
      <c r="G1852" t="s">
        <v>94</v>
      </c>
    </row>
    <row r="1853" spans="1:8" hidden="1">
      <c r="A1853">
        <v>0</v>
      </c>
      <c r="F1853" s="48">
        <v>2005</v>
      </c>
      <c r="G1853" t="s">
        <v>94</v>
      </c>
    </row>
    <row r="1854" spans="1:8" hidden="1">
      <c r="A1854">
        <v>0</v>
      </c>
      <c r="F1854" s="48">
        <v>2006</v>
      </c>
      <c r="G1854" t="s">
        <v>94</v>
      </c>
    </row>
    <row r="1855" spans="1:8" hidden="1">
      <c r="A1855">
        <v>0</v>
      </c>
      <c r="F1855" s="48">
        <v>2007</v>
      </c>
      <c r="G1855" t="s">
        <v>94</v>
      </c>
    </row>
    <row r="1856" spans="1:8" hidden="1">
      <c r="A1856">
        <v>0</v>
      </c>
      <c r="F1856" s="48">
        <v>2008</v>
      </c>
      <c r="G1856" t="s">
        <v>94</v>
      </c>
    </row>
    <row r="1857" spans="1:10" hidden="1">
      <c r="A1857">
        <v>0</v>
      </c>
      <c r="F1857" s="48">
        <v>2009</v>
      </c>
      <c r="G1857" t="s">
        <v>94</v>
      </c>
    </row>
    <row r="1858" spans="1:10" hidden="1">
      <c r="A1858">
        <v>36.4</v>
      </c>
      <c r="F1858" s="48">
        <v>2010</v>
      </c>
      <c r="G1858" t="s">
        <v>94</v>
      </c>
    </row>
    <row r="1859" spans="1:10" hidden="1">
      <c r="A1859">
        <v>22.2</v>
      </c>
      <c r="F1859" s="48">
        <v>2011</v>
      </c>
      <c r="G1859" t="s">
        <v>94</v>
      </c>
    </row>
    <row r="1860" spans="1:10" hidden="1">
      <c r="A1860">
        <v>12.9</v>
      </c>
      <c r="F1860" s="48">
        <v>2012</v>
      </c>
      <c r="G1860" t="s">
        <v>94</v>
      </c>
    </row>
    <row r="1861" spans="1:10" hidden="1">
      <c r="A1861">
        <v>6</v>
      </c>
      <c r="F1861" s="48">
        <v>2013</v>
      </c>
      <c r="G1861" t="s">
        <v>94</v>
      </c>
    </row>
    <row r="1862" spans="1:10" hidden="1">
      <c r="A1862">
        <v>3.4</v>
      </c>
      <c r="F1862" s="48">
        <v>2014</v>
      </c>
      <c r="G1862" t="s">
        <v>94</v>
      </c>
    </row>
    <row r="1863" spans="1:10" hidden="1">
      <c r="A1863">
        <v>4.0999999999999996</v>
      </c>
      <c r="F1863" s="48">
        <v>2015</v>
      </c>
      <c r="G1863" t="s">
        <v>94</v>
      </c>
    </row>
    <row r="1864" spans="1:10" hidden="1">
      <c r="A1864">
        <v>2.7</v>
      </c>
      <c r="F1864" s="48">
        <v>2016</v>
      </c>
      <c r="G1864" t="s">
        <v>94</v>
      </c>
    </row>
    <row r="1865" spans="1:10" hidden="1">
      <c r="A1865">
        <v>4.0999999999999996</v>
      </c>
      <c r="F1865" s="48">
        <v>2017</v>
      </c>
      <c r="G1865" t="s">
        <v>94</v>
      </c>
    </row>
    <row r="1866" spans="1:10" hidden="1">
      <c r="A1866">
        <v>0.7</v>
      </c>
      <c r="F1866" s="48">
        <v>2018</v>
      </c>
      <c r="G1866" t="s">
        <v>94</v>
      </c>
    </row>
    <row r="1867" spans="1:10" hidden="1">
      <c r="A1867">
        <v>3</v>
      </c>
      <c r="F1867" s="48">
        <v>2019</v>
      </c>
      <c r="G1867" t="s">
        <v>94</v>
      </c>
    </row>
    <row r="1868" spans="1:10" hidden="1">
      <c r="A1868">
        <v>7.3</v>
      </c>
      <c r="F1868" s="48">
        <v>2020</v>
      </c>
      <c r="G1868" t="s">
        <v>94</v>
      </c>
    </row>
    <row r="1869" spans="1:10" hidden="1">
      <c r="A1869">
        <v>9.8000000000000007</v>
      </c>
      <c r="F1869" s="48">
        <v>2021</v>
      </c>
      <c r="G1869" t="s">
        <v>94</v>
      </c>
    </row>
    <row r="1870" spans="1:10" hidden="1">
      <c r="A1870">
        <v>0</v>
      </c>
      <c r="F1870" s="48">
        <v>2022</v>
      </c>
      <c r="G1870" t="s">
        <v>94</v>
      </c>
    </row>
    <row r="1871" spans="1:10">
      <c r="A1871">
        <v>18338.8</v>
      </c>
      <c r="E1871">
        <v>2000</v>
      </c>
      <c r="F1871" s="48" t="s">
        <v>94</v>
      </c>
      <c r="I1871">
        <f t="shared" ref="I1871:I1893" si="22">E1871</f>
        <v>2000</v>
      </c>
      <c r="J1871">
        <f t="shared" ref="J1871:J1893" si="23">A1871</f>
        <v>18338.8</v>
      </c>
    </row>
    <row r="1872" spans="1:10">
      <c r="A1872">
        <v>19161.3</v>
      </c>
      <c r="E1872">
        <v>2001</v>
      </c>
      <c r="F1872" s="48" t="s">
        <v>94</v>
      </c>
      <c r="I1872">
        <f t="shared" si="22"/>
        <v>2001</v>
      </c>
      <c r="J1872">
        <f t="shared" si="23"/>
        <v>19161.3</v>
      </c>
    </row>
    <row r="1873" spans="1:10">
      <c r="A1873">
        <v>18508</v>
      </c>
      <c r="E1873">
        <v>2002</v>
      </c>
      <c r="F1873" s="48" t="s">
        <v>94</v>
      </c>
      <c r="I1873">
        <f t="shared" si="22"/>
        <v>2002</v>
      </c>
      <c r="J1873">
        <f t="shared" si="23"/>
        <v>18508</v>
      </c>
    </row>
    <row r="1874" spans="1:10">
      <c r="A1874">
        <v>20095.400000000001</v>
      </c>
      <c r="E1874">
        <v>2003</v>
      </c>
      <c r="F1874" s="48" t="s">
        <v>94</v>
      </c>
      <c r="I1874">
        <f t="shared" si="22"/>
        <v>2003</v>
      </c>
      <c r="J1874">
        <f t="shared" si="23"/>
        <v>20095.400000000001</v>
      </c>
    </row>
    <row r="1875" spans="1:10">
      <c r="A1875">
        <v>19077.8</v>
      </c>
      <c r="E1875">
        <v>2004</v>
      </c>
      <c r="F1875" s="48" t="s">
        <v>94</v>
      </c>
      <c r="I1875">
        <f t="shared" si="22"/>
        <v>2004</v>
      </c>
      <c r="J1875">
        <f t="shared" si="23"/>
        <v>19077.8</v>
      </c>
    </row>
    <row r="1876" spans="1:10">
      <c r="A1876">
        <v>19787.5</v>
      </c>
      <c r="E1876">
        <v>2005</v>
      </c>
      <c r="F1876" s="48" t="s">
        <v>94</v>
      </c>
      <c r="I1876">
        <f t="shared" si="22"/>
        <v>2005</v>
      </c>
      <c r="J1876">
        <f t="shared" si="23"/>
        <v>19787.5</v>
      </c>
    </row>
    <row r="1877" spans="1:10">
      <c r="A1877">
        <v>18937.3</v>
      </c>
      <c r="E1877">
        <v>2006</v>
      </c>
      <c r="F1877" s="48" t="s">
        <v>94</v>
      </c>
      <c r="I1877">
        <f t="shared" si="22"/>
        <v>2006</v>
      </c>
      <c r="J1877">
        <f t="shared" si="23"/>
        <v>18937.3</v>
      </c>
    </row>
    <row r="1878" spans="1:10">
      <c r="A1878">
        <v>18509.7</v>
      </c>
      <c r="E1878">
        <v>2007</v>
      </c>
      <c r="F1878" s="48" t="s">
        <v>94</v>
      </c>
      <c r="I1878">
        <f t="shared" si="22"/>
        <v>2007</v>
      </c>
      <c r="J1878">
        <f t="shared" si="23"/>
        <v>18509.7</v>
      </c>
    </row>
    <row r="1879" spans="1:10">
      <c r="A1879">
        <v>18000.599999999999</v>
      </c>
      <c r="E1879">
        <v>2008</v>
      </c>
      <c r="F1879" s="48" t="s">
        <v>94</v>
      </c>
      <c r="I1879">
        <f t="shared" si="22"/>
        <v>2008</v>
      </c>
      <c r="J1879">
        <f t="shared" si="23"/>
        <v>18000.599999999999</v>
      </c>
    </row>
    <row r="1880" spans="1:10">
      <c r="A1880">
        <v>17819.599999999999</v>
      </c>
      <c r="E1880">
        <v>2009</v>
      </c>
      <c r="F1880" s="48" t="s">
        <v>94</v>
      </c>
      <c r="I1880">
        <f t="shared" si="22"/>
        <v>2009</v>
      </c>
      <c r="J1880">
        <f t="shared" si="23"/>
        <v>17819.599999999999</v>
      </c>
    </row>
    <row r="1881" spans="1:10">
      <c r="A1881">
        <v>17149.8</v>
      </c>
      <c r="E1881">
        <v>2010</v>
      </c>
      <c r="F1881" s="48" t="s">
        <v>94</v>
      </c>
      <c r="I1881">
        <f t="shared" si="22"/>
        <v>2010</v>
      </c>
      <c r="J1881">
        <f t="shared" si="23"/>
        <v>17149.8</v>
      </c>
    </row>
    <row r="1882" spans="1:10">
      <c r="A1882">
        <v>17002.599999999999</v>
      </c>
      <c r="E1882">
        <v>2011</v>
      </c>
      <c r="F1882" s="48" t="s">
        <v>94</v>
      </c>
      <c r="I1882">
        <f t="shared" si="22"/>
        <v>2011</v>
      </c>
      <c r="J1882">
        <f t="shared" si="23"/>
        <v>17002.599999999999</v>
      </c>
    </row>
    <row r="1883" spans="1:10">
      <c r="A1883">
        <v>18839.400000000001</v>
      </c>
      <c r="E1883">
        <v>2012</v>
      </c>
      <c r="F1883" s="48" t="s">
        <v>94</v>
      </c>
      <c r="I1883">
        <f t="shared" si="22"/>
        <v>2012</v>
      </c>
      <c r="J1883">
        <f t="shared" si="23"/>
        <v>18839.400000000001</v>
      </c>
    </row>
    <row r="1884" spans="1:10">
      <c r="A1884">
        <v>17021.900000000001</v>
      </c>
      <c r="E1884">
        <v>2013</v>
      </c>
      <c r="F1884" s="48" t="s">
        <v>94</v>
      </c>
      <c r="I1884">
        <f t="shared" si="22"/>
        <v>2013</v>
      </c>
      <c r="J1884">
        <f t="shared" si="23"/>
        <v>17021.900000000001</v>
      </c>
    </row>
    <row r="1885" spans="1:10">
      <c r="A1885">
        <v>17218.400000000001</v>
      </c>
      <c r="E1885">
        <v>2014</v>
      </c>
      <c r="F1885" s="48" t="s">
        <v>94</v>
      </c>
      <c r="I1885">
        <f t="shared" si="22"/>
        <v>2014</v>
      </c>
      <c r="J1885">
        <f t="shared" si="23"/>
        <v>17218.400000000001</v>
      </c>
    </row>
    <row r="1886" spans="1:10">
      <c r="A1886">
        <v>17043.7</v>
      </c>
      <c r="E1886">
        <v>2015</v>
      </c>
      <c r="F1886" s="48" t="s">
        <v>94</v>
      </c>
      <c r="I1886">
        <f t="shared" si="22"/>
        <v>2015</v>
      </c>
      <c r="J1886">
        <f t="shared" si="23"/>
        <v>17043.7</v>
      </c>
    </row>
    <row r="1887" spans="1:10">
      <c r="A1887">
        <v>15708.5</v>
      </c>
      <c r="E1887">
        <v>2016</v>
      </c>
      <c r="F1887" s="48" t="s">
        <v>94</v>
      </c>
      <c r="I1887">
        <f t="shared" si="22"/>
        <v>2016</v>
      </c>
      <c r="J1887">
        <f t="shared" si="23"/>
        <v>15708.5</v>
      </c>
    </row>
    <row r="1888" spans="1:10">
      <c r="A1888">
        <v>16099.2</v>
      </c>
      <c r="E1888">
        <v>2017</v>
      </c>
      <c r="F1888" s="48" t="s">
        <v>94</v>
      </c>
      <c r="I1888">
        <f t="shared" si="22"/>
        <v>2017</v>
      </c>
      <c r="J1888">
        <f t="shared" si="23"/>
        <v>16099.2</v>
      </c>
    </row>
    <row r="1889" spans="1:10">
      <c r="A1889">
        <v>16045.3</v>
      </c>
      <c r="E1889">
        <v>2018</v>
      </c>
      <c r="F1889" s="48" t="s">
        <v>94</v>
      </c>
      <c r="I1889">
        <f t="shared" si="22"/>
        <v>2018</v>
      </c>
      <c r="J1889">
        <f t="shared" si="23"/>
        <v>16045.3</v>
      </c>
    </row>
    <row r="1890" spans="1:10">
      <c r="A1890">
        <v>15300.2</v>
      </c>
      <c r="E1890">
        <v>2019</v>
      </c>
      <c r="F1890" s="48" t="s">
        <v>94</v>
      </c>
      <c r="I1890">
        <f t="shared" si="22"/>
        <v>2019</v>
      </c>
      <c r="J1890">
        <f t="shared" si="23"/>
        <v>15300.2</v>
      </c>
    </row>
    <row r="1891" spans="1:10">
      <c r="A1891">
        <v>13870.2</v>
      </c>
      <c r="E1891">
        <v>2020</v>
      </c>
      <c r="F1891" s="48" t="s">
        <v>94</v>
      </c>
      <c r="I1891">
        <f t="shared" si="22"/>
        <v>2020</v>
      </c>
      <c r="J1891">
        <f t="shared" si="23"/>
        <v>13870.2</v>
      </c>
    </row>
    <row r="1892" spans="1:10">
      <c r="A1892">
        <v>14368.4</v>
      </c>
      <c r="E1892">
        <v>2021</v>
      </c>
      <c r="F1892" s="48" t="s">
        <v>94</v>
      </c>
      <c r="I1892">
        <f t="shared" si="22"/>
        <v>2021</v>
      </c>
      <c r="J1892">
        <f t="shared" si="23"/>
        <v>14368.4</v>
      </c>
    </row>
    <row r="1893" spans="1:10">
      <c r="A1893">
        <v>15304.4</v>
      </c>
      <c r="E1893">
        <v>2022</v>
      </c>
      <c r="F1893" s="48" t="s">
        <v>94</v>
      </c>
      <c r="I1893">
        <f t="shared" si="22"/>
        <v>2022</v>
      </c>
      <c r="J1893">
        <f t="shared" si="23"/>
        <v>15304.4</v>
      </c>
    </row>
    <row r="1894" spans="1:10" hidden="1">
      <c r="A1894">
        <v>2397.8000000000002</v>
      </c>
      <c r="D1894">
        <v>2000</v>
      </c>
      <c r="E1894" t="s">
        <v>94</v>
      </c>
    </row>
    <row r="1895" spans="1:10" hidden="1">
      <c r="A1895">
        <v>2408.1999999999998</v>
      </c>
      <c r="D1895">
        <v>2001</v>
      </c>
      <c r="E1895" t="s">
        <v>94</v>
      </c>
    </row>
    <row r="1896" spans="1:10" hidden="1">
      <c r="A1896">
        <v>2359.5</v>
      </c>
      <c r="D1896">
        <v>2002</v>
      </c>
      <c r="E1896" t="s">
        <v>94</v>
      </c>
    </row>
    <row r="1897" spans="1:10" hidden="1">
      <c r="A1897">
        <v>2390.3000000000002</v>
      </c>
      <c r="D1897">
        <v>2003</v>
      </c>
      <c r="E1897" t="s">
        <v>94</v>
      </c>
    </row>
    <row r="1898" spans="1:10" hidden="1">
      <c r="A1898">
        <v>2315.4</v>
      </c>
      <c r="D1898">
        <v>2004</v>
      </c>
      <c r="E1898" t="s">
        <v>94</v>
      </c>
    </row>
    <row r="1899" spans="1:10" hidden="1">
      <c r="A1899">
        <v>2287.3000000000002</v>
      </c>
      <c r="D1899">
        <v>2005</v>
      </c>
      <c r="E1899" t="s">
        <v>94</v>
      </c>
    </row>
    <row r="1900" spans="1:10" hidden="1">
      <c r="A1900">
        <v>2142.9</v>
      </c>
      <c r="D1900">
        <v>2006</v>
      </c>
      <c r="E1900" t="s">
        <v>94</v>
      </c>
    </row>
    <row r="1901" spans="1:10" hidden="1">
      <c r="A1901">
        <v>2165.3000000000002</v>
      </c>
      <c r="D1901">
        <v>2007</v>
      </c>
      <c r="E1901" t="s">
        <v>94</v>
      </c>
    </row>
    <row r="1902" spans="1:10" hidden="1">
      <c r="A1902">
        <v>2034.7</v>
      </c>
      <c r="D1902">
        <v>2008</v>
      </c>
      <c r="E1902" t="s">
        <v>94</v>
      </c>
    </row>
    <row r="1903" spans="1:10" hidden="1">
      <c r="A1903">
        <v>1952.9</v>
      </c>
      <c r="D1903">
        <v>2009</v>
      </c>
      <c r="E1903" t="s">
        <v>94</v>
      </c>
    </row>
    <row r="1904" spans="1:10" hidden="1">
      <c r="A1904">
        <v>1757.3</v>
      </c>
      <c r="D1904">
        <v>2010</v>
      </c>
      <c r="E1904" t="s">
        <v>94</v>
      </c>
    </row>
    <row r="1905" spans="1:5" hidden="1">
      <c r="A1905">
        <v>1804.9</v>
      </c>
      <c r="D1905">
        <v>2011</v>
      </c>
      <c r="E1905" t="s">
        <v>94</v>
      </c>
    </row>
    <row r="1906" spans="1:5" hidden="1">
      <c r="A1906">
        <v>2245.1</v>
      </c>
      <c r="D1906">
        <v>2012</v>
      </c>
      <c r="E1906" t="s">
        <v>94</v>
      </c>
    </row>
    <row r="1907" spans="1:5" hidden="1">
      <c r="A1907">
        <v>2194</v>
      </c>
      <c r="D1907">
        <v>2013</v>
      </c>
      <c r="E1907" t="s">
        <v>94</v>
      </c>
    </row>
    <row r="1908" spans="1:5" hidden="1">
      <c r="A1908">
        <v>2238.4</v>
      </c>
      <c r="D1908">
        <v>2014</v>
      </c>
      <c r="E1908" t="s">
        <v>94</v>
      </c>
    </row>
    <row r="1909" spans="1:5" hidden="1">
      <c r="A1909">
        <v>2289.5</v>
      </c>
      <c r="D1909">
        <v>2015</v>
      </c>
      <c r="E1909" t="s">
        <v>94</v>
      </c>
    </row>
    <row r="1910" spans="1:5" hidden="1">
      <c r="A1910">
        <v>2037.5</v>
      </c>
      <c r="D1910">
        <v>2016</v>
      </c>
      <c r="E1910" t="s">
        <v>94</v>
      </c>
    </row>
    <row r="1911" spans="1:5" hidden="1">
      <c r="A1911">
        <v>2212.5</v>
      </c>
      <c r="D1911">
        <v>2017</v>
      </c>
      <c r="E1911" t="s">
        <v>94</v>
      </c>
    </row>
    <row r="1912" spans="1:5" hidden="1">
      <c r="A1912">
        <v>2208</v>
      </c>
      <c r="D1912">
        <v>2018</v>
      </c>
      <c r="E1912" t="s">
        <v>94</v>
      </c>
    </row>
    <row r="1913" spans="1:5" hidden="1">
      <c r="A1913">
        <v>2130.5</v>
      </c>
      <c r="D1913">
        <v>2019</v>
      </c>
      <c r="E1913" t="s">
        <v>94</v>
      </c>
    </row>
    <row r="1914" spans="1:5" hidden="1">
      <c r="A1914">
        <v>1818.3</v>
      </c>
      <c r="D1914">
        <v>2020</v>
      </c>
      <c r="E1914" t="s">
        <v>94</v>
      </c>
    </row>
    <row r="1915" spans="1:5" hidden="1">
      <c r="A1915">
        <v>1788.3</v>
      </c>
      <c r="D1915">
        <v>2021</v>
      </c>
      <c r="E1915" t="s">
        <v>94</v>
      </c>
    </row>
    <row r="1916" spans="1:5" hidden="1">
      <c r="A1916">
        <v>1680.4</v>
      </c>
      <c r="D1916">
        <v>2022</v>
      </c>
      <c r="E1916" t="s">
        <v>94</v>
      </c>
    </row>
    <row r="1917" spans="1:5" hidden="1">
      <c r="A1917">
        <v>0</v>
      </c>
      <c r="C1917">
        <v>2000</v>
      </c>
      <c r="D1917" t="s">
        <v>94</v>
      </c>
    </row>
    <row r="1918" spans="1:5" hidden="1">
      <c r="A1918">
        <v>0</v>
      </c>
      <c r="C1918">
        <v>2001</v>
      </c>
      <c r="D1918" t="s">
        <v>94</v>
      </c>
    </row>
    <row r="1919" spans="1:5" hidden="1">
      <c r="A1919">
        <v>0</v>
      </c>
      <c r="C1919">
        <v>2002</v>
      </c>
      <c r="D1919" t="s">
        <v>94</v>
      </c>
    </row>
    <row r="1920" spans="1:5" hidden="1">
      <c r="A1920">
        <v>0</v>
      </c>
      <c r="C1920">
        <v>2003</v>
      </c>
      <c r="D1920" t="s">
        <v>94</v>
      </c>
    </row>
    <row r="1921" spans="1:4" hidden="1">
      <c r="A1921">
        <v>0</v>
      </c>
      <c r="C1921">
        <v>2004</v>
      </c>
      <c r="D1921" t="s">
        <v>94</v>
      </c>
    </row>
    <row r="1922" spans="1:4" hidden="1">
      <c r="A1922">
        <v>0</v>
      </c>
      <c r="C1922">
        <v>2005</v>
      </c>
      <c r="D1922" t="s">
        <v>94</v>
      </c>
    </row>
    <row r="1923" spans="1:4" hidden="1">
      <c r="A1923">
        <v>0</v>
      </c>
      <c r="C1923">
        <v>2006</v>
      </c>
      <c r="D1923" t="s">
        <v>94</v>
      </c>
    </row>
    <row r="1924" spans="1:4" hidden="1">
      <c r="A1924">
        <v>0</v>
      </c>
      <c r="C1924">
        <v>2007</v>
      </c>
      <c r="D1924" t="s">
        <v>94</v>
      </c>
    </row>
    <row r="1925" spans="1:4" hidden="1">
      <c r="A1925">
        <v>106</v>
      </c>
      <c r="C1925">
        <v>2008</v>
      </c>
      <c r="D1925" t="s">
        <v>94</v>
      </c>
    </row>
    <row r="1926" spans="1:4" hidden="1">
      <c r="A1926">
        <v>0</v>
      </c>
      <c r="C1926">
        <v>2009</v>
      </c>
      <c r="D1926" t="s">
        <v>94</v>
      </c>
    </row>
    <row r="1927" spans="1:4" hidden="1">
      <c r="A1927">
        <v>83.6</v>
      </c>
      <c r="C1927">
        <v>2010</v>
      </c>
      <c r="D1927" t="s">
        <v>94</v>
      </c>
    </row>
    <row r="1928" spans="1:4" hidden="1">
      <c r="A1928">
        <v>90.1</v>
      </c>
      <c r="C1928">
        <v>2011</v>
      </c>
      <c r="D1928" t="s">
        <v>94</v>
      </c>
    </row>
    <row r="1929" spans="1:4" hidden="1">
      <c r="A1929">
        <v>98</v>
      </c>
      <c r="C1929">
        <v>2012</v>
      </c>
      <c r="D1929" t="s">
        <v>94</v>
      </c>
    </row>
    <row r="1930" spans="1:4" hidden="1">
      <c r="A1930">
        <v>93.8</v>
      </c>
      <c r="C1930">
        <v>2013</v>
      </c>
      <c r="D1930" t="s">
        <v>94</v>
      </c>
    </row>
    <row r="1931" spans="1:4" hidden="1">
      <c r="A1931">
        <v>51.8</v>
      </c>
      <c r="C1931">
        <v>2014</v>
      </c>
      <c r="D1931" t="s">
        <v>94</v>
      </c>
    </row>
    <row r="1932" spans="1:4" hidden="1">
      <c r="A1932">
        <v>45.2</v>
      </c>
      <c r="C1932">
        <v>2015</v>
      </c>
      <c r="D1932" t="s">
        <v>94</v>
      </c>
    </row>
    <row r="1933" spans="1:4" hidden="1">
      <c r="A1933">
        <v>46.7</v>
      </c>
      <c r="C1933">
        <v>2016</v>
      </c>
      <c r="D1933" t="s">
        <v>94</v>
      </c>
    </row>
    <row r="1934" spans="1:4" hidden="1">
      <c r="A1934">
        <v>43.1</v>
      </c>
      <c r="C1934">
        <v>2017</v>
      </c>
      <c r="D1934" t="s">
        <v>94</v>
      </c>
    </row>
    <row r="1935" spans="1:4" hidden="1">
      <c r="A1935">
        <v>33.9</v>
      </c>
      <c r="C1935">
        <v>2018</v>
      </c>
      <c r="D1935" t="s">
        <v>94</v>
      </c>
    </row>
    <row r="1936" spans="1:4" hidden="1">
      <c r="A1936">
        <v>70.7</v>
      </c>
      <c r="C1936">
        <v>2019</v>
      </c>
      <c r="D1936" t="s">
        <v>94</v>
      </c>
    </row>
    <row r="1937" spans="1:4" hidden="1">
      <c r="A1937">
        <v>87.6</v>
      </c>
      <c r="C1937">
        <v>2020</v>
      </c>
      <c r="D1937" t="s">
        <v>94</v>
      </c>
    </row>
    <row r="1938" spans="1:4" hidden="1">
      <c r="A1938">
        <v>93.3</v>
      </c>
      <c r="C1938">
        <v>2021</v>
      </c>
      <c r="D1938" t="s">
        <v>94</v>
      </c>
    </row>
    <row r="1939" spans="1:4" hidden="1">
      <c r="A1939">
        <v>0</v>
      </c>
      <c r="C1939">
        <v>2022</v>
      </c>
      <c r="D1939" t="s">
        <v>94</v>
      </c>
    </row>
    <row r="1940" spans="1:4" hidden="1">
      <c r="A1940">
        <v>5871.7</v>
      </c>
      <c r="B1940">
        <v>2000</v>
      </c>
      <c r="C1940" t="s">
        <v>94</v>
      </c>
    </row>
    <row r="1941" spans="1:4" hidden="1">
      <c r="A1941">
        <v>5966</v>
      </c>
      <c r="B1941">
        <v>2001</v>
      </c>
      <c r="C1941" t="s">
        <v>94</v>
      </c>
    </row>
    <row r="1942" spans="1:4" hidden="1">
      <c r="A1942">
        <v>5966</v>
      </c>
      <c r="B1942">
        <v>2002</v>
      </c>
      <c r="C1942" t="s">
        <v>94</v>
      </c>
    </row>
    <row r="1943" spans="1:4" hidden="1">
      <c r="A1943">
        <v>6197.9</v>
      </c>
      <c r="B1943">
        <v>2003</v>
      </c>
      <c r="C1943" t="s">
        <v>94</v>
      </c>
    </row>
    <row r="1944" spans="1:4" hidden="1">
      <c r="A1944">
        <v>6013.6</v>
      </c>
      <c r="B1944">
        <v>2004</v>
      </c>
      <c r="C1944" t="s">
        <v>94</v>
      </c>
    </row>
    <row r="1945" spans="1:4" hidden="1">
      <c r="A1945">
        <v>5915.4</v>
      </c>
      <c r="B1945">
        <v>2005</v>
      </c>
      <c r="C1945" t="s">
        <v>94</v>
      </c>
    </row>
    <row r="1946" spans="1:4" hidden="1">
      <c r="A1946">
        <v>5861.7</v>
      </c>
      <c r="B1946">
        <v>2006</v>
      </c>
      <c r="C1946" t="s">
        <v>94</v>
      </c>
    </row>
    <row r="1947" spans="1:4" hidden="1">
      <c r="A1947">
        <v>5683</v>
      </c>
      <c r="B1947">
        <v>2007</v>
      </c>
      <c r="C1947" t="s">
        <v>94</v>
      </c>
    </row>
    <row r="1948" spans="1:4" hidden="1">
      <c r="A1948">
        <v>5518.9</v>
      </c>
      <c r="B1948">
        <v>2008</v>
      </c>
      <c r="C1948" t="s">
        <v>94</v>
      </c>
    </row>
    <row r="1949" spans="1:4" hidden="1">
      <c r="A1949">
        <v>5645.2</v>
      </c>
      <c r="B1949">
        <v>2009</v>
      </c>
      <c r="C1949" t="s">
        <v>94</v>
      </c>
    </row>
    <row r="1950" spans="1:4" hidden="1">
      <c r="A1950">
        <v>5490.3</v>
      </c>
      <c r="B1950">
        <v>2010</v>
      </c>
      <c r="C1950" t="s">
        <v>94</v>
      </c>
    </row>
    <row r="1951" spans="1:4" hidden="1">
      <c r="A1951">
        <v>5379.5</v>
      </c>
      <c r="B1951">
        <v>2011</v>
      </c>
      <c r="C1951" t="s">
        <v>94</v>
      </c>
    </row>
    <row r="1952" spans="1:4" hidden="1">
      <c r="A1952">
        <v>5480.9</v>
      </c>
      <c r="B1952">
        <v>2012</v>
      </c>
      <c r="C1952" t="s">
        <v>94</v>
      </c>
    </row>
    <row r="1953" spans="1:8" hidden="1">
      <c r="A1953">
        <v>5283.2</v>
      </c>
      <c r="B1953">
        <v>2013</v>
      </c>
      <c r="C1953" t="s">
        <v>94</v>
      </c>
    </row>
    <row r="1954" spans="1:8" hidden="1">
      <c r="A1954">
        <v>5066.3</v>
      </c>
      <c r="B1954">
        <v>2014</v>
      </c>
      <c r="C1954" t="s">
        <v>94</v>
      </c>
    </row>
    <row r="1955" spans="1:8" hidden="1">
      <c r="A1955">
        <v>5216.2</v>
      </c>
      <c r="B1955">
        <v>2015</v>
      </c>
      <c r="C1955" t="s">
        <v>94</v>
      </c>
    </row>
    <row r="1956" spans="1:8" hidden="1">
      <c r="A1956">
        <v>5174</v>
      </c>
      <c r="B1956">
        <v>2016</v>
      </c>
      <c r="C1956" t="s">
        <v>94</v>
      </c>
    </row>
    <row r="1957" spans="1:8" hidden="1">
      <c r="A1957">
        <v>5391.2</v>
      </c>
      <c r="B1957">
        <v>2017</v>
      </c>
      <c r="C1957" t="s">
        <v>94</v>
      </c>
    </row>
    <row r="1958" spans="1:8" hidden="1">
      <c r="A1958">
        <v>5315.9</v>
      </c>
      <c r="B1958">
        <v>2018</v>
      </c>
      <c r="C1958" t="s">
        <v>94</v>
      </c>
    </row>
    <row r="1959" spans="1:8" hidden="1">
      <c r="A1959">
        <v>5309</v>
      </c>
      <c r="B1959">
        <v>2019</v>
      </c>
      <c r="C1959" t="s">
        <v>94</v>
      </c>
    </row>
    <row r="1960" spans="1:8" hidden="1">
      <c r="A1960">
        <v>5358.6</v>
      </c>
      <c r="B1960">
        <v>2020</v>
      </c>
      <c r="C1960" t="s">
        <v>94</v>
      </c>
    </row>
    <row r="1961" spans="1:8" hidden="1">
      <c r="A1961">
        <v>5652.6</v>
      </c>
      <c r="B1961">
        <v>2021</v>
      </c>
      <c r="C1961" t="s">
        <v>94</v>
      </c>
    </row>
    <row r="1962" spans="1:8" hidden="1">
      <c r="A1962">
        <v>5879</v>
      </c>
      <c r="B1962">
        <v>2022</v>
      </c>
      <c r="C1962" t="s">
        <v>94</v>
      </c>
    </row>
    <row r="1963" spans="1:8" hidden="1">
      <c r="A1963">
        <v>30</v>
      </c>
      <c r="G1963">
        <v>2000</v>
      </c>
      <c r="H1963" t="s">
        <v>68</v>
      </c>
    </row>
    <row r="1964" spans="1:8" hidden="1">
      <c r="A1964">
        <v>30</v>
      </c>
      <c r="G1964">
        <v>2001</v>
      </c>
      <c r="H1964" t="s">
        <v>68</v>
      </c>
    </row>
    <row r="1965" spans="1:8" hidden="1">
      <c r="A1965">
        <v>30</v>
      </c>
      <c r="G1965">
        <v>2002</v>
      </c>
      <c r="H1965" t="s">
        <v>68</v>
      </c>
    </row>
    <row r="1966" spans="1:8" hidden="1">
      <c r="A1966">
        <v>30</v>
      </c>
      <c r="G1966">
        <v>2003</v>
      </c>
      <c r="H1966" t="s">
        <v>68</v>
      </c>
    </row>
    <row r="1967" spans="1:8" hidden="1">
      <c r="A1967">
        <v>30</v>
      </c>
      <c r="G1967">
        <v>2004</v>
      </c>
      <c r="H1967" t="s">
        <v>68</v>
      </c>
    </row>
    <row r="1968" spans="1:8" hidden="1">
      <c r="A1968">
        <v>30</v>
      </c>
      <c r="G1968">
        <v>2005</v>
      </c>
      <c r="H1968" t="s">
        <v>68</v>
      </c>
    </row>
    <row r="1969" spans="1:8" hidden="1">
      <c r="A1969">
        <v>30</v>
      </c>
      <c r="G1969">
        <v>2006</v>
      </c>
      <c r="H1969" t="s">
        <v>68</v>
      </c>
    </row>
    <row r="1970" spans="1:8" hidden="1">
      <c r="A1970">
        <v>30</v>
      </c>
      <c r="G1970">
        <v>2007</v>
      </c>
      <c r="H1970" t="s">
        <v>68</v>
      </c>
    </row>
    <row r="1971" spans="1:8" hidden="1">
      <c r="A1971">
        <v>30</v>
      </c>
      <c r="G1971">
        <v>2008</v>
      </c>
      <c r="H1971" t="s">
        <v>68</v>
      </c>
    </row>
    <row r="1972" spans="1:8" hidden="1">
      <c r="A1972">
        <v>30</v>
      </c>
      <c r="G1972">
        <v>2009</v>
      </c>
      <c r="H1972" t="s">
        <v>68</v>
      </c>
    </row>
    <row r="1973" spans="1:8" hidden="1">
      <c r="A1973">
        <v>30</v>
      </c>
      <c r="G1973">
        <v>2010</v>
      </c>
      <c r="H1973" t="s">
        <v>68</v>
      </c>
    </row>
    <row r="1974" spans="1:8" hidden="1">
      <c r="A1974">
        <v>30</v>
      </c>
      <c r="G1974">
        <v>2011</v>
      </c>
      <c r="H1974" t="s">
        <v>68</v>
      </c>
    </row>
    <row r="1975" spans="1:8" hidden="1">
      <c r="A1975">
        <v>30</v>
      </c>
      <c r="G1975">
        <v>2012</v>
      </c>
      <c r="H1975" t="s">
        <v>68</v>
      </c>
    </row>
    <row r="1976" spans="1:8" hidden="1">
      <c r="A1976">
        <v>30</v>
      </c>
      <c r="G1976">
        <v>2013</v>
      </c>
      <c r="H1976" t="s">
        <v>68</v>
      </c>
    </row>
    <row r="1977" spans="1:8" hidden="1">
      <c r="A1977">
        <v>30</v>
      </c>
      <c r="G1977">
        <v>2014</v>
      </c>
      <c r="H1977" t="s">
        <v>68</v>
      </c>
    </row>
    <row r="1978" spans="1:8" hidden="1">
      <c r="A1978">
        <v>30</v>
      </c>
      <c r="G1978">
        <v>2015</v>
      </c>
      <c r="H1978" t="s">
        <v>68</v>
      </c>
    </row>
    <row r="1979" spans="1:8" hidden="1">
      <c r="A1979">
        <v>30</v>
      </c>
      <c r="G1979">
        <v>2016</v>
      </c>
      <c r="H1979" t="s">
        <v>68</v>
      </c>
    </row>
    <row r="1980" spans="1:8" hidden="1">
      <c r="A1980">
        <v>30</v>
      </c>
      <c r="G1980">
        <v>2017</v>
      </c>
      <c r="H1980" t="s">
        <v>68</v>
      </c>
    </row>
    <row r="1981" spans="1:8" hidden="1">
      <c r="A1981">
        <v>30</v>
      </c>
      <c r="G1981">
        <v>2018</v>
      </c>
      <c r="H1981" t="s">
        <v>68</v>
      </c>
    </row>
    <row r="1982" spans="1:8" hidden="1">
      <c r="A1982">
        <v>30</v>
      </c>
      <c r="G1982">
        <v>2019</v>
      </c>
      <c r="H1982" t="s">
        <v>68</v>
      </c>
    </row>
    <row r="1983" spans="1:8" hidden="1">
      <c r="A1983">
        <v>30</v>
      </c>
      <c r="G1983">
        <v>2020</v>
      </c>
      <c r="H1983" t="s">
        <v>68</v>
      </c>
    </row>
    <row r="1984" spans="1:8" hidden="1">
      <c r="A1984">
        <v>30</v>
      </c>
      <c r="G1984">
        <v>2021</v>
      </c>
      <c r="H1984" t="s">
        <v>68</v>
      </c>
    </row>
    <row r="1985" spans="1:8" hidden="1">
      <c r="A1985">
        <v>30</v>
      </c>
      <c r="G1985">
        <v>2022</v>
      </c>
      <c r="H1985" t="s">
        <v>68</v>
      </c>
    </row>
    <row r="1986" spans="1:8" hidden="1">
      <c r="A1986">
        <v>2000</v>
      </c>
      <c r="B1986" t="s">
        <v>68</v>
      </c>
    </row>
    <row r="1987" spans="1:8" hidden="1">
      <c r="A1987">
        <v>0</v>
      </c>
      <c r="F1987" s="48">
        <v>2001</v>
      </c>
      <c r="G1987" t="s">
        <v>68</v>
      </c>
    </row>
    <row r="1988" spans="1:8" hidden="1">
      <c r="A1988">
        <v>0</v>
      </c>
      <c r="F1988" s="48">
        <v>2002</v>
      </c>
      <c r="G1988" t="s">
        <v>68</v>
      </c>
    </row>
    <row r="1989" spans="1:8" hidden="1">
      <c r="A1989">
        <v>0</v>
      </c>
      <c r="F1989" s="48">
        <v>2003</v>
      </c>
      <c r="G1989" t="s">
        <v>68</v>
      </c>
    </row>
    <row r="1990" spans="1:8" hidden="1">
      <c r="A1990">
        <v>0</v>
      </c>
      <c r="F1990" s="48">
        <v>2004</v>
      </c>
      <c r="G1990" t="s">
        <v>68</v>
      </c>
    </row>
    <row r="1991" spans="1:8" hidden="1">
      <c r="A1991">
        <v>0</v>
      </c>
      <c r="F1991" s="48">
        <v>2005</v>
      </c>
      <c r="G1991" t="s">
        <v>68</v>
      </c>
    </row>
    <row r="1992" spans="1:8" hidden="1">
      <c r="A1992">
        <v>0</v>
      </c>
      <c r="F1992" s="48">
        <v>2006</v>
      </c>
      <c r="G1992" t="s">
        <v>68</v>
      </c>
    </row>
    <row r="1993" spans="1:8" hidden="1">
      <c r="A1993">
        <v>0</v>
      </c>
      <c r="F1993" s="48">
        <v>2007</v>
      </c>
      <c r="G1993" t="s">
        <v>68</v>
      </c>
    </row>
    <row r="1994" spans="1:8" hidden="1">
      <c r="A1994">
        <v>0</v>
      </c>
      <c r="F1994" s="48">
        <v>2008</v>
      </c>
      <c r="G1994" t="s">
        <v>68</v>
      </c>
    </row>
    <row r="1995" spans="1:8" hidden="1">
      <c r="A1995">
        <v>0</v>
      </c>
      <c r="F1995" s="48">
        <v>2009</v>
      </c>
      <c r="G1995" t="s">
        <v>68</v>
      </c>
    </row>
    <row r="1996" spans="1:8" hidden="1">
      <c r="A1996">
        <v>0</v>
      </c>
      <c r="F1996" s="48">
        <v>2010</v>
      </c>
      <c r="G1996" t="s">
        <v>68</v>
      </c>
    </row>
    <row r="1997" spans="1:8" hidden="1">
      <c r="A1997">
        <v>0</v>
      </c>
      <c r="F1997" s="48">
        <v>2011</v>
      </c>
      <c r="G1997" t="s">
        <v>68</v>
      </c>
    </row>
    <row r="1998" spans="1:8" hidden="1">
      <c r="A1998">
        <v>0</v>
      </c>
      <c r="F1998" s="48">
        <v>2012</v>
      </c>
      <c r="G1998" t="s">
        <v>68</v>
      </c>
    </row>
    <row r="1999" spans="1:8" hidden="1">
      <c r="A1999">
        <v>0</v>
      </c>
      <c r="F1999" s="48">
        <v>2013</v>
      </c>
      <c r="G1999" t="s">
        <v>68</v>
      </c>
    </row>
    <row r="2000" spans="1:8" hidden="1">
      <c r="A2000">
        <v>0</v>
      </c>
      <c r="F2000" s="48">
        <v>2014</v>
      </c>
      <c r="G2000" t="s">
        <v>68</v>
      </c>
    </row>
    <row r="2001" spans="1:10" hidden="1">
      <c r="A2001">
        <v>0</v>
      </c>
      <c r="F2001" s="48">
        <v>2015</v>
      </c>
      <c r="G2001" t="s">
        <v>68</v>
      </c>
    </row>
    <row r="2002" spans="1:10" hidden="1">
      <c r="A2002">
        <v>0</v>
      </c>
      <c r="F2002" s="48">
        <v>2016</v>
      </c>
      <c r="G2002" t="s">
        <v>68</v>
      </c>
    </row>
    <row r="2003" spans="1:10" hidden="1">
      <c r="A2003">
        <v>0</v>
      </c>
      <c r="F2003" s="48">
        <v>2017</v>
      </c>
      <c r="G2003" t="s">
        <v>68</v>
      </c>
    </row>
    <row r="2004" spans="1:10" hidden="1">
      <c r="A2004">
        <v>0</v>
      </c>
      <c r="F2004" s="48">
        <v>2018</v>
      </c>
      <c r="G2004" t="s">
        <v>68</v>
      </c>
    </row>
    <row r="2005" spans="1:10" hidden="1">
      <c r="A2005">
        <v>0</v>
      </c>
      <c r="F2005" s="48">
        <v>2019</v>
      </c>
      <c r="G2005" t="s">
        <v>68</v>
      </c>
    </row>
    <row r="2006" spans="1:10" hidden="1">
      <c r="A2006">
        <v>0</v>
      </c>
      <c r="F2006" s="48">
        <v>2020</v>
      </c>
      <c r="G2006" t="s">
        <v>68</v>
      </c>
    </row>
    <row r="2007" spans="1:10" hidden="1">
      <c r="A2007">
        <v>0</v>
      </c>
      <c r="F2007" s="48">
        <v>2021</v>
      </c>
      <c r="G2007" t="s">
        <v>68</v>
      </c>
    </row>
    <row r="2008" spans="1:10" hidden="1">
      <c r="A2008">
        <v>0</v>
      </c>
      <c r="F2008" s="48">
        <v>2022</v>
      </c>
      <c r="G2008" t="s">
        <v>68</v>
      </c>
    </row>
    <row r="2009" spans="1:10">
      <c r="A2009">
        <v>110</v>
      </c>
      <c r="E2009">
        <v>2000</v>
      </c>
      <c r="F2009" s="48" t="s">
        <v>68</v>
      </c>
      <c r="I2009">
        <f t="shared" ref="I2009:I2031" si="24">E2009</f>
        <v>2000</v>
      </c>
      <c r="J2009">
        <f t="shared" ref="J2009:J2031" si="25">A2009</f>
        <v>110</v>
      </c>
    </row>
    <row r="2010" spans="1:10">
      <c r="A2010">
        <v>110</v>
      </c>
      <c r="E2010">
        <v>2001</v>
      </c>
      <c r="F2010" s="48" t="s">
        <v>68</v>
      </c>
      <c r="I2010">
        <f t="shared" si="24"/>
        <v>2001</v>
      </c>
      <c r="J2010">
        <f t="shared" si="25"/>
        <v>110</v>
      </c>
    </row>
    <row r="2011" spans="1:10">
      <c r="A2011">
        <v>110</v>
      </c>
      <c r="E2011">
        <v>2002</v>
      </c>
      <c r="F2011" s="48" t="s">
        <v>68</v>
      </c>
      <c r="I2011">
        <f t="shared" si="24"/>
        <v>2002</v>
      </c>
      <c r="J2011">
        <f t="shared" si="25"/>
        <v>110</v>
      </c>
    </row>
    <row r="2012" spans="1:10">
      <c r="A2012">
        <v>110</v>
      </c>
      <c r="E2012">
        <v>2003</v>
      </c>
      <c r="F2012" s="48" t="s">
        <v>68</v>
      </c>
      <c r="I2012">
        <f t="shared" si="24"/>
        <v>2003</v>
      </c>
      <c r="J2012">
        <f t="shared" si="25"/>
        <v>110</v>
      </c>
    </row>
    <row r="2013" spans="1:10">
      <c r="A2013">
        <v>110</v>
      </c>
      <c r="E2013">
        <v>2004</v>
      </c>
      <c r="F2013" s="48" t="s">
        <v>68</v>
      </c>
      <c r="I2013">
        <f t="shared" si="24"/>
        <v>2004</v>
      </c>
      <c r="J2013">
        <f t="shared" si="25"/>
        <v>110</v>
      </c>
    </row>
    <row r="2014" spans="1:10">
      <c r="A2014">
        <v>110</v>
      </c>
      <c r="E2014">
        <v>2005</v>
      </c>
      <c r="F2014" s="48" t="s">
        <v>68</v>
      </c>
      <c r="I2014">
        <f t="shared" si="24"/>
        <v>2005</v>
      </c>
      <c r="J2014">
        <f t="shared" si="25"/>
        <v>110</v>
      </c>
    </row>
    <row r="2015" spans="1:10">
      <c r="A2015">
        <v>110</v>
      </c>
      <c r="E2015">
        <v>2006</v>
      </c>
      <c r="F2015" s="48" t="s">
        <v>68</v>
      </c>
      <c r="I2015">
        <f t="shared" si="24"/>
        <v>2006</v>
      </c>
      <c r="J2015">
        <f t="shared" si="25"/>
        <v>110</v>
      </c>
    </row>
    <row r="2016" spans="1:10">
      <c r="A2016">
        <v>110</v>
      </c>
      <c r="E2016">
        <v>2007</v>
      </c>
      <c r="F2016" s="48" t="s">
        <v>68</v>
      </c>
      <c r="I2016">
        <f t="shared" si="24"/>
        <v>2007</v>
      </c>
      <c r="J2016">
        <f t="shared" si="25"/>
        <v>110</v>
      </c>
    </row>
    <row r="2017" spans="1:10">
      <c r="A2017">
        <v>76.5</v>
      </c>
      <c r="E2017">
        <v>2008</v>
      </c>
      <c r="F2017" s="48" t="s">
        <v>68</v>
      </c>
      <c r="I2017">
        <f t="shared" si="24"/>
        <v>2008</v>
      </c>
      <c r="J2017">
        <f t="shared" si="25"/>
        <v>76.5</v>
      </c>
    </row>
    <row r="2018" spans="1:10">
      <c r="A2018">
        <v>76.7</v>
      </c>
      <c r="E2018">
        <v>2009</v>
      </c>
      <c r="F2018" s="48" t="s">
        <v>68</v>
      </c>
      <c r="I2018">
        <f t="shared" si="24"/>
        <v>2009</v>
      </c>
      <c r="J2018">
        <f t="shared" si="25"/>
        <v>76.7</v>
      </c>
    </row>
    <row r="2019" spans="1:10">
      <c r="A2019">
        <v>106.9</v>
      </c>
      <c r="E2019">
        <v>2010</v>
      </c>
      <c r="F2019" s="48" t="s">
        <v>68</v>
      </c>
      <c r="I2019">
        <f t="shared" si="24"/>
        <v>2010</v>
      </c>
      <c r="J2019">
        <f t="shared" si="25"/>
        <v>106.9</v>
      </c>
    </row>
    <row r="2020" spans="1:10">
      <c r="A2020">
        <v>83.5</v>
      </c>
      <c r="E2020">
        <v>2011</v>
      </c>
      <c r="F2020" s="48" t="s">
        <v>68</v>
      </c>
      <c r="I2020">
        <f t="shared" si="24"/>
        <v>2011</v>
      </c>
      <c r="J2020">
        <f t="shared" si="25"/>
        <v>83.5</v>
      </c>
    </row>
    <row r="2021" spans="1:10">
      <c r="A2021">
        <v>96.6</v>
      </c>
      <c r="E2021">
        <v>2012</v>
      </c>
      <c r="F2021" s="48" t="s">
        <v>68</v>
      </c>
      <c r="I2021">
        <f t="shared" si="24"/>
        <v>2012</v>
      </c>
      <c r="J2021">
        <f t="shared" si="25"/>
        <v>96.6</v>
      </c>
    </row>
    <row r="2022" spans="1:10">
      <c r="A2022">
        <v>76.8</v>
      </c>
      <c r="E2022">
        <v>2013</v>
      </c>
      <c r="F2022" s="48" t="s">
        <v>68</v>
      </c>
      <c r="I2022">
        <f t="shared" si="24"/>
        <v>2013</v>
      </c>
      <c r="J2022">
        <f t="shared" si="25"/>
        <v>76.8</v>
      </c>
    </row>
    <row r="2023" spans="1:10">
      <c r="A2023">
        <v>73.900000000000006</v>
      </c>
      <c r="E2023">
        <v>2014</v>
      </c>
      <c r="F2023" s="48" t="s">
        <v>68</v>
      </c>
      <c r="I2023">
        <f t="shared" si="24"/>
        <v>2014</v>
      </c>
      <c r="J2023">
        <f t="shared" si="25"/>
        <v>73.900000000000006</v>
      </c>
    </row>
    <row r="2024" spans="1:10">
      <c r="A2024">
        <v>94.8</v>
      </c>
      <c r="E2024">
        <v>2015</v>
      </c>
      <c r="F2024" s="48" t="s">
        <v>68</v>
      </c>
      <c r="I2024">
        <f t="shared" si="24"/>
        <v>2015</v>
      </c>
      <c r="J2024">
        <f t="shared" si="25"/>
        <v>94.8</v>
      </c>
    </row>
    <row r="2025" spans="1:10">
      <c r="A2025">
        <v>108.1</v>
      </c>
      <c r="E2025">
        <v>2016</v>
      </c>
      <c r="F2025" s="48" t="s">
        <v>68</v>
      </c>
      <c r="I2025">
        <f t="shared" si="24"/>
        <v>2016</v>
      </c>
      <c r="J2025">
        <f t="shared" si="25"/>
        <v>108.1</v>
      </c>
    </row>
    <row r="2026" spans="1:10">
      <c r="A2026">
        <v>166.3</v>
      </c>
      <c r="E2026">
        <v>2017</v>
      </c>
      <c r="F2026" s="48" t="s">
        <v>68</v>
      </c>
      <c r="I2026">
        <f t="shared" si="24"/>
        <v>2017</v>
      </c>
      <c r="J2026">
        <f t="shared" si="25"/>
        <v>166.3</v>
      </c>
    </row>
    <row r="2027" spans="1:10">
      <c r="A2027">
        <v>165</v>
      </c>
      <c r="E2027">
        <v>2018</v>
      </c>
      <c r="F2027" s="48" t="s">
        <v>68</v>
      </c>
      <c r="I2027">
        <f t="shared" si="24"/>
        <v>2018</v>
      </c>
      <c r="J2027">
        <f t="shared" si="25"/>
        <v>165</v>
      </c>
    </row>
    <row r="2028" spans="1:10">
      <c r="A2028">
        <v>171.9</v>
      </c>
      <c r="E2028">
        <v>2019</v>
      </c>
      <c r="F2028" s="48" t="s">
        <v>68</v>
      </c>
      <c r="I2028">
        <f t="shared" si="24"/>
        <v>2019</v>
      </c>
      <c r="J2028">
        <f t="shared" si="25"/>
        <v>171.9</v>
      </c>
    </row>
    <row r="2029" spans="1:10">
      <c r="A2029">
        <v>164.2</v>
      </c>
      <c r="E2029">
        <v>2020</v>
      </c>
      <c r="F2029" s="48" t="s">
        <v>68</v>
      </c>
      <c r="I2029">
        <f t="shared" si="24"/>
        <v>2020</v>
      </c>
      <c r="J2029">
        <f t="shared" si="25"/>
        <v>164.2</v>
      </c>
    </row>
    <row r="2030" spans="1:10">
      <c r="A2030">
        <v>167.3</v>
      </c>
      <c r="E2030">
        <v>2021</v>
      </c>
      <c r="F2030" s="48" t="s">
        <v>68</v>
      </c>
      <c r="I2030">
        <f t="shared" si="24"/>
        <v>2021</v>
      </c>
      <c r="J2030">
        <f t="shared" si="25"/>
        <v>167.3</v>
      </c>
    </row>
    <row r="2031" spans="1:10">
      <c r="A2031">
        <v>194.1</v>
      </c>
      <c r="E2031">
        <v>2022</v>
      </c>
      <c r="F2031" s="48" t="s">
        <v>68</v>
      </c>
      <c r="I2031">
        <f t="shared" si="24"/>
        <v>2022</v>
      </c>
      <c r="J2031">
        <f t="shared" si="25"/>
        <v>194.1</v>
      </c>
    </row>
    <row r="2032" spans="1:10" hidden="1">
      <c r="A2032">
        <v>60</v>
      </c>
      <c r="D2032">
        <v>2000</v>
      </c>
      <c r="E2032" t="s">
        <v>68</v>
      </c>
    </row>
    <row r="2033" spans="1:5" hidden="1">
      <c r="A2033">
        <v>27.4</v>
      </c>
      <c r="D2033">
        <v>2001</v>
      </c>
      <c r="E2033" t="s">
        <v>68</v>
      </c>
    </row>
    <row r="2034" spans="1:5" hidden="1">
      <c r="A2034">
        <v>28.4</v>
      </c>
      <c r="D2034">
        <v>2002</v>
      </c>
      <c r="E2034" t="s">
        <v>68</v>
      </c>
    </row>
    <row r="2035" spans="1:5" hidden="1">
      <c r="A2035">
        <v>26.7</v>
      </c>
      <c r="D2035">
        <v>2003</v>
      </c>
      <c r="E2035" t="s">
        <v>68</v>
      </c>
    </row>
    <row r="2036" spans="1:5" hidden="1">
      <c r="A2036">
        <v>26.5</v>
      </c>
      <c r="D2036">
        <v>2004</v>
      </c>
      <c r="E2036" t="s">
        <v>68</v>
      </c>
    </row>
    <row r="2037" spans="1:5" hidden="1">
      <c r="A2037">
        <v>28.8</v>
      </c>
      <c r="D2037">
        <v>2005</v>
      </c>
      <c r="E2037" t="s">
        <v>68</v>
      </c>
    </row>
    <row r="2038" spans="1:5" hidden="1">
      <c r="A2038">
        <v>30.5</v>
      </c>
      <c r="D2038">
        <v>2006</v>
      </c>
      <c r="E2038" t="s">
        <v>68</v>
      </c>
    </row>
    <row r="2039" spans="1:5" hidden="1">
      <c r="A2039">
        <v>29</v>
      </c>
      <c r="D2039">
        <v>2007</v>
      </c>
      <c r="E2039" t="s">
        <v>68</v>
      </c>
    </row>
    <row r="2040" spans="1:5" hidden="1">
      <c r="A2040">
        <v>29.3</v>
      </c>
      <c r="D2040">
        <v>2008</v>
      </c>
      <c r="E2040" t="s">
        <v>68</v>
      </c>
    </row>
    <row r="2041" spans="1:5" hidden="1">
      <c r="A2041">
        <v>28.9</v>
      </c>
      <c r="D2041">
        <v>2009</v>
      </c>
      <c r="E2041" t="s">
        <v>68</v>
      </c>
    </row>
    <row r="2042" spans="1:5" hidden="1">
      <c r="A2042">
        <v>28.8</v>
      </c>
      <c r="D2042">
        <v>2010</v>
      </c>
      <c r="E2042" t="s">
        <v>68</v>
      </c>
    </row>
    <row r="2043" spans="1:5" hidden="1">
      <c r="A2043">
        <v>30.4</v>
      </c>
      <c r="D2043">
        <v>2011</v>
      </c>
      <c r="E2043" t="s">
        <v>68</v>
      </c>
    </row>
    <row r="2044" spans="1:5" hidden="1">
      <c r="A2044">
        <v>29.3</v>
      </c>
      <c r="D2044">
        <v>2012</v>
      </c>
      <c r="E2044" t="s">
        <v>68</v>
      </c>
    </row>
    <row r="2045" spans="1:5" hidden="1">
      <c r="A2045">
        <v>28.3</v>
      </c>
      <c r="D2045">
        <v>2013</v>
      </c>
      <c r="E2045" t="s">
        <v>68</v>
      </c>
    </row>
    <row r="2046" spans="1:5" hidden="1">
      <c r="A2046">
        <v>27.5</v>
      </c>
      <c r="D2046">
        <v>2014</v>
      </c>
      <c r="E2046" t="s">
        <v>68</v>
      </c>
    </row>
    <row r="2047" spans="1:5" hidden="1">
      <c r="A2047">
        <v>28.1</v>
      </c>
      <c r="D2047">
        <v>2015</v>
      </c>
      <c r="E2047" t="s">
        <v>68</v>
      </c>
    </row>
    <row r="2048" spans="1:5" hidden="1">
      <c r="A2048">
        <v>27.7</v>
      </c>
      <c r="D2048">
        <v>2016</v>
      </c>
      <c r="E2048" t="s">
        <v>68</v>
      </c>
    </row>
    <row r="2049" spans="1:5" hidden="1">
      <c r="A2049">
        <v>28.8</v>
      </c>
      <c r="D2049">
        <v>2017</v>
      </c>
      <c r="E2049" t="s">
        <v>68</v>
      </c>
    </row>
    <row r="2050" spans="1:5" hidden="1">
      <c r="A2050">
        <v>30.1</v>
      </c>
      <c r="D2050">
        <v>2018</v>
      </c>
      <c r="E2050" t="s">
        <v>68</v>
      </c>
    </row>
    <row r="2051" spans="1:5" hidden="1">
      <c r="A2051">
        <v>30.1</v>
      </c>
      <c r="D2051">
        <v>2019</v>
      </c>
      <c r="E2051" t="s">
        <v>68</v>
      </c>
    </row>
    <row r="2052" spans="1:5" hidden="1">
      <c r="A2052">
        <v>26.9</v>
      </c>
      <c r="D2052">
        <v>2020</v>
      </c>
      <c r="E2052" t="s">
        <v>68</v>
      </c>
    </row>
    <row r="2053" spans="1:5" hidden="1">
      <c r="A2053">
        <v>25</v>
      </c>
      <c r="D2053">
        <v>2021</v>
      </c>
      <c r="E2053" t="s">
        <v>68</v>
      </c>
    </row>
    <row r="2054" spans="1:5" hidden="1">
      <c r="A2054">
        <v>21.8</v>
      </c>
      <c r="D2054">
        <v>2022</v>
      </c>
      <c r="E2054" t="s">
        <v>68</v>
      </c>
    </row>
    <row r="2055" spans="1:5" hidden="1">
      <c r="A2055">
        <v>3.5</v>
      </c>
      <c r="C2055">
        <v>2000</v>
      </c>
      <c r="D2055" t="s">
        <v>68</v>
      </c>
    </row>
    <row r="2056" spans="1:5" hidden="1">
      <c r="A2056">
        <v>2.7</v>
      </c>
      <c r="C2056">
        <v>2001</v>
      </c>
      <c r="D2056" t="s">
        <v>68</v>
      </c>
    </row>
    <row r="2057" spans="1:5" hidden="1">
      <c r="A2057">
        <v>2.8</v>
      </c>
      <c r="C2057">
        <v>2002</v>
      </c>
      <c r="D2057" t="s">
        <v>68</v>
      </c>
    </row>
    <row r="2058" spans="1:5" hidden="1">
      <c r="A2058">
        <v>2.7</v>
      </c>
      <c r="C2058">
        <v>2003</v>
      </c>
      <c r="D2058" t="s">
        <v>68</v>
      </c>
    </row>
    <row r="2059" spans="1:5" hidden="1">
      <c r="A2059">
        <v>2.8</v>
      </c>
      <c r="C2059">
        <v>2004</v>
      </c>
      <c r="D2059" t="s">
        <v>68</v>
      </c>
    </row>
    <row r="2060" spans="1:5" hidden="1">
      <c r="A2060">
        <v>2.9</v>
      </c>
      <c r="C2060">
        <v>2005</v>
      </c>
      <c r="D2060" t="s">
        <v>68</v>
      </c>
    </row>
    <row r="2061" spans="1:5" hidden="1">
      <c r="A2061">
        <v>3.2</v>
      </c>
      <c r="C2061">
        <v>2006</v>
      </c>
      <c r="D2061" t="s">
        <v>68</v>
      </c>
    </row>
    <row r="2062" spans="1:5" hidden="1">
      <c r="A2062">
        <v>3.3</v>
      </c>
      <c r="C2062">
        <v>2007</v>
      </c>
      <c r="D2062" t="s">
        <v>68</v>
      </c>
    </row>
    <row r="2063" spans="1:5" hidden="1">
      <c r="A2063">
        <v>2.1</v>
      </c>
      <c r="C2063">
        <v>2008</v>
      </c>
      <c r="D2063" t="s">
        <v>68</v>
      </c>
    </row>
    <row r="2064" spans="1:5" hidden="1">
      <c r="A2064">
        <v>2.2999999999999998</v>
      </c>
      <c r="C2064">
        <v>2009</v>
      </c>
      <c r="D2064" t="s">
        <v>68</v>
      </c>
    </row>
    <row r="2065" spans="1:4" hidden="1">
      <c r="A2065">
        <v>2.4</v>
      </c>
      <c r="C2065">
        <v>2010</v>
      </c>
      <c r="D2065" t="s">
        <v>68</v>
      </c>
    </row>
    <row r="2066" spans="1:4" hidden="1">
      <c r="A2066">
        <v>1.8</v>
      </c>
      <c r="C2066">
        <v>2011</v>
      </c>
      <c r="D2066" t="s">
        <v>68</v>
      </c>
    </row>
    <row r="2067" spans="1:4" hidden="1">
      <c r="A2067">
        <v>2.2999999999999998</v>
      </c>
      <c r="C2067">
        <v>2012</v>
      </c>
      <c r="D2067" t="s">
        <v>68</v>
      </c>
    </row>
    <row r="2068" spans="1:4" hidden="1">
      <c r="A2068">
        <v>2.5</v>
      </c>
      <c r="C2068">
        <v>2013</v>
      </c>
      <c r="D2068" t="s">
        <v>68</v>
      </c>
    </row>
    <row r="2069" spans="1:4" hidden="1">
      <c r="A2069">
        <v>2.2999999999999998</v>
      </c>
      <c r="C2069">
        <v>2014</v>
      </c>
      <c r="D2069" t="s">
        <v>68</v>
      </c>
    </row>
    <row r="2070" spans="1:4" hidden="1">
      <c r="A2070">
        <v>2.5</v>
      </c>
      <c r="C2070">
        <v>2015</v>
      </c>
      <c r="D2070" t="s">
        <v>68</v>
      </c>
    </row>
    <row r="2071" spans="1:4" hidden="1">
      <c r="A2071">
        <v>2.2999999999999998</v>
      </c>
      <c r="C2071">
        <v>2016</v>
      </c>
      <c r="D2071" t="s">
        <v>68</v>
      </c>
    </row>
    <row r="2072" spans="1:4" hidden="1">
      <c r="A2072">
        <v>2.4</v>
      </c>
      <c r="C2072">
        <v>2017</v>
      </c>
      <c r="D2072" t="s">
        <v>68</v>
      </c>
    </row>
    <row r="2073" spans="1:4" hidden="1">
      <c r="A2073">
        <v>2.5</v>
      </c>
      <c r="C2073">
        <v>2018</v>
      </c>
      <c r="D2073" t="s">
        <v>68</v>
      </c>
    </row>
    <row r="2074" spans="1:4" hidden="1">
      <c r="A2074">
        <v>2.1</v>
      </c>
      <c r="C2074">
        <v>2019</v>
      </c>
      <c r="D2074" t="s">
        <v>68</v>
      </c>
    </row>
    <row r="2075" spans="1:4" hidden="1">
      <c r="A2075">
        <v>2.4</v>
      </c>
      <c r="C2075">
        <v>2020</v>
      </c>
      <c r="D2075" t="s">
        <v>68</v>
      </c>
    </row>
    <row r="2076" spans="1:4" hidden="1">
      <c r="A2076">
        <v>2.2999999999999998</v>
      </c>
      <c r="C2076">
        <v>2021</v>
      </c>
      <c r="D2076" t="s">
        <v>68</v>
      </c>
    </row>
    <row r="2077" spans="1:4" hidden="1">
      <c r="A2077">
        <v>2.4</v>
      </c>
      <c r="C2077">
        <v>2022</v>
      </c>
      <c r="D2077" t="s">
        <v>68</v>
      </c>
    </row>
    <row r="2078" spans="1:4" hidden="1">
      <c r="A2078">
        <v>482</v>
      </c>
      <c r="B2078">
        <v>2000</v>
      </c>
      <c r="C2078" t="s">
        <v>68</v>
      </c>
    </row>
    <row r="2079" spans="1:4" hidden="1">
      <c r="A2079">
        <v>488.6</v>
      </c>
      <c r="B2079">
        <v>2001</v>
      </c>
      <c r="C2079" t="s">
        <v>68</v>
      </c>
    </row>
    <row r="2080" spans="1:4" hidden="1">
      <c r="A2080">
        <v>474.2</v>
      </c>
      <c r="B2080">
        <v>2002</v>
      </c>
      <c r="C2080" t="s">
        <v>68</v>
      </c>
    </row>
    <row r="2081" spans="1:3" hidden="1">
      <c r="A2081">
        <v>495.5</v>
      </c>
      <c r="B2081">
        <v>2003</v>
      </c>
      <c r="C2081" t="s">
        <v>68</v>
      </c>
    </row>
    <row r="2082" spans="1:3" hidden="1">
      <c r="A2082">
        <v>479.5</v>
      </c>
      <c r="B2082">
        <v>2004</v>
      </c>
      <c r="C2082" t="s">
        <v>68</v>
      </c>
    </row>
    <row r="2083" spans="1:3" hidden="1">
      <c r="A2083">
        <v>476.1</v>
      </c>
      <c r="B2083">
        <v>2005</v>
      </c>
      <c r="C2083" t="s">
        <v>68</v>
      </c>
    </row>
    <row r="2084" spans="1:3" hidden="1">
      <c r="A2084">
        <v>471.1</v>
      </c>
      <c r="B2084">
        <v>2006</v>
      </c>
      <c r="C2084" t="s">
        <v>68</v>
      </c>
    </row>
    <row r="2085" spans="1:3" hidden="1">
      <c r="A2085">
        <v>472</v>
      </c>
      <c r="B2085">
        <v>2007</v>
      </c>
      <c r="C2085" t="s">
        <v>68</v>
      </c>
    </row>
    <row r="2086" spans="1:3" hidden="1">
      <c r="A2086">
        <v>464.1</v>
      </c>
      <c r="B2086">
        <v>2008</v>
      </c>
      <c r="C2086" t="s">
        <v>68</v>
      </c>
    </row>
    <row r="2087" spans="1:3" hidden="1">
      <c r="A2087">
        <v>472.7</v>
      </c>
      <c r="B2087">
        <v>2009</v>
      </c>
      <c r="C2087" t="s">
        <v>68</v>
      </c>
    </row>
    <row r="2088" spans="1:3" hidden="1">
      <c r="A2088">
        <v>513.9</v>
      </c>
      <c r="B2088">
        <v>2010</v>
      </c>
      <c r="C2088" t="s">
        <v>68</v>
      </c>
    </row>
    <row r="2089" spans="1:3" hidden="1">
      <c r="A2089">
        <v>517.70000000000005</v>
      </c>
      <c r="B2089">
        <v>2011</v>
      </c>
      <c r="C2089" t="s">
        <v>68</v>
      </c>
    </row>
    <row r="2090" spans="1:3" hidden="1">
      <c r="A2090">
        <v>493.5</v>
      </c>
      <c r="B2090">
        <v>2012</v>
      </c>
      <c r="C2090" t="s">
        <v>68</v>
      </c>
    </row>
    <row r="2091" spans="1:3" hidden="1">
      <c r="A2091">
        <v>490.1</v>
      </c>
      <c r="B2091">
        <v>2013</v>
      </c>
      <c r="C2091" t="s">
        <v>68</v>
      </c>
    </row>
    <row r="2092" spans="1:3" hidden="1">
      <c r="A2092">
        <v>445.1</v>
      </c>
      <c r="B2092">
        <v>2014</v>
      </c>
      <c r="C2092" t="s">
        <v>68</v>
      </c>
    </row>
    <row r="2093" spans="1:3" hidden="1">
      <c r="A2093">
        <v>464.4</v>
      </c>
      <c r="B2093">
        <v>2015</v>
      </c>
      <c r="C2093" t="s">
        <v>68</v>
      </c>
    </row>
    <row r="2094" spans="1:3" hidden="1">
      <c r="A2094">
        <v>467.5</v>
      </c>
      <c r="B2094">
        <v>2016</v>
      </c>
      <c r="C2094" t="s">
        <v>68</v>
      </c>
    </row>
    <row r="2095" spans="1:3" hidden="1">
      <c r="A2095">
        <v>448.6</v>
      </c>
      <c r="B2095">
        <v>2017</v>
      </c>
      <c r="C2095" t="s">
        <v>68</v>
      </c>
    </row>
    <row r="2096" spans="1:3" hidden="1">
      <c r="A2096">
        <v>441</v>
      </c>
      <c r="B2096">
        <v>2018</v>
      </c>
      <c r="C2096" t="s">
        <v>68</v>
      </c>
    </row>
    <row r="2097" spans="1:8" hidden="1">
      <c r="A2097">
        <v>438</v>
      </c>
      <c r="B2097">
        <v>2019</v>
      </c>
      <c r="C2097" t="s">
        <v>68</v>
      </c>
    </row>
    <row r="2098" spans="1:8" hidden="1">
      <c r="A2098">
        <v>434.7</v>
      </c>
      <c r="B2098">
        <v>2020</v>
      </c>
      <c r="C2098" t="s">
        <v>68</v>
      </c>
    </row>
    <row r="2099" spans="1:8" hidden="1">
      <c r="A2099">
        <v>440.1</v>
      </c>
      <c r="B2099">
        <v>2021</v>
      </c>
      <c r="C2099" t="s">
        <v>68</v>
      </c>
    </row>
    <row r="2100" spans="1:8" hidden="1">
      <c r="A2100">
        <v>452.7</v>
      </c>
      <c r="B2100">
        <v>2022</v>
      </c>
      <c r="C2100" t="s">
        <v>68</v>
      </c>
    </row>
    <row r="2101" spans="1:8" hidden="1">
      <c r="A2101">
        <v>728.7</v>
      </c>
      <c r="G2101">
        <v>2000</v>
      </c>
      <c r="H2101" t="s">
        <v>116</v>
      </c>
    </row>
    <row r="2102" spans="1:8" hidden="1">
      <c r="A2102">
        <v>724</v>
      </c>
      <c r="G2102">
        <v>2001</v>
      </c>
      <c r="H2102" t="s">
        <v>116</v>
      </c>
    </row>
    <row r="2103" spans="1:8" hidden="1">
      <c r="A2103">
        <v>687.3</v>
      </c>
      <c r="G2103">
        <v>2002</v>
      </c>
      <c r="H2103" t="s">
        <v>116</v>
      </c>
    </row>
    <row r="2104" spans="1:8" hidden="1">
      <c r="A2104">
        <v>720</v>
      </c>
      <c r="G2104">
        <v>2003</v>
      </c>
      <c r="H2104" t="s">
        <v>116</v>
      </c>
    </row>
    <row r="2105" spans="1:8" hidden="1">
      <c r="A2105">
        <v>653.20000000000005</v>
      </c>
      <c r="G2105">
        <v>2004</v>
      </c>
      <c r="H2105" t="s">
        <v>116</v>
      </c>
    </row>
    <row r="2106" spans="1:8" hidden="1">
      <c r="A2106">
        <v>350.2</v>
      </c>
      <c r="G2106">
        <v>2005</v>
      </c>
      <c r="H2106" t="s">
        <v>116</v>
      </c>
    </row>
    <row r="2107" spans="1:8" hidden="1">
      <c r="A2107">
        <v>343.7</v>
      </c>
      <c r="G2107">
        <v>2006</v>
      </c>
      <c r="H2107" t="s">
        <v>116</v>
      </c>
    </row>
    <row r="2108" spans="1:8" hidden="1">
      <c r="A2108">
        <v>371.8</v>
      </c>
      <c r="G2108">
        <v>2007</v>
      </c>
      <c r="H2108" t="s">
        <v>116</v>
      </c>
    </row>
    <row r="2109" spans="1:8" hidden="1">
      <c r="A2109">
        <v>388.9</v>
      </c>
      <c r="G2109">
        <v>2008</v>
      </c>
      <c r="H2109" t="s">
        <v>116</v>
      </c>
    </row>
    <row r="2110" spans="1:8" hidden="1">
      <c r="A2110">
        <v>385.6</v>
      </c>
      <c r="G2110">
        <v>2009</v>
      </c>
      <c r="H2110" t="s">
        <v>116</v>
      </c>
    </row>
    <row r="2111" spans="1:8" hidden="1">
      <c r="A2111">
        <v>279.5</v>
      </c>
      <c r="G2111">
        <v>2010</v>
      </c>
      <c r="H2111" t="s">
        <v>116</v>
      </c>
    </row>
    <row r="2112" spans="1:8" hidden="1">
      <c r="A2112">
        <v>329.7</v>
      </c>
      <c r="G2112">
        <v>2011</v>
      </c>
      <c r="H2112" t="s">
        <v>116</v>
      </c>
    </row>
    <row r="2113" spans="1:8" hidden="1">
      <c r="A2113">
        <v>321.7</v>
      </c>
      <c r="G2113">
        <v>2012</v>
      </c>
      <c r="H2113" t="s">
        <v>116</v>
      </c>
    </row>
    <row r="2114" spans="1:8" hidden="1">
      <c r="A2114">
        <v>345.7</v>
      </c>
      <c r="G2114">
        <v>2013</v>
      </c>
      <c r="H2114" t="s">
        <v>116</v>
      </c>
    </row>
    <row r="2115" spans="1:8" hidden="1">
      <c r="A2115">
        <v>328.9</v>
      </c>
      <c r="G2115">
        <v>2014</v>
      </c>
      <c r="H2115" t="s">
        <v>116</v>
      </c>
    </row>
    <row r="2116" spans="1:8" hidden="1">
      <c r="A2116">
        <v>345.7</v>
      </c>
      <c r="G2116">
        <v>2015</v>
      </c>
      <c r="H2116" t="s">
        <v>116</v>
      </c>
    </row>
    <row r="2117" spans="1:8" hidden="1">
      <c r="A2117">
        <v>310.3</v>
      </c>
      <c r="G2117">
        <v>2016</v>
      </c>
      <c r="H2117" t="s">
        <v>116</v>
      </c>
    </row>
    <row r="2118" spans="1:8" hidden="1">
      <c r="A2118">
        <v>310.3</v>
      </c>
      <c r="G2118">
        <v>2017</v>
      </c>
      <c r="H2118" t="s">
        <v>116</v>
      </c>
    </row>
    <row r="2119" spans="1:8" hidden="1">
      <c r="A2119">
        <v>310.3</v>
      </c>
      <c r="G2119">
        <v>2018</v>
      </c>
      <c r="H2119" t="s">
        <v>116</v>
      </c>
    </row>
    <row r="2120" spans="1:8" hidden="1">
      <c r="A2120">
        <v>310.3</v>
      </c>
      <c r="G2120">
        <v>2019</v>
      </c>
      <c r="H2120" t="s">
        <v>116</v>
      </c>
    </row>
    <row r="2121" spans="1:8" hidden="1">
      <c r="A2121">
        <v>310.3</v>
      </c>
      <c r="G2121">
        <v>2020</v>
      </c>
      <c r="H2121" t="s">
        <v>116</v>
      </c>
    </row>
    <row r="2122" spans="1:8" hidden="1">
      <c r="A2122">
        <v>310.3</v>
      </c>
      <c r="G2122">
        <v>2021</v>
      </c>
      <c r="H2122" t="s">
        <v>116</v>
      </c>
    </row>
    <row r="2123" spans="1:8" hidden="1">
      <c r="A2123">
        <v>310.3</v>
      </c>
      <c r="G2123">
        <v>2022</v>
      </c>
      <c r="H2123" t="s">
        <v>116</v>
      </c>
    </row>
    <row r="2124" spans="1:8" hidden="1">
      <c r="A2124">
        <v>0</v>
      </c>
      <c r="F2124" s="48">
        <v>2000</v>
      </c>
      <c r="G2124" t="s">
        <v>116</v>
      </c>
    </row>
    <row r="2125" spans="1:8" hidden="1">
      <c r="A2125">
        <v>0</v>
      </c>
      <c r="F2125" s="48">
        <v>2001</v>
      </c>
      <c r="G2125" t="s">
        <v>116</v>
      </c>
    </row>
    <row r="2126" spans="1:8" hidden="1">
      <c r="A2126">
        <v>0</v>
      </c>
      <c r="F2126" s="48">
        <v>2002</v>
      </c>
      <c r="G2126" t="s">
        <v>116</v>
      </c>
    </row>
    <row r="2127" spans="1:8" hidden="1">
      <c r="A2127">
        <v>262.10000000000002</v>
      </c>
      <c r="F2127" s="48">
        <v>2003</v>
      </c>
      <c r="G2127" t="s">
        <v>116</v>
      </c>
    </row>
    <row r="2128" spans="1:8" hidden="1">
      <c r="A2128">
        <v>217.9</v>
      </c>
      <c r="F2128" s="48">
        <v>2004</v>
      </c>
      <c r="G2128" t="s">
        <v>116</v>
      </c>
    </row>
    <row r="2129" spans="1:7" hidden="1">
      <c r="A2129">
        <v>215</v>
      </c>
      <c r="F2129" s="48">
        <v>2005</v>
      </c>
      <c r="G2129" t="s">
        <v>116</v>
      </c>
    </row>
    <row r="2130" spans="1:7" hidden="1">
      <c r="A2130">
        <v>222.9</v>
      </c>
      <c r="F2130" s="48">
        <v>2006</v>
      </c>
      <c r="G2130" t="s">
        <v>116</v>
      </c>
    </row>
    <row r="2131" spans="1:7" hidden="1">
      <c r="A2131">
        <v>224.2</v>
      </c>
      <c r="F2131" s="48">
        <v>2007</v>
      </c>
      <c r="G2131" t="s">
        <v>116</v>
      </c>
    </row>
    <row r="2132" spans="1:7" hidden="1">
      <c r="A2132">
        <v>230.6</v>
      </c>
      <c r="F2132" s="48">
        <v>2008</v>
      </c>
      <c r="G2132" t="s">
        <v>116</v>
      </c>
    </row>
    <row r="2133" spans="1:7" hidden="1">
      <c r="A2133">
        <v>0</v>
      </c>
      <c r="F2133" s="48">
        <v>2009</v>
      </c>
      <c r="G2133" t="s">
        <v>116</v>
      </c>
    </row>
    <row r="2134" spans="1:7" hidden="1">
      <c r="A2134">
        <v>0</v>
      </c>
      <c r="F2134" s="48">
        <v>2010</v>
      </c>
      <c r="G2134" t="s">
        <v>116</v>
      </c>
    </row>
    <row r="2135" spans="1:7" hidden="1">
      <c r="A2135">
        <v>0</v>
      </c>
      <c r="F2135" s="48">
        <v>2011</v>
      </c>
      <c r="G2135" t="s">
        <v>116</v>
      </c>
    </row>
    <row r="2136" spans="1:7" hidden="1">
      <c r="A2136">
        <v>0</v>
      </c>
      <c r="F2136" s="48">
        <v>2012</v>
      </c>
      <c r="G2136" t="s">
        <v>116</v>
      </c>
    </row>
    <row r="2137" spans="1:7" hidden="1">
      <c r="A2137">
        <v>0</v>
      </c>
      <c r="F2137" s="48">
        <v>2013</v>
      </c>
      <c r="G2137" t="s">
        <v>116</v>
      </c>
    </row>
    <row r="2138" spans="1:7" hidden="1">
      <c r="A2138">
        <v>0</v>
      </c>
      <c r="F2138" s="48">
        <v>2014</v>
      </c>
      <c r="G2138" t="s">
        <v>116</v>
      </c>
    </row>
    <row r="2139" spans="1:7" hidden="1">
      <c r="A2139">
        <v>0</v>
      </c>
      <c r="F2139" s="48">
        <v>2015</v>
      </c>
      <c r="G2139" t="s">
        <v>116</v>
      </c>
    </row>
    <row r="2140" spans="1:7" hidden="1">
      <c r="A2140">
        <v>0</v>
      </c>
      <c r="F2140" s="48">
        <v>2016</v>
      </c>
      <c r="G2140" t="s">
        <v>116</v>
      </c>
    </row>
    <row r="2141" spans="1:7" hidden="1">
      <c r="A2141">
        <v>0</v>
      </c>
      <c r="F2141" s="48">
        <v>2017</v>
      </c>
      <c r="G2141" t="s">
        <v>116</v>
      </c>
    </row>
    <row r="2142" spans="1:7" hidden="1">
      <c r="A2142">
        <v>0</v>
      </c>
      <c r="F2142" s="48">
        <v>2018</v>
      </c>
      <c r="G2142" t="s">
        <v>116</v>
      </c>
    </row>
    <row r="2143" spans="1:7" hidden="1">
      <c r="A2143">
        <v>0</v>
      </c>
      <c r="F2143" s="48">
        <v>2019</v>
      </c>
      <c r="G2143" t="s">
        <v>116</v>
      </c>
    </row>
    <row r="2144" spans="1:7" hidden="1">
      <c r="A2144">
        <v>0</v>
      </c>
      <c r="F2144" s="48">
        <v>2020</v>
      </c>
      <c r="G2144" t="s">
        <v>116</v>
      </c>
    </row>
    <row r="2145" spans="1:10" hidden="1">
      <c r="A2145">
        <v>0</v>
      </c>
      <c r="F2145" s="48">
        <v>2021</v>
      </c>
      <c r="G2145" t="s">
        <v>116</v>
      </c>
    </row>
    <row r="2146" spans="1:10" hidden="1">
      <c r="A2146">
        <v>0</v>
      </c>
      <c r="F2146" s="48">
        <v>2022</v>
      </c>
      <c r="G2146" t="s">
        <v>116</v>
      </c>
    </row>
    <row r="2147" spans="1:10">
      <c r="A2147">
        <v>4141</v>
      </c>
      <c r="E2147">
        <v>2000</v>
      </c>
      <c r="F2147" s="48" t="s">
        <v>116</v>
      </c>
      <c r="I2147">
        <f t="shared" ref="I2147:I2169" si="26">E2147</f>
        <v>2000</v>
      </c>
      <c r="J2147">
        <f t="shared" ref="J2147:J2169" si="27">A2147</f>
        <v>4141</v>
      </c>
    </row>
    <row r="2148" spans="1:10">
      <c r="A2148">
        <v>4277.7</v>
      </c>
      <c r="E2148">
        <v>2001</v>
      </c>
      <c r="F2148" s="48" t="s">
        <v>116</v>
      </c>
      <c r="I2148">
        <f t="shared" si="26"/>
        <v>2001</v>
      </c>
      <c r="J2148">
        <f t="shared" si="27"/>
        <v>4277.7</v>
      </c>
    </row>
    <row r="2149" spans="1:10">
      <c r="A2149">
        <v>4252</v>
      </c>
      <c r="E2149">
        <v>2002</v>
      </c>
      <c r="F2149" s="48" t="s">
        <v>116</v>
      </c>
      <c r="I2149">
        <f t="shared" si="26"/>
        <v>2002</v>
      </c>
      <c r="J2149">
        <f t="shared" si="27"/>
        <v>4252</v>
      </c>
    </row>
    <row r="2150" spans="1:10">
      <c r="A2150">
        <v>4016.9</v>
      </c>
      <c r="E2150">
        <v>2003</v>
      </c>
      <c r="F2150" s="48" t="s">
        <v>116</v>
      </c>
      <c r="I2150">
        <f t="shared" si="26"/>
        <v>2003</v>
      </c>
      <c r="J2150">
        <f t="shared" si="27"/>
        <v>4016.9</v>
      </c>
    </row>
    <row r="2151" spans="1:10">
      <c r="A2151">
        <v>3943.3</v>
      </c>
      <c r="E2151">
        <v>2004</v>
      </c>
      <c r="F2151" s="48" t="s">
        <v>116</v>
      </c>
      <c r="I2151">
        <f t="shared" si="26"/>
        <v>2004</v>
      </c>
      <c r="J2151">
        <f t="shared" si="27"/>
        <v>3943.3</v>
      </c>
    </row>
    <row r="2152" spans="1:10">
      <c r="A2152">
        <v>3501.4</v>
      </c>
      <c r="E2152">
        <v>2005</v>
      </c>
      <c r="F2152" s="48" t="s">
        <v>116</v>
      </c>
      <c r="I2152">
        <f t="shared" si="26"/>
        <v>2005</v>
      </c>
      <c r="J2152">
        <f t="shared" si="27"/>
        <v>3501.4</v>
      </c>
    </row>
    <row r="2153" spans="1:10">
      <c r="A2153">
        <v>3522.7</v>
      </c>
      <c r="E2153">
        <v>2006</v>
      </c>
      <c r="F2153" s="48" t="s">
        <v>116</v>
      </c>
      <c r="I2153">
        <f t="shared" si="26"/>
        <v>2006</v>
      </c>
      <c r="J2153">
        <f t="shared" si="27"/>
        <v>3522.7</v>
      </c>
    </row>
    <row r="2154" spans="1:10">
      <c r="A2154">
        <v>4176.1000000000004</v>
      </c>
      <c r="E2154">
        <v>2007</v>
      </c>
      <c r="F2154" s="48" t="s">
        <v>116</v>
      </c>
      <c r="I2154">
        <f t="shared" si="26"/>
        <v>2007</v>
      </c>
      <c r="J2154">
        <f t="shared" si="27"/>
        <v>4176.1000000000004</v>
      </c>
    </row>
    <row r="2155" spans="1:10">
      <c r="A2155">
        <v>4348.7</v>
      </c>
      <c r="E2155">
        <v>2008</v>
      </c>
      <c r="F2155" s="48" t="s">
        <v>116</v>
      </c>
      <c r="I2155">
        <f t="shared" si="26"/>
        <v>2008</v>
      </c>
      <c r="J2155">
        <f t="shared" si="27"/>
        <v>4348.7</v>
      </c>
    </row>
    <row r="2156" spans="1:10">
      <c r="A2156">
        <v>4811.3999999999996</v>
      </c>
      <c r="E2156">
        <v>2009</v>
      </c>
      <c r="F2156" s="48" t="s">
        <v>116</v>
      </c>
      <c r="I2156">
        <f t="shared" si="26"/>
        <v>2009</v>
      </c>
      <c r="J2156">
        <f t="shared" si="27"/>
        <v>4811.3999999999996</v>
      </c>
    </row>
    <row r="2157" spans="1:10">
      <c r="A2157">
        <v>4000.3</v>
      </c>
      <c r="E2157">
        <v>2010</v>
      </c>
      <c r="F2157" s="48" t="s">
        <v>116</v>
      </c>
      <c r="I2157">
        <f t="shared" si="26"/>
        <v>2010</v>
      </c>
      <c r="J2157">
        <f t="shared" si="27"/>
        <v>4000.3</v>
      </c>
    </row>
    <row r="2158" spans="1:10">
      <c r="A2158">
        <v>3802.1</v>
      </c>
      <c r="E2158">
        <v>2011</v>
      </c>
      <c r="F2158" s="48" t="s">
        <v>116</v>
      </c>
      <c r="I2158">
        <f t="shared" si="26"/>
        <v>2011</v>
      </c>
      <c r="J2158">
        <f t="shared" si="27"/>
        <v>3802.1</v>
      </c>
    </row>
    <row r="2159" spans="1:10">
      <c r="A2159">
        <v>3610.1</v>
      </c>
      <c r="E2159">
        <v>2012</v>
      </c>
      <c r="F2159" s="48" t="s">
        <v>116</v>
      </c>
      <c r="I2159">
        <f t="shared" si="26"/>
        <v>2012</v>
      </c>
      <c r="J2159">
        <f t="shared" si="27"/>
        <v>3610.1</v>
      </c>
    </row>
    <row r="2160" spans="1:10">
      <c r="A2160">
        <v>3531.4</v>
      </c>
      <c r="E2160">
        <v>2013</v>
      </c>
      <c r="F2160" s="48" t="s">
        <v>116</v>
      </c>
      <c r="I2160">
        <f t="shared" si="26"/>
        <v>2013</v>
      </c>
      <c r="J2160">
        <f t="shared" si="27"/>
        <v>3531.4</v>
      </c>
    </row>
    <row r="2161" spans="1:10">
      <c r="A2161">
        <v>3426.3</v>
      </c>
      <c r="E2161">
        <v>2014</v>
      </c>
      <c r="F2161" s="48" t="s">
        <v>116</v>
      </c>
      <c r="I2161">
        <f t="shared" si="26"/>
        <v>2014</v>
      </c>
      <c r="J2161">
        <f t="shared" si="27"/>
        <v>3426.3</v>
      </c>
    </row>
    <row r="2162" spans="1:10">
      <c r="A2162">
        <v>3537</v>
      </c>
      <c r="E2162">
        <v>2015</v>
      </c>
      <c r="F2162" s="48" t="s">
        <v>116</v>
      </c>
      <c r="I2162">
        <f t="shared" si="26"/>
        <v>2015</v>
      </c>
      <c r="J2162">
        <f t="shared" si="27"/>
        <v>3537</v>
      </c>
    </row>
    <row r="2163" spans="1:10">
      <c r="A2163">
        <v>3539.1</v>
      </c>
      <c r="E2163">
        <v>2016</v>
      </c>
      <c r="F2163" s="48" t="s">
        <v>116</v>
      </c>
      <c r="I2163">
        <f t="shared" si="26"/>
        <v>2016</v>
      </c>
      <c r="J2163">
        <f t="shared" si="27"/>
        <v>3539.1</v>
      </c>
    </row>
    <row r="2164" spans="1:10">
      <c r="A2164">
        <v>3718.8</v>
      </c>
      <c r="E2164">
        <v>2017</v>
      </c>
      <c r="F2164" s="48" t="s">
        <v>116</v>
      </c>
      <c r="I2164">
        <f t="shared" si="26"/>
        <v>2017</v>
      </c>
      <c r="J2164">
        <f t="shared" si="27"/>
        <v>3718.8</v>
      </c>
    </row>
    <row r="2165" spans="1:10">
      <c r="A2165">
        <v>3352.6</v>
      </c>
      <c r="E2165">
        <v>2018</v>
      </c>
      <c r="F2165" s="48" t="s">
        <v>116</v>
      </c>
      <c r="I2165">
        <f t="shared" si="26"/>
        <v>2018</v>
      </c>
      <c r="J2165">
        <f t="shared" si="27"/>
        <v>3352.6</v>
      </c>
    </row>
    <row r="2166" spans="1:10">
      <c r="A2166">
        <v>3398.5</v>
      </c>
      <c r="E2166">
        <v>2019</v>
      </c>
      <c r="F2166" s="48" t="s">
        <v>116</v>
      </c>
      <c r="I2166">
        <f t="shared" si="26"/>
        <v>2019</v>
      </c>
      <c r="J2166">
        <f t="shared" si="27"/>
        <v>3398.5</v>
      </c>
    </row>
    <row r="2167" spans="1:10">
      <c r="A2167">
        <v>3514.3</v>
      </c>
      <c r="E2167">
        <v>2020</v>
      </c>
      <c r="F2167" s="48" t="s">
        <v>116</v>
      </c>
      <c r="I2167">
        <f t="shared" si="26"/>
        <v>2020</v>
      </c>
      <c r="J2167">
        <f t="shared" si="27"/>
        <v>3514.3</v>
      </c>
    </row>
    <row r="2168" spans="1:10">
      <c r="A2168">
        <v>3586.7</v>
      </c>
      <c r="E2168">
        <v>2021</v>
      </c>
      <c r="F2168" s="48" t="s">
        <v>116</v>
      </c>
      <c r="I2168">
        <f t="shared" si="26"/>
        <v>2021</v>
      </c>
      <c r="J2168">
        <f t="shared" si="27"/>
        <v>3586.7</v>
      </c>
    </row>
    <row r="2169" spans="1:10">
      <c r="A2169">
        <v>3331.1</v>
      </c>
      <c r="E2169">
        <v>2022</v>
      </c>
      <c r="F2169" s="48" t="s">
        <v>116</v>
      </c>
      <c r="I2169">
        <f t="shared" si="26"/>
        <v>2022</v>
      </c>
      <c r="J2169">
        <f t="shared" si="27"/>
        <v>3331.1</v>
      </c>
    </row>
    <row r="2170" spans="1:10" hidden="1">
      <c r="A2170">
        <v>166.1</v>
      </c>
      <c r="D2170">
        <v>2000</v>
      </c>
      <c r="E2170" t="s">
        <v>116</v>
      </c>
    </row>
    <row r="2171" spans="1:10" hidden="1">
      <c r="A2171">
        <v>161.80000000000001</v>
      </c>
      <c r="D2171">
        <v>2001</v>
      </c>
      <c r="E2171" t="s">
        <v>116</v>
      </c>
    </row>
    <row r="2172" spans="1:10" hidden="1">
      <c r="A2172">
        <v>160.5</v>
      </c>
      <c r="D2172">
        <v>2002</v>
      </c>
      <c r="E2172" t="s">
        <v>116</v>
      </c>
    </row>
    <row r="2173" spans="1:10" hidden="1">
      <c r="A2173">
        <v>146.4</v>
      </c>
      <c r="D2173">
        <v>2003</v>
      </c>
      <c r="E2173" t="s">
        <v>116</v>
      </c>
    </row>
    <row r="2174" spans="1:10" hidden="1">
      <c r="A2174">
        <v>138.30000000000001</v>
      </c>
      <c r="D2174">
        <v>2004</v>
      </c>
      <c r="E2174" t="s">
        <v>116</v>
      </c>
    </row>
    <row r="2175" spans="1:10" hidden="1">
      <c r="A2175">
        <v>87.6</v>
      </c>
      <c r="D2175">
        <v>2005</v>
      </c>
      <c r="E2175" t="s">
        <v>116</v>
      </c>
    </row>
    <row r="2176" spans="1:10" hidden="1">
      <c r="A2176">
        <v>89.2</v>
      </c>
      <c r="D2176">
        <v>2006</v>
      </c>
      <c r="E2176" t="s">
        <v>116</v>
      </c>
    </row>
    <row r="2177" spans="1:5" hidden="1">
      <c r="A2177">
        <v>81</v>
      </c>
      <c r="D2177">
        <v>2007</v>
      </c>
      <c r="E2177" t="s">
        <v>116</v>
      </c>
    </row>
    <row r="2178" spans="1:5" hidden="1">
      <c r="A2178">
        <v>81.400000000000006</v>
      </c>
      <c r="D2178">
        <v>2008</v>
      </c>
      <c r="E2178" t="s">
        <v>116</v>
      </c>
    </row>
    <row r="2179" spans="1:5" hidden="1">
      <c r="A2179">
        <v>71.2</v>
      </c>
      <c r="D2179">
        <v>2009</v>
      </c>
      <c r="E2179" t="s">
        <v>116</v>
      </c>
    </row>
    <row r="2180" spans="1:5" hidden="1">
      <c r="A2180">
        <v>70.400000000000006</v>
      </c>
      <c r="D2180">
        <v>2010</v>
      </c>
      <c r="E2180" t="s">
        <v>116</v>
      </c>
    </row>
    <row r="2181" spans="1:5" hidden="1">
      <c r="A2181">
        <v>74.900000000000006</v>
      </c>
      <c r="D2181">
        <v>2011</v>
      </c>
      <c r="E2181" t="s">
        <v>116</v>
      </c>
    </row>
    <row r="2182" spans="1:5" hidden="1">
      <c r="A2182">
        <v>93.9</v>
      </c>
      <c r="D2182">
        <v>2012</v>
      </c>
      <c r="E2182" t="s">
        <v>116</v>
      </c>
    </row>
    <row r="2183" spans="1:5" hidden="1">
      <c r="A2183">
        <v>104.9</v>
      </c>
      <c r="D2183">
        <v>2013</v>
      </c>
      <c r="E2183" t="s">
        <v>116</v>
      </c>
    </row>
    <row r="2184" spans="1:5" hidden="1">
      <c r="A2184">
        <v>92.2</v>
      </c>
      <c r="D2184">
        <v>2014</v>
      </c>
      <c r="E2184" t="s">
        <v>116</v>
      </c>
    </row>
    <row r="2185" spans="1:5" hidden="1">
      <c r="A2185">
        <v>101.5</v>
      </c>
      <c r="D2185">
        <v>2015</v>
      </c>
      <c r="E2185" t="s">
        <v>116</v>
      </c>
    </row>
    <row r="2186" spans="1:5" hidden="1">
      <c r="A2186">
        <v>99.6</v>
      </c>
      <c r="D2186">
        <v>2016</v>
      </c>
      <c r="E2186" t="s">
        <v>116</v>
      </c>
    </row>
    <row r="2187" spans="1:5" hidden="1">
      <c r="A2187">
        <v>50.6</v>
      </c>
      <c r="D2187">
        <v>2017</v>
      </c>
      <c r="E2187" t="s">
        <v>116</v>
      </c>
    </row>
    <row r="2188" spans="1:5" hidden="1">
      <c r="A2188">
        <v>138.4</v>
      </c>
      <c r="D2188">
        <v>2018</v>
      </c>
      <c r="E2188" t="s">
        <v>116</v>
      </c>
    </row>
    <row r="2189" spans="1:5" hidden="1">
      <c r="A2189">
        <v>130.4</v>
      </c>
      <c r="D2189">
        <v>2019</v>
      </c>
      <c r="E2189" t="s">
        <v>116</v>
      </c>
    </row>
    <row r="2190" spans="1:5" hidden="1">
      <c r="A2190">
        <v>111.9</v>
      </c>
      <c r="D2190">
        <v>2020</v>
      </c>
      <c r="E2190" t="s">
        <v>116</v>
      </c>
    </row>
    <row r="2191" spans="1:5" hidden="1">
      <c r="A2191">
        <v>123</v>
      </c>
      <c r="D2191">
        <v>2021</v>
      </c>
      <c r="E2191" t="s">
        <v>116</v>
      </c>
    </row>
    <row r="2192" spans="1:5" hidden="1">
      <c r="A2192">
        <v>177.5</v>
      </c>
      <c r="D2192">
        <v>2022</v>
      </c>
      <c r="E2192" t="s">
        <v>116</v>
      </c>
    </row>
    <row r="2193" spans="1:4" hidden="1">
      <c r="A2193">
        <v>22.2</v>
      </c>
      <c r="C2193">
        <v>2000</v>
      </c>
      <c r="D2193" t="s">
        <v>116</v>
      </c>
    </row>
    <row r="2194" spans="1:4" hidden="1">
      <c r="A2194">
        <v>19.5</v>
      </c>
      <c r="C2194">
        <v>2001</v>
      </c>
      <c r="D2194" t="s">
        <v>116</v>
      </c>
    </row>
    <row r="2195" spans="1:4" hidden="1">
      <c r="A2195">
        <v>21.3</v>
      </c>
      <c r="C2195">
        <v>2002</v>
      </c>
      <c r="D2195" t="s">
        <v>116</v>
      </c>
    </row>
    <row r="2196" spans="1:4" hidden="1">
      <c r="A2196">
        <v>12.9</v>
      </c>
      <c r="C2196">
        <v>2003</v>
      </c>
      <c r="D2196" t="s">
        <v>116</v>
      </c>
    </row>
    <row r="2197" spans="1:4" hidden="1">
      <c r="A2197">
        <v>9.3000000000000007</v>
      </c>
      <c r="C2197">
        <v>2004</v>
      </c>
      <c r="D2197" t="s">
        <v>116</v>
      </c>
    </row>
    <row r="2198" spans="1:4" hidden="1">
      <c r="A2198">
        <v>5.4</v>
      </c>
      <c r="C2198">
        <v>2005</v>
      </c>
      <c r="D2198" t="s">
        <v>116</v>
      </c>
    </row>
    <row r="2199" spans="1:4" hidden="1">
      <c r="A2199">
        <v>4.0999999999999996</v>
      </c>
      <c r="C2199">
        <v>2006</v>
      </c>
      <c r="D2199" t="s">
        <v>116</v>
      </c>
    </row>
    <row r="2200" spans="1:4" hidden="1">
      <c r="A2200">
        <v>4.3</v>
      </c>
      <c r="C2200">
        <v>2007</v>
      </c>
      <c r="D2200" t="s">
        <v>116</v>
      </c>
    </row>
    <row r="2201" spans="1:4" hidden="1">
      <c r="A2201">
        <v>4.5999999999999996</v>
      </c>
      <c r="C2201">
        <v>2008</v>
      </c>
      <c r="D2201" t="s">
        <v>116</v>
      </c>
    </row>
    <row r="2202" spans="1:4" hidden="1">
      <c r="A2202">
        <v>36.299999999999997</v>
      </c>
      <c r="C2202">
        <v>2009</v>
      </c>
      <c r="D2202" t="s">
        <v>116</v>
      </c>
    </row>
    <row r="2203" spans="1:4" hidden="1">
      <c r="A2203">
        <v>49.8</v>
      </c>
      <c r="C2203">
        <v>2010</v>
      </c>
      <c r="D2203" t="s">
        <v>116</v>
      </c>
    </row>
    <row r="2204" spans="1:4" hidden="1">
      <c r="A2204">
        <v>46.5</v>
      </c>
      <c r="C2204">
        <v>2011</v>
      </c>
      <c r="D2204" t="s">
        <v>116</v>
      </c>
    </row>
    <row r="2205" spans="1:4" hidden="1">
      <c r="A2205">
        <v>43.9</v>
      </c>
      <c r="C2205">
        <v>2012</v>
      </c>
      <c r="D2205" t="s">
        <v>116</v>
      </c>
    </row>
    <row r="2206" spans="1:4" hidden="1">
      <c r="A2206">
        <v>41</v>
      </c>
      <c r="C2206">
        <v>2013</v>
      </c>
      <c r="D2206" t="s">
        <v>116</v>
      </c>
    </row>
    <row r="2207" spans="1:4" hidden="1">
      <c r="A2207">
        <v>37.6</v>
      </c>
      <c r="C2207">
        <v>2014</v>
      </c>
      <c r="D2207" t="s">
        <v>116</v>
      </c>
    </row>
    <row r="2208" spans="1:4" hidden="1">
      <c r="A2208">
        <v>35.5</v>
      </c>
      <c r="C2208">
        <v>2015</v>
      </c>
      <c r="D2208" t="s">
        <v>116</v>
      </c>
    </row>
    <row r="2209" spans="1:4" hidden="1">
      <c r="A2209">
        <v>34.9</v>
      </c>
      <c r="C2209">
        <v>2016</v>
      </c>
      <c r="D2209" t="s">
        <v>116</v>
      </c>
    </row>
    <row r="2210" spans="1:4" hidden="1">
      <c r="A2210">
        <v>30.4</v>
      </c>
      <c r="C2210">
        <v>2017</v>
      </c>
      <c r="D2210" t="s">
        <v>116</v>
      </c>
    </row>
    <row r="2211" spans="1:4" hidden="1">
      <c r="A2211">
        <v>31.6</v>
      </c>
      <c r="C2211">
        <v>2018</v>
      </c>
      <c r="D2211" t="s">
        <v>116</v>
      </c>
    </row>
    <row r="2212" spans="1:4" hidden="1">
      <c r="A2212">
        <v>26.6</v>
      </c>
      <c r="C2212">
        <v>2019</v>
      </c>
      <c r="D2212" t="s">
        <v>116</v>
      </c>
    </row>
    <row r="2213" spans="1:4" hidden="1">
      <c r="A2213">
        <v>0</v>
      </c>
      <c r="C2213">
        <v>2020</v>
      </c>
      <c r="D2213" t="s">
        <v>116</v>
      </c>
    </row>
    <row r="2214" spans="1:4" hidden="1">
      <c r="A2214">
        <v>0</v>
      </c>
      <c r="C2214">
        <v>2021</v>
      </c>
      <c r="D2214" t="s">
        <v>116</v>
      </c>
    </row>
    <row r="2215" spans="1:4" hidden="1">
      <c r="A2215">
        <v>22.9</v>
      </c>
      <c r="C2215">
        <v>2022</v>
      </c>
      <c r="D2215" t="s">
        <v>116</v>
      </c>
    </row>
    <row r="2216" spans="1:4" hidden="1">
      <c r="A2216">
        <v>817.3</v>
      </c>
      <c r="B2216">
        <v>2000</v>
      </c>
      <c r="C2216" t="s">
        <v>116</v>
      </c>
    </row>
    <row r="2217" spans="1:4" hidden="1">
      <c r="A2217">
        <v>802.4</v>
      </c>
      <c r="B2217">
        <v>2001</v>
      </c>
      <c r="C2217" t="s">
        <v>116</v>
      </c>
    </row>
    <row r="2218" spans="1:4" hidden="1">
      <c r="A2218">
        <v>801.9</v>
      </c>
      <c r="B2218">
        <v>2002</v>
      </c>
      <c r="C2218" t="s">
        <v>116</v>
      </c>
    </row>
    <row r="2219" spans="1:4" hidden="1">
      <c r="A2219">
        <v>806.9</v>
      </c>
      <c r="B2219">
        <v>2003</v>
      </c>
      <c r="C2219" t="s">
        <v>116</v>
      </c>
    </row>
    <row r="2220" spans="1:4" hidden="1">
      <c r="A2220">
        <v>802.9</v>
      </c>
      <c r="B2220">
        <v>2004</v>
      </c>
      <c r="C2220" t="s">
        <v>116</v>
      </c>
    </row>
    <row r="2221" spans="1:4" hidden="1">
      <c r="A2221">
        <v>697.1</v>
      </c>
      <c r="B2221">
        <v>2005</v>
      </c>
      <c r="C2221" t="s">
        <v>116</v>
      </c>
    </row>
    <row r="2222" spans="1:4" hidden="1">
      <c r="A2222">
        <v>661.3</v>
      </c>
      <c r="B2222">
        <v>2006</v>
      </c>
      <c r="C2222" t="s">
        <v>116</v>
      </c>
    </row>
    <row r="2223" spans="1:4" hidden="1">
      <c r="A2223">
        <v>666.6</v>
      </c>
      <c r="B2223">
        <v>2007</v>
      </c>
      <c r="C2223" t="s">
        <v>116</v>
      </c>
    </row>
    <row r="2224" spans="1:4" hidden="1">
      <c r="A2224">
        <v>640.70000000000005</v>
      </c>
      <c r="B2224">
        <v>2008</v>
      </c>
      <c r="C2224" t="s">
        <v>116</v>
      </c>
    </row>
    <row r="2225" spans="1:8" hidden="1">
      <c r="A2225">
        <v>632.5</v>
      </c>
      <c r="B2225">
        <v>2009</v>
      </c>
      <c r="C2225" t="s">
        <v>116</v>
      </c>
    </row>
    <row r="2226" spans="1:8" hidden="1">
      <c r="A2226">
        <v>597.6</v>
      </c>
      <c r="B2226">
        <v>2010</v>
      </c>
      <c r="C2226" t="s">
        <v>116</v>
      </c>
    </row>
    <row r="2227" spans="1:8" hidden="1">
      <c r="A2227">
        <v>599.9</v>
      </c>
      <c r="B2227">
        <v>2011</v>
      </c>
      <c r="C2227" t="s">
        <v>116</v>
      </c>
    </row>
    <row r="2228" spans="1:8" hidden="1">
      <c r="A2228">
        <v>598.4</v>
      </c>
      <c r="B2228">
        <v>2012</v>
      </c>
      <c r="C2228" t="s">
        <v>116</v>
      </c>
    </row>
    <row r="2229" spans="1:8" hidden="1">
      <c r="A2229">
        <v>589.29999999999995</v>
      </c>
      <c r="B2229">
        <v>2013</v>
      </c>
      <c r="C2229" t="s">
        <v>116</v>
      </c>
    </row>
    <row r="2230" spans="1:8" hidden="1">
      <c r="A2230">
        <v>574.5</v>
      </c>
      <c r="B2230">
        <v>2014</v>
      </c>
      <c r="C2230" t="s">
        <v>116</v>
      </c>
    </row>
    <row r="2231" spans="1:8" hidden="1">
      <c r="A2231">
        <v>604.5</v>
      </c>
      <c r="B2231">
        <v>2015</v>
      </c>
      <c r="C2231" t="s">
        <v>116</v>
      </c>
    </row>
    <row r="2232" spans="1:8" hidden="1">
      <c r="A2232">
        <v>594.70000000000005</v>
      </c>
      <c r="B2232">
        <v>2016</v>
      </c>
      <c r="C2232" t="s">
        <v>116</v>
      </c>
    </row>
    <row r="2233" spans="1:8" hidden="1">
      <c r="A2233">
        <v>624.5</v>
      </c>
      <c r="B2233">
        <v>2017</v>
      </c>
      <c r="C2233" t="s">
        <v>116</v>
      </c>
    </row>
    <row r="2234" spans="1:8" hidden="1">
      <c r="A2234">
        <v>627.9</v>
      </c>
      <c r="B2234">
        <v>2018</v>
      </c>
      <c r="C2234" t="s">
        <v>116</v>
      </c>
    </row>
    <row r="2235" spans="1:8" hidden="1">
      <c r="A2235">
        <v>643.29999999999995</v>
      </c>
      <c r="B2235">
        <v>2019</v>
      </c>
      <c r="C2235" t="s">
        <v>116</v>
      </c>
    </row>
    <row r="2236" spans="1:8" hidden="1">
      <c r="A2236">
        <v>647.70000000000005</v>
      </c>
      <c r="B2236">
        <v>2020</v>
      </c>
      <c r="C2236" t="s">
        <v>116</v>
      </c>
    </row>
    <row r="2237" spans="1:8" hidden="1">
      <c r="A2237">
        <v>638.1</v>
      </c>
      <c r="B2237">
        <v>2021</v>
      </c>
      <c r="C2237" t="s">
        <v>116</v>
      </c>
    </row>
    <row r="2238" spans="1:8" hidden="1">
      <c r="A2238">
        <v>820</v>
      </c>
      <c r="B2238">
        <v>2022</v>
      </c>
      <c r="C2238" t="s">
        <v>116</v>
      </c>
    </row>
    <row r="2239" spans="1:8" hidden="1">
      <c r="A2239">
        <v>37.4</v>
      </c>
      <c r="G2239">
        <v>2000</v>
      </c>
      <c r="H2239" t="s">
        <v>126</v>
      </c>
    </row>
    <row r="2240" spans="1:8" hidden="1">
      <c r="A2240">
        <v>36.1</v>
      </c>
      <c r="G2240">
        <v>2001</v>
      </c>
      <c r="H2240" t="s">
        <v>126</v>
      </c>
    </row>
    <row r="2241" spans="1:8" hidden="1">
      <c r="A2241">
        <v>37.700000000000003</v>
      </c>
      <c r="G2241">
        <v>2002</v>
      </c>
      <c r="H2241" t="s">
        <v>126</v>
      </c>
    </row>
    <row r="2242" spans="1:8" hidden="1">
      <c r="A2242">
        <v>36.9</v>
      </c>
      <c r="G2242">
        <v>2003</v>
      </c>
      <c r="H2242" t="s">
        <v>126</v>
      </c>
    </row>
    <row r="2243" spans="1:8" hidden="1">
      <c r="A2243">
        <v>37.5</v>
      </c>
      <c r="G2243">
        <v>2004</v>
      </c>
      <c r="H2243" t="s">
        <v>126</v>
      </c>
    </row>
    <row r="2244" spans="1:8" hidden="1">
      <c r="A2244">
        <v>36.4</v>
      </c>
      <c r="G2244">
        <v>2005</v>
      </c>
      <c r="H2244" t="s">
        <v>126</v>
      </c>
    </row>
    <row r="2245" spans="1:8" hidden="1">
      <c r="A2245">
        <v>36.299999999999997</v>
      </c>
      <c r="G2245">
        <v>2006</v>
      </c>
      <c r="H2245" t="s">
        <v>126</v>
      </c>
    </row>
    <row r="2246" spans="1:8" hidden="1">
      <c r="A2246">
        <v>37.200000000000003</v>
      </c>
      <c r="G2246">
        <v>2007</v>
      </c>
      <c r="H2246" t="s">
        <v>126</v>
      </c>
    </row>
    <row r="2247" spans="1:8" hidden="1">
      <c r="A2247">
        <v>37.1</v>
      </c>
      <c r="G2247">
        <v>2008</v>
      </c>
      <c r="H2247" t="s">
        <v>126</v>
      </c>
    </row>
    <row r="2248" spans="1:8" hidden="1">
      <c r="A2248">
        <v>37.4</v>
      </c>
      <c r="G2248">
        <v>2009</v>
      </c>
      <c r="H2248" t="s">
        <v>126</v>
      </c>
    </row>
    <row r="2249" spans="1:8" hidden="1">
      <c r="A2249">
        <v>35</v>
      </c>
      <c r="G2249">
        <v>2010</v>
      </c>
      <c r="H2249" t="s">
        <v>126</v>
      </c>
    </row>
    <row r="2250" spans="1:8" hidden="1">
      <c r="A2250">
        <v>36.1</v>
      </c>
      <c r="G2250">
        <v>2011</v>
      </c>
      <c r="H2250" t="s">
        <v>126</v>
      </c>
    </row>
    <row r="2251" spans="1:8" hidden="1">
      <c r="A2251">
        <v>36.799999999999997</v>
      </c>
      <c r="G2251">
        <v>2012</v>
      </c>
      <c r="H2251" t="s">
        <v>126</v>
      </c>
    </row>
    <row r="2252" spans="1:8" hidden="1">
      <c r="A2252">
        <v>36.799999999999997</v>
      </c>
      <c r="G2252">
        <v>2013</v>
      </c>
      <c r="H2252" t="s">
        <v>126</v>
      </c>
    </row>
    <row r="2253" spans="1:8" hidden="1">
      <c r="A2253">
        <v>37.700000000000003</v>
      </c>
      <c r="G2253">
        <v>2014</v>
      </c>
      <c r="H2253" t="s">
        <v>126</v>
      </c>
    </row>
    <row r="2254" spans="1:8" hidden="1">
      <c r="A2254">
        <v>38.4</v>
      </c>
      <c r="G2254">
        <v>2015</v>
      </c>
      <c r="H2254" t="s">
        <v>126</v>
      </c>
    </row>
    <row r="2255" spans="1:8" hidden="1">
      <c r="A2255">
        <v>37.1</v>
      </c>
      <c r="G2255">
        <v>2016</v>
      </c>
      <c r="H2255" t="s">
        <v>126</v>
      </c>
    </row>
    <row r="2256" spans="1:8" hidden="1">
      <c r="A2256">
        <v>36.700000000000003</v>
      </c>
      <c r="G2256">
        <v>2017</v>
      </c>
      <c r="H2256" t="s">
        <v>126</v>
      </c>
    </row>
    <row r="2257" spans="1:8" hidden="1">
      <c r="A2257">
        <v>34.700000000000003</v>
      </c>
      <c r="G2257">
        <v>2018</v>
      </c>
      <c r="H2257" t="s">
        <v>126</v>
      </c>
    </row>
    <row r="2258" spans="1:8" hidden="1">
      <c r="A2258">
        <v>35.700000000000003</v>
      </c>
      <c r="G2258">
        <v>2019</v>
      </c>
      <c r="H2258" t="s">
        <v>126</v>
      </c>
    </row>
    <row r="2259" spans="1:8" hidden="1">
      <c r="A2259">
        <v>38.200000000000003</v>
      </c>
      <c r="G2259">
        <v>2020</v>
      </c>
      <c r="H2259" t="s">
        <v>126</v>
      </c>
    </row>
    <row r="2260" spans="1:8" hidden="1">
      <c r="A2260">
        <v>39.5</v>
      </c>
      <c r="G2260">
        <v>2021</v>
      </c>
      <c r="H2260" t="s">
        <v>126</v>
      </c>
    </row>
    <row r="2261" spans="1:8" hidden="1">
      <c r="A2261">
        <v>39</v>
      </c>
      <c r="G2261">
        <v>2022</v>
      </c>
      <c r="H2261" t="s">
        <v>126</v>
      </c>
    </row>
    <row r="2262" spans="1:8" hidden="1">
      <c r="A2262">
        <v>0</v>
      </c>
      <c r="F2262" s="48">
        <v>2000</v>
      </c>
      <c r="G2262" t="s">
        <v>126</v>
      </c>
    </row>
    <row r="2263" spans="1:8" hidden="1">
      <c r="A2263">
        <v>0</v>
      </c>
      <c r="F2263" s="48">
        <v>2001</v>
      </c>
      <c r="G2263" t="s">
        <v>126</v>
      </c>
    </row>
    <row r="2264" spans="1:8" hidden="1">
      <c r="A2264">
        <v>0</v>
      </c>
      <c r="F2264" s="48">
        <v>2002</v>
      </c>
      <c r="G2264" t="s">
        <v>126</v>
      </c>
    </row>
    <row r="2265" spans="1:8" hidden="1">
      <c r="A2265">
        <v>0</v>
      </c>
      <c r="F2265" s="48">
        <v>2003</v>
      </c>
      <c r="G2265" t="s">
        <v>126</v>
      </c>
    </row>
    <row r="2266" spans="1:8" hidden="1">
      <c r="A2266">
        <v>0</v>
      </c>
      <c r="F2266" s="48">
        <v>2004</v>
      </c>
      <c r="G2266" t="s">
        <v>126</v>
      </c>
    </row>
    <row r="2267" spans="1:8" hidden="1">
      <c r="A2267">
        <v>0</v>
      </c>
      <c r="F2267" s="48">
        <v>2005</v>
      </c>
      <c r="G2267" t="s">
        <v>126</v>
      </c>
    </row>
    <row r="2268" spans="1:8" hidden="1">
      <c r="A2268">
        <v>0</v>
      </c>
      <c r="F2268" s="48">
        <v>2006</v>
      </c>
      <c r="G2268" t="s">
        <v>126</v>
      </c>
    </row>
    <row r="2269" spans="1:8" hidden="1">
      <c r="A2269">
        <v>0</v>
      </c>
      <c r="F2269" s="48">
        <v>2007</v>
      </c>
      <c r="G2269" t="s">
        <v>126</v>
      </c>
    </row>
    <row r="2270" spans="1:8" hidden="1">
      <c r="A2270">
        <v>0</v>
      </c>
      <c r="F2270" s="48">
        <v>2008</v>
      </c>
      <c r="G2270" t="s">
        <v>126</v>
      </c>
    </row>
    <row r="2271" spans="1:8" hidden="1">
      <c r="A2271">
        <v>0</v>
      </c>
      <c r="F2271" s="48">
        <v>2009</v>
      </c>
      <c r="G2271" t="s">
        <v>126</v>
      </c>
    </row>
    <row r="2272" spans="1:8" hidden="1">
      <c r="A2272">
        <v>0</v>
      </c>
      <c r="F2272" s="48">
        <v>2010</v>
      </c>
      <c r="G2272" t="s">
        <v>126</v>
      </c>
    </row>
    <row r="2273" spans="1:10" hidden="1">
      <c r="A2273">
        <v>0</v>
      </c>
      <c r="F2273" s="48">
        <v>2011</v>
      </c>
      <c r="G2273" t="s">
        <v>126</v>
      </c>
    </row>
    <row r="2274" spans="1:10" hidden="1">
      <c r="A2274">
        <v>0</v>
      </c>
      <c r="F2274" s="48">
        <v>2012</v>
      </c>
      <c r="G2274" t="s">
        <v>126</v>
      </c>
    </row>
    <row r="2275" spans="1:10" hidden="1">
      <c r="A2275">
        <v>0</v>
      </c>
      <c r="F2275" s="48">
        <v>2013</v>
      </c>
      <c r="G2275" t="s">
        <v>126</v>
      </c>
    </row>
    <row r="2276" spans="1:10" hidden="1">
      <c r="A2276">
        <v>0</v>
      </c>
      <c r="F2276" s="48">
        <v>2014</v>
      </c>
      <c r="G2276" t="s">
        <v>126</v>
      </c>
    </row>
    <row r="2277" spans="1:10" hidden="1">
      <c r="A2277">
        <v>0</v>
      </c>
      <c r="F2277" s="48">
        <v>2015</v>
      </c>
      <c r="G2277" t="s">
        <v>126</v>
      </c>
    </row>
    <row r="2278" spans="1:10" hidden="1">
      <c r="A2278">
        <v>0</v>
      </c>
      <c r="F2278" s="48">
        <v>2016</v>
      </c>
      <c r="G2278" t="s">
        <v>126</v>
      </c>
    </row>
    <row r="2279" spans="1:10" hidden="1">
      <c r="A2279">
        <v>0</v>
      </c>
      <c r="F2279" s="48">
        <v>2017</v>
      </c>
      <c r="G2279" t="s">
        <v>126</v>
      </c>
    </row>
    <row r="2280" spans="1:10" hidden="1">
      <c r="A2280">
        <v>0</v>
      </c>
      <c r="F2280" s="48">
        <v>2018</v>
      </c>
      <c r="G2280" t="s">
        <v>126</v>
      </c>
    </row>
    <row r="2281" spans="1:10" hidden="1">
      <c r="A2281">
        <v>0</v>
      </c>
      <c r="F2281" s="48">
        <v>2019</v>
      </c>
      <c r="G2281" t="s">
        <v>126</v>
      </c>
    </row>
    <row r="2282" spans="1:10" hidden="1">
      <c r="A2282">
        <v>0</v>
      </c>
      <c r="F2282" s="48">
        <v>2020</v>
      </c>
      <c r="G2282" t="s">
        <v>126</v>
      </c>
    </row>
    <row r="2283" spans="1:10" hidden="1">
      <c r="A2283">
        <v>0</v>
      </c>
      <c r="F2283" s="48">
        <v>2021</v>
      </c>
      <c r="G2283" t="s">
        <v>126</v>
      </c>
    </row>
    <row r="2284" spans="1:10" hidden="1">
      <c r="A2284">
        <v>0.4</v>
      </c>
      <c r="F2284" s="48">
        <v>2022</v>
      </c>
      <c r="G2284" t="s">
        <v>126</v>
      </c>
    </row>
    <row r="2285" spans="1:10">
      <c r="A2285">
        <v>388.3</v>
      </c>
      <c r="E2285">
        <v>2000</v>
      </c>
      <c r="F2285" s="48" t="s">
        <v>126</v>
      </c>
      <c r="I2285">
        <f t="shared" ref="I2285:I2307" si="28">E2285</f>
        <v>2000</v>
      </c>
      <c r="J2285">
        <f t="shared" ref="J2285:J2307" si="29">A2285</f>
        <v>388.3</v>
      </c>
    </row>
    <row r="2286" spans="1:10">
      <c r="A2286">
        <v>404.1</v>
      </c>
      <c r="E2286">
        <v>2001</v>
      </c>
      <c r="F2286" s="48" t="s">
        <v>126</v>
      </c>
      <c r="I2286">
        <f t="shared" si="28"/>
        <v>2001</v>
      </c>
      <c r="J2286">
        <f t="shared" si="29"/>
        <v>404.1</v>
      </c>
    </row>
    <row r="2287" spans="1:10">
      <c r="A2287">
        <v>408</v>
      </c>
      <c r="E2287">
        <v>2002</v>
      </c>
      <c r="F2287" s="48" t="s">
        <v>126</v>
      </c>
      <c r="I2287">
        <f t="shared" si="28"/>
        <v>2002</v>
      </c>
      <c r="J2287">
        <f t="shared" si="29"/>
        <v>408</v>
      </c>
    </row>
    <row r="2288" spans="1:10">
      <c r="A2288">
        <v>408.4</v>
      </c>
      <c r="E2288">
        <v>2003</v>
      </c>
      <c r="F2288" s="48" t="s">
        <v>126</v>
      </c>
      <c r="I2288">
        <f t="shared" si="28"/>
        <v>2003</v>
      </c>
      <c r="J2288">
        <f t="shared" si="29"/>
        <v>408.4</v>
      </c>
    </row>
    <row r="2289" spans="1:10">
      <c r="A2289">
        <v>414</v>
      </c>
      <c r="E2289">
        <v>2004</v>
      </c>
      <c r="F2289" s="48" t="s">
        <v>126</v>
      </c>
      <c r="I2289">
        <f t="shared" si="28"/>
        <v>2004</v>
      </c>
      <c r="J2289">
        <f t="shared" si="29"/>
        <v>414</v>
      </c>
    </row>
    <row r="2290" spans="1:10">
      <c r="A2290">
        <v>420.6</v>
      </c>
      <c r="E2290">
        <v>2005</v>
      </c>
      <c r="F2290" s="48" t="s">
        <v>126</v>
      </c>
      <c r="I2290">
        <f t="shared" si="28"/>
        <v>2005</v>
      </c>
      <c r="J2290">
        <f t="shared" si="29"/>
        <v>420.6</v>
      </c>
    </row>
    <row r="2291" spans="1:10">
      <c r="A2291">
        <v>445</v>
      </c>
      <c r="E2291">
        <v>2006</v>
      </c>
      <c r="F2291" s="48" t="s">
        <v>126</v>
      </c>
      <c r="I2291">
        <f t="shared" si="28"/>
        <v>2006</v>
      </c>
      <c r="J2291">
        <f t="shared" si="29"/>
        <v>445</v>
      </c>
    </row>
    <row r="2292" spans="1:10">
      <c r="A2292">
        <v>456.6</v>
      </c>
      <c r="E2292">
        <v>2007</v>
      </c>
      <c r="F2292" s="48" t="s">
        <v>126</v>
      </c>
      <c r="I2292">
        <f t="shared" si="28"/>
        <v>2007</v>
      </c>
      <c r="J2292">
        <f t="shared" si="29"/>
        <v>456.6</v>
      </c>
    </row>
    <row r="2293" spans="1:10">
      <c r="A2293">
        <v>489.7</v>
      </c>
      <c r="E2293">
        <v>2008</v>
      </c>
      <c r="F2293" s="48" t="s">
        <v>126</v>
      </c>
      <c r="I2293">
        <f t="shared" si="28"/>
        <v>2008</v>
      </c>
      <c r="J2293">
        <f t="shared" si="29"/>
        <v>489.7</v>
      </c>
    </row>
    <row r="2294" spans="1:10">
      <c r="A2294">
        <v>458.5</v>
      </c>
      <c r="E2294">
        <v>2009</v>
      </c>
      <c r="F2294" s="48" t="s">
        <v>126</v>
      </c>
      <c r="I2294">
        <f t="shared" si="28"/>
        <v>2009</v>
      </c>
      <c r="J2294">
        <f t="shared" si="29"/>
        <v>458.5</v>
      </c>
    </row>
    <row r="2295" spans="1:10">
      <c r="A2295">
        <v>459.2</v>
      </c>
      <c r="E2295">
        <v>2010</v>
      </c>
      <c r="F2295" s="48" t="s">
        <v>126</v>
      </c>
      <c r="I2295">
        <f t="shared" si="28"/>
        <v>2010</v>
      </c>
      <c r="J2295">
        <f t="shared" si="29"/>
        <v>459.2</v>
      </c>
    </row>
    <row r="2296" spans="1:10">
      <c r="A2296">
        <v>439.9</v>
      </c>
      <c r="E2296">
        <v>2011</v>
      </c>
      <c r="F2296" s="48" t="s">
        <v>126</v>
      </c>
      <c r="I2296">
        <f t="shared" si="28"/>
        <v>2011</v>
      </c>
      <c r="J2296">
        <f t="shared" si="29"/>
        <v>439.9</v>
      </c>
    </row>
    <row r="2297" spans="1:10">
      <c r="A2297">
        <v>443</v>
      </c>
      <c r="E2297">
        <v>2012</v>
      </c>
      <c r="F2297" s="48" t="s">
        <v>126</v>
      </c>
      <c r="I2297">
        <f t="shared" si="28"/>
        <v>2012</v>
      </c>
      <c r="J2297">
        <f t="shared" si="29"/>
        <v>443</v>
      </c>
    </row>
    <row r="2298" spans="1:10">
      <c r="A2298">
        <v>419.7</v>
      </c>
      <c r="E2298">
        <v>2013</v>
      </c>
      <c r="F2298" s="48" t="s">
        <v>126</v>
      </c>
      <c r="I2298">
        <f t="shared" si="28"/>
        <v>2013</v>
      </c>
      <c r="J2298">
        <f t="shared" si="29"/>
        <v>419.7</v>
      </c>
    </row>
    <row r="2299" spans="1:10">
      <c r="A2299">
        <v>422.5</v>
      </c>
      <c r="E2299">
        <v>2014</v>
      </c>
      <c r="F2299" s="48" t="s">
        <v>126</v>
      </c>
      <c r="I2299">
        <f t="shared" si="28"/>
        <v>2014</v>
      </c>
      <c r="J2299">
        <f t="shared" si="29"/>
        <v>422.5</v>
      </c>
    </row>
    <row r="2300" spans="1:10">
      <c r="A2300">
        <v>459.7</v>
      </c>
      <c r="E2300">
        <v>2015</v>
      </c>
      <c r="F2300" s="48" t="s">
        <v>126</v>
      </c>
      <c r="I2300">
        <f t="shared" si="28"/>
        <v>2015</v>
      </c>
      <c r="J2300">
        <f t="shared" si="29"/>
        <v>459.7</v>
      </c>
    </row>
    <row r="2301" spans="1:10">
      <c r="A2301">
        <v>459.6</v>
      </c>
      <c r="E2301">
        <v>2016</v>
      </c>
      <c r="F2301" s="48" t="s">
        <v>126</v>
      </c>
      <c r="I2301">
        <f t="shared" si="28"/>
        <v>2016</v>
      </c>
      <c r="J2301">
        <f t="shared" si="29"/>
        <v>459.6</v>
      </c>
    </row>
    <row r="2302" spans="1:10">
      <c r="A2302">
        <v>494</v>
      </c>
      <c r="E2302">
        <v>2017</v>
      </c>
      <c r="F2302" s="48" t="s">
        <v>126</v>
      </c>
      <c r="I2302">
        <f t="shared" si="28"/>
        <v>2017</v>
      </c>
      <c r="J2302">
        <f t="shared" si="29"/>
        <v>494</v>
      </c>
    </row>
    <row r="2303" spans="1:10">
      <c r="A2303">
        <v>359.2</v>
      </c>
      <c r="E2303">
        <v>2018</v>
      </c>
      <c r="F2303" s="48" t="s">
        <v>126</v>
      </c>
      <c r="I2303">
        <f t="shared" si="28"/>
        <v>2018</v>
      </c>
      <c r="J2303">
        <f t="shared" si="29"/>
        <v>359.2</v>
      </c>
    </row>
    <row r="2304" spans="1:10">
      <c r="A2304">
        <v>359.2</v>
      </c>
      <c r="E2304">
        <v>2019</v>
      </c>
      <c r="F2304" s="48" t="s">
        <v>126</v>
      </c>
      <c r="I2304">
        <f t="shared" si="28"/>
        <v>2019</v>
      </c>
      <c r="J2304">
        <f t="shared" si="29"/>
        <v>359.2</v>
      </c>
    </row>
    <row r="2305" spans="1:10">
      <c r="A2305">
        <v>359.2</v>
      </c>
      <c r="E2305">
        <v>2020</v>
      </c>
      <c r="F2305" s="48" t="s">
        <v>126</v>
      </c>
      <c r="I2305">
        <f t="shared" si="28"/>
        <v>2020</v>
      </c>
      <c r="J2305">
        <f t="shared" si="29"/>
        <v>359.2</v>
      </c>
    </row>
    <row r="2306" spans="1:10">
      <c r="A2306">
        <v>359.2</v>
      </c>
      <c r="E2306">
        <v>2021</v>
      </c>
      <c r="F2306" s="48" t="s">
        <v>126</v>
      </c>
      <c r="I2306">
        <f t="shared" si="28"/>
        <v>2021</v>
      </c>
      <c r="J2306">
        <f t="shared" si="29"/>
        <v>359.2</v>
      </c>
    </row>
    <row r="2307" spans="1:10">
      <c r="A2307">
        <v>359.1</v>
      </c>
      <c r="E2307">
        <v>2022</v>
      </c>
      <c r="F2307" s="48" t="s">
        <v>126</v>
      </c>
      <c r="I2307">
        <f t="shared" si="28"/>
        <v>2022</v>
      </c>
      <c r="J2307">
        <f t="shared" si="29"/>
        <v>359.1</v>
      </c>
    </row>
    <row r="2308" spans="1:10" hidden="1">
      <c r="A2308">
        <v>36.299999999999997</v>
      </c>
      <c r="D2308">
        <v>2000</v>
      </c>
      <c r="E2308" t="s">
        <v>126</v>
      </c>
    </row>
    <row r="2309" spans="1:10" hidden="1">
      <c r="A2309">
        <v>33.6</v>
      </c>
      <c r="D2309">
        <v>2001</v>
      </c>
      <c r="E2309" t="s">
        <v>126</v>
      </c>
    </row>
    <row r="2310" spans="1:10" hidden="1">
      <c r="A2310">
        <v>31.7</v>
      </c>
      <c r="D2310">
        <v>2002</v>
      </c>
      <c r="E2310" t="s">
        <v>126</v>
      </c>
    </row>
    <row r="2311" spans="1:10" hidden="1">
      <c r="A2311">
        <v>30.3</v>
      </c>
      <c r="D2311">
        <v>2003</v>
      </c>
      <c r="E2311" t="s">
        <v>126</v>
      </c>
    </row>
    <row r="2312" spans="1:10" hidden="1">
      <c r="A2312">
        <v>30</v>
      </c>
      <c r="D2312">
        <v>2004</v>
      </c>
      <c r="E2312" t="s">
        <v>126</v>
      </c>
    </row>
    <row r="2313" spans="1:10" hidden="1">
      <c r="A2313">
        <v>28.9</v>
      </c>
      <c r="D2313">
        <v>2005</v>
      </c>
      <c r="E2313" t="s">
        <v>126</v>
      </c>
    </row>
    <row r="2314" spans="1:10" hidden="1">
      <c r="A2314">
        <v>28.2</v>
      </c>
      <c r="D2314">
        <v>2006</v>
      </c>
      <c r="E2314" t="s">
        <v>126</v>
      </c>
    </row>
    <row r="2315" spans="1:10" hidden="1">
      <c r="A2315">
        <v>33.6</v>
      </c>
      <c r="D2315">
        <v>2007</v>
      </c>
      <c r="E2315" t="s">
        <v>126</v>
      </c>
    </row>
    <row r="2316" spans="1:10" hidden="1">
      <c r="A2316">
        <v>26</v>
      </c>
      <c r="D2316">
        <v>2008</v>
      </c>
      <c r="E2316" t="s">
        <v>126</v>
      </c>
    </row>
    <row r="2317" spans="1:10" hidden="1">
      <c r="A2317">
        <v>25</v>
      </c>
      <c r="D2317">
        <v>2009</v>
      </c>
      <c r="E2317" t="s">
        <v>126</v>
      </c>
    </row>
    <row r="2318" spans="1:10" hidden="1">
      <c r="A2318">
        <v>26.9</v>
      </c>
      <c r="D2318">
        <v>2010</v>
      </c>
      <c r="E2318" t="s">
        <v>126</v>
      </c>
    </row>
    <row r="2319" spans="1:10" hidden="1">
      <c r="A2319">
        <v>26.9</v>
      </c>
      <c r="D2319">
        <v>2011</v>
      </c>
      <c r="E2319" t="s">
        <v>126</v>
      </c>
    </row>
    <row r="2320" spans="1:10" hidden="1">
      <c r="A2320">
        <v>26.5</v>
      </c>
      <c r="D2320">
        <v>2012</v>
      </c>
      <c r="E2320" t="s">
        <v>126</v>
      </c>
    </row>
    <row r="2321" spans="1:5" hidden="1">
      <c r="A2321">
        <v>25.9</v>
      </c>
      <c r="D2321">
        <v>2013</v>
      </c>
      <c r="E2321" t="s">
        <v>126</v>
      </c>
    </row>
    <row r="2322" spans="1:5" hidden="1">
      <c r="A2322">
        <v>31.4</v>
      </c>
      <c r="D2322">
        <v>2014</v>
      </c>
      <c r="E2322" t="s">
        <v>126</v>
      </c>
    </row>
    <row r="2323" spans="1:5" hidden="1">
      <c r="A2323">
        <v>46.5</v>
      </c>
      <c r="D2323">
        <v>2015</v>
      </c>
      <c r="E2323" t="s">
        <v>126</v>
      </c>
    </row>
    <row r="2324" spans="1:5" hidden="1">
      <c r="A2324">
        <v>46</v>
      </c>
      <c r="D2324">
        <v>2016</v>
      </c>
      <c r="E2324" t="s">
        <v>126</v>
      </c>
    </row>
    <row r="2325" spans="1:5" hidden="1">
      <c r="A2325">
        <v>46</v>
      </c>
      <c r="D2325">
        <v>2017</v>
      </c>
      <c r="E2325" t="s">
        <v>126</v>
      </c>
    </row>
    <row r="2326" spans="1:5" hidden="1">
      <c r="A2326">
        <v>27</v>
      </c>
      <c r="D2326">
        <v>2018</v>
      </c>
      <c r="E2326" t="s">
        <v>126</v>
      </c>
    </row>
    <row r="2327" spans="1:5" hidden="1">
      <c r="A2327">
        <v>405.3</v>
      </c>
      <c r="D2327">
        <v>2019</v>
      </c>
      <c r="E2327" t="s">
        <v>126</v>
      </c>
    </row>
    <row r="2328" spans="1:5" hidden="1">
      <c r="A2328">
        <v>52.2</v>
      </c>
      <c r="D2328">
        <v>2020</v>
      </c>
      <c r="E2328" t="s">
        <v>126</v>
      </c>
    </row>
    <row r="2329" spans="1:5" hidden="1">
      <c r="A2329">
        <v>0</v>
      </c>
      <c r="D2329">
        <v>2021</v>
      </c>
      <c r="E2329" t="s">
        <v>126</v>
      </c>
    </row>
    <row r="2330" spans="1:5" hidden="1">
      <c r="A2330">
        <v>52.4</v>
      </c>
      <c r="D2330">
        <v>2022</v>
      </c>
      <c r="E2330" t="s">
        <v>126</v>
      </c>
    </row>
    <row r="2331" spans="1:5" hidden="1">
      <c r="A2331">
        <v>0</v>
      </c>
      <c r="C2331">
        <v>2000</v>
      </c>
      <c r="D2331" t="s">
        <v>126</v>
      </c>
    </row>
    <row r="2332" spans="1:5" hidden="1">
      <c r="A2332">
        <v>0</v>
      </c>
      <c r="C2332">
        <v>2001</v>
      </c>
      <c r="D2332" t="s">
        <v>126</v>
      </c>
    </row>
    <row r="2333" spans="1:5" hidden="1">
      <c r="A2333">
        <v>0</v>
      </c>
      <c r="C2333">
        <v>2002</v>
      </c>
      <c r="D2333" t="s">
        <v>126</v>
      </c>
    </row>
    <row r="2334" spans="1:5" hidden="1">
      <c r="A2334">
        <v>0</v>
      </c>
      <c r="C2334">
        <v>2003</v>
      </c>
      <c r="D2334" t="s">
        <v>126</v>
      </c>
    </row>
    <row r="2335" spans="1:5" hidden="1">
      <c r="A2335">
        <v>0</v>
      </c>
      <c r="C2335">
        <v>2004</v>
      </c>
      <c r="D2335" t="s">
        <v>126</v>
      </c>
    </row>
    <row r="2336" spans="1:5" hidden="1">
      <c r="A2336">
        <v>0</v>
      </c>
      <c r="C2336">
        <v>2005</v>
      </c>
      <c r="D2336" t="s">
        <v>126</v>
      </c>
    </row>
    <row r="2337" spans="1:4" hidden="1">
      <c r="A2337">
        <v>0</v>
      </c>
      <c r="C2337">
        <v>2006</v>
      </c>
      <c r="D2337" t="s">
        <v>126</v>
      </c>
    </row>
    <row r="2338" spans="1:4" hidden="1">
      <c r="A2338">
        <v>51</v>
      </c>
      <c r="C2338">
        <v>2007</v>
      </c>
      <c r="D2338" t="s">
        <v>126</v>
      </c>
    </row>
    <row r="2339" spans="1:4" hidden="1">
      <c r="A2339">
        <v>0</v>
      </c>
      <c r="C2339">
        <v>2008</v>
      </c>
      <c r="D2339" t="s">
        <v>126</v>
      </c>
    </row>
    <row r="2340" spans="1:4" hidden="1">
      <c r="A2340">
        <v>0</v>
      </c>
      <c r="C2340">
        <v>2009</v>
      </c>
      <c r="D2340" t="s">
        <v>126</v>
      </c>
    </row>
    <row r="2341" spans="1:4" hidden="1">
      <c r="A2341">
        <v>0</v>
      </c>
      <c r="C2341">
        <v>2010</v>
      </c>
      <c r="D2341" t="s">
        <v>126</v>
      </c>
    </row>
    <row r="2342" spans="1:4" hidden="1">
      <c r="A2342">
        <v>0</v>
      </c>
      <c r="C2342">
        <v>2011</v>
      </c>
      <c r="D2342" t="s">
        <v>126</v>
      </c>
    </row>
    <row r="2343" spans="1:4" hidden="1">
      <c r="A2343">
        <v>0</v>
      </c>
      <c r="C2343">
        <v>2012</v>
      </c>
      <c r="D2343" t="s">
        <v>126</v>
      </c>
    </row>
    <row r="2344" spans="1:4" hidden="1">
      <c r="A2344">
        <v>0</v>
      </c>
      <c r="C2344">
        <v>2013</v>
      </c>
      <c r="D2344" t="s">
        <v>126</v>
      </c>
    </row>
    <row r="2345" spans="1:4" hidden="1">
      <c r="A2345">
        <v>0</v>
      </c>
      <c r="C2345">
        <v>2014</v>
      </c>
      <c r="D2345" t="s">
        <v>126</v>
      </c>
    </row>
    <row r="2346" spans="1:4" hidden="1">
      <c r="A2346">
        <v>0</v>
      </c>
      <c r="C2346">
        <v>2015</v>
      </c>
      <c r="D2346" t="s">
        <v>126</v>
      </c>
    </row>
    <row r="2347" spans="1:4" hidden="1">
      <c r="A2347">
        <v>0</v>
      </c>
      <c r="C2347">
        <v>2016</v>
      </c>
      <c r="D2347" t="s">
        <v>126</v>
      </c>
    </row>
    <row r="2348" spans="1:4" hidden="1">
      <c r="A2348">
        <v>0</v>
      </c>
      <c r="C2348">
        <v>2017</v>
      </c>
      <c r="D2348" t="s">
        <v>126</v>
      </c>
    </row>
    <row r="2349" spans="1:4" hidden="1">
      <c r="A2349">
        <v>75.8</v>
      </c>
      <c r="C2349">
        <v>2018</v>
      </c>
      <c r="D2349" t="s">
        <v>126</v>
      </c>
    </row>
    <row r="2350" spans="1:4" hidden="1">
      <c r="A2350">
        <v>25</v>
      </c>
      <c r="C2350">
        <v>2019</v>
      </c>
      <c r="D2350" t="s">
        <v>126</v>
      </c>
    </row>
    <row r="2351" spans="1:4" hidden="1">
      <c r="A2351">
        <v>25</v>
      </c>
      <c r="C2351">
        <v>2020</v>
      </c>
      <c r="D2351" t="s">
        <v>126</v>
      </c>
    </row>
    <row r="2352" spans="1:4" hidden="1">
      <c r="A2352">
        <v>32.9</v>
      </c>
      <c r="C2352">
        <v>2021</v>
      </c>
      <c r="D2352" t="s">
        <v>126</v>
      </c>
    </row>
    <row r="2353" spans="1:4" hidden="1">
      <c r="A2353">
        <v>115.6</v>
      </c>
      <c r="C2353">
        <v>2022</v>
      </c>
      <c r="D2353" t="s">
        <v>126</v>
      </c>
    </row>
    <row r="2354" spans="1:4" hidden="1">
      <c r="A2354">
        <v>514.9</v>
      </c>
      <c r="B2354">
        <v>2000</v>
      </c>
      <c r="C2354" t="s">
        <v>126</v>
      </c>
    </row>
    <row r="2355" spans="1:4" hidden="1">
      <c r="A2355">
        <v>526.4</v>
      </c>
      <c r="B2355">
        <v>2001</v>
      </c>
      <c r="C2355" t="s">
        <v>126</v>
      </c>
    </row>
    <row r="2356" spans="1:4" hidden="1">
      <c r="A2356">
        <v>556</v>
      </c>
      <c r="B2356">
        <v>2002</v>
      </c>
      <c r="C2356" t="s">
        <v>126</v>
      </c>
    </row>
    <row r="2357" spans="1:4" hidden="1">
      <c r="A2357">
        <v>551.79999999999995</v>
      </c>
      <c r="B2357">
        <v>2003</v>
      </c>
      <c r="C2357" t="s">
        <v>126</v>
      </c>
    </row>
    <row r="2358" spans="1:4" hidden="1">
      <c r="A2358">
        <v>565.29999999999995</v>
      </c>
      <c r="B2358">
        <v>2004</v>
      </c>
      <c r="C2358" t="s">
        <v>126</v>
      </c>
    </row>
    <row r="2359" spans="1:4" hidden="1">
      <c r="A2359">
        <v>662</v>
      </c>
      <c r="B2359">
        <v>2005</v>
      </c>
      <c r="C2359" t="s">
        <v>126</v>
      </c>
    </row>
    <row r="2360" spans="1:4" hidden="1">
      <c r="A2360">
        <v>594.1</v>
      </c>
      <c r="B2360">
        <v>2006</v>
      </c>
      <c r="C2360" t="s">
        <v>126</v>
      </c>
    </row>
    <row r="2361" spans="1:4" hidden="1">
      <c r="A2361">
        <v>609</v>
      </c>
      <c r="B2361">
        <v>2007</v>
      </c>
      <c r="C2361" t="s">
        <v>126</v>
      </c>
    </row>
    <row r="2362" spans="1:4" hidden="1">
      <c r="A2362">
        <v>624</v>
      </c>
      <c r="B2362">
        <v>2008</v>
      </c>
      <c r="C2362" t="s">
        <v>126</v>
      </c>
    </row>
    <row r="2363" spans="1:4" hidden="1">
      <c r="A2363">
        <v>680</v>
      </c>
      <c r="B2363">
        <v>2009</v>
      </c>
      <c r="C2363" t="s">
        <v>126</v>
      </c>
    </row>
    <row r="2364" spans="1:4" hidden="1">
      <c r="A2364">
        <v>631</v>
      </c>
      <c r="B2364">
        <v>2010</v>
      </c>
      <c r="C2364" t="s">
        <v>126</v>
      </c>
    </row>
    <row r="2365" spans="1:4" hidden="1">
      <c r="A2365">
        <v>627</v>
      </c>
      <c r="B2365">
        <v>2011</v>
      </c>
      <c r="C2365" t="s">
        <v>126</v>
      </c>
    </row>
    <row r="2366" spans="1:4" hidden="1">
      <c r="A2366">
        <v>628</v>
      </c>
      <c r="B2366">
        <v>2012</v>
      </c>
      <c r="C2366" t="s">
        <v>126</v>
      </c>
    </row>
    <row r="2367" spans="1:4" hidden="1">
      <c r="A2367">
        <v>620</v>
      </c>
      <c r="B2367">
        <v>2013</v>
      </c>
      <c r="C2367" t="s">
        <v>126</v>
      </c>
    </row>
    <row r="2368" spans="1:4" hidden="1">
      <c r="A2368">
        <v>660</v>
      </c>
      <c r="B2368">
        <v>2014</v>
      </c>
      <c r="C2368" t="s">
        <v>126</v>
      </c>
    </row>
    <row r="2369" spans="1:8" hidden="1">
      <c r="A2369">
        <v>627</v>
      </c>
      <c r="B2369">
        <v>2015</v>
      </c>
      <c r="C2369" t="s">
        <v>126</v>
      </c>
    </row>
    <row r="2370" spans="1:8" hidden="1">
      <c r="A2370">
        <v>631</v>
      </c>
      <c r="B2370">
        <v>2016</v>
      </c>
      <c r="C2370" t="s">
        <v>126</v>
      </c>
    </row>
    <row r="2371" spans="1:8" hidden="1">
      <c r="A2371">
        <v>610</v>
      </c>
      <c r="B2371">
        <v>2017</v>
      </c>
      <c r="C2371" t="s">
        <v>126</v>
      </c>
    </row>
    <row r="2372" spans="1:8" hidden="1">
      <c r="A2372">
        <v>980.1</v>
      </c>
      <c r="B2372">
        <v>2018</v>
      </c>
      <c r="C2372" t="s">
        <v>126</v>
      </c>
    </row>
    <row r="2373" spans="1:8" hidden="1">
      <c r="A2373">
        <v>982.5</v>
      </c>
      <c r="B2373">
        <v>2019</v>
      </c>
      <c r="C2373" t="s">
        <v>126</v>
      </c>
    </row>
    <row r="2374" spans="1:8" hidden="1">
      <c r="A2374">
        <v>982.8</v>
      </c>
      <c r="B2374">
        <v>2020</v>
      </c>
      <c r="C2374" t="s">
        <v>126</v>
      </c>
    </row>
    <row r="2375" spans="1:8" hidden="1">
      <c r="A2375">
        <v>1008.3</v>
      </c>
      <c r="B2375">
        <v>2021</v>
      </c>
      <c r="C2375" t="s">
        <v>126</v>
      </c>
    </row>
    <row r="2376" spans="1:8" hidden="1">
      <c r="A2376">
        <v>1105.7</v>
      </c>
      <c r="B2376">
        <v>2022</v>
      </c>
      <c r="C2376" t="s">
        <v>126</v>
      </c>
    </row>
    <row r="2377" spans="1:8" hidden="1">
      <c r="A2377">
        <v>166.1</v>
      </c>
      <c r="G2377">
        <v>2000</v>
      </c>
      <c r="H2377" t="s">
        <v>713</v>
      </c>
    </row>
    <row r="2378" spans="1:8" hidden="1">
      <c r="A2378">
        <v>166.1</v>
      </c>
      <c r="G2378">
        <v>2001</v>
      </c>
      <c r="H2378" t="s">
        <v>713</v>
      </c>
    </row>
    <row r="2379" spans="1:8" hidden="1">
      <c r="A2379">
        <v>166.1</v>
      </c>
      <c r="G2379">
        <v>2002</v>
      </c>
      <c r="H2379" t="s">
        <v>713</v>
      </c>
    </row>
    <row r="2380" spans="1:8" hidden="1">
      <c r="A2380">
        <v>166.1</v>
      </c>
      <c r="G2380">
        <v>2003</v>
      </c>
      <c r="H2380" t="s">
        <v>713</v>
      </c>
    </row>
    <row r="2381" spans="1:8" hidden="1">
      <c r="A2381">
        <v>166.1</v>
      </c>
      <c r="G2381">
        <v>2004</v>
      </c>
      <c r="H2381" t="s">
        <v>713</v>
      </c>
    </row>
    <row r="2382" spans="1:8" hidden="1">
      <c r="A2382">
        <v>166.1</v>
      </c>
      <c r="G2382">
        <v>2005</v>
      </c>
      <c r="H2382" t="s">
        <v>713</v>
      </c>
    </row>
    <row r="2383" spans="1:8" hidden="1">
      <c r="A2383">
        <v>96.1</v>
      </c>
      <c r="G2383">
        <v>2006</v>
      </c>
      <c r="H2383" t="s">
        <v>713</v>
      </c>
    </row>
    <row r="2384" spans="1:8" hidden="1">
      <c r="A2384">
        <v>97.2</v>
      </c>
      <c r="G2384">
        <v>2007</v>
      </c>
      <c r="H2384" t="s">
        <v>713</v>
      </c>
    </row>
    <row r="2385" spans="1:8" hidden="1">
      <c r="A2385">
        <v>96.9</v>
      </c>
      <c r="G2385">
        <v>2008</v>
      </c>
      <c r="H2385" t="s">
        <v>713</v>
      </c>
    </row>
    <row r="2386" spans="1:8" hidden="1">
      <c r="A2386">
        <v>95.7</v>
      </c>
      <c r="G2386">
        <v>2009</v>
      </c>
      <c r="H2386" t="s">
        <v>713</v>
      </c>
    </row>
    <row r="2387" spans="1:8" hidden="1">
      <c r="A2387">
        <v>97</v>
      </c>
      <c r="G2387">
        <v>2010</v>
      </c>
      <c r="H2387" t="s">
        <v>713</v>
      </c>
    </row>
    <row r="2388" spans="1:8" hidden="1">
      <c r="A2388">
        <v>96</v>
      </c>
      <c r="G2388">
        <v>2011</v>
      </c>
      <c r="H2388" t="s">
        <v>713</v>
      </c>
    </row>
    <row r="2389" spans="1:8" hidden="1">
      <c r="A2389">
        <v>97.9</v>
      </c>
      <c r="G2389">
        <v>2012</v>
      </c>
      <c r="H2389" t="s">
        <v>713</v>
      </c>
    </row>
    <row r="2390" spans="1:8" hidden="1">
      <c r="A2390">
        <v>97.7</v>
      </c>
      <c r="G2390">
        <v>2013</v>
      </c>
      <c r="H2390" t="s">
        <v>713</v>
      </c>
    </row>
    <row r="2391" spans="1:8" hidden="1">
      <c r="A2391">
        <v>97.1</v>
      </c>
      <c r="G2391">
        <v>2014</v>
      </c>
      <c r="H2391" t="s">
        <v>713</v>
      </c>
    </row>
    <row r="2392" spans="1:8" hidden="1">
      <c r="A2392">
        <v>95.5</v>
      </c>
      <c r="G2392">
        <v>2015</v>
      </c>
      <c r="H2392" t="s">
        <v>713</v>
      </c>
    </row>
    <row r="2393" spans="1:8" hidden="1">
      <c r="A2393">
        <v>95.1</v>
      </c>
      <c r="G2393">
        <v>2016</v>
      </c>
      <c r="H2393" t="s">
        <v>713</v>
      </c>
    </row>
    <row r="2394" spans="1:8" hidden="1">
      <c r="A2394">
        <v>95</v>
      </c>
      <c r="G2394">
        <v>2017</v>
      </c>
      <c r="H2394" t="s">
        <v>713</v>
      </c>
    </row>
    <row r="2395" spans="1:8" hidden="1">
      <c r="A2395">
        <v>95.7</v>
      </c>
      <c r="G2395">
        <v>2018</v>
      </c>
      <c r="H2395" t="s">
        <v>713</v>
      </c>
    </row>
    <row r="2396" spans="1:8" hidden="1">
      <c r="A2396">
        <v>95.8</v>
      </c>
      <c r="G2396">
        <v>2019</v>
      </c>
      <c r="H2396" t="s">
        <v>713</v>
      </c>
    </row>
    <row r="2397" spans="1:8" hidden="1">
      <c r="A2397">
        <v>95.2</v>
      </c>
      <c r="G2397">
        <v>2020</v>
      </c>
      <c r="H2397" t="s">
        <v>713</v>
      </c>
    </row>
    <row r="2398" spans="1:8" hidden="1">
      <c r="A2398">
        <v>95.5</v>
      </c>
      <c r="G2398">
        <v>2021</v>
      </c>
      <c r="H2398" t="s">
        <v>713</v>
      </c>
    </row>
    <row r="2399" spans="1:8" hidden="1">
      <c r="A2399">
        <v>95.1</v>
      </c>
      <c r="G2399">
        <v>2022</v>
      </c>
      <c r="H2399" t="s">
        <v>713</v>
      </c>
    </row>
    <row r="2400" spans="1:8" hidden="1">
      <c r="A2400">
        <v>0</v>
      </c>
      <c r="E2400">
        <v>2000</v>
      </c>
      <c r="F2400" s="48" t="s">
        <v>713</v>
      </c>
    </row>
    <row r="2401" spans="1:6" hidden="1">
      <c r="A2401">
        <v>0</v>
      </c>
      <c r="E2401">
        <v>2001</v>
      </c>
      <c r="F2401" s="48" t="s">
        <v>713</v>
      </c>
    </row>
    <row r="2402" spans="1:6" hidden="1">
      <c r="A2402">
        <v>0</v>
      </c>
      <c r="E2402">
        <v>2002</v>
      </c>
      <c r="F2402" s="48" t="s">
        <v>713</v>
      </c>
    </row>
    <row r="2403" spans="1:6" hidden="1">
      <c r="A2403">
        <v>0</v>
      </c>
      <c r="E2403">
        <v>2003</v>
      </c>
      <c r="F2403" s="48" t="s">
        <v>713</v>
      </c>
    </row>
    <row r="2404" spans="1:6" hidden="1">
      <c r="A2404">
        <v>0</v>
      </c>
      <c r="E2404">
        <v>2004</v>
      </c>
      <c r="F2404" s="48" t="s">
        <v>713</v>
      </c>
    </row>
    <row r="2405" spans="1:6" hidden="1">
      <c r="A2405">
        <v>0</v>
      </c>
      <c r="E2405">
        <v>2005</v>
      </c>
      <c r="F2405" s="48" t="s">
        <v>713</v>
      </c>
    </row>
    <row r="2406" spans="1:6" hidden="1">
      <c r="A2406">
        <v>0</v>
      </c>
      <c r="E2406">
        <v>2006</v>
      </c>
      <c r="F2406" s="48" t="s">
        <v>713</v>
      </c>
    </row>
    <row r="2407" spans="1:6" hidden="1">
      <c r="A2407">
        <v>0</v>
      </c>
      <c r="E2407">
        <v>2007</v>
      </c>
      <c r="F2407" s="48" t="s">
        <v>713</v>
      </c>
    </row>
    <row r="2408" spans="1:6" hidden="1">
      <c r="A2408">
        <v>0</v>
      </c>
      <c r="E2408">
        <v>2008</v>
      </c>
      <c r="F2408" s="48" t="s">
        <v>713</v>
      </c>
    </row>
    <row r="2409" spans="1:6" hidden="1">
      <c r="A2409">
        <v>0</v>
      </c>
      <c r="E2409">
        <v>2009</v>
      </c>
      <c r="F2409" s="48" t="s">
        <v>713</v>
      </c>
    </row>
    <row r="2410" spans="1:6" hidden="1">
      <c r="A2410">
        <v>0</v>
      </c>
      <c r="E2410">
        <v>2010</v>
      </c>
      <c r="F2410" s="48" t="s">
        <v>713</v>
      </c>
    </row>
    <row r="2411" spans="1:6" hidden="1">
      <c r="A2411">
        <v>0</v>
      </c>
      <c r="E2411">
        <v>2011</v>
      </c>
      <c r="F2411" s="48" t="s">
        <v>713</v>
      </c>
    </row>
    <row r="2412" spans="1:6" hidden="1">
      <c r="A2412">
        <v>0</v>
      </c>
      <c r="E2412">
        <v>2012</v>
      </c>
      <c r="F2412" s="48" t="s">
        <v>713</v>
      </c>
    </row>
    <row r="2413" spans="1:6" hidden="1">
      <c r="A2413">
        <v>0</v>
      </c>
      <c r="E2413">
        <v>2013</v>
      </c>
      <c r="F2413" s="48" t="s">
        <v>713</v>
      </c>
    </row>
    <row r="2414" spans="1:6" hidden="1">
      <c r="A2414">
        <v>0</v>
      </c>
      <c r="E2414">
        <v>2014</v>
      </c>
      <c r="F2414" s="48" t="s">
        <v>713</v>
      </c>
    </row>
    <row r="2415" spans="1:6" hidden="1">
      <c r="A2415">
        <v>0</v>
      </c>
      <c r="E2415">
        <v>2015</v>
      </c>
      <c r="F2415" s="48" t="s">
        <v>713</v>
      </c>
    </row>
    <row r="2416" spans="1:6" hidden="1">
      <c r="A2416">
        <v>0</v>
      </c>
      <c r="E2416">
        <v>2016</v>
      </c>
      <c r="F2416" s="48" t="s">
        <v>713</v>
      </c>
    </row>
    <row r="2417" spans="1:6" hidden="1">
      <c r="A2417">
        <v>0</v>
      </c>
      <c r="E2417">
        <v>2017</v>
      </c>
      <c r="F2417" s="48" t="s">
        <v>713</v>
      </c>
    </row>
    <row r="2418" spans="1:6" hidden="1">
      <c r="A2418">
        <v>0</v>
      </c>
      <c r="E2418">
        <v>2018</v>
      </c>
      <c r="F2418" s="48" t="s">
        <v>713</v>
      </c>
    </row>
    <row r="2419" spans="1:6" hidden="1">
      <c r="A2419">
        <v>0</v>
      </c>
      <c r="E2419">
        <v>2019</v>
      </c>
      <c r="F2419" s="48" t="s">
        <v>713</v>
      </c>
    </row>
    <row r="2420" spans="1:6" hidden="1">
      <c r="A2420">
        <v>10.3</v>
      </c>
      <c r="E2420">
        <v>2020</v>
      </c>
      <c r="F2420" s="48" t="s">
        <v>713</v>
      </c>
    </row>
    <row r="2421" spans="1:6" hidden="1">
      <c r="A2421">
        <v>10.8</v>
      </c>
      <c r="E2421">
        <v>2021</v>
      </c>
      <c r="F2421" s="48" t="s">
        <v>713</v>
      </c>
    </row>
    <row r="2422" spans="1:6" hidden="1">
      <c r="A2422">
        <v>0</v>
      </c>
      <c r="E2422">
        <v>2022</v>
      </c>
      <c r="F2422" s="48" t="s">
        <v>713</v>
      </c>
    </row>
    <row r="2423" spans="1:6" hidden="1">
      <c r="A2423">
        <v>14</v>
      </c>
      <c r="D2423">
        <v>2000</v>
      </c>
      <c r="E2423" t="s">
        <v>713</v>
      </c>
    </row>
    <row r="2424" spans="1:6" hidden="1">
      <c r="A2424">
        <v>14</v>
      </c>
      <c r="D2424">
        <v>2001</v>
      </c>
      <c r="E2424" t="s">
        <v>713</v>
      </c>
    </row>
    <row r="2425" spans="1:6" hidden="1">
      <c r="A2425">
        <v>14</v>
      </c>
      <c r="D2425">
        <v>2002</v>
      </c>
      <c r="E2425" t="s">
        <v>713</v>
      </c>
    </row>
    <row r="2426" spans="1:6" hidden="1">
      <c r="A2426">
        <v>14</v>
      </c>
      <c r="D2426">
        <v>2003</v>
      </c>
      <c r="E2426" t="s">
        <v>713</v>
      </c>
    </row>
    <row r="2427" spans="1:6" hidden="1">
      <c r="A2427">
        <v>14</v>
      </c>
      <c r="D2427">
        <v>2004</v>
      </c>
      <c r="E2427" t="s">
        <v>713</v>
      </c>
    </row>
    <row r="2428" spans="1:6" hidden="1">
      <c r="A2428">
        <v>14</v>
      </c>
      <c r="D2428">
        <v>2005</v>
      </c>
      <c r="E2428" t="s">
        <v>713</v>
      </c>
    </row>
    <row r="2429" spans="1:6" hidden="1">
      <c r="A2429">
        <v>14</v>
      </c>
      <c r="D2429">
        <v>2006</v>
      </c>
      <c r="E2429" t="s">
        <v>713</v>
      </c>
    </row>
    <row r="2430" spans="1:6" hidden="1">
      <c r="A2430">
        <v>14</v>
      </c>
      <c r="D2430">
        <v>2007</v>
      </c>
      <c r="E2430" t="s">
        <v>713</v>
      </c>
    </row>
    <row r="2431" spans="1:6" hidden="1">
      <c r="A2431">
        <v>14</v>
      </c>
      <c r="D2431">
        <v>2008</v>
      </c>
      <c r="E2431" t="s">
        <v>713</v>
      </c>
    </row>
    <row r="2432" spans="1:6" hidden="1">
      <c r="A2432">
        <v>14</v>
      </c>
      <c r="D2432">
        <v>2009</v>
      </c>
      <c r="E2432" t="s">
        <v>713</v>
      </c>
    </row>
    <row r="2433" spans="1:5" hidden="1">
      <c r="A2433">
        <v>29.1</v>
      </c>
      <c r="D2433">
        <v>2010</v>
      </c>
      <c r="E2433" t="s">
        <v>713</v>
      </c>
    </row>
    <row r="2434" spans="1:5" hidden="1">
      <c r="A2434">
        <v>10.4</v>
      </c>
      <c r="D2434">
        <v>2011</v>
      </c>
      <c r="E2434" t="s">
        <v>713</v>
      </c>
    </row>
    <row r="2435" spans="1:5" hidden="1">
      <c r="A2435">
        <v>12</v>
      </c>
      <c r="D2435">
        <v>2012</v>
      </c>
      <c r="E2435" t="s">
        <v>713</v>
      </c>
    </row>
    <row r="2436" spans="1:5" hidden="1">
      <c r="A2436">
        <v>199.6</v>
      </c>
      <c r="D2436">
        <v>2013</v>
      </c>
      <c r="E2436" t="s">
        <v>713</v>
      </c>
    </row>
    <row r="2437" spans="1:5" hidden="1">
      <c r="A2437">
        <v>190.8</v>
      </c>
      <c r="D2437">
        <v>2014</v>
      </c>
      <c r="E2437" t="s">
        <v>713</v>
      </c>
    </row>
    <row r="2438" spans="1:5" hidden="1">
      <c r="A2438">
        <v>140.9</v>
      </c>
      <c r="D2438">
        <v>2015</v>
      </c>
      <c r="E2438" t="s">
        <v>713</v>
      </c>
    </row>
    <row r="2439" spans="1:5" hidden="1">
      <c r="A2439">
        <v>142.69999999999999</v>
      </c>
      <c r="D2439">
        <v>2016</v>
      </c>
      <c r="E2439" t="s">
        <v>713</v>
      </c>
    </row>
    <row r="2440" spans="1:5" hidden="1">
      <c r="A2440">
        <v>12</v>
      </c>
      <c r="D2440">
        <v>2017</v>
      </c>
      <c r="E2440" t="s">
        <v>713</v>
      </c>
    </row>
    <row r="2441" spans="1:5" hidden="1">
      <c r="A2441">
        <v>12</v>
      </c>
      <c r="D2441">
        <v>2018</v>
      </c>
      <c r="E2441" t="s">
        <v>713</v>
      </c>
    </row>
    <row r="2442" spans="1:5" hidden="1">
      <c r="A2442">
        <v>0</v>
      </c>
      <c r="D2442">
        <v>2019</v>
      </c>
      <c r="E2442" t="s">
        <v>713</v>
      </c>
    </row>
    <row r="2443" spans="1:5" hidden="1">
      <c r="A2443">
        <v>53.7</v>
      </c>
      <c r="D2443">
        <v>2020</v>
      </c>
      <c r="E2443" t="s">
        <v>713</v>
      </c>
    </row>
    <row r="2444" spans="1:5" hidden="1">
      <c r="A2444">
        <v>52.8</v>
      </c>
      <c r="D2444">
        <v>2021</v>
      </c>
      <c r="E2444" t="s">
        <v>713</v>
      </c>
    </row>
    <row r="2445" spans="1:5" hidden="1">
      <c r="A2445">
        <v>53.8</v>
      </c>
      <c r="D2445">
        <v>2022</v>
      </c>
      <c r="E2445" t="s">
        <v>713</v>
      </c>
    </row>
    <row r="2446" spans="1:5" hidden="1">
      <c r="A2446">
        <v>0</v>
      </c>
      <c r="C2446">
        <v>2000</v>
      </c>
      <c r="D2446" t="s">
        <v>713</v>
      </c>
    </row>
    <row r="2447" spans="1:5" hidden="1">
      <c r="A2447">
        <v>0</v>
      </c>
      <c r="C2447">
        <v>2001</v>
      </c>
      <c r="D2447" t="s">
        <v>713</v>
      </c>
    </row>
    <row r="2448" spans="1:5" hidden="1">
      <c r="A2448">
        <v>0</v>
      </c>
      <c r="C2448">
        <v>2002</v>
      </c>
      <c r="D2448" t="s">
        <v>713</v>
      </c>
    </row>
    <row r="2449" spans="1:4" hidden="1">
      <c r="A2449">
        <v>0</v>
      </c>
      <c r="C2449">
        <v>2003</v>
      </c>
      <c r="D2449" t="s">
        <v>713</v>
      </c>
    </row>
    <row r="2450" spans="1:4" hidden="1">
      <c r="A2450">
        <v>0</v>
      </c>
      <c r="C2450">
        <v>2004</v>
      </c>
      <c r="D2450" t="s">
        <v>713</v>
      </c>
    </row>
    <row r="2451" spans="1:4" hidden="1">
      <c r="A2451">
        <v>0</v>
      </c>
      <c r="C2451">
        <v>2005</v>
      </c>
      <c r="D2451" t="s">
        <v>713</v>
      </c>
    </row>
    <row r="2452" spans="1:4" hidden="1">
      <c r="A2452">
        <v>0</v>
      </c>
      <c r="C2452">
        <v>2006</v>
      </c>
      <c r="D2452" t="s">
        <v>713</v>
      </c>
    </row>
    <row r="2453" spans="1:4" hidden="1">
      <c r="A2453">
        <v>0</v>
      </c>
      <c r="C2453">
        <v>2007</v>
      </c>
      <c r="D2453" t="s">
        <v>713</v>
      </c>
    </row>
    <row r="2454" spans="1:4" hidden="1">
      <c r="A2454">
        <v>0</v>
      </c>
      <c r="C2454">
        <v>2008</v>
      </c>
      <c r="D2454" t="s">
        <v>713</v>
      </c>
    </row>
    <row r="2455" spans="1:4" hidden="1">
      <c r="A2455">
        <v>0</v>
      </c>
      <c r="C2455">
        <v>2009</v>
      </c>
      <c r="D2455" t="s">
        <v>713</v>
      </c>
    </row>
    <row r="2456" spans="1:4" hidden="1">
      <c r="A2456">
        <v>0</v>
      </c>
      <c r="C2456">
        <v>2010</v>
      </c>
      <c r="D2456" t="s">
        <v>713</v>
      </c>
    </row>
    <row r="2457" spans="1:4" hidden="1">
      <c r="A2457">
        <v>0</v>
      </c>
      <c r="C2457">
        <v>2011</v>
      </c>
      <c r="D2457" t="s">
        <v>713</v>
      </c>
    </row>
    <row r="2458" spans="1:4" hidden="1">
      <c r="A2458">
        <v>0</v>
      </c>
      <c r="C2458">
        <v>2012</v>
      </c>
      <c r="D2458" t="s">
        <v>713</v>
      </c>
    </row>
    <row r="2459" spans="1:4" hidden="1">
      <c r="A2459">
        <v>0</v>
      </c>
      <c r="C2459">
        <v>2013</v>
      </c>
      <c r="D2459" t="s">
        <v>713</v>
      </c>
    </row>
    <row r="2460" spans="1:4" hidden="1">
      <c r="A2460">
        <v>0</v>
      </c>
      <c r="C2460">
        <v>2014</v>
      </c>
      <c r="D2460" t="s">
        <v>713</v>
      </c>
    </row>
    <row r="2461" spans="1:4" hidden="1">
      <c r="A2461">
        <v>0</v>
      </c>
      <c r="C2461">
        <v>2015</v>
      </c>
      <c r="D2461" t="s">
        <v>713</v>
      </c>
    </row>
    <row r="2462" spans="1:4" hidden="1">
      <c r="A2462">
        <v>0</v>
      </c>
      <c r="C2462">
        <v>2016</v>
      </c>
      <c r="D2462" t="s">
        <v>713</v>
      </c>
    </row>
    <row r="2463" spans="1:4" hidden="1">
      <c r="A2463">
        <v>0</v>
      </c>
      <c r="C2463">
        <v>2017</v>
      </c>
      <c r="D2463" t="s">
        <v>713</v>
      </c>
    </row>
    <row r="2464" spans="1:4" hidden="1">
      <c r="A2464">
        <v>0</v>
      </c>
      <c r="C2464">
        <v>2018</v>
      </c>
      <c r="D2464" t="s">
        <v>713</v>
      </c>
    </row>
    <row r="2465" spans="1:4" hidden="1">
      <c r="A2465">
        <v>0</v>
      </c>
      <c r="C2465">
        <v>2019</v>
      </c>
      <c r="D2465" t="s">
        <v>713</v>
      </c>
    </row>
    <row r="2466" spans="1:4" hidden="1">
      <c r="A2466">
        <v>0</v>
      </c>
      <c r="C2466">
        <v>2020</v>
      </c>
      <c r="D2466" t="s">
        <v>713</v>
      </c>
    </row>
    <row r="2467" spans="1:4" hidden="1">
      <c r="A2467">
        <v>0</v>
      </c>
      <c r="C2467">
        <v>2021</v>
      </c>
      <c r="D2467" t="s">
        <v>713</v>
      </c>
    </row>
    <row r="2468" spans="1:4" hidden="1">
      <c r="A2468">
        <v>0</v>
      </c>
      <c r="C2468">
        <v>2022</v>
      </c>
      <c r="D2468" t="s">
        <v>713</v>
      </c>
    </row>
    <row r="2469" spans="1:4" hidden="1">
      <c r="A2469">
        <v>77</v>
      </c>
      <c r="B2469">
        <v>2000</v>
      </c>
      <c r="C2469" t="s">
        <v>713</v>
      </c>
    </row>
    <row r="2470" spans="1:4" hidden="1">
      <c r="A2470">
        <v>78</v>
      </c>
      <c r="B2470">
        <v>2001</v>
      </c>
      <c r="C2470" t="s">
        <v>713</v>
      </c>
    </row>
    <row r="2471" spans="1:4" hidden="1">
      <c r="A2471">
        <v>79</v>
      </c>
      <c r="B2471">
        <v>2002</v>
      </c>
      <c r="C2471" t="s">
        <v>713</v>
      </c>
    </row>
    <row r="2472" spans="1:4" hidden="1">
      <c r="A2472">
        <v>79</v>
      </c>
      <c r="B2472">
        <v>2003</v>
      </c>
      <c r="C2472" t="s">
        <v>713</v>
      </c>
    </row>
    <row r="2473" spans="1:4" hidden="1">
      <c r="A2473">
        <v>79</v>
      </c>
      <c r="B2473">
        <v>2004</v>
      </c>
      <c r="C2473" t="s">
        <v>713</v>
      </c>
    </row>
    <row r="2474" spans="1:4" hidden="1">
      <c r="A2474">
        <v>79</v>
      </c>
      <c r="B2474">
        <v>2005</v>
      </c>
      <c r="C2474" t="s">
        <v>713</v>
      </c>
    </row>
    <row r="2475" spans="1:4" hidden="1">
      <c r="A2475">
        <v>94.7</v>
      </c>
      <c r="B2475">
        <v>2006</v>
      </c>
      <c r="C2475" t="s">
        <v>713</v>
      </c>
    </row>
    <row r="2476" spans="1:4" hidden="1">
      <c r="A2476">
        <v>102.2</v>
      </c>
      <c r="B2476">
        <v>2007</v>
      </c>
      <c r="C2476" t="s">
        <v>713</v>
      </c>
    </row>
    <row r="2477" spans="1:4" hidden="1">
      <c r="A2477">
        <v>110.5</v>
      </c>
      <c r="B2477">
        <v>2008</v>
      </c>
      <c r="C2477" t="s">
        <v>713</v>
      </c>
    </row>
    <row r="2478" spans="1:4" hidden="1">
      <c r="A2478">
        <v>119.6</v>
      </c>
      <c r="B2478">
        <v>2009</v>
      </c>
      <c r="C2478" t="s">
        <v>713</v>
      </c>
    </row>
    <row r="2479" spans="1:4" hidden="1">
      <c r="A2479">
        <v>161.5</v>
      </c>
      <c r="B2479">
        <v>2010</v>
      </c>
      <c r="C2479" t="s">
        <v>713</v>
      </c>
    </row>
    <row r="2480" spans="1:4" hidden="1">
      <c r="A2480">
        <v>166.3</v>
      </c>
      <c r="B2480">
        <v>2011</v>
      </c>
      <c r="C2480" t="s">
        <v>713</v>
      </c>
    </row>
    <row r="2481" spans="1:8" hidden="1">
      <c r="A2481">
        <v>162</v>
      </c>
      <c r="B2481">
        <v>2012</v>
      </c>
      <c r="C2481" t="s">
        <v>713</v>
      </c>
    </row>
    <row r="2482" spans="1:8" hidden="1">
      <c r="A2482">
        <v>170.7</v>
      </c>
      <c r="B2482">
        <v>2013</v>
      </c>
      <c r="C2482" t="s">
        <v>713</v>
      </c>
    </row>
    <row r="2483" spans="1:8" hidden="1">
      <c r="A2483">
        <v>162.1</v>
      </c>
      <c r="B2483">
        <v>2014</v>
      </c>
      <c r="C2483" t="s">
        <v>713</v>
      </c>
    </row>
    <row r="2484" spans="1:8" hidden="1">
      <c r="A2484">
        <v>162</v>
      </c>
      <c r="B2484">
        <v>2015</v>
      </c>
      <c r="C2484" t="s">
        <v>713</v>
      </c>
    </row>
    <row r="2485" spans="1:8" hidden="1">
      <c r="A2485">
        <v>168.5</v>
      </c>
      <c r="B2485">
        <v>2016</v>
      </c>
      <c r="C2485" t="s">
        <v>713</v>
      </c>
    </row>
    <row r="2486" spans="1:8" hidden="1">
      <c r="A2486">
        <v>171.5</v>
      </c>
      <c r="B2486">
        <v>2017</v>
      </c>
      <c r="C2486" t="s">
        <v>713</v>
      </c>
    </row>
    <row r="2487" spans="1:8" hidden="1">
      <c r="A2487">
        <v>176.6</v>
      </c>
      <c r="B2487">
        <v>2018</v>
      </c>
      <c r="C2487" t="s">
        <v>713</v>
      </c>
    </row>
    <row r="2488" spans="1:8" hidden="1">
      <c r="A2488">
        <v>180.9</v>
      </c>
      <c r="B2488">
        <v>2019</v>
      </c>
      <c r="C2488" t="s">
        <v>713</v>
      </c>
    </row>
    <row r="2489" spans="1:8" hidden="1">
      <c r="A2489">
        <v>147.5</v>
      </c>
      <c r="B2489">
        <v>2020</v>
      </c>
      <c r="C2489" t="s">
        <v>713</v>
      </c>
    </row>
    <row r="2490" spans="1:8" hidden="1">
      <c r="A2490">
        <v>149.4</v>
      </c>
      <c r="B2490">
        <v>2021</v>
      </c>
      <c r="C2490" t="s">
        <v>713</v>
      </c>
    </row>
    <row r="2491" spans="1:8" hidden="1">
      <c r="A2491">
        <v>152.4</v>
      </c>
      <c r="B2491">
        <v>2022</v>
      </c>
      <c r="C2491" t="s">
        <v>713</v>
      </c>
    </row>
    <row r="2492" spans="1:8" hidden="1">
      <c r="A2492">
        <v>20010</v>
      </c>
      <c r="G2492">
        <v>2000</v>
      </c>
      <c r="H2492" t="s">
        <v>132</v>
      </c>
    </row>
    <row r="2493" spans="1:8" hidden="1">
      <c r="A2493">
        <v>20227.614000000001</v>
      </c>
      <c r="G2493">
        <v>2001</v>
      </c>
      <c r="H2493" t="s">
        <v>132</v>
      </c>
    </row>
    <row r="2494" spans="1:8" hidden="1">
      <c r="A2494">
        <v>16948.641</v>
      </c>
      <c r="G2494">
        <v>2002</v>
      </c>
      <c r="H2494" t="s">
        <v>132</v>
      </c>
    </row>
    <row r="2495" spans="1:8" hidden="1">
      <c r="A2495">
        <v>15121.867</v>
      </c>
      <c r="G2495">
        <v>2003</v>
      </c>
      <c r="H2495" t="s">
        <v>132</v>
      </c>
    </row>
    <row r="2496" spans="1:8" hidden="1">
      <c r="A2496">
        <v>13910.053</v>
      </c>
      <c r="G2496">
        <v>2004</v>
      </c>
      <c r="H2496" t="s">
        <v>132</v>
      </c>
    </row>
    <row r="2497" spans="1:8" hidden="1">
      <c r="A2497">
        <v>13068.795</v>
      </c>
      <c r="G2497">
        <v>2005</v>
      </c>
      <c r="H2497" t="s">
        <v>132</v>
      </c>
    </row>
    <row r="2498" spans="1:8" hidden="1">
      <c r="A2498">
        <v>11804.316999999999</v>
      </c>
      <c r="G2498">
        <v>2006</v>
      </c>
      <c r="H2498" t="s">
        <v>132</v>
      </c>
    </row>
    <row r="2499" spans="1:8" hidden="1">
      <c r="A2499">
        <v>12890</v>
      </c>
      <c r="G2499">
        <v>2007</v>
      </c>
      <c r="H2499" t="s">
        <v>132</v>
      </c>
    </row>
    <row r="2500" spans="1:8" hidden="1">
      <c r="A2500">
        <v>14713.134</v>
      </c>
      <c r="G2500">
        <v>2008</v>
      </c>
      <c r="H2500" t="s">
        <v>132</v>
      </c>
    </row>
    <row r="2501" spans="1:8" hidden="1">
      <c r="A2501">
        <v>16800</v>
      </c>
      <c r="G2501">
        <v>2009</v>
      </c>
      <c r="H2501" t="s">
        <v>132</v>
      </c>
    </row>
    <row r="2502" spans="1:8" hidden="1">
      <c r="A2502">
        <v>11098</v>
      </c>
      <c r="G2502">
        <v>2010</v>
      </c>
      <c r="H2502" t="s">
        <v>132</v>
      </c>
    </row>
    <row r="2503" spans="1:8" hidden="1">
      <c r="A2503">
        <v>15436.014999999999</v>
      </c>
      <c r="G2503">
        <v>2011</v>
      </c>
      <c r="H2503" t="s">
        <v>132</v>
      </c>
    </row>
    <row r="2504" spans="1:8" hidden="1">
      <c r="A2504">
        <v>16088.334999999999</v>
      </c>
      <c r="G2504">
        <v>2012</v>
      </c>
      <c r="H2504" t="s">
        <v>132</v>
      </c>
    </row>
    <row r="2505" spans="1:8" hidden="1">
      <c r="A2505">
        <v>16725.067999999999</v>
      </c>
      <c r="G2505">
        <v>2013</v>
      </c>
      <c r="H2505" t="s">
        <v>132</v>
      </c>
    </row>
    <row r="2506" spans="1:8" hidden="1">
      <c r="A2506">
        <v>17120.987000000001</v>
      </c>
      <c r="G2506">
        <v>2014</v>
      </c>
      <c r="H2506" t="s">
        <v>132</v>
      </c>
    </row>
    <row r="2507" spans="1:8" hidden="1">
      <c r="A2507">
        <v>17041.226999999999</v>
      </c>
      <c r="G2507">
        <v>2015</v>
      </c>
      <c r="H2507" t="s">
        <v>132</v>
      </c>
    </row>
    <row r="2508" spans="1:8" hidden="1">
      <c r="A2508">
        <v>16163.733</v>
      </c>
      <c r="G2508">
        <v>2016</v>
      </c>
      <c r="H2508" t="s">
        <v>132</v>
      </c>
    </row>
    <row r="2509" spans="1:8" hidden="1">
      <c r="A2509">
        <v>16069.212</v>
      </c>
      <c r="G2509">
        <v>2017</v>
      </c>
      <c r="H2509" t="s">
        <v>132</v>
      </c>
    </row>
    <row r="2510" spans="1:8" hidden="1">
      <c r="A2510">
        <v>16523.425999999999</v>
      </c>
      <c r="G2510">
        <v>2018</v>
      </c>
      <c r="H2510" t="s">
        <v>132</v>
      </c>
    </row>
    <row r="2511" spans="1:8" hidden="1">
      <c r="A2511">
        <v>16543.373</v>
      </c>
      <c r="G2511">
        <v>2019</v>
      </c>
      <c r="H2511" t="s">
        <v>132</v>
      </c>
    </row>
    <row r="2512" spans="1:8" hidden="1">
      <c r="A2512">
        <v>15719.344999999999</v>
      </c>
      <c r="G2512">
        <v>2020</v>
      </c>
      <c r="H2512" t="s">
        <v>132</v>
      </c>
    </row>
    <row r="2513" spans="1:10" hidden="1">
      <c r="A2513">
        <v>15719.32</v>
      </c>
      <c r="G2513">
        <v>2021</v>
      </c>
      <c r="H2513" t="s">
        <v>132</v>
      </c>
    </row>
    <row r="2514" spans="1:10" hidden="1">
      <c r="A2514">
        <v>15716.933000000001</v>
      </c>
      <c r="G2514">
        <v>2022</v>
      </c>
      <c r="H2514" t="s">
        <v>132</v>
      </c>
    </row>
    <row r="2515" spans="1:10">
      <c r="A2515">
        <v>0</v>
      </c>
      <c r="E2515">
        <v>2000</v>
      </c>
      <c r="F2515" s="48" t="s">
        <v>132</v>
      </c>
      <c r="I2515">
        <f t="shared" ref="I2515:I2537" si="30">E2515</f>
        <v>2000</v>
      </c>
      <c r="J2515">
        <f t="shared" ref="J2515:J2537" si="31">A2515</f>
        <v>0</v>
      </c>
    </row>
    <row r="2516" spans="1:10">
      <c r="A2516">
        <v>0</v>
      </c>
      <c r="E2516">
        <v>2001</v>
      </c>
      <c r="F2516" s="48" t="s">
        <v>132</v>
      </c>
      <c r="I2516">
        <f t="shared" si="30"/>
        <v>2001</v>
      </c>
      <c r="J2516">
        <f t="shared" si="31"/>
        <v>0</v>
      </c>
    </row>
    <row r="2517" spans="1:10">
      <c r="A2517">
        <v>0</v>
      </c>
      <c r="E2517">
        <v>2002</v>
      </c>
      <c r="F2517" s="48" t="s">
        <v>132</v>
      </c>
      <c r="I2517">
        <f t="shared" si="30"/>
        <v>2002</v>
      </c>
      <c r="J2517">
        <f t="shared" si="31"/>
        <v>0</v>
      </c>
    </row>
    <row r="2518" spans="1:10">
      <c r="A2518">
        <v>0</v>
      </c>
      <c r="E2518">
        <v>2003</v>
      </c>
      <c r="F2518" s="48" t="s">
        <v>132</v>
      </c>
      <c r="I2518">
        <f t="shared" si="30"/>
        <v>2003</v>
      </c>
      <c r="J2518">
        <f t="shared" si="31"/>
        <v>0</v>
      </c>
    </row>
    <row r="2519" spans="1:10">
      <c r="A2519">
        <v>0</v>
      </c>
      <c r="E2519">
        <v>2004</v>
      </c>
      <c r="F2519" s="48" t="s">
        <v>132</v>
      </c>
      <c r="I2519">
        <f t="shared" si="30"/>
        <v>2004</v>
      </c>
      <c r="J2519">
        <f t="shared" si="31"/>
        <v>0</v>
      </c>
    </row>
    <row r="2520" spans="1:10">
      <c r="A2520">
        <v>0</v>
      </c>
      <c r="E2520">
        <v>2005</v>
      </c>
      <c r="F2520" s="48" t="s">
        <v>132</v>
      </c>
      <c r="I2520">
        <f t="shared" si="30"/>
        <v>2005</v>
      </c>
      <c r="J2520">
        <f t="shared" si="31"/>
        <v>0</v>
      </c>
    </row>
    <row r="2521" spans="1:10">
      <c r="A2521">
        <v>0</v>
      </c>
      <c r="E2521">
        <v>2006</v>
      </c>
      <c r="F2521" s="48" t="s">
        <v>132</v>
      </c>
      <c r="I2521">
        <f t="shared" si="30"/>
        <v>2006</v>
      </c>
      <c r="J2521">
        <f t="shared" si="31"/>
        <v>0</v>
      </c>
    </row>
    <row r="2522" spans="1:10">
      <c r="A2522">
        <v>0</v>
      </c>
      <c r="E2522">
        <v>2007</v>
      </c>
      <c r="F2522" s="48" t="s">
        <v>132</v>
      </c>
      <c r="I2522">
        <f t="shared" si="30"/>
        <v>2007</v>
      </c>
      <c r="J2522">
        <f t="shared" si="31"/>
        <v>0</v>
      </c>
    </row>
    <row r="2523" spans="1:10">
      <c r="A2523">
        <v>0</v>
      </c>
      <c r="E2523">
        <v>2008</v>
      </c>
      <c r="F2523" s="48" t="s">
        <v>132</v>
      </c>
      <c r="I2523">
        <f t="shared" si="30"/>
        <v>2008</v>
      </c>
      <c r="J2523">
        <f t="shared" si="31"/>
        <v>0</v>
      </c>
    </row>
    <row r="2524" spans="1:10">
      <c r="A2524">
        <v>0</v>
      </c>
      <c r="E2524">
        <v>2009</v>
      </c>
      <c r="F2524" s="48" t="s">
        <v>132</v>
      </c>
      <c r="I2524">
        <f t="shared" si="30"/>
        <v>2009</v>
      </c>
      <c r="J2524">
        <f t="shared" si="31"/>
        <v>0</v>
      </c>
    </row>
    <row r="2525" spans="1:10">
      <c r="A2525">
        <v>0</v>
      </c>
      <c r="E2525">
        <v>2010</v>
      </c>
      <c r="F2525" s="48" t="s">
        <v>132</v>
      </c>
      <c r="I2525">
        <f t="shared" si="30"/>
        <v>2010</v>
      </c>
      <c r="J2525">
        <f t="shared" si="31"/>
        <v>0</v>
      </c>
    </row>
    <row r="2526" spans="1:10">
      <c r="A2526">
        <v>0</v>
      </c>
      <c r="E2526">
        <v>2011</v>
      </c>
      <c r="F2526" s="48" t="s">
        <v>132</v>
      </c>
      <c r="I2526">
        <f t="shared" si="30"/>
        <v>2011</v>
      </c>
      <c r="J2526">
        <f t="shared" si="31"/>
        <v>0</v>
      </c>
    </row>
    <row r="2527" spans="1:10">
      <c r="A2527">
        <v>0</v>
      </c>
      <c r="E2527">
        <v>2012</v>
      </c>
      <c r="F2527" s="48" t="s">
        <v>132</v>
      </c>
      <c r="I2527">
        <f t="shared" si="30"/>
        <v>2012</v>
      </c>
      <c r="J2527">
        <f t="shared" si="31"/>
        <v>0</v>
      </c>
    </row>
    <row r="2528" spans="1:10">
      <c r="A2528">
        <v>0</v>
      </c>
      <c r="E2528">
        <v>2013</v>
      </c>
      <c r="F2528" s="48" t="s">
        <v>132</v>
      </c>
      <c r="I2528">
        <f t="shared" si="30"/>
        <v>2013</v>
      </c>
      <c r="J2528">
        <f t="shared" si="31"/>
        <v>0</v>
      </c>
    </row>
    <row r="2529" spans="1:10">
      <c r="A2529">
        <v>0</v>
      </c>
      <c r="E2529">
        <v>2014</v>
      </c>
      <c r="F2529" s="48" t="s">
        <v>132</v>
      </c>
      <c r="I2529">
        <f t="shared" si="30"/>
        <v>2014</v>
      </c>
      <c r="J2529">
        <f t="shared" si="31"/>
        <v>0</v>
      </c>
    </row>
    <row r="2530" spans="1:10">
      <c r="A2530">
        <v>0</v>
      </c>
      <c r="E2530">
        <v>2015</v>
      </c>
      <c r="F2530" s="48" t="s">
        <v>132</v>
      </c>
      <c r="I2530">
        <f t="shared" si="30"/>
        <v>2015</v>
      </c>
      <c r="J2530">
        <f t="shared" si="31"/>
        <v>0</v>
      </c>
    </row>
    <row r="2531" spans="1:10">
      <c r="A2531">
        <v>0</v>
      </c>
      <c r="E2531">
        <v>2016</v>
      </c>
      <c r="F2531" s="48" t="s">
        <v>132</v>
      </c>
      <c r="I2531">
        <f t="shared" si="30"/>
        <v>2016</v>
      </c>
      <c r="J2531">
        <f t="shared" si="31"/>
        <v>0</v>
      </c>
    </row>
    <row r="2532" spans="1:10">
      <c r="A2532">
        <v>0</v>
      </c>
      <c r="E2532">
        <v>2017</v>
      </c>
      <c r="F2532" s="48" t="s">
        <v>132</v>
      </c>
      <c r="I2532">
        <f t="shared" si="30"/>
        <v>2017</v>
      </c>
      <c r="J2532">
        <f t="shared" si="31"/>
        <v>0</v>
      </c>
    </row>
    <row r="2533" spans="1:10">
      <c r="A2533">
        <v>0</v>
      </c>
      <c r="E2533">
        <v>2018</v>
      </c>
      <c r="F2533" s="48" t="s">
        <v>132</v>
      </c>
      <c r="I2533">
        <f t="shared" si="30"/>
        <v>2018</v>
      </c>
      <c r="J2533">
        <f t="shared" si="31"/>
        <v>0</v>
      </c>
    </row>
    <row r="2534" spans="1:10">
      <c r="A2534">
        <v>0</v>
      </c>
      <c r="E2534">
        <v>2019</v>
      </c>
      <c r="F2534" s="48" t="s">
        <v>132</v>
      </c>
      <c r="I2534">
        <f t="shared" si="30"/>
        <v>2019</v>
      </c>
      <c r="J2534">
        <f t="shared" si="31"/>
        <v>0</v>
      </c>
    </row>
    <row r="2535" spans="1:10">
      <c r="A2535">
        <v>4318</v>
      </c>
      <c r="E2535">
        <v>2020</v>
      </c>
      <c r="F2535" s="48" t="s">
        <v>132</v>
      </c>
      <c r="I2535">
        <f t="shared" si="30"/>
        <v>2020</v>
      </c>
      <c r="J2535">
        <f t="shared" si="31"/>
        <v>4318</v>
      </c>
    </row>
    <row r="2536" spans="1:10">
      <c r="A2536">
        <v>4594.2</v>
      </c>
      <c r="E2536">
        <v>2021</v>
      </c>
      <c r="F2536" s="48" t="s">
        <v>132</v>
      </c>
      <c r="I2536">
        <f t="shared" si="30"/>
        <v>2021</v>
      </c>
      <c r="J2536">
        <f t="shared" si="31"/>
        <v>4594.2</v>
      </c>
    </row>
    <row r="2537" spans="1:10">
      <c r="A2537">
        <v>4619.5</v>
      </c>
      <c r="E2537">
        <v>2022</v>
      </c>
      <c r="F2537" s="48" t="s">
        <v>132</v>
      </c>
      <c r="I2537">
        <f t="shared" si="30"/>
        <v>2022</v>
      </c>
      <c r="J2537">
        <f t="shared" si="31"/>
        <v>4619.5</v>
      </c>
    </row>
    <row r="2538" spans="1:10" hidden="1">
      <c r="A2538">
        <v>16290</v>
      </c>
      <c r="D2538">
        <v>2000</v>
      </c>
      <c r="E2538" t="s">
        <v>132</v>
      </c>
    </row>
    <row r="2539" spans="1:10" hidden="1">
      <c r="A2539">
        <v>8494.4</v>
      </c>
      <c r="D2539">
        <v>2001</v>
      </c>
      <c r="E2539" t="s">
        <v>132</v>
      </c>
    </row>
    <row r="2540" spans="1:10" hidden="1">
      <c r="A2540">
        <v>14971</v>
      </c>
      <c r="D2540">
        <v>2002</v>
      </c>
      <c r="E2540" t="s">
        <v>132</v>
      </c>
    </row>
    <row r="2541" spans="1:10" hidden="1">
      <c r="A2541">
        <v>8157.9</v>
      </c>
      <c r="D2541">
        <v>2003</v>
      </c>
      <c r="E2541" t="s">
        <v>132</v>
      </c>
    </row>
    <row r="2542" spans="1:10" hidden="1">
      <c r="A2542">
        <v>8125.3</v>
      </c>
      <c r="D2542">
        <v>2004</v>
      </c>
      <c r="E2542" t="s">
        <v>132</v>
      </c>
    </row>
    <row r="2543" spans="1:10" hidden="1">
      <c r="A2543">
        <v>7995.3</v>
      </c>
      <c r="D2543">
        <v>2005</v>
      </c>
      <c r="E2543" t="s">
        <v>132</v>
      </c>
    </row>
    <row r="2544" spans="1:10" hidden="1">
      <c r="A2544">
        <v>8331.1</v>
      </c>
      <c r="D2544">
        <v>2006</v>
      </c>
      <c r="E2544" t="s">
        <v>132</v>
      </c>
    </row>
    <row r="2545" spans="1:5" hidden="1">
      <c r="A2545">
        <v>11661</v>
      </c>
      <c r="D2545">
        <v>2007</v>
      </c>
      <c r="E2545" t="s">
        <v>132</v>
      </c>
    </row>
    <row r="2546" spans="1:5" hidden="1">
      <c r="A2546">
        <v>8172.7</v>
      </c>
      <c r="D2546">
        <v>2008</v>
      </c>
      <c r="E2546" t="s">
        <v>132</v>
      </c>
    </row>
    <row r="2547" spans="1:5" hidden="1">
      <c r="A2547">
        <v>6333.9</v>
      </c>
      <c r="D2547">
        <v>2009</v>
      </c>
      <c r="E2547" t="s">
        <v>132</v>
      </c>
    </row>
    <row r="2548" spans="1:5" hidden="1">
      <c r="A2548">
        <v>6751.9</v>
      </c>
      <c r="D2548">
        <v>2010</v>
      </c>
      <c r="E2548" t="s">
        <v>132</v>
      </c>
    </row>
    <row r="2549" spans="1:5" hidden="1">
      <c r="A2549">
        <v>6859.9</v>
      </c>
      <c r="D2549">
        <v>2011</v>
      </c>
      <c r="E2549" t="s">
        <v>132</v>
      </c>
    </row>
    <row r="2550" spans="1:5" hidden="1">
      <c r="A2550">
        <v>5500</v>
      </c>
      <c r="D2550">
        <v>2012</v>
      </c>
      <c r="E2550" t="s">
        <v>132</v>
      </c>
    </row>
    <row r="2551" spans="1:5" hidden="1">
      <c r="A2551">
        <v>5351.5</v>
      </c>
      <c r="D2551">
        <v>2013</v>
      </c>
      <c r="E2551" t="s">
        <v>132</v>
      </c>
    </row>
    <row r="2552" spans="1:5" hidden="1">
      <c r="A2552">
        <v>5346.1</v>
      </c>
      <c r="D2552">
        <v>2014</v>
      </c>
      <c r="E2552" t="s">
        <v>132</v>
      </c>
    </row>
    <row r="2553" spans="1:5" hidden="1">
      <c r="A2553">
        <v>5180.3</v>
      </c>
      <c r="D2553">
        <v>2015</v>
      </c>
      <c r="E2553" t="s">
        <v>132</v>
      </c>
    </row>
    <row r="2554" spans="1:5" hidden="1">
      <c r="A2554">
        <v>5220.1000000000004</v>
      </c>
      <c r="D2554">
        <v>2016</v>
      </c>
      <c r="E2554" t="s">
        <v>132</v>
      </c>
    </row>
    <row r="2555" spans="1:5" hidden="1">
      <c r="A2555">
        <v>6596.1</v>
      </c>
      <c r="D2555">
        <v>2017</v>
      </c>
      <c r="E2555" t="s">
        <v>132</v>
      </c>
    </row>
    <row r="2556" spans="1:5" hidden="1">
      <c r="A2556">
        <v>6236.3</v>
      </c>
      <c r="D2556">
        <v>2018</v>
      </c>
      <c r="E2556" t="s">
        <v>132</v>
      </c>
    </row>
    <row r="2557" spans="1:5" hidden="1">
      <c r="A2557">
        <v>6125.1</v>
      </c>
      <c r="D2557">
        <v>2019</v>
      </c>
      <c r="E2557" t="s">
        <v>132</v>
      </c>
    </row>
    <row r="2558" spans="1:5" hidden="1">
      <c r="A2558">
        <v>6437.7</v>
      </c>
      <c r="D2558">
        <v>2020</v>
      </c>
      <c r="E2558" t="s">
        <v>132</v>
      </c>
    </row>
    <row r="2559" spans="1:5" hidden="1">
      <c r="A2559">
        <v>8425.5</v>
      </c>
      <c r="D2559">
        <v>2021</v>
      </c>
      <c r="E2559" t="s">
        <v>132</v>
      </c>
    </row>
    <row r="2560" spans="1:5" hidden="1">
      <c r="A2560">
        <v>8500.5</v>
      </c>
      <c r="D2560">
        <v>2022</v>
      </c>
      <c r="E2560" t="s">
        <v>132</v>
      </c>
    </row>
    <row r="2561" spans="1:4" hidden="1">
      <c r="A2561">
        <v>0</v>
      </c>
      <c r="C2561">
        <v>2000</v>
      </c>
      <c r="D2561" t="s">
        <v>132</v>
      </c>
    </row>
    <row r="2562" spans="1:4" hidden="1">
      <c r="A2562">
        <v>0</v>
      </c>
      <c r="C2562">
        <v>2001</v>
      </c>
      <c r="D2562" t="s">
        <v>132</v>
      </c>
    </row>
    <row r="2563" spans="1:4" hidden="1">
      <c r="A2563">
        <v>0</v>
      </c>
      <c r="C2563">
        <v>2002</v>
      </c>
      <c r="D2563" t="s">
        <v>132</v>
      </c>
    </row>
    <row r="2564" spans="1:4" hidden="1">
      <c r="A2564">
        <v>0</v>
      </c>
      <c r="C2564">
        <v>2003</v>
      </c>
      <c r="D2564" t="s">
        <v>132</v>
      </c>
    </row>
    <row r="2565" spans="1:4" hidden="1">
      <c r="A2565">
        <v>0</v>
      </c>
      <c r="C2565">
        <v>2004</v>
      </c>
      <c r="D2565" t="s">
        <v>132</v>
      </c>
    </row>
    <row r="2566" spans="1:4" hidden="1">
      <c r="A2566">
        <v>0</v>
      </c>
      <c r="C2566">
        <v>2005</v>
      </c>
      <c r="D2566" t="s">
        <v>132</v>
      </c>
    </row>
    <row r="2567" spans="1:4" hidden="1">
      <c r="A2567">
        <v>0</v>
      </c>
      <c r="C2567">
        <v>2006</v>
      </c>
      <c r="D2567" t="s">
        <v>132</v>
      </c>
    </row>
    <row r="2568" spans="1:4" hidden="1">
      <c r="A2568">
        <v>0</v>
      </c>
      <c r="C2568">
        <v>2007</v>
      </c>
      <c r="D2568" t="s">
        <v>132</v>
      </c>
    </row>
    <row r="2569" spans="1:4" hidden="1">
      <c r="A2569">
        <v>0</v>
      </c>
      <c r="C2569">
        <v>2008</v>
      </c>
      <c r="D2569" t="s">
        <v>132</v>
      </c>
    </row>
    <row r="2570" spans="1:4" hidden="1">
      <c r="A2570">
        <v>0</v>
      </c>
      <c r="C2570">
        <v>2009</v>
      </c>
      <c r="D2570" t="s">
        <v>132</v>
      </c>
    </row>
    <row r="2571" spans="1:4" hidden="1">
      <c r="A2571">
        <v>0</v>
      </c>
      <c r="C2571">
        <v>2010</v>
      </c>
      <c r="D2571" t="s">
        <v>132</v>
      </c>
    </row>
    <row r="2572" spans="1:4" hidden="1">
      <c r="A2572">
        <v>0</v>
      </c>
      <c r="C2572">
        <v>2011</v>
      </c>
      <c r="D2572" t="s">
        <v>132</v>
      </c>
    </row>
    <row r="2573" spans="1:4" hidden="1">
      <c r="A2573">
        <v>0</v>
      </c>
      <c r="C2573">
        <v>2012</v>
      </c>
      <c r="D2573" t="s">
        <v>132</v>
      </c>
    </row>
    <row r="2574" spans="1:4" hidden="1">
      <c r="A2574">
        <v>0</v>
      </c>
      <c r="C2574">
        <v>2013</v>
      </c>
      <c r="D2574" t="s">
        <v>132</v>
      </c>
    </row>
    <row r="2575" spans="1:4" hidden="1">
      <c r="A2575">
        <v>0</v>
      </c>
      <c r="C2575">
        <v>2014</v>
      </c>
      <c r="D2575" t="s">
        <v>132</v>
      </c>
    </row>
    <row r="2576" spans="1:4" hidden="1">
      <c r="A2576">
        <v>0</v>
      </c>
      <c r="C2576">
        <v>2015</v>
      </c>
      <c r="D2576" t="s">
        <v>132</v>
      </c>
    </row>
    <row r="2577" spans="1:4" hidden="1">
      <c r="A2577">
        <v>0</v>
      </c>
      <c r="C2577">
        <v>2016</v>
      </c>
      <c r="D2577" t="s">
        <v>132</v>
      </c>
    </row>
    <row r="2578" spans="1:4" hidden="1">
      <c r="A2578">
        <v>0</v>
      </c>
      <c r="C2578">
        <v>2017</v>
      </c>
      <c r="D2578" t="s">
        <v>132</v>
      </c>
    </row>
    <row r="2579" spans="1:4" hidden="1">
      <c r="A2579">
        <v>0</v>
      </c>
      <c r="C2579">
        <v>2018</v>
      </c>
      <c r="D2579" t="s">
        <v>132</v>
      </c>
    </row>
    <row r="2580" spans="1:4" hidden="1">
      <c r="A2580">
        <v>0</v>
      </c>
      <c r="C2580">
        <v>2019</v>
      </c>
      <c r="D2580" t="s">
        <v>132</v>
      </c>
    </row>
    <row r="2581" spans="1:4" hidden="1">
      <c r="A2581">
        <v>0</v>
      </c>
      <c r="C2581">
        <v>2020</v>
      </c>
      <c r="D2581" t="s">
        <v>132</v>
      </c>
    </row>
    <row r="2582" spans="1:4" hidden="1">
      <c r="A2582">
        <v>0</v>
      </c>
      <c r="C2582">
        <v>2021</v>
      </c>
      <c r="D2582" t="s">
        <v>132</v>
      </c>
    </row>
    <row r="2583" spans="1:4" hidden="1">
      <c r="A2583">
        <v>0</v>
      </c>
      <c r="C2583">
        <v>2022</v>
      </c>
      <c r="D2583" t="s">
        <v>132</v>
      </c>
    </row>
    <row r="2584" spans="1:4" hidden="1">
      <c r="A2584">
        <v>5582.9</v>
      </c>
      <c r="B2584">
        <v>2000</v>
      </c>
      <c r="C2584" t="s">
        <v>132</v>
      </c>
    </row>
    <row r="2585" spans="1:4" hidden="1">
      <c r="A2585">
        <v>5559.3</v>
      </c>
      <c r="B2585">
        <v>2001</v>
      </c>
      <c r="C2585" t="s">
        <v>132</v>
      </c>
    </row>
    <row r="2586" spans="1:4" hidden="1">
      <c r="A2586">
        <v>5535.7</v>
      </c>
      <c r="B2586">
        <v>2002</v>
      </c>
      <c r="C2586" t="s">
        <v>132</v>
      </c>
    </row>
    <row r="2587" spans="1:4" hidden="1">
      <c r="A2587">
        <v>5512.1</v>
      </c>
      <c r="B2587">
        <v>2003</v>
      </c>
      <c r="C2587" t="s">
        <v>132</v>
      </c>
    </row>
    <row r="2588" spans="1:4" hidden="1">
      <c r="A2588">
        <v>5488.5</v>
      </c>
      <c r="B2588">
        <v>2004</v>
      </c>
      <c r="C2588" t="s">
        <v>132</v>
      </c>
    </row>
    <row r="2589" spans="1:4" hidden="1">
      <c r="A2589">
        <v>8942.2999999999993</v>
      </c>
      <c r="B2589">
        <v>2005</v>
      </c>
      <c r="C2589" t="s">
        <v>132</v>
      </c>
    </row>
    <row r="2590" spans="1:4" hidden="1">
      <c r="A2590">
        <v>8993.1</v>
      </c>
      <c r="B2590">
        <v>2006</v>
      </c>
      <c r="C2590" t="s">
        <v>132</v>
      </c>
    </row>
    <row r="2591" spans="1:4" hidden="1">
      <c r="A2591">
        <v>9043.9</v>
      </c>
      <c r="B2591">
        <v>2007</v>
      </c>
      <c r="C2591" t="s">
        <v>132</v>
      </c>
    </row>
    <row r="2592" spans="1:4" hidden="1">
      <c r="A2592">
        <v>9094.7000000000007</v>
      </c>
      <c r="B2592">
        <v>2008</v>
      </c>
      <c r="C2592" t="s">
        <v>132</v>
      </c>
    </row>
    <row r="2593" spans="1:8" hidden="1">
      <c r="A2593">
        <v>9183.7000000000007</v>
      </c>
      <c r="B2593">
        <v>2009</v>
      </c>
      <c r="C2593" t="s">
        <v>132</v>
      </c>
    </row>
    <row r="2594" spans="1:8" hidden="1">
      <c r="A2594">
        <v>9272.7000000000007</v>
      </c>
      <c r="B2594">
        <v>2010</v>
      </c>
      <c r="C2594" t="s">
        <v>132</v>
      </c>
    </row>
    <row r="2595" spans="1:8" hidden="1">
      <c r="A2595">
        <v>9361.7000000000007</v>
      </c>
      <c r="B2595">
        <v>2011</v>
      </c>
      <c r="C2595" t="s">
        <v>132</v>
      </c>
    </row>
    <row r="2596" spans="1:8" hidden="1">
      <c r="A2596">
        <v>9450.7000000000007</v>
      </c>
      <c r="B2596">
        <v>2012</v>
      </c>
      <c r="C2596" t="s">
        <v>132</v>
      </c>
    </row>
    <row r="2597" spans="1:8" hidden="1">
      <c r="A2597">
        <v>9367</v>
      </c>
      <c r="B2597">
        <v>2013</v>
      </c>
      <c r="C2597" t="s">
        <v>132</v>
      </c>
    </row>
    <row r="2598" spans="1:8" hidden="1">
      <c r="A2598">
        <v>9396</v>
      </c>
      <c r="B2598">
        <v>2014</v>
      </c>
      <c r="C2598" t="s">
        <v>132</v>
      </c>
    </row>
    <row r="2599" spans="1:8" hidden="1">
      <c r="A2599">
        <v>9476.4</v>
      </c>
      <c r="B2599">
        <v>2015</v>
      </c>
      <c r="C2599" t="s">
        <v>132</v>
      </c>
    </row>
    <row r="2600" spans="1:8" hidden="1">
      <c r="A2600">
        <v>9390.1</v>
      </c>
      <c r="B2600">
        <v>2016</v>
      </c>
      <c r="C2600" t="s">
        <v>132</v>
      </c>
    </row>
    <row r="2601" spans="1:8" hidden="1">
      <c r="A2601">
        <v>9305.2999999999993</v>
      </c>
      <c r="B2601">
        <v>2017</v>
      </c>
      <c r="C2601" t="s">
        <v>132</v>
      </c>
    </row>
    <row r="2602" spans="1:8" hidden="1">
      <c r="A2602">
        <v>9219.7999999999993</v>
      </c>
      <c r="B2602">
        <v>2018</v>
      </c>
      <c r="C2602" t="s">
        <v>132</v>
      </c>
    </row>
    <row r="2603" spans="1:8" hidden="1">
      <c r="A2603">
        <v>9198.6</v>
      </c>
      <c r="B2603">
        <v>2019</v>
      </c>
      <c r="C2603" t="s">
        <v>132</v>
      </c>
    </row>
    <row r="2604" spans="1:8" hidden="1">
      <c r="A2604">
        <v>9178</v>
      </c>
      <c r="B2604">
        <v>2020</v>
      </c>
      <c r="C2604" t="s">
        <v>132</v>
      </c>
    </row>
    <row r="2605" spans="1:8" hidden="1">
      <c r="A2605">
        <v>9116.2000000000007</v>
      </c>
      <c r="B2605">
        <v>2021</v>
      </c>
      <c r="C2605" t="s">
        <v>132</v>
      </c>
    </row>
    <row r="2606" spans="1:8" hidden="1">
      <c r="A2606">
        <v>9054.2999999999993</v>
      </c>
      <c r="B2606">
        <v>2022</v>
      </c>
      <c r="C2606" t="s">
        <v>132</v>
      </c>
    </row>
    <row r="2607" spans="1:8" hidden="1">
      <c r="A2607">
        <v>104.2</v>
      </c>
      <c r="G2607">
        <v>2000</v>
      </c>
      <c r="H2607" t="s">
        <v>164</v>
      </c>
    </row>
    <row r="2608" spans="1:8" hidden="1">
      <c r="A2608">
        <v>93.3</v>
      </c>
      <c r="G2608">
        <v>2001</v>
      </c>
      <c r="H2608" t="s">
        <v>164</v>
      </c>
    </row>
    <row r="2609" spans="1:8" hidden="1">
      <c r="A2609">
        <v>90.1</v>
      </c>
      <c r="G2609">
        <v>2002</v>
      </c>
      <c r="H2609" t="s">
        <v>164</v>
      </c>
    </row>
    <row r="2610" spans="1:8" hidden="1">
      <c r="A2610">
        <v>93.3</v>
      </c>
      <c r="G2610">
        <v>2003</v>
      </c>
      <c r="H2610" t="s">
        <v>164</v>
      </c>
    </row>
    <row r="2611" spans="1:8" hidden="1">
      <c r="A2611">
        <v>89.3</v>
      </c>
      <c r="G2611">
        <v>2004</v>
      </c>
      <c r="H2611" t="s">
        <v>164</v>
      </c>
    </row>
    <row r="2612" spans="1:8" hidden="1">
      <c r="A2612">
        <v>87.1</v>
      </c>
      <c r="G2612">
        <v>2005</v>
      </c>
      <c r="H2612" t="s">
        <v>164</v>
      </c>
    </row>
    <row r="2613" spans="1:8" hidden="1">
      <c r="A2613">
        <v>87.9</v>
      </c>
      <c r="G2613">
        <v>2006</v>
      </c>
      <c r="H2613" t="s">
        <v>164</v>
      </c>
    </row>
    <row r="2614" spans="1:8" hidden="1">
      <c r="A2614">
        <v>85.3</v>
      </c>
      <c r="G2614">
        <v>2007</v>
      </c>
      <c r="H2614" t="s">
        <v>164</v>
      </c>
    </row>
    <row r="2615" spans="1:8" hidden="1">
      <c r="A2615">
        <v>83.1</v>
      </c>
      <c r="G2615">
        <v>2008</v>
      </c>
      <c r="H2615" t="s">
        <v>164</v>
      </c>
    </row>
    <row r="2616" spans="1:8" hidden="1">
      <c r="A2616">
        <v>80.400000000000006</v>
      </c>
      <c r="G2616">
        <v>2009</v>
      </c>
      <c r="H2616" t="s">
        <v>164</v>
      </c>
    </row>
    <row r="2617" spans="1:8" hidden="1">
      <c r="A2617">
        <v>69.5</v>
      </c>
      <c r="G2617">
        <v>2010</v>
      </c>
      <c r="H2617" t="s">
        <v>164</v>
      </c>
    </row>
    <row r="2618" spans="1:8" hidden="1">
      <c r="A2618">
        <v>65.099999999999994</v>
      </c>
      <c r="G2618">
        <v>2011</v>
      </c>
      <c r="H2618" t="s">
        <v>164</v>
      </c>
    </row>
    <row r="2619" spans="1:8" hidden="1">
      <c r="A2619">
        <v>61.9</v>
      </c>
      <c r="G2619">
        <v>2012</v>
      </c>
      <c r="H2619" t="s">
        <v>164</v>
      </c>
    </row>
    <row r="2620" spans="1:8" hidden="1">
      <c r="A2620">
        <v>60.5</v>
      </c>
      <c r="G2620">
        <v>2013</v>
      </c>
      <c r="H2620" t="s">
        <v>164</v>
      </c>
    </row>
    <row r="2621" spans="1:8" hidden="1">
      <c r="A2621">
        <v>59.5</v>
      </c>
      <c r="G2621">
        <v>2014</v>
      </c>
      <c r="H2621" t="s">
        <v>164</v>
      </c>
    </row>
    <row r="2622" spans="1:8" hidden="1">
      <c r="A2622">
        <v>62.9</v>
      </c>
      <c r="G2622">
        <v>2015</v>
      </c>
      <c r="H2622" t="s">
        <v>164</v>
      </c>
    </row>
    <row r="2623" spans="1:8" hidden="1">
      <c r="A2623">
        <v>60.7</v>
      </c>
      <c r="G2623">
        <v>2016</v>
      </c>
      <c r="H2623" t="s">
        <v>164</v>
      </c>
    </row>
    <row r="2624" spans="1:8" hidden="1">
      <c r="A2624">
        <v>60.1</v>
      </c>
      <c r="G2624">
        <v>2017</v>
      </c>
      <c r="H2624" t="s">
        <v>164</v>
      </c>
    </row>
    <row r="2625" spans="1:8" hidden="1">
      <c r="A2625">
        <v>57.9</v>
      </c>
      <c r="G2625">
        <v>2018</v>
      </c>
      <c r="H2625" t="s">
        <v>164</v>
      </c>
    </row>
    <row r="2626" spans="1:8" hidden="1">
      <c r="A2626">
        <v>58.5</v>
      </c>
      <c r="G2626">
        <v>2019</v>
      </c>
      <c r="H2626" t="s">
        <v>164</v>
      </c>
    </row>
    <row r="2627" spans="1:8" hidden="1">
      <c r="A2627">
        <v>61.2</v>
      </c>
      <c r="G2627">
        <v>2020</v>
      </c>
      <c r="H2627" t="s">
        <v>164</v>
      </c>
    </row>
    <row r="2628" spans="1:8" hidden="1">
      <c r="A2628">
        <v>60</v>
      </c>
      <c r="G2628">
        <v>2021</v>
      </c>
      <c r="H2628" t="s">
        <v>164</v>
      </c>
    </row>
    <row r="2629" spans="1:8" hidden="1">
      <c r="A2629">
        <v>60</v>
      </c>
      <c r="G2629">
        <v>2022</v>
      </c>
      <c r="H2629" t="s">
        <v>164</v>
      </c>
    </row>
    <row r="2630" spans="1:8" hidden="1">
      <c r="A2630">
        <v>0.2</v>
      </c>
      <c r="F2630" s="48">
        <v>2000</v>
      </c>
      <c r="G2630" t="s">
        <v>164</v>
      </c>
    </row>
    <row r="2631" spans="1:8" hidden="1">
      <c r="A2631">
        <v>0.2</v>
      </c>
      <c r="F2631" s="48">
        <v>2001</v>
      </c>
      <c r="G2631" t="s">
        <v>164</v>
      </c>
    </row>
    <row r="2632" spans="1:8" hidden="1">
      <c r="A2632">
        <v>0.3</v>
      </c>
      <c r="F2632" s="48">
        <v>2002</v>
      </c>
      <c r="G2632" t="s">
        <v>164</v>
      </c>
    </row>
    <row r="2633" spans="1:8" hidden="1">
      <c r="A2633">
        <v>0.3</v>
      </c>
      <c r="F2633" s="48">
        <v>2003</v>
      </c>
      <c r="G2633" t="s">
        <v>164</v>
      </c>
    </row>
    <row r="2634" spans="1:8" hidden="1">
      <c r="A2634">
        <v>0.3</v>
      </c>
      <c r="F2634" s="48">
        <v>2004</v>
      </c>
      <c r="G2634" t="s">
        <v>164</v>
      </c>
    </row>
    <row r="2635" spans="1:8" hidden="1">
      <c r="A2635">
        <v>0.2</v>
      </c>
      <c r="F2635" s="48">
        <v>2005</v>
      </c>
      <c r="G2635" t="s">
        <v>164</v>
      </c>
    </row>
    <row r="2636" spans="1:8" hidden="1">
      <c r="A2636">
        <v>0.2</v>
      </c>
      <c r="F2636" s="48">
        <v>2006</v>
      </c>
      <c r="G2636" t="s">
        <v>164</v>
      </c>
    </row>
    <row r="2637" spans="1:8" hidden="1">
      <c r="A2637">
        <v>0.1</v>
      </c>
      <c r="F2637" s="48">
        <v>2007</v>
      </c>
      <c r="G2637" t="s">
        <v>164</v>
      </c>
    </row>
    <row r="2638" spans="1:8" hidden="1">
      <c r="A2638">
        <v>0.6</v>
      </c>
      <c r="F2638" s="48">
        <v>2008</v>
      </c>
      <c r="G2638" t="s">
        <v>164</v>
      </c>
    </row>
    <row r="2639" spans="1:8" hidden="1">
      <c r="A2639">
        <v>0.3</v>
      </c>
      <c r="F2639" s="48">
        <v>2009</v>
      </c>
      <c r="G2639" t="s">
        <v>164</v>
      </c>
    </row>
    <row r="2640" spans="1:8" hidden="1">
      <c r="A2640">
        <v>0.5</v>
      </c>
      <c r="F2640" s="48">
        <v>2010</v>
      </c>
      <c r="G2640" t="s">
        <v>164</v>
      </c>
    </row>
    <row r="2641" spans="1:10" hidden="1">
      <c r="A2641">
        <v>0.5</v>
      </c>
      <c r="F2641" s="48">
        <v>2011</v>
      </c>
      <c r="G2641" t="s">
        <v>164</v>
      </c>
    </row>
    <row r="2642" spans="1:10" hidden="1">
      <c r="A2642">
        <v>0.2</v>
      </c>
      <c r="F2642" s="48">
        <v>2012</v>
      </c>
      <c r="G2642" t="s">
        <v>164</v>
      </c>
    </row>
    <row r="2643" spans="1:10" hidden="1">
      <c r="A2643">
        <v>0.5</v>
      </c>
      <c r="F2643" s="48">
        <v>2013</v>
      </c>
      <c r="G2643" t="s">
        <v>164</v>
      </c>
    </row>
    <row r="2644" spans="1:10" hidden="1">
      <c r="A2644">
        <v>0.4</v>
      </c>
      <c r="F2644" s="48">
        <v>2014</v>
      </c>
      <c r="G2644" t="s">
        <v>164</v>
      </c>
    </row>
    <row r="2645" spans="1:10" hidden="1">
      <c r="A2645">
        <v>0.3</v>
      </c>
      <c r="F2645" s="48">
        <v>2015</v>
      </c>
      <c r="G2645" t="s">
        <v>164</v>
      </c>
    </row>
    <row r="2646" spans="1:10" hidden="1">
      <c r="A2646">
        <v>0.4</v>
      </c>
      <c r="F2646" s="48">
        <v>2016</v>
      </c>
      <c r="G2646" t="s">
        <v>164</v>
      </c>
    </row>
    <row r="2647" spans="1:10" hidden="1">
      <c r="A2647">
        <v>0.5</v>
      </c>
      <c r="F2647" s="48">
        <v>2017</v>
      </c>
      <c r="G2647" t="s">
        <v>164</v>
      </c>
    </row>
    <row r="2648" spans="1:10" hidden="1">
      <c r="A2648">
        <v>0.5</v>
      </c>
      <c r="F2648" s="48">
        <v>2018</v>
      </c>
      <c r="G2648" t="s">
        <v>164</v>
      </c>
    </row>
    <row r="2649" spans="1:10" hidden="1">
      <c r="A2649">
        <v>0.2</v>
      </c>
      <c r="F2649" s="48">
        <v>2019</v>
      </c>
      <c r="G2649" t="s">
        <v>164</v>
      </c>
    </row>
    <row r="2650" spans="1:10" hidden="1">
      <c r="A2650">
        <v>0</v>
      </c>
      <c r="F2650" s="48">
        <v>2020</v>
      </c>
      <c r="G2650" t="s">
        <v>164</v>
      </c>
    </row>
    <row r="2651" spans="1:10" hidden="1">
      <c r="A2651">
        <v>0</v>
      </c>
      <c r="F2651" s="48">
        <v>2021</v>
      </c>
      <c r="G2651" t="s">
        <v>164</v>
      </c>
    </row>
    <row r="2652" spans="1:10" hidden="1">
      <c r="A2652">
        <v>0</v>
      </c>
      <c r="F2652" s="48">
        <v>2022</v>
      </c>
      <c r="G2652" t="s">
        <v>164</v>
      </c>
    </row>
    <row r="2653" spans="1:10">
      <c r="A2653">
        <v>1978.9</v>
      </c>
      <c r="E2653">
        <v>2000</v>
      </c>
      <c r="F2653" s="48" t="s">
        <v>164</v>
      </c>
      <c r="I2653">
        <f t="shared" ref="I2653:I2675" si="32">E2653</f>
        <v>2000</v>
      </c>
      <c r="J2653">
        <f t="shared" ref="J2653:J2675" si="33">A2653</f>
        <v>1978.9</v>
      </c>
    </row>
    <row r="2654" spans="1:10">
      <c r="A2654">
        <v>2481.1</v>
      </c>
      <c r="E2654">
        <v>2001</v>
      </c>
      <c r="F2654" s="48" t="s">
        <v>164</v>
      </c>
      <c r="I2654">
        <f t="shared" si="32"/>
        <v>2001</v>
      </c>
      <c r="J2654">
        <f t="shared" si="33"/>
        <v>2481.1</v>
      </c>
    </row>
    <row r="2655" spans="1:10">
      <c r="A2655">
        <v>2856.2</v>
      </c>
      <c r="E2655">
        <v>2002</v>
      </c>
      <c r="F2655" s="48" t="s">
        <v>164</v>
      </c>
      <c r="I2655">
        <f t="shared" si="32"/>
        <v>2002</v>
      </c>
      <c r="J2655">
        <f t="shared" si="33"/>
        <v>2856.2</v>
      </c>
    </row>
    <row r="2656" spans="1:10">
      <c r="A2656">
        <v>3041.4</v>
      </c>
      <c r="E2656">
        <v>2003</v>
      </c>
      <c r="F2656" s="48" t="s">
        <v>164</v>
      </c>
      <c r="I2656">
        <f t="shared" si="32"/>
        <v>2003</v>
      </c>
      <c r="J2656">
        <f t="shared" si="33"/>
        <v>3041.4</v>
      </c>
    </row>
    <row r="2657" spans="1:10">
      <c r="A2657">
        <v>3007.2</v>
      </c>
      <c r="E2657">
        <v>2004</v>
      </c>
      <c r="F2657" s="48" t="s">
        <v>164</v>
      </c>
      <c r="I2657">
        <f t="shared" si="32"/>
        <v>2004</v>
      </c>
      <c r="J2657">
        <f t="shared" si="33"/>
        <v>3007.2</v>
      </c>
    </row>
    <row r="2658" spans="1:10">
      <c r="A2658">
        <v>2097.5</v>
      </c>
      <c r="E2658">
        <v>2005</v>
      </c>
      <c r="F2658" s="48" t="s">
        <v>164</v>
      </c>
      <c r="I2658">
        <f t="shared" si="32"/>
        <v>2005</v>
      </c>
      <c r="J2658">
        <f t="shared" si="33"/>
        <v>2097.5</v>
      </c>
    </row>
    <row r="2659" spans="1:10">
      <c r="A2659">
        <v>1786.9</v>
      </c>
      <c r="E2659">
        <v>2006</v>
      </c>
      <c r="F2659" s="48" t="s">
        <v>164</v>
      </c>
      <c r="I2659">
        <f t="shared" si="32"/>
        <v>2006</v>
      </c>
      <c r="J2659">
        <f t="shared" si="33"/>
        <v>1786.9</v>
      </c>
    </row>
    <row r="2660" spans="1:10">
      <c r="A2660">
        <v>1978.5</v>
      </c>
      <c r="E2660">
        <v>2007</v>
      </c>
      <c r="F2660" s="48" t="s">
        <v>164</v>
      </c>
      <c r="I2660">
        <f t="shared" si="32"/>
        <v>2007</v>
      </c>
      <c r="J2660">
        <f t="shared" si="33"/>
        <v>1978.5</v>
      </c>
    </row>
    <row r="2661" spans="1:10">
      <c r="A2661">
        <v>1983.3</v>
      </c>
      <c r="E2661">
        <v>2008</v>
      </c>
      <c r="F2661" s="48" t="s">
        <v>164</v>
      </c>
      <c r="I2661">
        <f t="shared" si="32"/>
        <v>2008</v>
      </c>
      <c r="J2661">
        <f t="shared" si="33"/>
        <v>1983.3</v>
      </c>
    </row>
    <row r="2662" spans="1:10">
      <c r="A2662">
        <v>2137.6999999999998</v>
      </c>
      <c r="E2662">
        <v>2009</v>
      </c>
      <c r="F2662" s="48" t="s">
        <v>164</v>
      </c>
      <c r="I2662">
        <f t="shared" si="32"/>
        <v>2009</v>
      </c>
      <c r="J2662">
        <f t="shared" si="33"/>
        <v>2137.6999999999998</v>
      </c>
    </row>
    <row r="2663" spans="1:10">
      <c r="A2663">
        <v>394.5</v>
      </c>
      <c r="E2663">
        <v>2010</v>
      </c>
      <c r="F2663" s="48" t="s">
        <v>164</v>
      </c>
      <c r="I2663">
        <f t="shared" si="32"/>
        <v>2010</v>
      </c>
      <c r="J2663">
        <f t="shared" si="33"/>
        <v>394.5</v>
      </c>
    </row>
    <row r="2664" spans="1:10">
      <c r="A2664">
        <v>267.60000000000002</v>
      </c>
      <c r="E2664">
        <v>2011</v>
      </c>
      <c r="F2664" s="48" t="s">
        <v>164</v>
      </c>
      <c r="I2664">
        <f t="shared" si="32"/>
        <v>2011</v>
      </c>
      <c r="J2664">
        <f t="shared" si="33"/>
        <v>267.60000000000002</v>
      </c>
    </row>
    <row r="2665" spans="1:10">
      <c r="A2665">
        <v>351</v>
      </c>
      <c r="E2665">
        <v>2012</v>
      </c>
      <c r="F2665" s="48" t="s">
        <v>164</v>
      </c>
      <c r="I2665">
        <f t="shared" si="32"/>
        <v>2012</v>
      </c>
      <c r="J2665">
        <f t="shared" si="33"/>
        <v>351</v>
      </c>
    </row>
    <row r="2666" spans="1:10">
      <c r="A2666">
        <v>159.5</v>
      </c>
      <c r="E2666">
        <v>2013</v>
      </c>
      <c r="F2666" s="48" t="s">
        <v>164</v>
      </c>
      <c r="I2666">
        <f t="shared" si="32"/>
        <v>2013</v>
      </c>
      <c r="J2666">
        <f t="shared" si="33"/>
        <v>159.5</v>
      </c>
    </row>
    <row r="2667" spans="1:10">
      <c r="A2667">
        <v>120.6</v>
      </c>
      <c r="E2667">
        <v>2014</v>
      </c>
      <c r="F2667" s="48" t="s">
        <v>164</v>
      </c>
      <c r="I2667">
        <f t="shared" si="32"/>
        <v>2014</v>
      </c>
      <c r="J2667">
        <f t="shared" si="33"/>
        <v>120.6</v>
      </c>
    </row>
    <row r="2668" spans="1:10">
      <c r="A2668">
        <v>143.6</v>
      </c>
      <c r="E2668">
        <v>2015</v>
      </c>
      <c r="F2668" s="48" t="s">
        <v>164</v>
      </c>
      <c r="I2668">
        <f t="shared" si="32"/>
        <v>2015</v>
      </c>
      <c r="J2668">
        <f t="shared" si="33"/>
        <v>143.6</v>
      </c>
    </row>
    <row r="2669" spans="1:10">
      <c r="A2669">
        <v>72</v>
      </c>
      <c r="E2669">
        <v>2016</v>
      </c>
      <c r="F2669" s="48" t="s">
        <v>164</v>
      </c>
      <c r="I2669">
        <f t="shared" si="32"/>
        <v>2016</v>
      </c>
      <c r="J2669">
        <f t="shared" si="33"/>
        <v>72</v>
      </c>
    </row>
    <row r="2670" spans="1:10">
      <c r="A2670">
        <v>22.6</v>
      </c>
      <c r="E2670">
        <v>2017</v>
      </c>
      <c r="F2670" s="48" t="s">
        <v>164</v>
      </c>
      <c r="I2670">
        <f t="shared" si="32"/>
        <v>2017</v>
      </c>
      <c r="J2670">
        <f t="shared" si="33"/>
        <v>22.6</v>
      </c>
    </row>
    <row r="2671" spans="1:10">
      <c r="A2671">
        <v>15.4</v>
      </c>
      <c r="E2671">
        <v>2018</v>
      </c>
      <c r="F2671" s="48" t="s">
        <v>164</v>
      </c>
      <c r="I2671">
        <f t="shared" si="32"/>
        <v>2018</v>
      </c>
      <c r="J2671">
        <f t="shared" si="33"/>
        <v>15.4</v>
      </c>
    </row>
    <row r="2672" spans="1:10">
      <c r="A2672">
        <v>12.5</v>
      </c>
      <c r="E2672">
        <v>2019</v>
      </c>
      <c r="F2672" s="48" t="s">
        <v>164</v>
      </c>
      <c r="I2672">
        <f t="shared" si="32"/>
        <v>2019</v>
      </c>
      <c r="J2672">
        <f t="shared" si="33"/>
        <v>12.5</v>
      </c>
    </row>
    <row r="2673" spans="1:10">
      <c r="A2673">
        <v>131.19999999999999</v>
      </c>
      <c r="E2673">
        <v>2020</v>
      </c>
      <c r="F2673" s="48" t="s">
        <v>164</v>
      </c>
      <c r="I2673">
        <f t="shared" si="32"/>
        <v>2020</v>
      </c>
      <c r="J2673">
        <f t="shared" si="33"/>
        <v>131.19999999999999</v>
      </c>
    </row>
    <row r="2674" spans="1:10">
      <c r="A2674">
        <v>87.5</v>
      </c>
      <c r="E2674">
        <v>2021</v>
      </c>
      <c r="F2674" s="48" t="s">
        <v>164</v>
      </c>
      <c r="I2674">
        <f t="shared" si="32"/>
        <v>2021</v>
      </c>
      <c r="J2674">
        <f t="shared" si="33"/>
        <v>87.5</v>
      </c>
    </row>
    <row r="2675" spans="1:10">
      <c r="A2675">
        <v>38.200000000000003</v>
      </c>
      <c r="E2675">
        <v>2022</v>
      </c>
      <c r="F2675" s="48" t="s">
        <v>164</v>
      </c>
      <c r="I2675">
        <f t="shared" si="32"/>
        <v>2022</v>
      </c>
      <c r="J2675">
        <f t="shared" si="33"/>
        <v>38.200000000000003</v>
      </c>
    </row>
    <row r="2676" spans="1:10" hidden="1">
      <c r="A2676">
        <v>32</v>
      </c>
      <c r="D2676">
        <v>2000</v>
      </c>
      <c r="E2676" t="s">
        <v>164</v>
      </c>
    </row>
    <row r="2677" spans="1:10" hidden="1">
      <c r="A2677">
        <v>30.4</v>
      </c>
      <c r="D2677">
        <v>2001</v>
      </c>
      <c r="E2677" t="s">
        <v>164</v>
      </c>
    </row>
    <row r="2678" spans="1:10" hidden="1">
      <c r="A2678">
        <v>32</v>
      </c>
      <c r="D2678">
        <v>2002</v>
      </c>
      <c r="E2678" t="s">
        <v>164</v>
      </c>
    </row>
    <row r="2679" spans="1:10" hidden="1">
      <c r="A2679">
        <v>32.299999999999997</v>
      </c>
      <c r="D2679">
        <v>2003</v>
      </c>
      <c r="E2679" t="s">
        <v>164</v>
      </c>
    </row>
    <row r="2680" spans="1:10" hidden="1">
      <c r="A2680">
        <v>31.7</v>
      </c>
      <c r="D2680">
        <v>2004</v>
      </c>
      <c r="E2680" t="s">
        <v>164</v>
      </c>
    </row>
    <row r="2681" spans="1:10" hidden="1">
      <c r="A2681">
        <v>31.4</v>
      </c>
      <c r="D2681">
        <v>2005</v>
      </c>
      <c r="E2681" t="s">
        <v>164</v>
      </c>
    </row>
    <row r="2682" spans="1:10" hidden="1">
      <c r="A2682">
        <v>32.299999999999997</v>
      </c>
      <c r="D2682">
        <v>2006</v>
      </c>
      <c r="E2682" t="s">
        <v>164</v>
      </c>
    </row>
    <row r="2683" spans="1:10" hidden="1">
      <c r="A2683">
        <v>34</v>
      </c>
      <c r="D2683">
        <v>2007</v>
      </c>
      <c r="E2683" t="s">
        <v>164</v>
      </c>
    </row>
    <row r="2684" spans="1:10" hidden="1">
      <c r="A2684">
        <v>30.4</v>
      </c>
      <c r="D2684">
        <v>2008</v>
      </c>
      <c r="E2684" t="s">
        <v>164</v>
      </c>
    </row>
    <row r="2685" spans="1:10" hidden="1">
      <c r="A2685">
        <v>25.6</v>
      </c>
      <c r="D2685">
        <v>2009</v>
      </c>
      <c r="E2685" t="s">
        <v>164</v>
      </c>
    </row>
    <row r="2686" spans="1:10" hidden="1">
      <c r="A2686">
        <v>24.3</v>
      </c>
      <c r="D2686">
        <v>2010</v>
      </c>
      <c r="E2686" t="s">
        <v>164</v>
      </c>
    </row>
    <row r="2687" spans="1:10" hidden="1">
      <c r="A2687">
        <v>28.5</v>
      </c>
      <c r="D2687">
        <v>2011</v>
      </c>
      <c r="E2687" t="s">
        <v>164</v>
      </c>
    </row>
    <row r="2688" spans="1:10" hidden="1">
      <c r="A2688">
        <v>32.700000000000003</v>
      </c>
      <c r="D2688">
        <v>2012</v>
      </c>
      <c r="E2688" t="s">
        <v>164</v>
      </c>
    </row>
    <row r="2689" spans="1:5" hidden="1">
      <c r="A2689">
        <v>31.3</v>
      </c>
      <c r="D2689">
        <v>2013</v>
      </c>
      <c r="E2689" t="s">
        <v>164</v>
      </c>
    </row>
    <row r="2690" spans="1:5" hidden="1">
      <c r="A2690">
        <v>30.5</v>
      </c>
      <c r="D2690">
        <v>2014</v>
      </c>
      <c r="E2690" t="s">
        <v>164</v>
      </c>
    </row>
    <row r="2691" spans="1:5" hidden="1">
      <c r="A2691">
        <v>30.6</v>
      </c>
      <c r="D2691">
        <v>2015</v>
      </c>
      <c r="E2691" t="s">
        <v>164</v>
      </c>
    </row>
    <row r="2692" spans="1:5" hidden="1">
      <c r="A2692">
        <v>30.2</v>
      </c>
      <c r="D2692">
        <v>2016</v>
      </c>
      <c r="E2692" t="s">
        <v>164</v>
      </c>
    </row>
    <row r="2693" spans="1:5" hidden="1">
      <c r="A2693">
        <v>32.6</v>
      </c>
      <c r="D2693">
        <v>2017</v>
      </c>
      <c r="E2693" t="s">
        <v>164</v>
      </c>
    </row>
    <row r="2694" spans="1:5" hidden="1">
      <c r="A2694">
        <v>31.4</v>
      </c>
      <c r="D2694">
        <v>2018</v>
      </c>
      <c r="E2694" t="s">
        <v>164</v>
      </c>
    </row>
    <row r="2695" spans="1:5" hidden="1">
      <c r="A2695">
        <v>31</v>
      </c>
      <c r="D2695">
        <v>2019</v>
      </c>
      <c r="E2695" t="s">
        <v>164</v>
      </c>
    </row>
    <row r="2696" spans="1:5" hidden="1">
      <c r="A2696">
        <v>31.2</v>
      </c>
      <c r="D2696">
        <v>2020</v>
      </c>
      <c r="E2696" t="s">
        <v>164</v>
      </c>
    </row>
    <row r="2697" spans="1:5" hidden="1">
      <c r="A2697">
        <v>30.1</v>
      </c>
      <c r="D2697">
        <v>2021</v>
      </c>
      <c r="E2697" t="s">
        <v>164</v>
      </c>
    </row>
    <row r="2698" spans="1:5" hidden="1">
      <c r="A2698">
        <v>24.8</v>
      </c>
      <c r="D2698">
        <v>2022</v>
      </c>
      <c r="E2698" t="s">
        <v>164</v>
      </c>
    </row>
    <row r="2699" spans="1:5" hidden="1">
      <c r="A2699">
        <v>11.9</v>
      </c>
      <c r="C2699">
        <v>2000</v>
      </c>
      <c r="D2699" t="s">
        <v>164</v>
      </c>
    </row>
    <row r="2700" spans="1:5" hidden="1">
      <c r="A2700">
        <v>8.9</v>
      </c>
      <c r="C2700">
        <v>2001</v>
      </c>
      <c r="D2700" t="s">
        <v>164</v>
      </c>
    </row>
    <row r="2701" spans="1:5" hidden="1">
      <c r="A2701">
        <v>9.4</v>
      </c>
      <c r="C2701">
        <v>2002</v>
      </c>
      <c r="D2701" t="s">
        <v>164</v>
      </c>
    </row>
    <row r="2702" spans="1:5" hidden="1">
      <c r="A2702">
        <v>9.6</v>
      </c>
      <c r="C2702">
        <v>2003</v>
      </c>
      <c r="D2702" t="s">
        <v>164</v>
      </c>
    </row>
    <row r="2703" spans="1:5" hidden="1">
      <c r="A2703">
        <v>10.3</v>
      </c>
      <c r="C2703">
        <v>2004</v>
      </c>
      <c r="D2703" t="s">
        <v>164</v>
      </c>
    </row>
    <row r="2704" spans="1:5" hidden="1">
      <c r="A2704">
        <v>10</v>
      </c>
      <c r="C2704">
        <v>2005</v>
      </c>
      <c r="D2704" t="s">
        <v>164</v>
      </c>
    </row>
    <row r="2705" spans="1:4" hidden="1">
      <c r="A2705">
        <v>10.4</v>
      </c>
      <c r="C2705">
        <v>2006</v>
      </c>
      <c r="D2705" t="s">
        <v>164</v>
      </c>
    </row>
    <row r="2706" spans="1:4" hidden="1">
      <c r="A2706">
        <v>10.8</v>
      </c>
      <c r="C2706">
        <v>2007</v>
      </c>
      <c r="D2706" t="s">
        <v>164</v>
      </c>
    </row>
    <row r="2707" spans="1:4" hidden="1">
      <c r="A2707">
        <v>11</v>
      </c>
      <c r="C2707">
        <v>2008</v>
      </c>
      <c r="D2707" t="s">
        <v>164</v>
      </c>
    </row>
    <row r="2708" spans="1:4" hidden="1">
      <c r="A2708">
        <v>11.4</v>
      </c>
      <c r="C2708">
        <v>2009</v>
      </c>
      <c r="D2708" t="s">
        <v>164</v>
      </c>
    </row>
    <row r="2709" spans="1:4" hidden="1">
      <c r="A2709">
        <v>15.2</v>
      </c>
      <c r="C2709">
        <v>2010</v>
      </c>
      <c r="D2709" t="s">
        <v>164</v>
      </c>
    </row>
    <row r="2710" spans="1:4" hidden="1">
      <c r="A2710">
        <v>15.9</v>
      </c>
      <c r="C2710">
        <v>2011</v>
      </c>
      <c r="D2710" t="s">
        <v>164</v>
      </c>
    </row>
    <row r="2711" spans="1:4" hidden="1">
      <c r="A2711">
        <v>17.899999999999999</v>
      </c>
      <c r="C2711">
        <v>2012</v>
      </c>
      <c r="D2711" t="s">
        <v>164</v>
      </c>
    </row>
    <row r="2712" spans="1:4" hidden="1">
      <c r="A2712">
        <v>15.4</v>
      </c>
      <c r="C2712">
        <v>2013</v>
      </c>
      <c r="D2712" t="s">
        <v>164</v>
      </c>
    </row>
    <row r="2713" spans="1:4" hidden="1">
      <c r="A2713">
        <v>12</v>
      </c>
      <c r="C2713">
        <v>2014</v>
      </c>
      <c r="D2713" t="s">
        <v>164</v>
      </c>
    </row>
    <row r="2714" spans="1:4" hidden="1">
      <c r="A2714">
        <v>10.7</v>
      </c>
      <c r="C2714">
        <v>2015</v>
      </c>
      <c r="D2714" t="s">
        <v>164</v>
      </c>
    </row>
    <row r="2715" spans="1:4" hidden="1">
      <c r="A2715">
        <v>14.8</v>
      </c>
      <c r="C2715">
        <v>2016</v>
      </c>
      <c r="D2715" t="s">
        <v>164</v>
      </c>
    </row>
    <row r="2716" spans="1:4" hidden="1">
      <c r="A2716">
        <v>15.9</v>
      </c>
      <c r="C2716">
        <v>2017</v>
      </c>
      <c r="D2716" t="s">
        <v>164</v>
      </c>
    </row>
    <row r="2717" spans="1:4" hidden="1">
      <c r="A2717">
        <v>14.9</v>
      </c>
      <c r="C2717">
        <v>2018</v>
      </c>
      <c r="D2717" t="s">
        <v>164</v>
      </c>
    </row>
    <row r="2718" spans="1:4" hidden="1">
      <c r="A2718">
        <v>14.2</v>
      </c>
      <c r="C2718">
        <v>2019</v>
      </c>
      <c r="D2718" t="s">
        <v>164</v>
      </c>
    </row>
    <row r="2719" spans="1:4" hidden="1">
      <c r="A2719">
        <v>15</v>
      </c>
      <c r="C2719">
        <v>2020</v>
      </c>
      <c r="D2719" t="s">
        <v>164</v>
      </c>
    </row>
    <row r="2720" spans="1:4" hidden="1">
      <c r="A2720">
        <v>15.3</v>
      </c>
      <c r="C2720">
        <v>2021</v>
      </c>
      <c r="D2720" t="s">
        <v>164</v>
      </c>
    </row>
    <row r="2721" spans="1:4" hidden="1">
      <c r="A2721">
        <v>16.399999999999999</v>
      </c>
      <c r="C2721">
        <v>2022</v>
      </c>
      <c r="D2721" t="s">
        <v>164</v>
      </c>
    </row>
    <row r="2722" spans="1:4" hidden="1">
      <c r="A2722">
        <v>140.1</v>
      </c>
      <c r="B2722">
        <v>2000</v>
      </c>
      <c r="C2722" t="s">
        <v>164</v>
      </c>
    </row>
    <row r="2723" spans="1:4" hidden="1">
      <c r="A2723">
        <v>132.69999999999999</v>
      </c>
      <c r="B2723">
        <v>2001</v>
      </c>
      <c r="C2723" t="s">
        <v>164</v>
      </c>
    </row>
    <row r="2724" spans="1:4" hidden="1">
      <c r="A2724">
        <v>134.80000000000001</v>
      </c>
      <c r="B2724">
        <v>2002</v>
      </c>
      <c r="C2724" t="s">
        <v>164</v>
      </c>
    </row>
    <row r="2725" spans="1:4" hidden="1">
      <c r="A2725">
        <v>137.4</v>
      </c>
      <c r="B2725">
        <v>2003</v>
      </c>
      <c r="C2725" t="s">
        <v>164</v>
      </c>
    </row>
    <row r="2726" spans="1:4" hidden="1">
      <c r="A2726">
        <v>139.69999999999999</v>
      </c>
      <c r="B2726">
        <v>2004</v>
      </c>
      <c r="C2726" t="s">
        <v>164</v>
      </c>
    </row>
    <row r="2727" spans="1:4" hidden="1">
      <c r="A2727">
        <v>140.69999999999999</v>
      </c>
      <c r="B2727">
        <v>2005</v>
      </c>
      <c r="C2727" t="s">
        <v>164</v>
      </c>
    </row>
    <row r="2728" spans="1:4" hidden="1">
      <c r="A2728">
        <v>143.6</v>
      </c>
      <c r="B2728">
        <v>2006</v>
      </c>
      <c r="C2728" t="s">
        <v>164</v>
      </c>
    </row>
    <row r="2729" spans="1:4" hidden="1">
      <c r="A2729">
        <v>141.19999999999999</v>
      </c>
      <c r="B2729">
        <v>2007</v>
      </c>
      <c r="C2729" t="s">
        <v>164</v>
      </c>
    </row>
    <row r="2730" spans="1:4" hidden="1">
      <c r="A2730">
        <v>138.69999999999999</v>
      </c>
      <c r="B2730">
        <v>2008</v>
      </c>
      <c r="C2730" t="s">
        <v>164</v>
      </c>
    </row>
    <row r="2731" spans="1:4" hidden="1">
      <c r="A2731">
        <v>130.4</v>
      </c>
      <c r="B2731">
        <v>2009</v>
      </c>
      <c r="C2731" t="s">
        <v>164</v>
      </c>
    </row>
    <row r="2732" spans="1:4" hidden="1">
      <c r="A2732">
        <v>128.6</v>
      </c>
      <c r="B2732">
        <v>2010</v>
      </c>
      <c r="C2732" t="s">
        <v>164</v>
      </c>
    </row>
    <row r="2733" spans="1:4" hidden="1">
      <c r="A2733">
        <v>126.5</v>
      </c>
      <c r="B2733">
        <v>2011</v>
      </c>
      <c r="C2733" t="s">
        <v>164</v>
      </c>
    </row>
    <row r="2734" spans="1:4" hidden="1">
      <c r="A2734">
        <v>122.3</v>
      </c>
      <c r="B2734">
        <v>2012</v>
      </c>
      <c r="C2734" t="s">
        <v>164</v>
      </c>
    </row>
    <row r="2735" spans="1:4" hidden="1">
      <c r="A2735">
        <v>129</v>
      </c>
      <c r="B2735">
        <v>2013</v>
      </c>
      <c r="C2735" t="s">
        <v>164</v>
      </c>
    </row>
    <row r="2736" spans="1:4" hidden="1">
      <c r="A2736">
        <v>130.9</v>
      </c>
      <c r="B2736">
        <v>2014</v>
      </c>
      <c r="C2736" t="s">
        <v>164</v>
      </c>
    </row>
    <row r="2737" spans="1:8" hidden="1">
      <c r="A2737">
        <v>129.69999999999999</v>
      </c>
      <c r="B2737">
        <v>2015</v>
      </c>
      <c r="C2737" t="s">
        <v>164</v>
      </c>
    </row>
    <row r="2738" spans="1:8" hidden="1">
      <c r="A2738">
        <v>130.4</v>
      </c>
      <c r="B2738">
        <v>2016</v>
      </c>
      <c r="C2738" t="s">
        <v>164</v>
      </c>
    </row>
    <row r="2739" spans="1:8" hidden="1">
      <c r="A2739">
        <v>129</v>
      </c>
      <c r="B2739">
        <v>2017</v>
      </c>
      <c r="C2739" t="s">
        <v>164</v>
      </c>
    </row>
    <row r="2740" spans="1:8" hidden="1">
      <c r="A2740">
        <v>135.9</v>
      </c>
      <c r="B2740">
        <v>2018</v>
      </c>
      <c r="C2740" t="s">
        <v>164</v>
      </c>
    </row>
    <row r="2741" spans="1:8" hidden="1">
      <c r="A2741">
        <v>136.69999999999999</v>
      </c>
      <c r="B2741">
        <v>2019</v>
      </c>
      <c r="C2741" t="s">
        <v>164</v>
      </c>
    </row>
    <row r="2742" spans="1:8" hidden="1">
      <c r="A2742">
        <v>133.80000000000001</v>
      </c>
      <c r="B2742">
        <v>2020</v>
      </c>
      <c r="C2742" t="s">
        <v>164</v>
      </c>
    </row>
    <row r="2743" spans="1:8" hidden="1">
      <c r="A2743">
        <v>137.4</v>
      </c>
      <c r="B2743">
        <v>2021</v>
      </c>
      <c r="C2743" t="s">
        <v>164</v>
      </c>
    </row>
    <row r="2744" spans="1:8" hidden="1">
      <c r="A2744">
        <v>136.80000000000001</v>
      </c>
      <c r="B2744">
        <v>2022</v>
      </c>
      <c r="C2744" t="s">
        <v>164</v>
      </c>
    </row>
    <row r="2745" spans="1:8" hidden="1">
      <c r="A2745">
        <v>0.6</v>
      </c>
      <c r="G2745">
        <v>2000</v>
      </c>
      <c r="H2745" t="s">
        <v>166</v>
      </c>
    </row>
    <row r="2746" spans="1:8" hidden="1">
      <c r="A2746">
        <v>0.5</v>
      </c>
      <c r="G2746">
        <v>2001</v>
      </c>
      <c r="H2746" t="s">
        <v>166</v>
      </c>
    </row>
    <row r="2747" spans="1:8" hidden="1">
      <c r="A2747">
        <v>0.6</v>
      </c>
      <c r="G2747">
        <v>2002</v>
      </c>
      <c r="H2747" t="s">
        <v>166</v>
      </c>
    </row>
    <row r="2748" spans="1:8" hidden="1">
      <c r="A2748">
        <v>0.6</v>
      </c>
      <c r="G2748">
        <v>2003</v>
      </c>
      <c r="H2748" t="s">
        <v>166</v>
      </c>
    </row>
    <row r="2749" spans="1:8" hidden="1">
      <c r="A2749">
        <v>0.6</v>
      </c>
      <c r="G2749">
        <v>2004</v>
      </c>
      <c r="H2749" t="s">
        <v>166</v>
      </c>
    </row>
    <row r="2750" spans="1:8" hidden="1">
      <c r="A2750">
        <v>0.6</v>
      </c>
      <c r="G2750">
        <v>2005</v>
      </c>
      <c r="H2750" t="s">
        <v>166</v>
      </c>
    </row>
    <row r="2751" spans="1:8" hidden="1">
      <c r="A2751">
        <v>0.6</v>
      </c>
      <c r="G2751">
        <v>2006</v>
      </c>
      <c r="H2751" t="s">
        <v>166</v>
      </c>
    </row>
    <row r="2752" spans="1:8" hidden="1">
      <c r="A2752">
        <v>0.5</v>
      </c>
      <c r="G2752">
        <v>2007</v>
      </c>
      <c r="H2752" t="s">
        <v>166</v>
      </c>
    </row>
    <row r="2753" spans="1:8" hidden="1">
      <c r="A2753">
        <v>0.5</v>
      </c>
      <c r="G2753">
        <v>2008</v>
      </c>
      <c r="H2753" t="s">
        <v>166</v>
      </c>
    </row>
    <row r="2754" spans="1:8" hidden="1">
      <c r="A2754">
        <v>0.6</v>
      </c>
      <c r="G2754">
        <v>2009</v>
      </c>
      <c r="H2754" t="s">
        <v>166</v>
      </c>
    </row>
    <row r="2755" spans="1:8" hidden="1">
      <c r="A2755">
        <v>0.3</v>
      </c>
      <c r="G2755">
        <v>2010</v>
      </c>
      <c r="H2755" t="s">
        <v>166</v>
      </c>
    </row>
    <row r="2756" spans="1:8" hidden="1">
      <c r="A2756">
        <v>0.7</v>
      </c>
      <c r="G2756">
        <v>2011</v>
      </c>
      <c r="H2756" t="s">
        <v>166</v>
      </c>
    </row>
    <row r="2757" spans="1:8" hidden="1">
      <c r="A2757">
        <v>0.4</v>
      </c>
      <c r="G2757">
        <v>2012</v>
      </c>
      <c r="H2757" t="s">
        <v>166</v>
      </c>
    </row>
    <row r="2758" spans="1:8" hidden="1">
      <c r="A2758">
        <v>0.5</v>
      </c>
      <c r="G2758">
        <v>2013</v>
      </c>
      <c r="H2758" t="s">
        <v>166</v>
      </c>
    </row>
    <row r="2759" spans="1:8" hidden="1">
      <c r="A2759">
        <v>0.5</v>
      </c>
      <c r="G2759">
        <v>2014</v>
      </c>
      <c r="H2759" t="s">
        <v>166</v>
      </c>
    </row>
    <row r="2760" spans="1:8" hidden="1">
      <c r="A2760">
        <v>0.9</v>
      </c>
      <c r="G2760">
        <v>2015</v>
      </c>
      <c r="H2760" t="s">
        <v>166</v>
      </c>
    </row>
    <row r="2761" spans="1:8" hidden="1">
      <c r="A2761">
        <v>0.5</v>
      </c>
      <c r="G2761">
        <v>2016</v>
      </c>
      <c r="H2761" t="s">
        <v>166</v>
      </c>
    </row>
    <row r="2762" spans="1:8" hidden="1">
      <c r="A2762">
        <v>0.5</v>
      </c>
      <c r="G2762">
        <v>2017</v>
      </c>
      <c r="H2762" t="s">
        <v>166</v>
      </c>
    </row>
    <row r="2763" spans="1:8" hidden="1">
      <c r="A2763">
        <v>0.7</v>
      </c>
      <c r="G2763">
        <v>2018</v>
      </c>
      <c r="H2763" t="s">
        <v>166</v>
      </c>
    </row>
    <row r="2764" spans="1:8" hidden="1">
      <c r="A2764">
        <v>1</v>
      </c>
      <c r="G2764">
        <v>2019</v>
      </c>
      <c r="H2764" t="s">
        <v>166</v>
      </c>
    </row>
    <row r="2765" spans="1:8" hidden="1">
      <c r="A2765">
        <v>0.8</v>
      </c>
      <c r="G2765">
        <v>2020</v>
      </c>
      <c r="H2765" t="s">
        <v>166</v>
      </c>
    </row>
    <row r="2766" spans="1:8" hidden="1">
      <c r="A2766">
        <v>0.6</v>
      </c>
      <c r="G2766">
        <v>2021</v>
      </c>
      <c r="H2766" t="s">
        <v>166</v>
      </c>
    </row>
    <row r="2767" spans="1:8" hidden="1">
      <c r="A2767">
        <v>0.7</v>
      </c>
      <c r="G2767">
        <v>2022</v>
      </c>
      <c r="H2767" t="s">
        <v>166</v>
      </c>
    </row>
    <row r="2768" spans="1:8" hidden="1">
      <c r="A2768">
        <v>0</v>
      </c>
      <c r="F2768" s="48">
        <v>2000</v>
      </c>
      <c r="G2768" t="s">
        <v>166</v>
      </c>
    </row>
    <row r="2769" spans="1:7" hidden="1">
      <c r="A2769">
        <v>0</v>
      </c>
      <c r="F2769" s="48">
        <v>2001</v>
      </c>
      <c r="G2769" t="s">
        <v>166</v>
      </c>
    </row>
    <row r="2770" spans="1:7" hidden="1">
      <c r="A2770">
        <v>0</v>
      </c>
      <c r="F2770" s="48">
        <v>2002</v>
      </c>
      <c r="G2770" t="s">
        <v>166</v>
      </c>
    </row>
    <row r="2771" spans="1:7" hidden="1">
      <c r="A2771">
        <v>0</v>
      </c>
      <c r="F2771" s="48">
        <v>2003</v>
      </c>
      <c r="G2771" t="s">
        <v>166</v>
      </c>
    </row>
    <row r="2772" spans="1:7" hidden="1">
      <c r="A2772">
        <v>0</v>
      </c>
      <c r="F2772" s="48">
        <v>2004</v>
      </c>
      <c r="G2772" t="s">
        <v>166</v>
      </c>
    </row>
    <row r="2773" spans="1:7" hidden="1">
      <c r="A2773">
        <v>0</v>
      </c>
      <c r="F2773" s="48">
        <v>2005</v>
      </c>
      <c r="G2773" t="s">
        <v>166</v>
      </c>
    </row>
    <row r="2774" spans="1:7" hidden="1">
      <c r="A2774">
        <v>0</v>
      </c>
      <c r="F2774" s="48">
        <v>2006</v>
      </c>
      <c r="G2774" t="s">
        <v>166</v>
      </c>
    </row>
    <row r="2775" spans="1:7" hidden="1">
      <c r="A2775">
        <v>0</v>
      </c>
      <c r="F2775" s="48">
        <v>2007</v>
      </c>
      <c r="G2775" t="s">
        <v>166</v>
      </c>
    </row>
    <row r="2776" spans="1:7" hidden="1">
      <c r="A2776">
        <v>0</v>
      </c>
      <c r="F2776" s="48">
        <v>2008</v>
      </c>
      <c r="G2776" t="s">
        <v>166</v>
      </c>
    </row>
    <row r="2777" spans="1:7" hidden="1">
      <c r="A2777">
        <v>0</v>
      </c>
      <c r="F2777" s="48">
        <v>2009</v>
      </c>
      <c r="G2777" t="s">
        <v>166</v>
      </c>
    </row>
    <row r="2778" spans="1:7" hidden="1">
      <c r="A2778">
        <v>0</v>
      </c>
      <c r="F2778" s="48">
        <v>2010</v>
      </c>
      <c r="G2778" t="s">
        <v>166</v>
      </c>
    </row>
    <row r="2779" spans="1:7" hidden="1">
      <c r="A2779">
        <v>0</v>
      </c>
      <c r="F2779" s="48">
        <v>2011</v>
      </c>
      <c r="G2779" t="s">
        <v>166</v>
      </c>
    </row>
    <row r="2780" spans="1:7" hidden="1">
      <c r="A2780">
        <v>0</v>
      </c>
      <c r="F2780" s="48">
        <v>2012</v>
      </c>
      <c r="G2780" t="s">
        <v>166</v>
      </c>
    </row>
    <row r="2781" spans="1:7" hidden="1">
      <c r="A2781">
        <v>0</v>
      </c>
      <c r="F2781" s="48">
        <v>2013</v>
      </c>
      <c r="G2781" t="s">
        <v>166</v>
      </c>
    </row>
    <row r="2782" spans="1:7" hidden="1">
      <c r="A2782">
        <v>0</v>
      </c>
      <c r="F2782" s="48">
        <v>2014</v>
      </c>
      <c r="G2782" t="s">
        <v>166</v>
      </c>
    </row>
    <row r="2783" spans="1:7" hidden="1">
      <c r="A2783">
        <v>0</v>
      </c>
      <c r="F2783" s="48">
        <v>2015</v>
      </c>
      <c r="G2783" t="s">
        <v>166</v>
      </c>
    </row>
    <row r="2784" spans="1:7" hidden="1">
      <c r="A2784">
        <v>0</v>
      </c>
      <c r="F2784" s="48">
        <v>2016</v>
      </c>
      <c r="G2784" t="s">
        <v>166</v>
      </c>
    </row>
    <row r="2785" spans="1:10" hidden="1">
      <c r="A2785">
        <v>0</v>
      </c>
      <c r="F2785" s="48">
        <v>2017</v>
      </c>
      <c r="G2785" t="s">
        <v>166</v>
      </c>
    </row>
    <row r="2786" spans="1:10" hidden="1">
      <c r="A2786">
        <v>0</v>
      </c>
      <c r="F2786" s="48">
        <v>2018</v>
      </c>
      <c r="G2786" t="s">
        <v>166</v>
      </c>
    </row>
    <row r="2787" spans="1:10" hidden="1">
      <c r="A2787">
        <v>0</v>
      </c>
      <c r="F2787" s="48">
        <v>2019</v>
      </c>
      <c r="G2787" t="s">
        <v>166</v>
      </c>
    </row>
    <row r="2788" spans="1:10" hidden="1">
      <c r="A2788">
        <v>0</v>
      </c>
      <c r="F2788" s="48">
        <v>2020</v>
      </c>
      <c r="G2788" t="s">
        <v>166</v>
      </c>
    </row>
    <row r="2789" spans="1:10" hidden="1">
      <c r="A2789">
        <v>0.1</v>
      </c>
      <c r="F2789" s="48">
        <v>2021</v>
      </c>
      <c r="G2789" t="s">
        <v>166</v>
      </c>
    </row>
    <row r="2790" spans="1:10" hidden="1">
      <c r="A2790">
        <v>0.1</v>
      </c>
      <c r="F2790" s="48">
        <v>2022</v>
      </c>
      <c r="G2790" t="s">
        <v>166</v>
      </c>
    </row>
    <row r="2791" spans="1:10">
      <c r="A2791">
        <v>0</v>
      </c>
      <c r="E2791">
        <v>2000</v>
      </c>
      <c r="F2791" s="48" t="s">
        <v>166</v>
      </c>
      <c r="I2791">
        <f t="shared" ref="I2791:I2813" si="34">E2791</f>
        <v>2000</v>
      </c>
      <c r="J2791">
        <f t="shared" ref="J2791:J2813" si="35">A2791</f>
        <v>0</v>
      </c>
    </row>
    <row r="2792" spans="1:10">
      <c r="A2792">
        <v>0</v>
      </c>
      <c r="E2792">
        <v>2001</v>
      </c>
      <c r="F2792" s="48" t="s">
        <v>166</v>
      </c>
      <c r="I2792">
        <f t="shared" si="34"/>
        <v>2001</v>
      </c>
      <c r="J2792">
        <f t="shared" si="35"/>
        <v>0</v>
      </c>
    </row>
    <row r="2793" spans="1:10">
      <c r="A2793">
        <v>0</v>
      </c>
      <c r="E2793">
        <v>2002</v>
      </c>
      <c r="F2793" s="48" t="s">
        <v>166</v>
      </c>
      <c r="I2793">
        <f t="shared" si="34"/>
        <v>2002</v>
      </c>
      <c r="J2793">
        <f t="shared" si="35"/>
        <v>0</v>
      </c>
    </row>
    <row r="2794" spans="1:10">
      <c r="A2794">
        <v>0</v>
      </c>
      <c r="E2794">
        <v>2003</v>
      </c>
      <c r="F2794" s="48" t="s">
        <v>166</v>
      </c>
      <c r="I2794">
        <f t="shared" si="34"/>
        <v>2003</v>
      </c>
      <c r="J2794">
        <f t="shared" si="35"/>
        <v>0</v>
      </c>
    </row>
    <row r="2795" spans="1:10">
      <c r="A2795">
        <v>0</v>
      </c>
      <c r="E2795">
        <v>2004</v>
      </c>
      <c r="F2795" s="48" t="s">
        <v>166</v>
      </c>
      <c r="I2795">
        <f t="shared" si="34"/>
        <v>2004</v>
      </c>
      <c r="J2795">
        <f t="shared" si="35"/>
        <v>0</v>
      </c>
    </row>
    <row r="2796" spans="1:10">
      <c r="A2796">
        <v>0</v>
      </c>
      <c r="E2796">
        <v>2005</v>
      </c>
      <c r="F2796" s="48" t="s">
        <v>166</v>
      </c>
      <c r="I2796">
        <f t="shared" si="34"/>
        <v>2005</v>
      </c>
      <c r="J2796">
        <f t="shared" si="35"/>
        <v>0</v>
      </c>
    </row>
    <row r="2797" spans="1:10">
      <c r="A2797">
        <v>0</v>
      </c>
      <c r="E2797">
        <v>2006</v>
      </c>
      <c r="F2797" s="48" t="s">
        <v>166</v>
      </c>
      <c r="I2797">
        <f t="shared" si="34"/>
        <v>2006</v>
      </c>
      <c r="J2797">
        <f t="shared" si="35"/>
        <v>0</v>
      </c>
    </row>
    <row r="2798" spans="1:10">
      <c r="A2798">
        <v>0</v>
      </c>
      <c r="E2798">
        <v>2007</v>
      </c>
      <c r="F2798" s="48" t="s">
        <v>166</v>
      </c>
      <c r="I2798">
        <f t="shared" si="34"/>
        <v>2007</v>
      </c>
      <c r="J2798">
        <f t="shared" si="35"/>
        <v>0</v>
      </c>
    </row>
    <row r="2799" spans="1:10">
      <c r="A2799">
        <v>0</v>
      </c>
      <c r="E2799">
        <v>2008</v>
      </c>
      <c r="F2799" s="48" t="s">
        <v>166</v>
      </c>
      <c r="I2799">
        <f t="shared" si="34"/>
        <v>2008</v>
      </c>
      <c r="J2799">
        <f t="shared" si="35"/>
        <v>0</v>
      </c>
    </row>
    <row r="2800" spans="1:10">
      <c r="A2800">
        <v>0</v>
      </c>
      <c r="E2800">
        <v>2009</v>
      </c>
      <c r="F2800" s="48" t="s">
        <v>166</v>
      </c>
      <c r="I2800">
        <f t="shared" si="34"/>
        <v>2009</v>
      </c>
      <c r="J2800">
        <f t="shared" si="35"/>
        <v>0</v>
      </c>
    </row>
    <row r="2801" spans="1:10">
      <c r="A2801">
        <v>0</v>
      </c>
      <c r="E2801">
        <v>2010</v>
      </c>
      <c r="F2801" s="48" t="s">
        <v>166</v>
      </c>
      <c r="I2801">
        <f t="shared" si="34"/>
        <v>2010</v>
      </c>
      <c r="J2801">
        <f t="shared" si="35"/>
        <v>0</v>
      </c>
    </row>
    <row r="2802" spans="1:10">
      <c r="A2802">
        <v>0</v>
      </c>
      <c r="E2802">
        <v>2011</v>
      </c>
      <c r="F2802" s="48" t="s">
        <v>166</v>
      </c>
      <c r="I2802">
        <f t="shared" si="34"/>
        <v>2011</v>
      </c>
      <c r="J2802">
        <f t="shared" si="35"/>
        <v>0</v>
      </c>
    </row>
    <row r="2803" spans="1:10">
      <c r="A2803">
        <v>0</v>
      </c>
      <c r="E2803">
        <v>2012</v>
      </c>
      <c r="F2803" s="48" t="s">
        <v>166</v>
      </c>
      <c r="I2803">
        <f t="shared" si="34"/>
        <v>2012</v>
      </c>
      <c r="J2803">
        <f t="shared" si="35"/>
        <v>0</v>
      </c>
    </row>
    <row r="2804" spans="1:10">
      <c r="A2804">
        <v>0</v>
      </c>
      <c r="E2804">
        <v>2013</v>
      </c>
      <c r="F2804" s="48" t="s">
        <v>166</v>
      </c>
      <c r="I2804">
        <f t="shared" si="34"/>
        <v>2013</v>
      </c>
      <c r="J2804">
        <f t="shared" si="35"/>
        <v>0</v>
      </c>
    </row>
    <row r="2805" spans="1:10">
      <c r="A2805">
        <v>0</v>
      </c>
      <c r="E2805">
        <v>2014</v>
      </c>
      <c r="F2805" s="48" t="s">
        <v>166</v>
      </c>
      <c r="I2805">
        <f t="shared" si="34"/>
        <v>2014</v>
      </c>
      <c r="J2805">
        <f t="shared" si="35"/>
        <v>0</v>
      </c>
    </row>
    <row r="2806" spans="1:10">
      <c r="A2806">
        <v>0</v>
      </c>
      <c r="E2806">
        <v>2015</v>
      </c>
      <c r="F2806" s="48" t="s">
        <v>166</v>
      </c>
      <c r="I2806">
        <f t="shared" si="34"/>
        <v>2015</v>
      </c>
      <c r="J2806">
        <f t="shared" si="35"/>
        <v>0</v>
      </c>
    </row>
    <row r="2807" spans="1:10">
      <c r="A2807">
        <v>0</v>
      </c>
      <c r="E2807">
        <v>2016</v>
      </c>
      <c r="F2807" s="48" t="s">
        <v>166</v>
      </c>
      <c r="I2807">
        <f t="shared" si="34"/>
        <v>2016</v>
      </c>
      <c r="J2807">
        <f t="shared" si="35"/>
        <v>0</v>
      </c>
    </row>
    <row r="2808" spans="1:10">
      <c r="A2808">
        <v>0</v>
      </c>
      <c r="E2808">
        <v>2017</v>
      </c>
      <c r="F2808" s="48" t="s">
        <v>166</v>
      </c>
      <c r="I2808">
        <f t="shared" si="34"/>
        <v>2017</v>
      </c>
      <c r="J2808">
        <f t="shared" si="35"/>
        <v>0</v>
      </c>
    </row>
    <row r="2809" spans="1:10">
      <c r="A2809">
        <v>0</v>
      </c>
      <c r="E2809">
        <v>2018</v>
      </c>
      <c r="F2809" s="48" t="s">
        <v>166</v>
      </c>
      <c r="I2809">
        <f t="shared" si="34"/>
        <v>2018</v>
      </c>
      <c r="J2809">
        <f t="shared" si="35"/>
        <v>0</v>
      </c>
    </row>
    <row r="2810" spans="1:10">
      <c r="A2810">
        <v>0</v>
      </c>
      <c r="E2810">
        <v>2019</v>
      </c>
      <c r="F2810" s="48" t="s">
        <v>166</v>
      </c>
      <c r="I2810">
        <f t="shared" si="34"/>
        <v>2019</v>
      </c>
      <c r="J2810">
        <f t="shared" si="35"/>
        <v>0</v>
      </c>
    </row>
    <row r="2811" spans="1:10">
      <c r="A2811">
        <v>0</v>
      </c>
      <c r="E2811">
        <v>2020</v>
      </c>
      <c r="F2811" s="48" t="s">
        <v>166</v>
      </c>
      <c r="I2811">
        <f t="shared" si="34"/>
        <v>2020</v>
      </c>
      <c r="J2811">
        <f t="shared" si="35"/>
        <v>0</v>
      </c>
    </row>
    <row r="2812" spans="1:10">
      <c r="A2812">
        <v>0</v>
      </c>
      <c r="E2812">
        <v>2021</v>
      </c>
      <c r="F2812" s="48" t="s">
        <v>166</v>
      </c>
      <c r="I2812">
        <f t="shared" si="34"/>
        <v>2021</v>
      </c>
      <c r="J2812">
        <f t="shared" si="35"/>
        <v>0</v>
      </c>
    </row>
    <row r="2813" spans="1:10">
      <c r="A2813">
        <v>0</v>
      </c>
      <c r="E2813">
        <v>2022</v>
      </c>
      <c r="F2813" s="48" t="s">
        <v>166</v>
      </c>
      <c r="I2813">
        <f t="shared" si="34"/>
        <v>2022</v>
      </c>
      <c r="J2813">
        <f t="shared" si="35"/>
        <v>0</v>
      </c>
    </row>
    <row r="2814" spans="1:10" hidden="1">
      <c r="A2814">
        <v>3.6</v>
      </c>
      <c r="D2814">
        <v>2000</v>
      </c>
      <c r="E2814" t="s">
        <v>166</v>
      </c>
    </row>
    <row r="2815" spans="1:10" hidden="1">
      <c r="A2815">
        <v>3.4</v>
      </c>
      <c r="D2815">
        <v>2001</v>
      </c>
      <c r="E2815" t="s">
        <v>166</v>
      </c>
    </row>
    <row r="2816" spans="1:10" hidden="1">
      <c r="A2816">
        <v>3.3</v>
      </c>
      <c r="D2816">
        <v>2002</v>
      </c>
      <c r="E2816" t="s">
        <v>166</v>
      </c>
    </row>
    <row r="2817" spans="1:5" hidden="1">
      <c r="A2817">
        <v>3</v>
      </c>
      <c r="D2817">
        <v>2003</v>
      </c>
      <c r="E2817" t="s">
        <v>166</v>
      </c>
    </row>
    <row r="2818" spans="1:5" hidden="1">
      <c r="A2818">
        <v>2.9</v>
      </c>
      <c r="D2818">
        <v>2004</v>
      </c>
      <c r="E2818" t="s">
        <v>166</v>
      </c>
    </row>
    <row r="2819" spans="1:5" hidden="1">
      <c r="A2819">
        <v>2.8</v>
      </c>
      <c r="D2819">
        <v>2005</v>
      </c>
      <c r="E2819" t="s">
        <v>166</v>
      </c>
    </row>
    <row r="2820" spans="1:5" hidden="1">
      <c r="A2820">
        <v>2.7</v>
      </c>
      <c r="D2820">
        <v>2006</v>
      </c>
      <c r="E2820" t="s">
        <v>166</v>
      </c>
    </row>
    <row r="2821" spans="1:5" hidden="1">
      <c r="A2821">
        <v>2.6</v>
      </c>
      <c r="D2821">
        <v>2007</v>
      </c>
      <c r="E2821" t="s">
        <v>166</v>
      </c>
    </row>
    <row r="2822" spans="1:5" hidden="1">
      <c r="A2822">
        <v>2.8</v>
      </c>
      <c r="D2822">
        <v>2008</v>
      </c>
      <c r="E2822" t="s">
        <v>166</v>
      </c>
    </row>
    <row r="2823" spans="1:5" hidden="1">
      <c r="A2823">
        <v>3.4</v>
      </c>
      <c r="D2823">
        <v>2009</v>
      </c>
      <c r="E2823" t="s">
        <v>166</v>
      </c>
    </row>
    <row r="2824" spans="1:5" hidden="1">
      <c r="A2824">
        <v>2.9</v>
      </c>
      <c r="D2824">
        <v>2010</v>
      </c>
      <c r="E2824" t="s">
        <v>166</v>
      </c>
    </row>
    <row r="2825" spans="1:5" hidden="1">
      <c r="A2825">
        <v>3.6</v>
      </c>
      <c r="D2825">
        <v>2011</v>
      </c>
      <c r="E2825" t="s">
        <v>166</v>
      </c>
    </row>
    <row r="2826" spans="1:5" hidden="1">
      <c r="A2826">
        <v>3.7</v>
      </c>
      <c r="D2826">
        <v>2012</v>
      </c>
      <c r="E2826" t="s">
        <v>166</v>
      </c>
    </row>
    <row r="2827" spans="1:5" hidden="1">
      <c r="A2827">
        <v>1.8</v>
      </c>
      <c r="D2827">
        <v>2013</v>
      </c>
      <c r="E2827" t="s">
        <v>166</v>
      </c>
    </row>
    <row r="2828" spans="1:5" hidden="1">
      <c r="A2828">
        <v>2.8</v>
      </c>
      <c r="D2828">
        <v>2014</v>
      </c>
      <c r="E2828" t="s">
        <v>166</v>
      </c>
    </row>
    <row r="2829" spans="1:5" hidden="1">
      <c r="A2829">
        <v>1.9</v>
      </c>
      <c r="D2829">
        <v>2015</v>
      </c>
      <c r="E2829" t="s">
        <v>166</v>
      </c>
    </row>
    <row r="2830" spans="1:5" hidden="1">
      <c r="A2830">
        <v>1.3</v>
      </c>
      <c r="D2830">
        <v>2016</v>
      </c>
      <c r="E2830" t="s">
        <v>166</v>
      </c>
    </row>
    <row r="2831" spans="1:5" hidden="1">
      <c r="A2831">
        <v>1.5</v>
      </c>
      <c r="D2831">
        <v>2017</v>
      </c>
      <c r="E2831" t="s">
        <v>166</v>
      </c>
    </row>
    <row r="2832" spans="1:5" hidden="1">
      <c r="A2832">
        <v>1.9</v>
      </c>
      <c r="D2832">
        <v>2018</v>
      </c>
      <c r="E2832" t="s">
        <v>166</v>
      </c>
    </row>
    <row r="2833" spans="1:5" hidden="1">
      <c r="A2833">
        <v>4.0999999999999996</v>
      </c>
      <c r="D2833">
        <v>2019</v>
      </c>
      <c r="E2833" t="s">
        <v>166</v>
      </c>
    </row>
    <row r="2834" spans="1:5" hidden="1">
      <c r="A2834">
        <v>3.5</v>
      </c>
      <c r="D2834">
        <v>2020</v>
      </c>
      <c r="E2834" t="s">
        <v>166</v>
      </c>
    </row>
    <row r="2835" spans="1:5" hidden="1">
      <c r="A2835">
        <v>3.6</v>
      </c>
      <c r="D2835">
        <v>2021</v>
      </c>
      <c r="E2835" t="s">
        <v>166</v>
      </c>
    </row>
    <row r="2836" spans="1:5" hidden="1">
      <c r="A2836">
        <v>1.4</v>
      </c>
      <c r="D2836">
        <v>2022</v>
      </c>
      <c r="E2836" t="s">
        <v>166</v>
      </c>
    </row>
    <row r="2837" spans="1:5" hidden="1">
      <c r="A2837">
        <v>0</v>
      </c>
      <c r="C2837">
        <v>2000</v>
      </c>
      <c r="D2837" t="s">
        <v>166</v>
      </c>
    </row>
    <row r="2838" spans="1:5" hidden="1">
      <c r="A2838">
        <v>0</v>
      </c>
      <c r="C2838">
        <v>2001</v>
      </c>
      <c r="D2838" t="s">
        <v>166</v>
      </c>
    </row>
    <row r="2839" spans="1:5" hidden="1">
      <c r="A2839">
        <v>0</v>
      </c>
      <c r="C2839">
        <v>2002</v>
      </c>
      <c r="D2839" t="s">
        <v>166</v>
      </c>
    </row>
    <row r="2840" spans="1:5" hidden="1">
      <c r="A2840">
        <v>0</v>
      </c>
      <c r="C2840">
        <v>2003</v>
      </c>
      <c r="D2840" t="s">
        <v>166</v>
      </c>
    </row>
    <row r="2841" spans="1:5" hidden="1">
      <c r="A2841">
        <v>0</v>
      </c>
      <c r="C2841">
        <v>2004</v>
      </c>
      <c r="D2841" t="s">
        <v>166</v>
      </c>
    </row>
    <row r="2842" spans="1:5" hidden="1">
      <c r="A2842">
        <v>0</v>
      </c>
      <c r="C2842">
        <v>2005</v>
      </c>
      <c r="D2842" t="s">
        <v>166</v>
      </c>
    </row>
    <row r="2843" spans="1:5" hidden="1">
      <c r="A2843">
        <v>0</v>
      </c>
      <c r="C2843">
        <v>2006</v>
      </c>
      <c r="D2843" t="s">
        <v>166</v>
      </c>
    </row>
    <row r="2844" spans="1:5" hidden="1">
      <c r="A2844">
        <v>0</v>
      </c>
      <c r="C2844">
        <v>2007</v>
      </c>
      <c r="D2844" t="s">
        <v>166</v>
      </c>
    </row>
    <row r="2845" spans="1:5" hidden="1">
      <c r="A2845">
        <v>0</v>
      </c>
      <c r="C2845">
        <v>2008</v>
      </c>
      <c r="D2845" t="s">
        <v>166</v>
      </c>
    </row>
    <row r="2846" spans="1:5" hidden="1">
      <c r="A2846">
        <v>0</v>
      </c>
      <c r="C2846">
        <v>2009</v>
      </c>
      <c r="D2846" t="s">
        <v>166</v>
      </c>
    </row>
    <row r="2847" spans="1:5" hidden="1">
      <c r="A2847">
        <v>0</v>
      </c>
      <c r="C2847">
        <v>2010</v>
      </c>
      <c r="D2847" t="s">
        <v>166</v>
      </c>
    </row>
    <row r="2848" spans="1:5" hidden="1">
      <c r="A2848">
        <v>0</v>
      </c>
      <c r="C2848">
        <v>2011</v>
      </c>
      <c r="D2848" t="s">
        <v>166</v>
      </c>
    </row>
    <row r="2849" spans="1:4" hidden="1">
      <c r="A2849">
        <v>0</v>
      </c>
      <c r="C2849">
        <v>2012</v>
      </c>
      <c r="D2849" t="s">
        <v>166</v>
      </c>
    </row>
    <row r="2850" spans="1:4" hidden="1">
      <c r="A2850">
        <v>0.2</v>
      </c>
      <c r="C2850">
        <v>2013</v>
      </c>
      <c r="D2850" t="s">
        <v>166</v>
      </c>
    </row>
    <row r="2851" spans="1:4" hidden="1">
      <c r="A2851">
        <v>0.2</v>
      </c>
      <c r="C2851">
        <v>2014</v>
      </c>
      <c r="D2851" t="s">
        <v>166</v>
      </c>
    </row>
    <row r="2852" spans="1:4" hidden="1">
      <c r="A2852">
        <v>0</v>
      </c>
      <c r="C2852">
        <v>2015</v>
      </c>
      <c r="D2852" t="s">
        <v>166</v>
      </c>
    </row>
    <row r="2853" spans="1:4" hidden="1">
      <c r="A2853">
        <v>0</v>
      </c>
      <c r="C2853">
        <v>2016</v>
      </c>
      <c r="D2853" t="s">
        <v>166</v>
      </c>
    </row>
    <row r="2854" spans="1:4" hidden="1">
      <c r="A2854">
        <v>0</v>
      </c>
      <c r="C2854">
        <v>2017</v>
      </c>
      <c r="D2854" t="s">
        <v>166</v>
      </c>
    </row>
    <row r="2855" spans="1:4" hidden="1">
      <c r="A2855">
        <v>0</v>
      </c>
      <c r="C2855">
        <v>2018</v>
      </c>
      <c r="D2855" t="s">
        <v>166</v>
      </c>
    </row>
    <row r="2856" spans="1:4" hidden="1">
      <c r="A2856">
        <v>0</v>
      </c>
      <c r="C2856">
        <v>2019</v>
      </c>
      <c r="D2856" t="s">
        <v>166</v>
      </c>
    </row>
    <row r="2857" spans="1:4" hidden="1">
      <c r="A2857">
        <v>0</v>
      </c>
      <c r="C2857">
        <v>2020</v>
      </c>
      <c r="D2857" t="s">
        <v>166</v>
      </c>
    </row>
    <row r="2858" spans="1:4" hidden="1">
      <c r="A2858">
        <v>0</v>
      </c>
      <c r="C2858">
        <v>2021</v>
      </c>
      <c r="D2858" t="s">
        <v>166</v>
      </c>
    </row>
    <row r="2859" spans="1:4" hidden="1">
      <c r="A2859">
        <v>0.1</v>
      </c>
      <c r="C2859">
        <v>2022</v>
      </c>
      <c r="D2859" t="s">
        <v>166</v>
      </c>
    </row>
    <row r="2860" spans="1:4" hidden="1">
      <c r="A2860">
        <v>33.700000000000003</v>
      </c>
      <c r="B2860">
        <v>2000</v>
      </c>
      <c r="C2860" t="s">
        <v>166</v>
      </c>
    </row>
    <row r="2861" spans="1:4" hidden="1">
      <c r="A2861">
        <v>34.1</v>
      </c>
      <c r="B2861">
        <v>2001</v>
      </c>
      <c r="C2861" t="s">
        <v>166</v>
      </c>
    </row>
    <row r="2862" spans="1:4" hidden="1">
      <c r="A2862">
        <v>34.4</v>
      </c>
      <c r="B2862">
        <v>2002</v>
      </c>
      <c r="C2862" t="s">
        <v>166</v>
      </c>
    </row>
    <row r="2863" spans="1:4" hidden="1">
      <c r="A2863">
        <v>34.799999999999997</v>
      </c>
      <c r="B2863">
        <v>2003</v>
      </c>
      <c r="C2863" t="s">
        <v>166</v>
      </c>
    </row>
    <row r="2864" spans="1:4" hidden="1">
      <c r="A2864">
        <v>35.299999999999997</v>
      </c>
      <c r="B2864">
        <v>2004</v>
      </c>
      <c r="C2864" t="s">
        <v>166</v>
      </c>
    </row>
    <row r="2865" spans="1:3" hidden="1">
      <c r="A2865">
        <v>35.6</v>
      </c>
      <c r="B2865">
        <v>2005</v>
      </c>
      <c r="C2865" t="s">
        <v>166</v>
      </c>
    </row>
    <row r="2866" spans="1:3" hidden="1">
      <c r="A2866">
        <v>36.1</v>
      </c>
      <c r="B2866">
        <v>2006</v>
      </c>
      <c r="C2866" t="s">
        <v>166</v>
      </c>
    </row>
    <row r="2867" spans="1:3" hidden="1">
      <c r="A2867">
        <v>36.5</v>
      </c>
      <c r="B2867">
        <v>2007</v>
      </c>
      <c r="C2867" t="s">
        <v>166</v>
      </c>
    </row>
    <row r="2868" spans="1:3" hidden="1">
      <c r="A2868">
        <v>37</v>
      </c>
      <c r="B2868">
        <v>2008</v>
      </c>
      <c r="C2868" t="s">
        <v>166</v>
      </c>
    </row>
    <row r="2869" spans="1:3" hidden="1">
      <c r="A2869">
        <v>43</v>
      </c>
      <c r="B2869">
        <v>2009</v>
      </c>
      <c r="C2869" t="s">
        <v>166</v>
      </c>
    </row>
    <row r="2870" spans="1:3" hidden="1">
      <c r="A2870">
        <v>44.5</v>
      </c>
      <c r="B2870">
        <v>2010</v>
      </c>
      <c r="C2870" t="s">
        <v>166</v>
      </c>
    </row>
    <row r="2871" spans="1:3" hidden="1">
      <c r="A2871">
        <v>44.4</v>
      </c>
      <c r="B2871">
        <v>2011</v>
      </c>
      <c r="C2871" t="s">
        <v>166</v>
      </c>
    </row>
    <row r="2872" spans="1:3" hidden="1">
      <c r="A2872">
        <v>40.6</v>
      </c>
      <c r="B2872">
        <v>2012</v>
      </c>
      <c r="C2872" t="s">
        <v>166</v>
      </c>
    </row>
    <row r="2873" spans="1:3" hidden="1">
      <c r="A2873">
        <v>40.6</v>
      </c>
      <c r="B2873">
        <v>2013</v>
      </c>
      <c r="C2873" t="s">
        <v>166</v>
      </c>
    </row>
    <row r="2874" spans="1:3" hidden="1">
      <c r="A2874">
        <v>42.2</v>
      </c>
      <c r="B2874">
        <v>2014</v>
      </c>
      <c r="C2874" t="s">
        <v>166</v>
      </c>
    </row>
    <row r="2875" spans="1:3" hidden="1">
      <c r="A2875">
        <v>42.1</v>
      </c>
      <c r="B2875">
        <v>2015</v>
      </c>
      <c r="C2875" t="s">
        <v>166</v>
      </c>
    </row>
    <row r="2876" spans="1:3" hidden="1">
      <c r="A2876">
        <v>42.4</v>
      </c>
      <c r="B2876">
        <v>2016</v>
      </c>
      <c r="C2876" t="s">
        <v>166</v>
      </c>
    </row>
    <row r="2877" spans="1:3" hidden="1">
      <c r="A2877">
        <v>43.2</v>
      </c>
      <c r="B2877">
        <v>2017</v>
      </c>
      <c r="C2877" t="s">
        <v>166</v>
      </c>
    </row>
    <row r="2878" spans="1:3" hidden="1">
      <c r="A2878">
        <v>49.3</v>
      </c>
      <c r="B2878">
        <v>2018</v>
      </c>
      <c r="C2878" t="s">
        <v>166</v>
      </c>
    </row>
    <row r="2879" spans="1:3" hidden="1">
      <c r="A2879">
        <v>43.7</v>
      </c>
      <c r="B2879">
        <v>2019</v>
      </c>
      <c r="C2879" t="s">
        <v>166</v>
      </c>
    </row>
    <row r="2880" spans="1:3" hidden="1">
      <c r="A2880">
        <v>42.7</v>
      </c>
      <c r="B2880">
        <v>2020</v>
      </c>
      <c r="C2880" t="s">
        <v>166</v>
      </c>
    </row>
    <row r="2881" spans="1:8" hidden="1">
      <c r="A2881">
        <v>41.1</v>
      </c>
      <c r="B2881">
        <v>2021</v>
      </c>
      <c r="C2881" t="s">
        <v>166</v>
      </c>
    </row>
    <row r="2882" spans="1:8" hidden="1">
      <c r="A2882">
        <v>43.5</v>
      </c>
      <c r="B2882">
        <v>2022</v>
      </c>
      <c r="C2882" t="s">
        <v>166</v>
      </c>
    </row>
    <row r="2883" spans="1:8" hidden="1">
      <c r="A2883">
        <v>58.8</v>
      </c>
      <c r="G2883">
        <v>2000</v>
      </c>
      <c r="H2883" t="s">
        <v>156</v>
      </c>
    </row>
    <row r="2884" spans="1:8" hidden="1">
      <c r="A2884">
        <v>56.5</v>
      </c>
      <c r="G2884">
        <v>2001</v>
      </c>
      <c r="H2884" t="s">
        <v>156</v>
      </c>
    </row>
    <row r="2885" spans="1:8" hidden="1">
      <c r="A2885">
        <v>62.8</v>
      </c>
      <c r="G2885">
        <v>2002</v>
      </c>
      <c r="H2885" t="s">
        <v>156</v>
      </c>
    </row>
    <row r="2886" spans="1:8" hidden="1">
      <c r="A2886">
        <v>61.6</v>
      </c>
      <c r="G2886">
        <v>2003</v>
      </c>
      <c r="H2886" t="s">
        <v>156</v>
      </c>
    </row>
    <row r="2887" spans="1:8" hidden="1">
      <c r="A2887">
        <v>50.8</v>
      </c>
      <c r="G2887">
        <v>2004</v>
      </c>
      <c r="H2887" t="s">
        <v>156</v>
      </c>
    </row>
    <row r="2888" spans="1:8" hidden="1">
      <c r="A2888">
        <v>60</v>
      </c>
      <c r="G2888">
        <v>2005</v>
      </c>
      <c r="H2888" t="s">
        <v>156</v>
      </c>
    </row>
    <row r="2889" spans="1:8" hidden="1">
      <c r="A2889">
        <v>59.1</v>
      </c>
      <c r="G2889">
        <v>2006</v>
      </c>
      <c r="H2889" t="s">
        <v>156</v>
      </c>
    </row>
    <row r="2890" spans="1:8" hidden="1">
      <c r="A2890">
        <v>59.2</v>
      </c>
      <c r="G2890">
        <v>2007</v>
      </c>
      <c r="H2890" t="s">
        <v>156</v>
      </c>
    </row>
    <row r="2891" spans="1:8" hidden="1">
      <c r="A2891">
        <v>46</v>
      </c>
      <c r="G2891">
        <v>2008</v>
      </c>
      <c r="H2891" t="s">
        <v>156</v>
      </c>
    </row>
    <row r="2892" spans="1:8" hidden="1">
      <c r="A2892">
        <v>54.3</v>
      </c>
      <c r="G2892">
        <v>2009</v>
      </c>
      <c r="H2892" t="s">
        <v>156</v>
      </c>
    </row>
    <row r="2893" spans="1:8" hidden="1">
      <c r="A2893">
        <v>41.1</v>
      </c>
      <c r="G2893">
        <v>2010</v>
      </c>
      <c r="H2893" t="s">
        <v>156</v>
      </c>
    </row>
    <row r="2894" spans="1:8" hidden="1">
      <c r="A2894">
        <v>29.1</v>
      </c>
      <c r="G2894">
        <v>2011</v>
      </c>
      <c r="H2894" t="s">
        <v>156</v>
      </c>
    </row>
    <row r="2895" spans="1:8" hidden="1">
      <c r="A2895">
        <v>47.7</v>
      </c>
      <c r="G2895">
        <v>2012</v>
      </c>
      <c r="H2895" t="s">
        <v>156</v>
      </c>
    </row>
    <row r="2896" spans="1:8" hidden="1">
      <c r="A2896">
        <v>43</v>
      </c>
      <c r="G2896">
        <v>2013</v>
      </c>
      <c r="H2896" t="s">
        <v>156</v>
      </c>
    </row>
    <row r="2897" spans="1:8" hidden="1">
      <c r="A2897">
        <v>44</v>
      </c>
      <c r="G2897">
        <v>2014</v>
      </c>
      <c r="H2897" t="s">
        <v>156</v>
      </c>
    </row>
    <row r="2898" spans="1:8" hidden="1">
      <c r="A2898">
        <v>55.3</v>
      </c>
      <c r="G2898">
        <v>2015</v>
      </c>
      <c r="H2898" t="s">
        <v>156</v>
      </c>
    </row>
    <row r="2899" spans="1:8" hidden="1">
      <c r="A2899">
        <v>63.2</v>
      </c>
      <c r="G2899">
        <v>2016</v>
      </c>
      <c r="H2899" t="s">
        <v>156</v>
      </c>
    </row>
    <row r="2900" spans="1:8" hidden="1">
      <c r="A2900">
        <v>59.5</v>
      </c>
      <c r="G2900">
        <v>2017</v>
      </c>
      <c r="H2900" t="s">
        <v>156</v>
      </c>
    </row>
    <row r="2901" spans="1:8" hidden="1">
      <c r="A2901">
        <v>58.9</v>
      </c>
      <c r="G2901">
        <v>2018</v>
      </c>
      <c r="H2901" t="s">
        <v>156</v>
      </c>
    </row>
    <row r="2902" spans="1:8" hidden="1">
      <c r="A2902">
        <v>60.3</v>
      </c>
      <c r="G2902">
        <v>2019</v>
      </c>
      <c r="H2902" t="s">
        <v>156</v>
      </c>
    </row>
    <row r="2903" spans="1:8" hidden="1">
      <c r="A2903">
        <v>60.5</v>
      </c>
      <c r="G2903">
        <v>2020</v>
      </c>
      <c r="H2903" t="s">
        <v>156</v>
      </c>
    </row>
    <row r="2904" spans="1:8" hidden="1">
      <c r="A2904">
        <v>59</v>
      </c>
      <c r="G2904">
        <v>2021</v>
      </c>
      <c r="H2904" t="s">
        <v>156</v>
      </c>
    </row>
    <row r="2905" spans="1:8" hidden="1">
      <c r="A2905">
        <v>59.6</v>
      </c>
      <c r="G2905">
        <v>2022</v>
      </c>
      <c r="H2905" t="s">
        <v>156</v>
      </c>
    </row>
    <row r="2906" spans="1:8" hidden="1">
      <c r="A2906">
        <v>1.8</v>
      </c>
      <c r="F2906" s="48">
        <v>2000</v>
      </c>
      <c r="G2906" t="s">
        <v>156</v>
      </c>
    </row>
    <row r="2907" spans="1:8" hidden="1">
      <c r="A2907">
        <v>1.2</v>
      </c>
      <c r="F2907" s="48">
        <v>2001</v>
      </c>
      <c r="G2907" t="s">
        <v>156</v>
      </c>
    </row>
    <row r="2908" spans="1:8" hidden="1">
      <c r="A2908">
        <v>0.9</v>
      </c>
      <c r="F2908" s="48">
        <v>2002</v>
      </c>
      <c r="G2908" t="s">
        <v>156</v>
      </c>
    </row>
    <row r="2909" spans="1:8" hidden="1">
      <c r="A2909">
        <v>0.9</v>
      </c>
      <c r="F2909" s="48">
        <v>2003</v>
      </c>
      <c r="G2909" t="s">
        <v>156</v>
      </c>
    </row>
    <row r="2910" spans="1:8" hidden="1">
      <c r="A2910">
        <v>0.8</v>
      </c>
      <c r="F2910" s="48">
        <v>2004</v>
      </c>
      <c r="G2910" t="s">
        <v>156</v>
      </c>
    </row>
    <row r="2911" spans="1:8" hidden="1">
      <c r="A2911">
        <v>1.3</v>
      </c>
      <c r="F2911" s="48">
        <v>2005</v>
      </c>
      <c r="G2911" t="s">
        <v>156</v>
      </c>
    </row>
    <row r="2912" spans="1:8" hidden="1">
      <c r="A2912">
        <v>1.2</v>
      </c>
      <c r="F2912" s="48">
        <v>2006</v>
      </c>
      <c r="G2912" t="s">
        <v>156</v>
      </c>
    </row>
    <row r="2913" spans="1:7" hidden="1">
      <c r="A2913">
        <v>0.9</v>
      </c>
      <c r="F2913" s="48">
        <v>2007</v>
      </c>
      <c r="G2913" t="s">
        <v>156</v>
      </c>
    </row>
    <row r="2914" spans="1:7" hidden="1">
      <c r="A2914">
        <v>1.4</v>
      </c>
      <c r="F2914" s="48">
        <v>2008</v>
      </c>
      <c r="G2914" t="s">
        <v>156</v>
      </c>
    </row>
    <row r="2915" spans="1:7" hidden="1">
      <c r="A2915">
        <v>1.4</v>
      </c>
      <c r="F2915" s="48">
        <v>2009</v>
      </c>
      <c r="G2915" t="s">
        <v>156</v>
      </c>
    </row>
    <row r="2916" spans="1:7" hidden="1">
      <c r="A2916">
        <v>0.7</v>
      </c>
      <c r="F2916" s="48">
        <v>2010</v>
      </c>
      <c r="G2916" t="s">
        <v>156</v>
      </c>
    </row>
    <row r="2917" spans="1:7" hidden="1">
      <c r="A2917">
        <v>0.7</v>
      </c>
      <c r="F2917" s="48">
        <v>2011</v>
      </c>
      <c r="G2917" t="s">
        <v>156</v>
      </c>
    </row>
    <row r="2918" spans="1:7" hidden="1">
      <c r="A2918">
        <v>0.7</v>
      </c>
      <c r="F2918" s="48">
        <v>2012</v>
      </c>
      <c r="G2918" t="s">
        <v>156</v>
      </c>
    </row>
    <row r="2919" spans="1:7" hidden="1">
      <c r="A2919">
        <v>0.9</v>
      </c>
      <c r="F2919" s="48">
        <v>2013</v>
      </c>
      <c r="G2919" t="s">
        <v>156</v>
      </c>
    </row>
    <row r="2920" spans="1:7" hidden="1">
      <c r="A2920">
        <v>0.8</v>
      </c>
      <c r="F2920" s="48">
        <v>2014</v>
      </c>
      <c r="G2920" t="s">
        <v>156</v>
      </c>
    </row>
    <row r="2921" spans="1:7" hidden="1">
      <c r="A2921">
        <v>1.3</v>
      </c>
      <c r="F2921" s="48">
        <v>2015</v>
      </c>
      <c r="G2921" t="s">
        <v>156</v>
      </c>
    </row>
    <row r="2922" spans="1:7" hidden="1">
      <c r="A2922">
        <v>0.5</v>
      </c>
      <c r="F2922" s="48">
        <v>2016</v>
      </c>
      <c r="G2922" t="s">
        <v>156</v>
      </c>
    </row>
    <row r="2923" spans="1:7" hidden="1">
      <c r="A2923">
        <v>0.5</v>
      </c>
      <c r="F2923" s="48">
        <v>2017</v>
      </c>
      <c r="G2923" t="s">
        <v>156</v>
      </c>
    </row>
    <row r="2924" spans="1:7" hidden="1">
      <c r="A2924">
        <v>0.1</v>
      </c>
      <c r="F2924" s="48">
        <v>2018</v>
      </c>
      <c r="G2924" t="s">
        <v>156</v>
      </c>
    </row>
    <row r="2925" spans="1:7" hidden="1">
      <c r="A2925">
        <v>0</v>
      </c>
      <c r="F2925" s="48">
        <v>2019</v>
      </c>
      <c r="G2925" t="s">
        <v>156</v>
      </c>
    </row>
    <row r="2926" spans="1:7" hidden="1">
      <c r="A2926">
        <v>0</v>
      </c>
      <c r="F2926" s="48">
        <v>2020</v>
      </c>
      <c r="G2926" t="s">
        <v>156</v>
      </c>
    </row>
    <row r="2927" spans="1:7" hidden="1">
      <c r="A2927">
        <v>0</v>
      </c>
      <c r="F2927" s="48">
        <v>2021</v>
      </c>
      <c r="G2927" t="s">
        <v>156</v>
      </c>
    </row>
    <row r="2928" spans="1:7" hidden="1">
      <c r="A2928">
        <v>0</v>
      </c>
      <c r="F2928" s="48">
        <v>2022</v>
      </c>
      <c r="G2928" t="s">
        <v>156</v>
      </c>
    </row>
    <row r="2929" spans="1:10">
      <c r="A2929">
        <v>26</v>
      </c>
      <c r="E2929">
        <v>2000</v>
      </c>
      <c r="F2929" s="48" t="s">
        <v>156</v>
      </c>
      <c r="I2929">
        <f t="shared" ref="I2929:I2951" si="36">E2929</f>
        <v>2000</v>
      </c>
      <c r="J2929">
        <f t="shared" ref="J2929:J2951" si="37">A2929</f>
        <v>26</v>
      </c>
    </row>
    <row r="2930" spans="1:10">
      <c r="A2930">
        <v>16</v>
      </c>
      <c r="E2930">
        <v>2001</v>
      </c>
      <c r="F2930" s="48" t="s">
        <v>156</v>
      </c>
      <c r="I2930">
        <f t="shared" si="36"/>
        <v>2001</v>
      </c>
      <c r="J2930">
        <f t="shared" si="37"/>
        <v>16</v>
      </c>
    </row>
    <row r="2931" spans="1:10">
      <c r="A2931">
        <v>18.8</v>
      </c>
      <c r="E2931">
        <v>2002</v>
      </c>
      <c r="F2931" s="48" t="s">
        <v>156</v>
      </c>
      <c r="I2931">
        <f t="shared" si="36"/>
        <v>2002</v>
      </c>
      <c r="J2931">
        <f t="shared" si="37"/>
        <v>18.8</v>
      </c>
    </row>
    <row r="2932" spans="1:10">
      <c r="A2932">
        <v>21.2</v>
      </c>
      <c r="E2932">
        <v>2003</v>
      </c>
      <c r="F2932" s="48" t="s">
        <v>156</v>
      </c>
      <c r="I2932">
        <f t="shared" si="36"/>
        <v>2003</v>
      </c>
      <c r="J2932">
        <f t="shared" si="37"/>
        <v>21.2</v>
      </c>
    </row>
    <row r="2933" spans="1:10">
      <c r="A2933">
        <v>18.7</v>
      </c>
      <c r="E2933">
        <v>2004</v>
      </c>
      <c r="F2933" s="48" t="s">
        <v>156</v>
      </c>
      <c r="I2933">
        <f t="shared" si="36"/>
        <v>2004</v>
      </c>
      <c r="J2933">
        <f t="shared" si="37"/>
        <v>18.7</v>
      </c>
    </row>
    <row r="2934" spans="1:10">
      <c r="A2934">
        <v>23.5</v>
      </c>
      <c r="E2934">
        <v>2005</v>
      </c>
      <c r="F2934" s="48" t="s">
        <v>156</v>
      </c>
      <c r="I2934">
        <f t="shared" si="36"/>
        <v>2005</v>
      </c>
      <c r="J2934">
        <f t="shared" si="37"/>
        <v>23.5</v>
      </c>
    </row>
    <row r="2935" spans="1:10">
      <c r="A2935">
        <v>2.1</v>
      </c>
      <c r="E2935">
        <v>2006</v>
      </c>
      <c r="F2935" s="48" t="s">
        <v>156</v>
      </c>
      <c r="I2935">
        <f t="shared" si="36"/>
        <v>2006</v>
      </c>
      <c r="J2935">
        <f t="shared" si="37"/>
        <v>2.1</v>
      </c>
    </row>
    <row r="2936" spans="1:10">
      <c r="A2936">
        <v>2.2000000000000002</v>
      </c>
      <c r="E2936">
        <v>2007</v>
      </c>
      <c r="F2936" s="48" t="s">
        <v>156</v>
      </c>
      <c r="I2936">
        <f t="shared" si="36"/>
        <v>2007</v>
      </c>
      <c r="J2936">
        <f t="shared" si="37"/>
        <v>2.2000000000000002</v>
      </c>
    </row>
    <row r="2937" spans="1:10">
      <c r="A2937">
        <v>2.6</v>
      </c>
      <c r="E2937">
        <v>2008</v>
      </c>
      <c r="F2937" s="48" t="s">
        <v>156</v>
      </c>
      <c r="I2937">
        <f t="shared" si="36"/>
        <v>2008</v>
      </c>
      <c r="J2937">
        <f t="shared" si="37"/>
        <v>2.6</v>
      </c>
    </row>
    <row r="2938" spans="1:10">
      <c r="A2938">
        <v>2.5</v>
      </c>
      <c r="E2938">
        <v>2009</v>
      </c>
      <c r="F2938" s="48" t="s">
        <v>156</v>
      </c>
      <c r="I2938">
        <f t="shared" si="36"/>
        <v>2009</v>
      </c>
      <c r="J2938">
        <f t="shared" si="37"/>
        <v>2.5</v>
      </c>
    </row>
    <row r="2939" spans="1:10">
      <c r="A2939">
        <v>2.4</v>
      </c>
      <c r="E2939">
        <v>2010</v>
      </c>
      <c r="F2939" s="48" t="s">
        <v>156</v>
      </c>
      <c r="I2939">
        <f t="shared" si="36"/>
        <v>2010</v>
      </c>
      <c r="J2939">
        <f t="shared" si="37"/>
        <v>2.4</v>
      </c>
    </row>
    <row r="2940" spans="1:10">
      <c r="A2940">
        <v>2.2000000000000002</v>
      </c>
      <c r="E2940">
        <v>2011</v>
      </c>
      <c r="F2940" s="48" t="s">
        <v>156</v>
      </c>
      <c r="I2940">
        <f t="shared" si="36"/>
        <v>2011</v>
      </c>
      <c r="J2940">
        <f t="shared" si="37"/>
        <v>2.2000000000000002</v>
      </c>
    </row>
    <row r="2941" spans="1:10">
      <c r="A2941">
        <v>2.2000000000000002</v>
      </c>
      <c r="E2941">
        <v>2012</v>
      </c>
      <c r="F2941" s="48" t="s">
        <v>156</v>
      </c>
      <c r="I2941">
        <f t="shared" si="36"/>
        <v>2012</v>
      </c>
      <c r="J2941">
        <f t="shared" si="37"/>
        <v>2.2000000000000002</v>
      </c>
    </row>
    <row r="2942" spans="1:10">
      <c r="A2942">
        <v>3.4</v>
      </c>
      <c r="E2942">
        <v>2013</v>
      </c>
      <c r="F2942" s="48" t="s">
        <v>156</v>
      </c>
      <c r="I2942">
        <f t="shared" si="36"/>
        <v>2013</v>
      </c>
      <c r="J2942">
        <f t="shared" si="37"/>
        <v>3.4</v>
      </c>
    </row>
    <row r="2943" spans="1:10">
      <c r="A2943">
        <v>2.7</v>
      </c>
      <c r="E2943">
        <v>2014</v>
      </c>
      <c r="F2943" s="48" t="s">
        <v>156</v>
      </c>
      <c r="I2943">
        <f t="shared" si="36"/>
        <v>2014</v>
      </c>
      <c r="J2943">
        <f t="shared" si="37"/>
        <v>2.7</v>
      </c>
    </row>
    <row r="2944" spans="1:10">
      <c r="A2944">
        <v>3.3</v>
      </c>
      <c r="E2944">
        <v>2015</v>
      </c>
      <c r="F2944" s="48" t="s">
        <v>156</v>
      </c>
      <c r="I2944">
        <f t="shared" si="36"/>
        <v>2015</v>
      </c>
      <c r="J2944">
        <f t="shared" si="37"/>
        <v>3.3</v>
      </c>
    </row>
    <row r="2945" spans="1:10">
      <c r="A2945">
        <v>2.6</v>
      </c>
      <c r="E2945">
        <v>2016</v>
      </c>
      <c r="F2945" s="48" t="s">
        <v>156</v>
      </c>
      <c r="I2945">
        <f t="shared" si="36"/>
        <v>2016</v>
      </c>
      <c r="J2945">
        <f t="shared" si="37"/>
        <v>2.6</v>
      </c>
    </row>
    <row r="2946" spans="1:10">
      <c r="A2946">
        <v>1.6</v>
      </c>
      <c r="E2946">
        <v>2017</v>
      </c>
      <c r="F2946" s="48" t="s">
        <v>156</v>
      </c>
      <c r="I2946">
        <f t="shared" si="36"/>
        <v>2017</v>
      </c>
      <c r="J2946">
        <f t="shared" si="37"/>
        <v>1.6</v>
      </c>
    </row>
    <row r="2947" spans="1:10">
      <c r="A2947">
        <v>2.5</v>
      </c>
      <c r="E2947">
        <v>2018</v>
      </c>
      <c r="F2947" s="48" t="s">
        <v>156</v>
      </c>
      <c r="I2947">
        <f t="shared" si="36"/>
        <v>2018</v>
      </c>
      <c r="J2947">
        <f t="shared" si="37"/>
        <v>2.5</v>
      </c>
    </row>
    <row r="2948" spans="1:10">
      <c r="A2948">
        <v>3</v>
      </c>
      <c r="E2948">
        <v>2019</v>
      </c>
      <c r="F2948" s="48" t="s">
        <v>156</v>
      </c>
      <c r="I2948">
        <f t="shared" si="36"/>
        <v>2019</v>
      </c>
      <c r="J2948">
        <f t="shared" si="37"/>
        <v>3</v>
      </c>
    </row>
    <row r="2949" spans="1:10">
      <c r="A2949">
        <v>2.2000000000000002</v>
      </c>
      <c r="E2949">
        <v>2020</v>
      </c>
      <c r="F2949" s="48" t="s">
        <v>156</v>
      </c>
      <c r="I2949">
        <f t="shared" si="36"/>
        <v>2020</v>
      </c>
      <c r="J2949">
        <f t="shared" si="37"/>
        <v>2.2000000000000002</v>
      </c>
    </row>
    <row r="2950" spans="1:10">
      <c r="A2950">
        <v>2.6</v>
      </c>
      <c r="E2950">
        <v>2021</v>
      </c>
      <c r="F2950" s="48" t="s">
        <v>156</v>
      </c>
      <c r="I2950">
        <f t="shared" si="36"/>
        <v>2021</v>
      </c>
      <c r="J2950">
        <f t="shared" si="37"/>
        <v>2.6</v>
      </c>
    </row>
    <row r="2951" spans="1:10">
      <c r="A2951">
        <v>2</v>
      </c>
      <c r="E2951">
        <v>2022</v>
      </c>
      <c r="F2951" s="48" t="s">
        <v>156</v>
      </c>
      <c r="I2951">
        <f t="shared" si="36"/>
        <v>2022</v>
      </c>
      <c r="J2951">
        <f t="shared" si="37"/>
        <v>2</v>
      </c>
    </row>
    <row r="2952" spans="1:10" hidden="1">
      <c r="A2952">
        <v>39.1</v>
      </c>
      <c r="D2952">
        <v>2000</v>
      </c>
      <c r="E2952" t="s">
        <v>156</v>
      </c>
    </row>
    <row r="2953" spans="1:10" hidden="1">
      <c r="A2953">
        <v>45</v>
      </c>
      <c r="D2953">
        <v>2001</v>
      </c>
      <c r="E2953" t="s">
        <v>156</v>
      </c>
    </row>
    <row r="2954" spans="1:10" hidden="1">
      <c r="A2954">
        <v>45.5</v>
      </c>
      <c r="D2954">
        <v>2002</v>
      </c>
      <c r="E2954" t="s">
        <v>156</v>
      </c>
    </row>
    <row r="2955" spans="1:10" hidden="1">
      <c r="A2955">
        <v>39.799999999999997</v>
      </c>
      <c r="D2955">
        <v>2003</v>
      </c>
      <c r="E2955" t="s">
        <v>156</v>
      </c>
    </row>
    <row r="2956" spans="1:10" hidden="1">
      <c r="A2956">
        <v>36</v>
      </c>
      <c r="D2956">
        <v>2004</v>
      </c>
      <c r="E2956" t="s">
        <v>156</v>
      </c>
    </row>
    <row r="2957" spans="1:10" hidden="1">
      <c r="A2957">
        <v>33.6</v>
      </c>
      <c r="D2957">
        <v>2005</v>
      </c>
      <c r="E2957" t="s">
        <v>156</v>
      </c>
    </row>
    <row r="2958" spans="1:10" hidden="1">
      <c r="A2958">
        <v>28.3</v>
      </c>
      <c r="D2958">
        <v>2006</v>
      </c>
      <c r="E2958" t="s">
        <v>156</v>
      </c>
    </row>
    <row r="2959" spans="1:10" hidden="1">
      <c r="A2959">
        <v>27.3</v>
      </c>
      <c r="D2959">
        <v>2007</v>
      </c>
      <c r="E2959" t="s">
        <v>156</v>
      </c>
    </row>
    <row r="2960" spans="1:10" hidden="1">
      <c r="A2960">
        <v>23.2</v>
      </c>
      <c r="D2960">
        <v>2008</v>
      </c>
      <c r="E2960" t="s">
        <v>156</v>
      </c>
    </row>
    <row r="2961" spans="1:5" hidden="1">
      <c r="A2961">
        <v>19.899999999999999</v>
      </c>
      <c r="D2961">
        <v>2009</v>
      </c>
      <c r="E2961" t="s">
        <v>156</v>
      </c>
    </row>
    <row r="2962" spans="1:5" hidden="1">
      <c r="A2962">
        <v>23.2</v>
      </c>
      <c r="D2962">
        <v>2010</v>
      </c>
      <c r="E2962" t="s">
        <v>156</v>
      </c>
    </row>
    <row r="2963" spans="1:5" hidden="1">
      <c r="A2963">
        <v>24.5</v>
      </c>
      <c r="D2963">
        <v>2011</v>
      </c>
      <c r="E2963" t="s">
        <v>156</v>
      </c>
    </row>
    <row r="2964" spans="1:5" hidden="1">
      <c r="A2964">
        <v>23.2</v>
      </c>
      <c r="D2964">
        <v>2012</v>
      </c>
      <c r="E2964" t="s">
        <v>156</v>
      </c>
    </row>
    <row r="2965" spans="1:5" hidden="1">
      <c r="A2965">
        <v>22.6</v>
      </c>
      <c r="D2965">
        <v>2013</v>
      </c>
      <c r="E2965" t="s">
        <v>156</v>
      </c>
    </row>
    <row r="2966" spans="1:5" hidden="1">
      <c r="A2966">
        <v>21.2</v>
      </c>
      <c r="D2966">
        <v>2014</v>
      </c>
      <c r="E2966" t="s">
        <v>156</v>
      </c>
    </row>
    <row r="2967" spans="1:5" hidden="1">
      <c r="A2967">
        <v>19.100000000000001</v>
      </c>
      <c r="D2967">
        <v>2015</v>
      </c>
      <c r="E2967" t="s">
        <v>156</v>
      </c>
    </row>
    <row r="2968" spans="1:5" hidden="1">
      <c r="A2968">
        <v>21.3</v>
      </c>
      <c r="D2968">
        <v>2016</v>
      </c>
      <c r="E2968" t="s">
        <v>156</v>
      </c>
    </row>
    <row r="2969" spans="1:5" hidden="1">
      <c r="A2969">
        <v>19.7</v>
      </c>
      <c r="D2969">
        <v>2017</v>
      </c>
      <c r="E2969" t="s">
        <v>156</v>
      </c>
    </row>
    <row r="2970" spans="1:5" hidden="1">
      <c r="A2970">
        <v>15.6</v>
      </c>
      <c r="D2970">
        <v>2018</v>
      </c>
      <c r="E2970" t="s">
        <v>156</v>
      </c>
    </row>
    <row r="2971" spans="1:5" hidden="1">
      <c r="A2971">
        <v>16.3</v>
      </c>
      <c r="D2971">
        <v>2019</v>
      </c>
      <c r="E2971" t="s">
        <v>156</v>
      </c>
    </row>
    <row r="2972" spans="1:5" hidden="1">
      <c r="A2972">
        <v>17.100000000000001</v>
      </c>
      <c r="D2972">
        <v>2020</v>
      </c>
      <c r="E2972" t="s">
        <v>156</v>
      </c>
    </row>
    <row r="2973" spans="1:5" hidden="1">
      <c r="A2973">
        <v>19</v>
      </c>
      <c r="D2973">
        <v>2021</v>
      </c>
      <c r="E2973" t="s">
        <v>156</v>
      </c>
    </row>
    <row r="2974" spans="1:5" hidden="1">
      <c r="A2974">
        <v>19.8</v>
      </c>
      <c r="D2974">
        <v>2022</v>
      </c>
      <c r="E2974" t="s">
        <v>156</v>
      </c>
    </row>
    <row r="2975" spans="1:5" hidden="1">
      <c r="A2975">
        <v>2.2000000000000002</v>
      </c>
      <c r="C2975">
        <v>2000</v>
      </c>
      <c r="D2975" t="s">
        <v>156</v>
      </c>
    </row>
    <row r="2976" spans="1:5" hidden="1">
      <c r="A2976">
        <v>2.2999999999999998</v>
      </c>
      <c r="C2976">
        <v>2001</v>
      </c>
      <c r="D2976" t="s">
        <v>156</v>
      </c>
    </row>
    <row r="2977" spans="1:4" hidden="1">
      <c r="A2977">
        <v>1.6</v>
      </c>
      <c r="C2977">
        <v>2002</v>
      </c>
      <c r="D2977" t="s">
        <v>156</v>
      </c>
    </row>
    <row r="2978" spans="1:4" hidden="1">
      <c r="A2978">
        <v>4.0999999999999996</v>
      </c>
      <c r="C2978">
        <v>2003</v>
      </c>
      <c r="D2978" t="s">
        <v>156</v>
      </c>
    </row>
    <row r="2979" spans="1:4" hidden="1">
      <c r="A2979">
        <v>3.4</v>
      </c>
      <c r="C2979">
        <v>2004</v>
      </c>
      <c r="D2979" t="s">
        <v>156</v>
      </c>
    </row>
    <row r="2980" spans="1:4" hidden="1">
      <c r="A2980">
        <v>4.7</v>
      </c>
      <c r="C2980">
        <v>2005</v>
      </c>
      <c r="D2980" t="s">
        <v>156</v>
      </c>
    </row>
    <row r="2981" spans="1:4" hidden="1">
      <c r="A2981">
        <v>4.3</v>
      </c>
      <c r="C2981">
        <v>2006</v>
      </c>
      <c r="D2981" t="s">
        <v>156</v>
      </c>
    </row>
    <row r="2982" spans="1:4" hidden="1">
      <c r="A2982">
        <v>5.5</v>
      </c>
      <c r="C2982">
        <v>2007</v>
      </c>
      <c r="D2982" t="s">
        <v>156</v>
      </c>
    </row>
    <row r="2983" spans="1:4" hidden="1">
      <c r="A2983">
        <v>16.7</v>
      </c>
      <c r="C2983">
        <v>2008</v>
      </c>
      <c r="D2983" t="s">
        <v>156</v>
      </c>
    </row>
    <row r="2984" spans="1:4" hidden="1">
      <c r="A2984">
        <v>14.8</v>
      </c>
      <c r="C2984">
        <v>2009</v>
      </c>
      <c r="D2984" t="s">
        <v>156</v>
      </c>
    </row>
    <row r="2985" spans="1:4" hidden="1">
      <c r="A2985">
        <v>25.9</v>
      </c>
      <c r="C2985">
        <v>2010</v>
      </c>
      <c r="D2985" t="s">
        <v>156</v>
      </c>
    </row>
    <row r="2986" spans="1:4" hidden="1">
      <c r="A2986">
        <v>18.3</v>
      </c>
      <c r="C2986">
        <v>2011</v>
      </c>
      <c r="D2986" t="s">
        <v>156</v>
      </c>
    </row>
    <row r="2987" spans="1:4" hidden="1">
      <c r="A2987">
        <v>16.8</v>
      </c>
      <c r="C2987">
        <v>2012</v>
      </c>
      <c r="D2987" t="s">
        <v>156</v>
      </c>
    </row>
    <row r="2988" spans="1:4" hidden="1">
      <c r="A2988">
        <v>16.600000000000001</v>
      </c>
      <c r="C2988">
        <v>2013</v>
      </c>
      <c r="D2988" t="s">
        <v>156</v>
      </c>
    </row>
    <row r="2989" spans="1:4" hidden="1">
      <c r="A2989">
        <v>9.3000000000000007</v>
      </c>
      <c r="C2989">
        <v>2014</v>
      </c>
      <c r="D2989" t="s">
        <v>156</v>
      </c>
    </row>
    <row r="2990" spans="1:4" hidden="1">
      <c r="A2990">
        <v>9.1999999999999993</v>
      </c>
      <c r="C2990">
        <v>2015</v>
      </c>
      <c r="D2990" t="s">
        <v>156</v>
      </c>
    </row>
    <row r="2991" spans="1:4" hidden="1">
      <c r="A2991">
        <v>7.7</v>
      </c>
      <c r="C2991">
        <v>2016</v>
      </c>
      <c r="D2991" t="s">
        <v>156</v>
      </c>
    </row>
    <row r="2992" spans="1:4" hidden="1">
      <c r="A2992">
        <v>11.4</v>
      </c>
      <c r="C2992">
        <v>2017</v>
      </c>
      <c r="D2992" t="s">
        <v>156</v>
      </c>
    </row>
    <row r="2993" spans="1:4" hidden="1">
      <c r="A2993">
        <v>12.1</v>
      </c>
      <c r="C2993">
        <v>2018</v>
      </c>
      <c r="D2993" t="s">
        <v>156</v>
      </c>
    </row>
    <row r="2994" spans="1:4" hidden="1">
      <c r="A2994">
        <v>6.7</v>
      </c>
      <c r="C2994">
        <v>2019</v>
      </c>
      <c r="D2994" t="s">
        <v>156</v>
      </c>
    </row>
    <row r="2995" spans="1:4" hidden="1">
      <c r="A2995">
        <v>9.9</v>
      </c>
      <c r="C2995">
        <v>2020</v>
      </c>
      <c r="D2995" t="s">
        <v>156</v>
      </c>
    </row>
    <row r="2996" spans="1:4" hidden="1">
      <c r="A2996">
        <v>10.9</v>
      </c>
      <c r="C2996">
        <v>2021</v>
      </c>
      <c r="D2996" t="s">
        <v>156</v>
      </c>
    </row>
    <row r="2997" spans="1:4" hidden="1">
      <c r="A2997">
        <v>7.1</v>
      </c>
      <c r="C2997">
        <v>2022</v>
      </c>
      <c r="D2997" t="s">
        <v>156</v>
      </c>
    </row>
    <row r="2998" spans="1:4" hidden="1">
      <c r="A2998">
        <v>148.4</v>
      </c>
      <c r="B2998">
        <v>2000</v>
      </c>
      <c r="C2998" t="s">
        <v>156</v>
      </c>
    </row>
    <row r="2999" spans="1:4" hidden="1">
      <c r="A2999">
        <v>136.69999999999999</v>
      </c>
      <c r="B2999">
        <v>2001</v>
      </c>
      <c r="C2999" t="s">
        <v>156</v>
      </c>
    </row>
    <row r="3000" spans="1:4" hidden="1">
      <c r="A3000">
        <v>129.6</v>
      </c>
      <c r="B3000">
        <v>2002</v>
      </c>
      <c r="C3000" t="s">
        <v>156</v>
      </c>
    </row>
    <row r="3001" spans="1:4" hidden="1">
      <c r="A3001">
        <v>130.69999999999999</v>
      </c>
      <c r="B3001">
        <v>2003</v>
      </c>
      <c r="C3001" t="s">
        <v>156</v>
      </c>
    </row>
    <row r="3002" spans="1:4" hidden="1">
      <c r="A3002">
        <v>124.1</v>
      </c>
      <c r="B3002">
        <v>2004</v>
      </c>
      <c r="C3002" t="s">
        <v>156</v>
      </c>
    </row>
    <row r="3003" spans="1:4" hidden="1">
      <c r="A3003">
        <v>122.3</v>
      </c>
      <c r="B3003">
        <v>2005</v>
      </c>
      <c r="C3003" t="s">
        <v>156</v>
      </c>
    </row>
    <row r="3004" spans="1:4" hidden="1">
      <c r="A3004">
        <v>119.4</v>
      </c>
      <c r="B3004">
        <v>2006</v>
      </c>
      <c r="C3004" t="s">
        <v>156</v>
      </c>
    </row>
    <row r="3005" spans="1:4" hidden="1">
      <c r="A3005">
        <v>118.9</v>
      </c>
      <c r="B3005">
        <v>2007</v>
      </c>
      <c r="C3005" t="s">
        <v>156</v>
      </c>
    </row>
    <row r="3006" spans="1:4" hidden="1">
      <c r="A3006">
        <v>111.2</v>
      </c>
      <c r="B3006">
        <v>2008</v>
      </c>
      <c r="C3006" t="s">
        <v>156</v>
      </c>
    </row>
    <row r="3007" spans="1:4" hidden="1">
      <c r="A3007">
        <v>98.2</v>
      </c>
      <c r="B3007">
        <v>2009</v>
      </c>
      <c r="C3007" t="s">
        <v>156</v>
      </c>
    </row>
    <row r="3008" spans="1:4" hidden="1">
      <c r="A3008">
        <v>97.2</v>
      </c>
      <c r="B3008">
        <v>2010</v>
      </c>
      <c r="C3008" t="s">
        <v>156</v>
      </c>
    </row>
    <row r="3009" spans="1:8" hidden="1">
      <c r="A3009">
        <v>98.5</v>
      </c>
      <c r="B3009">
        <v>2011</v>
      </c>
      <c r="C3009" t="s">
        <v>156</v>
      </c>
    </row>
    <row r="3010" spans="1:8" hidden="1">
      <c r="A3010">
        <v>93.8</v>
      </c>
      <c r="B3010">
        <v>2012</v>
      </c>
      <c r="C3010" t="s">
        <v>156</v>
      </c>
    </row>
    <row r="3011" spans="1:8" hidden="1">
      <c r="A3011">
        <v>91</v>
      </c>
      <c r="B3011">
        <v>2013</v>
      </c>
      <c r="C3011" t="s">
        <v>156</v>
      </c>
    </row>
    <row r="3012" spans="1:8" hidden="1">
      <c r="A3012">
        <v>88.3</v>
      </c>
      <c r="B3012">
        <v>2014</v>
      </c>
      <c r="C3012" t="s">
        <v>156</v>
      </c>
    </row>
    <row r="3013" spans="1:8" hidden="1">
      <c r="A3013">
        <v>86.5</v>
      </c>
      <c r="B3013">
        <v>2015</v>
      </c>
      <c r="C3013" t="s">
        <v>156</v>
      </c>
    </row>
    <row r="3014" spans="1:8" hidden="1">
      <c r="A3014">
        <v>88.1</v>
      </c>
      <c r="B3014">
        <v>2016</v>
      </c>
      <c r="C3014" t="s">
        <v>156</v>
      </c>
    </row>
    <row r="3015" spans="1:8" hidden="1">
      <c r="A3015">
        <v>86.1</v>
      </c>
      <c r="B3015">
        <v>2017</v>
      </c>
      <c r="C3015" t="s">
        <v>156</v>
      </c>
    </row>
    <row r="3016" spans="1:8" hidden="1">
      <c r="A3016">
        <v>90.8</v>
      </c>
      <c r="B3016">
        <v>2018</v>
      </c>
      <c r="C3016" t="s">
        <v>156</v>
      </c>
    </row>
    <row r="3017" spans="1:8" hidden="1">
      <c r="A3017">
        <v>88.9</v>
      </c>
      <c r="B3017">
        <v>2019</v>
      </c>
      <c r="C3017" t="s">
        <v>156</v>
      </c>
    </row>
    <row r="3018" spans="1:8" hidden="1">
      <c r="A3018">
        <v>88.5</v>
      </c>
      <c r="B3018">
        <v>2020</v>
      </c>
      <c r="C3018" t="s">
        <v>156</v>
      </c>
    </row>
    <row r="3019" spans="1:8" hidden="1">
      <c r="A3019">
        <v>90.1</v>
      </c>
      <c r="B3019">
        <v>2021</v>
      </c>
      <c r="C3019" t="s">
        <v>156</v>
      </c>
    </row>
    <row r="3020" spans="1:8" hidden="1">
      <c r="A3020">
        <v>91.7</v>
      </c>
      <c r="B3020">
        <v>2022</v>
      </c>
      <c r="C3020" t="s">
        <v>156</v>
      </c>
    </row>
    <row r="3021" spans="1:8" hidden="1">
      <c r="A3021">
        <v>1.7</v>
      </c>
      <c r="G3021">
        <v>2000</v>
      </c>
      <c r="H3021" t="s">
        <v>186</v>
      </c>
    </row>
    <row r="3022" spans="1:8" hidden="1">
      <c r="A3022">
        <v>1.7</v>
      </c>
      <c r="G3022">
        <v>2001</v>
      </c>
      <c r="H3022" t="s">
        <v>186</v>
      </c>
    </row>
    <row r="3023" spans="1:8" hidden="1">
      <c r="A3023">
        <v>1.7</v>
      </c>
      <c r="G3023">
        <v>2002</v>
      </c>
      <c r="H3023" t="s">
        <v>186</v>
      </c>
    </row>
    <row r="3024" spans="1:8" hidden="1">
      <c r="A3024">
        <v>1.7</v>
      </c>
      <c r="G3024">
        <v>2003</v>
      </c>
      <c r="H3024" t="s">
        <v>186</v>
      </c>
    </row>
    <row r="3025" spans="1:8" hidden="1">
      <c r="A3025">
        <v>1.7</v>
      </c>
      <c r="G3025">
        <v>2004</v>
      </c>
      <c r="H3025" t="s">
        <v>186</v>
      </c>
    </row>
    <row r="3026" spans="1:8" hidden="1">
      <c r="A3026">
        <v>1.7</v>
      </c>
      <c r="G3026">
        <v>2005</v>
      </c>
      <c r="H3026" t="s">
        <v>186</v>
      </c>
    </row>
    <row r="3027" spans="1:8" hidden="1">
      <c r="A3027">
        <v>1.7</v>
      </c>
      <c r="G3027">
        <v>2006</v>
      </c>
      <c r="H3027" t="s">
        <v>186</v>
      </c>
    </row>
    <row r="3028" spans="1:8" hidden="1">
      <c r="A3028">
        <v>1.7</v>
      </c>
      <c r="G3028">
        <v>2007</v>
      </c>
      <c r="H3028" t="s">
        <v>186</v>
      </c>
    </row>
    <row r="3029" spans="1:8" hidden="1">
      <c r="A3029">
        <v>1.7</v>
      </c>
      <c r="G3029">
        <v>2008</v>
      </c>
      <c r="H3029" t="s">
        <v>186</v>
      </c>
    </row>
    <row r="3030" spans="1:8" hidden="1">
      <c r="A3030">
        <v>1.7</v>
      </c>
      <c r="G3030">
        <v>2009</v>
      </c>
      <c r="H3030" t="s">
        <v>186</v>
      </c>
    </row>
    <row r="3031" spans="1:8" hidden="1">
      <c r="A3031">
        <v>1.7</v>
      </c>
      <c r="G3031">
        <v>2010</v>
      </c>
      <c r="H3031" t="s">
        <v>186</v>
      </c>
    </row>
    <row r="3032" spans="1:8" hidden="1">
      <c r="A3032">
        <v>1.7</v>
      </c>
      <c r="G3032">
        <v>2011</v>
      </c>
      <c r="H3032" t="s">
        <v>186</v>
      </c>
    </row>
    <row r="3033" spans="1:8" hidden="1">
      <c r="A3033">
        <v>1.7</v>
      </c>
      <c r="G3033">
        <v>2012</v>
      </c>
      <c r="H3033" t="s">
        <v>186</v>
      </c>
    </row>
    <row r="3034" spans="1:8" hidden="1">
      <c r="A3034">
        <v>1.7</v>
      </c>
      <c r="G3034">
        <v>2013</v>
      </c>
      <c r="H3034" t="s">
        <v>186</v>
      </c>
    </row>
    <row r="3035" spans="1:8" hidden="1">
      <c r="A3035">
        <v>1.7</v>
      </c>
      <c r="G3035">
        <v>2014</v>
      </c>
      <c r="H3035" t="s">
        <v>186</v>
      </c>
    </row>
    <row r="3036" spans="1:8" hidden="1">
      <c r="A3036">
        <v>1.7</v>
      </c>
      <c r="G3036">
        <v>2015</v>
      </c>
      <c r="H3036" t="s">
        <v>186</v>
      </c>
    </row>
    <row r="3037" spans="1:8" hidden="1">
      <c r="A3037">
        <v>1.7</v>
      </c>
      <c r="G3037">
        <v>2016</v>
      </c>
      <c r="H3037" t="s">
        <v>186</v>
      </c>
    </row>
    <row r="3038" spans="1:8" hidden="1">
      <c r="A3038">
        <v>1.7</v>
      </c>
      <c r="G3038">
        <v>2017</v>
      </c>
      <c r="H3038" t="s">
        <v>186</v>
      </c>
    </row>
    <row r="3039" spans="1:8" hidden="1">
      <c r="A3039">
        <v>1.7</v>
      </c>
      <c r="G3039">
        <v>2018</v>
      </c>
      <c r="H3039" t="s">
        <v>186</v>
      </c>
    </row>
    <row r="3040" spans="1:8" hidden="1">
      <c r="A3040">
        <v>1.7</v>
      </c>
      <c r="G3040">
        <v>2019</v>
      </c>
      <c r="H3040" t="s">
        <v>186</v>
      </c>
    </row>
    <row r="3041" spans="1:8" hidden="1">
      <c r="A3041">
        <v>1.7</v>
      </c>
      <c r="G3041">
        <v>2020</v>
      </c>
      <c r="H3041" t="s">
        <v>186</v>
      </c>
    </row>
    <row r="3042" spans="1:8" hidden="1">
      <c r="A3042">
        <v>1.7</v>
      </c>
      <c r="G3042">
        <v>2021</v>
      </c>
      <c r="H3042" t="s">
        <v>186</v>
      </c>
    </row>
    <row r="3043" spans="1:8" hidden="1">
      <c r="A3043">
        <v>1.7</v>
      </c>
      <c r="G3043">
        <v>2022</v>
      </c>
      <c r="H3043" t="s">
        <v>186</v>
      </c>
    </row>
    <row r="3044" spans="1:8" hidden="1">
      <c r="A3044">
        <v>0</v>
      </c>
      <c r="E3044">
        <v>2000</v>
      </c>
      <c r="F3044" s="48" t="s">
        <v>186</v>
      </c>
    </row>
    <row r="3045" spans="1:8" hidden="1">
      <c r="A3045">
        <v>0</v>
      </c>
      <c r="E3045">
        <v>2001</v>
      </c>
      <c r="F3045" s="48" t="s">
        <v>186</v>
      </c>
    </row>
    <row r="3046" spans="1:8" hidden="1">
      <c r="A3046">
        <v>0</v>
      </c>
      <c r="E3046">
        <v>2002</v>
      </c>
      <c r="F3046" s="48" t="s">
        <v>186</v>
      </c>
    </row>
    <row r="3047" spans="1:8" hidden="1">
      <c r="A3047">
        <v>0</v>
      </c>
      <c r="E3047">
        <v>2003</v>
      </c>
      <c r="F3047" s="48" t="s">
        <v>186</v>
      </c>
    </row>
    <row r="3048" spans="1:8" hidden="1">
      <c r="A3048">
        <v>0</v>
      </c>
      <c r="E3048">
        <v>2004</v>
      </c>
      <c r="F3048" s="48" t="s">
        <v>186</v>
      </c>
    </row>
    <row r="3049" spans="1:8" hidden="1">
      <c r="A3049">
        <v>182.3</v>
      </c>
      <c r="E3049">
        <v>2005</v>
      </c>
      <c r="F3049" s="48" t="s">
        <v>186</v>
      </c>
    </row>
    <row r="3050" spans="1:8" hidden="1">
      <c r="A3050">
        <v>200.9</v>
      </c>
      <c r="E3050">
        <v>2006</v>
      </c>
      <c r="F3050" s="48" t="s">
        <v>186</v>
      </c>
    </row>
    <row r="3051" spans="1:8" hidden="1">
      <c r="A3051">
        <v>144.9</v>
      </c>
      <c r="E3051">
        <v>2007</v>
      </c>
      <c r="F3051" s="48" t="s">
        <v>186</v>
      </c>
    </row>
    <row r="3052" spans="1:8" hidden="1">
      <c r="A3052">
        <v>202.8</v>
      </c>
      <c r="E3052">
        <v>2008</v>
      </c>
      <c r="F3052" s="48" t="s">
        <v>186</v>
      </c>
    </row>
    <row r="3053" spans="1:8" hidden="1">
      <c r="A3053">
        <v>155.19999999999999</v>
      </c>
      <c r="E3053">
        <v>2009</v>
      </c>
      <c r="F3053" s="48" t="s">
        <v>186</v>
      </c>
    </row>
    <row r="3054" spans="1:8" hidden="1">
      <c r="A3054">
        <v>246.3</v>
      </c>
      <c r="E3054">
        <v>2010</v>
      </c>
      <c r="F3054" s="48" t="s">
        <v>186</v>
      </c>
    </row>
    <row r="3055" spans="1:8" hidden="1">
      <c r="A3055">
        <v>208.5</v>
      </c>
      <c r="E3055">
        <v>2011</v>
      </c>
      <c r="F3055" s="48" t="s">
        <v>186</v>
      </c>
    </row>
    <row r="3056" spans="1:8" hidden="1">
      <c r="A3056">
        <v>209.2</v>
      </c>
      <c r="E3056">
        <v>2012</v>
      </c>
      <c r="F3056" s="48" t="s">
        <v>186</v>
      </c>
    </row>
    <row r="3057" spans="1:6" hidden="1">
      <c r="A3057">
        <v>256.10000000000002</v>
      </c>
      <c r="E3057">
        <v>2013</v>
      </c>
      <c r="F3057" s="48" t="s">
        <v>186</v>
      </c>
    </row>
    <row r="3058" spans="1:6" hidden="1">
      <c r="A3058">
        <v>3</v>
      </c>
      <c r="E3058">
        <v>2014</v>
      </c>
      <c r="F3058" s="48" t="s">
        <v>186</v>
      </c>
    </row>
    <row r="3059" spans="1:6" hidden="1">
      <c r="A3059">
        <v>3.5</v>
      </c>
      <c r="E3059">
        <v>2015</v>
      </c>
      <c r="F3059" s="48" t="s">
        <v>186</v>
      </c>
    </row>
    <row r="3060" spans="1:6" hidden="1">
      <c r="A3060">
        <v>3.1</v>
      </c>
      <c r="E3060">
        <v>2016</v>
      </c>
      <c r="F3060" s="48" t="s">
        <v>186</v>
      </c>
    </row>
    <row r="3061" spans="1:6" hidden="1">
      <c r="A3061">
        <v>3.2</v>
      </c>
      <c r="E3061">
        <v>2017</v>
      </c>
      <c r="F3061" s="48" t="s">
        <v>186</v>
      </c>
    </row>
    <row r="3062" spans="1:6" hidden="1">
      <c r="A3062">
        <v>3.3</v>
      </c>
      <c r="E3062">
        <v>2018</v>
      </c>
      <c r="F3062" s="48" t="s">
        <v>186</v>
      </c>
    </row>
    <row r="3063" spans="1:6" hidden="1">
      <c r="A3063">
        <v>3</v>
      </c>
      <c r="E3063">
        <v>2019</v>
      </c>
      <c r="F3063" s="48" t="s">
        <v>186</v>
      </c>
    </row>
    <row r="3064" spans="1:6" hidden="1">
      <c r="A3064">
        <v>3</v>
      </c>
      <c r="E3064">
        <v>2020</v>
      </c>
      <c r="F3064" s="48" t="s">
        <v>186</v>
      </c>
    </row>
    <row r="3065" spans="1:6" hidden="1">
      <c r="A3065">
        <v>3</v>
      </c>
      <c r="E3065">
        <v>2021</v>
      </c>
      <c r="F3065" s="48" t="s">
        <v>186</v>
      </c>
    </row>
    <row r="3066" spans="1:6" hidden="1">
      <c r="A3066">
        <v>2077.1999999999998</v>
      </c>
      <c r="E3066">
        <v>2022</v>
      </c>
      <c r="F3066" s="48" t="s">
        <v>186</v>
      </c>
    </row>
    <row r="3067" spans="1:6" hidden="1">
      <c r="A3067">
        <v>0</v>
      </c>
      <c r="D3067">
        <v>2000</v>
      </c>
      <c r="E3067" t="s">
        <v>186</v>
      </c>
    </row>
    <row r="3068" spans="1:6" hidden="1">
      <c r="A3068">
        <v>0</v>
      </c>
      <c r="D3068">
        <v>2001</v>
      </c>
      <c r="E3068" t="s">
        <v>186</v>
      </c>
    </row>
    <row r="3069" spans="1:6" hidden="1">
      <c r="A3069">
        <v>0</v>
      </c>
      <c r="D3069">
        <v>2002</v>
      </c>
      <c r="E3069" t="s">
        <v>186</v>
      </c>
    </row>
    <row r="3070" spans="1:6" hidden="1">
      <c r="A3070">
        <v>0</v>
      </c>
      <c r="D3070">
        <v>2003</v>
      </c>
      <c r="E3070" t="s">
        <v>186</v>
      </c>
    </row>
    <row r="3071" spans="1:6" hidden="1">
      <c r="A3071">
        <v>0</v>
      </c>
      <c r="D3071">
        <v>2004</v>
      </c>
      <c r="E3071" t="s">
        <v>186</v>
      </c>
    </row>
    <row r="3072" spans="1:6" hidden="1">
      <c r="A3072">
        <v>0</v>
      </c>
      <c r="D3072">
        <v>2005</v>
      </c>
      <c r="E3072" t="s">
        <v>186</v>
      </c>
    </row>
    <row r="3073" spans="1:5" hidden="1">
      <c r="A3073">
        <v>0</v>
      </c>
      <c r="D3073">
        <v>2006</v>
      </c>
      <c r="E3073" t="s">
        <v>186</v>
      </c>
    </row>
    <row r="3074" spans="1:5" hidden="1">
      <c r="A3074">
        <v>0</v>
      </c>
      <c r="D3074">
        <v>2007</v>
      </c>
      <c r="E3074" t="s">
        <v>186</v>
      </c>
    </row>
    <row r="3075" spans="1:5" hidden="1">
      <c r="A3075">
        <v>0</v>
      </c>
      <c r="D3075">
        <v>2008</v>
      </c>
      <c r="E3075" t="s">
        <v>186</v>
      </c>
    </row>
    <row r="3076" spans="1:5" hidden="1">
      <c r="A3076">
        <v>0</v>
      </c>
      <c r="D3076">
        <v>2009</v>
      </c>
      <c r="E3076" t="s">
        <v>186</v>
      </c>
    </row>
    <row r="3077" spans="1:5" hidden="1">
      <c r="A3077">
        <v>0</v>
      </c>
      <c r="D3077">
        <v>2010</v>
      </c>
      <c r="E3077" t="s">
        <v>186</v>
      </c>
    </row>
    <row r="3078" spans="1:5" hidden="1">
      <c r="A3078">
        <v>5</v>
      </c>
      <c r="D3078">
        <v>2011</v>
      </c>
      <c r="E3078" t="s">
        <v>186</v>
      </c>
    </row>
    <row r="3079" spans="1:5" hidden="1">
      <c r="A3079">
        <v>4</v>
      </c>
      <c r="D3079">
        <v>2012</v>
      </c>
      <c r="E3079" t="s">
        <v>186</v>
      </c>
    </row>
    <row r="3080" spans="1:5" hidden="1">
      <c r="A3080">
        <v>2.6</v>
      </c>
      <c r="D3080">
        <v>2013</v>
      </c>
      <c r="E3080" t="s">
        <v>186</v>
      </c>
    </row>
    <row r="3081" spans="1:5" hidden="1">
      <c r="A3081">
        <v>2.2999999999999998</v>
      </c>
      <c r="D3081">
        <v>2014</v>
      </c>
      <c r="E3081" t="s">
        <v>186</v>
      </c>
    </row>
    <row r="3082" spans="1:5" hidden="1">
      <c r="A3082">
        <v>2.2999999999999998</v>
      </c>
      <c r="D3082">
        <v>2015</v>
      </c>
      <c r="E3082" t="s">
        <v>186</v>
      </c>
    </row>
    <row r="3083" spans="1:5" hidden="1">
      <c r="A3083">
        <v>2.1</v>
      </c>
      <c r="D3083">
        <v>2016</v>
      </c>
      <c r="E3083" t="s">
        <v>186</v>
      </c>
    </row>
    <row r="3084" spans="1:5" hidden="1">
      <c r="A3084">
        <v>2.1</v>
      </c>
      <c r="D3084">
        <v>2017</v>
      </c>
      <c r="E3084" t="s">
        <v>186</v>
      </c>
    </row>
    <row r="3085" spans="1:5" hidden="1">
      <c r="A3085">
        <v>2.1</v>
      </c>
      <c r="D3085">
        <v>2018</v>
      </c>
      <c r="E3085" t="s">
        <v>186</v>
      </c>
    </row>
    <row r="3086" spans="1:5" hidden="1">
      <c r="A3086">
        <v>2</v>
      </c>
      <c r="D3086">
        <v>2019</v>
      </c>
      <c r="E3086" t="s">
        <v>186</v>
      </c>
    </row>
    <row r="3087" spans="1:5" hidden="1">
      <c r="A3087">
        <v>2.8</v>
      </c>
      <c r="D3087">
        <v>2020</v>
      </c>
      <c r="E3087" t="s">
        <v>186</v>
      </c>
    </row>
    <row r="3088" spans="1:5" hidden="1">
      <c r="A3088">
        <v>2.6</v>
      </c>
      <c r="D3088">
        <v>2021</v>
      </c>
      <c r="E3088" t="s">
        <v>186</v>
      </c>
    </row>
    <row r="3089" spans="1:5" hidden="1">
      <c r="A3089">
        <v>1.4</v>
      </c>
      <c r="D3089">
        <v>2022</v>
      </c>
      <c r="E3089" t="s">
        <v>186</v>
      </c>
    </row>
    <row r="3090" spans="1:5" hidden="1">
      <c r="A3090">
        <v>0</v>
      </c>
      <c r="C3090">
        <v>2000</v>
      </c>
      <c r="D3090" t="s">
        <v>186</v>
      </c>
    </row>
    <row r="3091" spans="1:5" hidden="1">
      <c r="A3091">
        <v>0</v>
      </c>
      <c r="C3091">
        <v>2001</v>
      </c>
      <c r="D3091" t="s">
        <v>186</v>
      </c>
    </row>
    <row r="3092" spans="1:5" hidden="1">
      <c r="A3092">
        <v>0</v>
      </c>
      <c r="C3092">
        <v>2002</v>
      </c>
      <c r="D3092" t="s">
        <v>186</v>
      </c>
    </row>
    <row r="3093" spans="1:5" hidden="1">
      <c r="A3093">
        <v>0</v>
      </c>
      <c r="C3093">
        <v>2003</v>
      </c>
      <c r="D3093" t="s">
        <v>186</v>
      </c>
    </row>
    <row r="3094" spans="1:5" hidden="1">
      <c r="A3094">
        <v>0</v>
      </c>
      <c r="C3094">
        <v>2004</v>
      </c>
      <c r="D3094" t="s">
        <v>186</v>
      </c>
    </row>
    <row r="3095" spans="1:5" hidden="1">
      <c r="A3095">
        <v>0</v>
      </c>
      <c r="C3095">
        <v>2005</v>
      </c>
      <c r="D3095" t="s">
        <v>186</v>
      </c>
    </row>
    <row r="3096" spans="1:5" hidden="1">
      <c r="A3096">
        <v>0</v>
      </c>
      <c r="C3096">
        <v>2006</v>
      </c>
      <c r="D3096" t="s">
        <v>186</v>
      </c>
    </row>
    <row r="3097" spans="1:5" hidden="1">
      <c r="A3097">
        <v>0</v>
      </c>
      <c r="C3097">
        <v>2007</v>
      </c>
      <c r="D3097" t="s">
        <v>186</v>
      </c>
    </row>
    <row r="3098" spans="1:5" hidden="1">
      <c r="A3098">
        <v>0</v>
      </c>
      <c r="C3098">
        <v>2008</v>
      </c>
      <c r="D3098" t="s">
        <v>186</v>
      </c>
    </row>
    <row r="3099" spans="1:5" hidden="1">
      <c r="A3099">
        <v>0</v>
      </c>
      <c r="C3099">
        <v>2009</v>
      </c>
      <c r="D3099" t="s">
        <v>186</v>
      </c>
    </row>
    <row r="3100" spans="1:5" hidden="1">
      <c r="A3100">
        <v>0</v>
      </c>
      <c r="C3100">
        <v>2010</v>
      </c>
      <c r="D3100" t="s">
        <v>186</v>
      </c>
    </row>
    <row r="3101" spans="1:5" hidden="1">
      <c r="A3101">
        <v>0</v>
      </c>
      <c r="C3101">
        <v>2011</v>
      </c>
      <c r="D3101" t="s">
        <v>186</v>
      </c>
    </row>
    <row r="3102" spans="1:5" hidden="1">
      <c r="A3102">
        <v>0</v>
      </c>
      <c r="C3102">
        <v>2012</v>
      </c>
      <c r="D3102" t="s">
        <v>186</v>
      </c>
    </row>
    <row r="3103" spans="1:5" hidden="1">
      <c r="A3103">
        <v>0</v>
      </c>
      <c r="C3103">
        <v>2013</v>
      </c>
      <c r="D3103" t="s">
        <v>186</v>
      </c>
    </row>
    <row r="3104" spans="1:5" hidden="1">
      <c r="A3104">
        <v>0</v>
      </c>
      <c r="C3104">
        <v>2014</v>
      </c>
      <c r="D3104" t="s">
        <v>186</v>
      </c>
    </row>
    <row r="3105" spans="1:4" hidden="1">
      <c r="A3105">
        <v>0</v>
      </c>
      <c r="C3105">
        <v>2015</v>
      </c>
      <c r="D3105" t="s">
        <v>186</v>
      </c>
    </row>
    <row r="3106" spans="1:4" hidden="1">
      <c r="A3106">
        <v>0</v>
      </c>
      <c r="C3106">
        <v>2016</v>
      </c>
      <c r="D3106" t="s">
        <v>186</v>
      </c>
    </row>
    <row r="3107" spans="1:4" hidden="1">
      <c r="A3107">
        <v>0</v>
      </c>
      <c r="C3107">
        <v>2017</v>
      </c>
      <c r="D3107" t="s">
        <v>186</v>
      </c>
    </row>
    <row r="3108" spans="1:4" hidden="1">
      <c r="A3108">
        <v>0</v>
      </c>
      <c r="C3108">
        <v>2018</v>
      </c>
      <c r="D3108" t="s">
        <v>186</v>
      </c>
    </row>
    <row r="3109" spans="1:4" hidden="1">
      <c r="A3109">
        <v>0</v>
      </c>
      <c r="C3109">
        <v>2019</v>
      </c>
      <c r="D3109" t="s">
        <v>186</v>
      </c>
    </row>
    <row r="3110" spans="1:4" hidden="1">
      <c r="A3110">
        <v>0.4</v>
      </c>
      <c r="C3110">
        <v>2020</v>
      </c>
      <c r="D3110" t="s">
        <v>186</v>
      </c>
    </row>
    <row r="3111" spans="1:4" hidden="1">
      <c r="A3111">
        <v>0.4</v>
      </c>
      <c r="C3111">
        <v>2021</v>
      </c>
      <c r="D3111" t="s">
        <v>186</v>
      </c>
    </row>
    <row r="3112" spans="1:4" hidden="1">
      <c r="A3112">
        <v>0.4</v>
      </c>
      <c r="C3112">
        <v>2022</v>
      </c>
      <c r="D3112" t="s">
        <v>186</v>
      </c>
    </row>
    <row r="3113" spans="1:4" hidden="1">
      <c r="A3113">
        <v>56.4</v>
      </c>
      <c r="B3113">
        <v>2000</v>
      </c>
      <c r="C3113" t="s">
        <v>186</v>
      </c>
    </row>
    <row r="3114" spans="1:4" hidden="1">
      <c r="A3114">
        <v>55.8</v>
      </c>
      <c r="B3114">
        <v>2001</v>
      </c>
      <c r="C3114" t="s">
        <v>186</v>
      </c>
    </row>
    <row r="3115" spans="1:4" hidden="1">
      <c r="A3115">
        <v>55.1</v>
      </c>
      <c r="B3115">
        <v>2002</v>
      </c>
      <c r="C3115" t="s">
        <v>186</v>
      </c>
    </row>
    <row r="3116" spans="1:4" hidden="1">
      <c r="A3116">
        <v>54.4</v>
      </c>
      <c r="B3116">
        <v>2003</v>
      </c>
      <c r="C3116" t="s">
        <v>186</v>
      </c>
    </row>
    <row r="3117" spans="1:4" hidden="1">
      <c r="A3117">
        <v>53.7</v>
      </c>
      <c r="B3117">
        <v>2004</v>
      </c>
      <c r="C3117" t="s">
        <v>186</v>
      </c>
    </row>
    <row r="3118" spans="1:4" hidden="1">
      <c r="A3118">
        <v>53.7</v>
      </c>
      <c r="B3118">
        <v>2005</v>
      </c>
      <c r="C3118" t="s">
        <v>186</v>
      </c>
    </row>
    <row r="3119" spans="1:4" hidden="1">
      <c r="A3119">
        <v>52.4</v>
      </c>
      <c r="B3119">
        <v>2006</v>
      </c>
      <c r="C3119" t="s">
        <v>186</v>
      </c>
    </row>
    <row r="3120" spans="1:4" hidden="1">
      <c r="A3120">
        <v>51.7</v>
      </c>
      <c r="B3120">
        <v>2007</v>
      </c>
      <c r="C3120" t="s">
        <v>186</v>
      </c>
    </row>
    <row r="3121" spans="1:8" hidden="1">
      <c r="A3121">
        <v>49.9</v>
      </c>
      <c r="B3121">
        <v>2008</v>
      </c>
      <c r="C3121" t="s">
        <v>186</v>
      </c>
    </row>
    <row r="3122" spans="1:8" hidden="1">
      <c r="A3122">
        <v>50.4</v>
      </c>
      <c r="B3122">
        <v>2009</v>
      </c>
      <c r="C3122" t="s">
        <v>186</v>
      </c>
    </row>
    <row r="3123" spans="1:8" hidden="1">
      <c r="A3123">
        <v>49.7</v>
      </c>
      <c r="B3123">
        <v>2010</v>
      </c>
      <c r="C3123" t="s">
        <v>186</v>
      </c>
    </row>
    <row r="3124" spans="1:8" hidden="1">
      <c r="A3124">
        <v>49.7</v>
      </c>
      <c r="B3124">
        <v>2011</v>
      </c>
      <c r="C3124" t="s">
        <v>186</v>
      </c>
    </row>
    <row r="3125" spans="1:8" hidden="1">
      <c r="A3125">
        <v>48.4</v>
      </c>
      <c r="B3125">
        <v>2012</v>
      </c>
      <c r="C3125" t="s">
        <v>186</v>
      </c>
    </row>
    <row r="3126" spans="1:8" hidden="1">
      <c r="A3126">
        <v>47.7</v>
      </c>
      <c r="B3126">
        <v>2013</v>
      </c>
      <c r="C3126" t="s">
        <v>186</v>
      </c>
    </row>
    <row r="3127" spans="1:8" hidden="1">
      <c r="A3127">
        <v>47.1</v>
      </c>
      <c r="B3127">
        <v>2014</v>
      </c>
      <c r="C3127" t="s">
        <v>186</v>
      </c>
    </row>
    <row r="3128" spans="1:8" hidden="1">
      <c r="A3128">
        <v>46.4</v>
      </c>
      <c r="B3128">
        <v>2015</v>
      </c>
      <c r="C3128" t="s">
        <v>186</v>
      </c>
    </row>
    <row r="3129" spans="1:8" hidden="1">
      <c r="A3129">
        <v>47.1</v>
      </c>
      <c r="B3129">
        <v>2016</v>
      </c>
      <c r="C3129" t="s">
        <v>186</v>
      </c>
    </row>
    <row r="3130" spans="1:8" hidden="1">
      <c r="A3130">
        <v>47.2</v>
      </c>
      <c r="B3130">
        <v>2017</v>
      </c>
      <c r="C3130" t="s">
        <v>186</v>
      </c>
    </row>
    <row r="3131" spans="1:8" hidden="1">
      <c r="A3131">
        <v>47.2</v>
      </c>
      <c r="B3131">
        <v>2018</v>
      </c>
      <c r="C3131" t="s">
        <v>186</v>
      </c>
    </row>
    <row r="3132" spans="1:8" hidden="1">
      <c r="A3132">
        <v>47.1</v>
      </c>
      <c r="B3132">
        <v>2019</v>
      </c>
      <c r="C3132" t="s">
        <v>186</v>
      </c>
    </row>
    <row r="3133" spans="1:8" hidden="1">
      <c r="A3133">
        <v>121.3</v>
      </c>
      <c r="B3133">
        <v>2020</v>
      </c>
      <c r="C3133" t="s">
        <v>186</v>
      </c>
    </row>
    <row r="3134" spans="1:8" hidden="1">
      <c r="A3134">
        <v>121.3</v>
      </c>
      <c r="B3134">
        <v>2021</v>
      </c>
      <c r="C3134" t="s">
        <v>186</v>
      </c>
    </row>
    <row r="3135" spans="1:8" hidden="1">
      <c r="A3135">
        <v>121.3</v>
      </c>
      <c r="B3135">
        <v>2022</v>
      </c>
      <c r="C3135" t="s">
        <v>186</v>
      </c>
    </row>
    <row r="3136" spans="1:8" hidden="1">
      <c r="A3136">
        <v>383</v>
      </c>
      <c r="G3136">
        <v>2000</v>
      </c>
      <c r="H3136" t="s">
        <v>1431</v>
      </c>
    </row>
    <row r="3137" spans="1:8" hidden="1">
      <c r="A3137">
        <v>306.7</v>
      </c>
      <c r="G3137">
        <v>2001</v>
      </c>
      <c r="H3137" t="s">
        <v>1431</v>
      </c>
    </row>
    <row r="3138" spans="1:8" hidden="1">
      <c r="A3138">
        <v>281.39999999999998</v>
      </c>
      <c r="G3138">
        <v>2002</v>
      </c>
      <c r="H3138" t="s">
        <v>1431</v>
      </c>
    </row>
    <row r="3139" spans="1:8" hidden="1">
      <c r="A3139">
        <v>393.3</v>
      </c>
      <c r="G3139">
        <v>2003</v>
      </c>
      <c r="H3139" t="s">
        <v>1431</v>
      </c>
    </row>
    <row r="3140" spans="1:8" hidden="1">
      <c r="A3140">
        <v>244.8</v>
      </c>
      <c r="G3140">
        <v>2004</v>
      </c>
      <c r="H3140" t="s">
        <v>1431</v>
      </c>
    </row>
    <row r="3141" spans="1:8" hidden="1">
      <c r="A3141">
        <v>255.1</v>
      </c>
      <c r="G3141">
        <v>2005</v>
      </c>
      <c r="H3141" t="s">
        <v>1431</v>
      </c>
    </row>
    <row r="3142" spans="1:8" hidden="1">
      <c r="A3142">
        <v>182</v>
      </c>
      <c r="G3142">
        <v>2006</v>
      </c>
      <c r="H3142" t="s">
        <v>1431</v>
      </c>
    </row>
    <row r="3143" spans="1:8" hidden="1">
      <c r="A3143">
        <v>125.5</v>
      </c>
      <c r="G3143">
        <v>2007</v>
      </c>
      <c r="H3143" t="s">
        <v>1431</v>
      </c>
    </row>
    <row r="3144" spans="1:8" hidden="1">
      <c r="A3144">
        <v>277.89999999999998</v>
      </c>
      <c r="G3144">
        <v>2008</v>
      </c>
      <c r="H3144" t="s">
        <v>1431</v>
      </c>
    </row>
    <row r="3145" spans="1:8" hidden="1">
      <c r="A3145">
        <v>359.9</v>
      </c>
      <c r="G3145">
        <v>2009</v>
      </c>
      <c r="H3145" t="s">
        <v>1431</v>
      </c>
    </row>
    <row r="3146" spans="1:8" hidden="1">
      <c r="A3146">
        <v>359.9</v>
      </c>
      <c r="G3146">
        <v>2010</v>
      </c>
      <c r="H3146" t="s">
        <v>1431</v>
      </c>
    </row>
    <row r="3147" spans="1:8" hidden="1">
      <c r="A3147">
        <v>273.7</v>
      </c>
      <c r="G3147">
        <v>2011</v>
      </c>
      <c r="H3147" t="s">
        <v>1431</v>
      </c>
    </row>
    <row r="3148" spans="1:8" hidden="1">
      <c r="A3148">
        <v>1353.2</v>
      </c>
      <c r="G3148">
        <v>2012</v>
      </c>
      <c r="H3148" t="s">
        <v>1431</v>
      </c>
    </row>
    <row r="3149" spans="1:8" hidden="1">
      <c r="A3149">
        <v>156.5</v>
      </c>
      <c r="G3149">
        <v>2013</v>
      </c>
      <c r="H3149" t="s">
        <v>1431</v>
      </c>
    </row>
    <row r="3150" spans="1:8" hidden="1">
      <c r="A3150">
        <v>209.2</v>
      </c>
      <c r="G3150">
        <v>2014</v>
      </c>
      <c r="H3150" t="s">
        <v>1431</v>
      </c>
    </row>
    <row r="3151" spans="1:8" hidden="1">
      <c r="A3151">
        <v>336.6</v>
      </c>
      <c r="G3151">
        <v>2015</v>
      </c>
      <c r="H3151" t="s">
        <v>1431</v>
      </c>
    </row>
    <row r="3152" spans="1:8" hidden="1">
      <c r="A3152">
        <v>161.80000000000001</v>
      </c>
      <c r="G3152">
        <v>2016</v>
      </c>
      <c r="H3152" t="s">
        <v>1431</v>
      </c>
    </row>
    <row r="3153" spans="1:8" hidden="1">
      <c r="A3153">
        <v>194.8</v>
      </c>
      <c r="G3153">
        <v>2017</v>
      </c>
      <c r="H3153" t="s">
        <v>1431</v>
      </c>
    </row>
    <row r="3154" spans="1:8" hidden="1">
      <c r="A3154">
        <v>140.1</v>
      </c>
      <c r="G3154">
        <v>2018</v>
      </c>
      <c r="H3154" t="s">
        <v>1431</v>
      </c>
    </row>
    <row r="3155" spans="1:8" hidden="1">
      <c r="A3155">
        <v>198</v>
      </c>
      <c r="G3155">
        <v>2019</v>
      </c>
      <c r="H3155" t="s">
        <v>1431</v>
      </c>
    </row>
    <row r="3156" spans="1:8" hidden="1">
      <c r="A3156">
        <v>340.6</v>
      </c>
      <c r="G3156">
        <v>2020</v>
      </c>
      <c r="H3156" t="s">
        <v>1431</v>
      </c>
    </row>
    <row r="3157" spans="1:8" hidden="1">
      <c r="A3157">
        <v>337.4</v>
      </c>
      <c r="G3157">
        <v>2021</v>
      </c>
      <c r="H3157" t="s">
        <v>1431</v>
      </c>
    </row>
    <row r="3158" spans="1:8" hidden="1">
      <c r="A3158">
        <v>337.6</v>
      </c>
      <c r="G3158">
        <v>2022</v>
      </c>
      <c r="H3158" t="s">
        <v>1431</v>
      </c>
    </row>
    <row r="3159" spans="1:8" hidden="1">
      <c r="A3159">
        <v>8.9</v>
      </c>
      <c r="E3159">
        <v>2000</v>
      </c>
      <c r="F3159" s="48" t="s">
        <v>1431</v>
      </c>
    </row>
    <row r="3160" spans="1:8" hidden="1">
      <c r="A3160">
        <v>6.9</v>
      </c>
      <c r="E3160">
        <v>2001</v>
      </c>
      <c r="F3160" s="48" t="s">
        <v>1431</v>
      </c>
    </row>
    <row r="3161" spans="1:8" hidden="1">
      <c r="A3161">
        <v>6.6</v>
      </c>
      <c r="E3161">
        <v>2002</v>
      </c>
      <c r="F3161" s="48" t="s">
        <v>1431</v>
      </c>
    </row>
    <row r="3162" spans="1:8" hidden="1">
      <c r="A3162">
        <v>9.8000000000000007</v>
      </c>
      <c r="E3162">
        <v>2003</v>
      </c>
      <c r="F3162" s="48" t="s">
        <v>1431</v>
      </c>
    </row>
    <row r="3163" spans="1:8" hidden="1">
      <c r="A3163">
        <v>12.4</v>
      </c>
      <c r="E3163">
        <v>2004</v>
      </c>
      <c r="F3163" s="48" t="s">
        <v>1431</v>
      </c>
    </row>
    <row r="3164" spans="1:8" hidden="1">
      <c r="A3164">
        <v>0.5</v>
      </c>
      <c r="E3164">
        <v>2005</v>
      </c>
      <c r="F3164" s="48" t="s">
        <v>1431</v>
      </c>
    </row>
    <row r="3165" spans="1:8" hidden="1">
      <c r="A3165">
        <v>5.9</v>
      </c>
      <c r="E3165">
        <v>2006</v>
      </c>
      <c r="F3165" s="48" t="s">
        <v>1431</v>
      </c>
    </row>
    <row r="3166" spans="1:8" hidden="1">
      <c r="A3166">
        <v>12.3</v>
      </c>
      <c r="E3166">
        <v>2007</v>
      </c>
      <c r="F3166" s="48" t="s">
        <v>1431</v>
      </c>
    </row>
    <row r="3167" spans="1:8" hidden="1">
      <c r="A3167">
        <v>7.5</v>
      </c>
      <c r="E3167">
        <v>2008</v>
      </c>
      <c r="F3167" s="48" t="s">
        <v>1431</v>
      </c>
    </row>
    <row r="3168" spans="1:8" hidden="1">
      <c r="A3168">
        <v>18.100000000000001</v>
      </c>
      <c r="E3168">
        <v>2009</v>
      </c>
      <c r="F3168" s="48" t="s">
        <v>1431</v>
      </c>
    </row>
    <row r="3169" spans="1:6" hidden="1">
      <c r="A3169">
        <v>14</v>
      </c>
      <c r="E3169">
        <v>2010</v>
      </c>
      <c r="F3169" s="48" t="s">
        <v>1431</v>
      </c>
    </row>
    <row r="3170" spans="1:6" hidden="1">
      <c r="A3170">
        <v>20.2</v>
      </c>
      <c r="E3170">
        <v>2011</v>
      </c>
      <c r="F3170" s="48" t="s">
        <v>1431</v>
      </c>
    </row>
    <row r="3171" spans="1:6" hidden="1">
      <c r="A3171">
        <v>17.899999999999999</v>
      </c>
      <c r="E3171">
        <v>2012</v>
      </c>
      <c r="F3171" s="48" t="s">
        <v>1431</v>
      </c>
    </row>
    <row r="3172" spans="1:6" hidden="1">
      <c r="A3172">
        <v>11.2</v>
      </c>
      <c r="E3172">
        <v>2013</v>
      </c>
      <c r="F3172" s="48" t="s">
        <v>1431</v>
      </c>
    </row>
    <row r="3173" spans="1:6" hidden="1">
      <c r="A3173">
        <v>9.4</v>
      </c>
      <c r="E3173">
        <v>2014</v>
      </c>
      <c r="F3173" s="48" t="s">
        <v>1431</v>
      </c>
    </row>
    <row r="3174" spans="1:6" hidden="1">
      <c r="A3174">
        <v>9.8000000000000007</v>
      </c>
      <c r="E3174">
        <v>2015</v>
      </c>
      <c r="F3174" s="48" t="s">
        <v>1431</v>
      </c>
    </row>
    <row r="3175" spans="1:6" hidden="1">
      <c r="A3175">
        <v>9.8000000000000007</v>
      </c>
      <c r="E3175">
        <v>2016</v>
      </c>
      <c r="F3175" s="48" t="s">
        <v>1431</v>
      </c>
    </row>
    <row r="3176" spans="1:6" hidden="1">
      <c r="A3176">
        <v>9.8000000000000007</v>
      </c>
      <c r="E3176">
        <v>2017</v>
      </c>
      <c r="F3176" s="48" t="s">
        <v>1431</v>
      </c>
    </row>
    <row r="3177" spans="1:6" hidden="1">
      <c r="A3177">
        <v>6.4</v>
      </c>
      <c r="E3177">
        <v>2018</v>
      </c>
      <c r="F3177" s="48" t="s">
        <v>1431</v>
      </c>
    </row>
    <row r="3178" spans="1:6" hidden="1">
      <c r="A3178">
        <v>7.9</v>
      </c>
      <c r="E3178">
        <v>2019</v>
      </c>
      <c r="F3178" s="48" t="s">
        <v>1431</v>
      </c>
    </row>
    <row r="3179" spans="1:6" hidden="1">
      <c r="A3179">
        <v>6.5</v>
      </c>
      <c r="E3179">
        <v>2020</v>
      </c>
      <c r="F3179" s="48" t="s">
        <v>1431</v>
      </c>
    </row>
    <row r="3180" spans="1:6" hidden="1">
      <c r="A3180">
        <v>5.8</v>
      </c>
      <c r="E3180">
        <v>2021</v>
      </c>
      <c r="F3180" s="48" t="s">
        <v>1431</v>
      </c>
    </row>
    <row r="3181" spans="1:6" hidden="1">
      <c r="A3181">
        <v>7.8</v>
      </c>
      <c r="E3181">
        <v>2022</v>
      </c>
      <c r="F3181" s="48" t="s">
        <v>1431</v>
      </c>
    </row>
    <row r="3182" spans="1:6" hidden="1">
      <c r="A3182">
        <v>82.1</v>
      </c>
      <c r="D3182">
        <v>2000</v>
      </c>
      <c r="E3182" t="s">
        <v>1431</v>
      </c>
    </row>
    <row r="3183" spans="1:6" hidden="1">
      <c r="A3183">
        <v>136.1</v>
      </c>
      <c r="D3183">
        <v>2001</v>
      </c>
      <c r="E3183" t="s">
        <v>1431</v>
      </c>
    </row>
    <row r="3184" spans="1:6" hidden="1">
      <c r="A3184">
        <v>122.2</v>
      </c>
      <c r="D3184">
        <v>2002</v>
      </c>
      <c r="E3184" t="s">
        <v>1431</v>
      </c>
    </row>
    <row r="3185" spans="1:5" hidden="1">
      <c r="A3185">
        <v>202.5</v>
      </c>
      <c r="D3185">
        <v>2003</v>
      </c>
      <c r="E3185" t="s">
        <v>1431</v>
      </c>
    </row>
    <row r="3186" spans="1:5" hidden="1">
      <c r="A3186">
        <v>1146</v>
      </c>
      <c r="D3186">
        <v>2004</v>
      </c>
      <c r="E3186" t="s">
        <v>1431</v>
      </c>
    </row>
    <row r="3187" spans="1:5" hidden="1">
      <c r="A3187">
        <v>478</v>
      </c>
      <c r="D3187">
        <v>2005</v>
      </c>
      <c r="E3187" t="s">
        <v>1431</v>
      </c>
    </row>
    <row r="3188" spans="1:5" hidden="1">
      <c r="A3188">
        <v>436.1</v>
      </c>
      <c r="D3188">
        <v>2006</v>
      </c>
      <c r="E3188" t="s">
        <v>1431</v>
      </c>
    </row>
    <row r="3189" spans="1:5" hidden="1">
      <c r="A3189">
        <v>174.5</v>
      </c>
      <c r="D3189">
        <v>2007</v>
      </c>
      <c r="E3189" t="s">
        <v>1431</v>
      </c>
    </row>
    <row r="3190" spans="1:5" hidden="1">
      <c r="A3190">
        <v>196.4</v>
      </c>
      <c r="D3190">
        <v>2008</v>
      </c>
      <c r="E3190" t="s">
        <v>1431</v>
      </c>
    </row>
    <row r="3191" spans="1:5" hidden="1">
      <c r="A3191">
        <v>303.39999999999998</v>
      </c>
      <c r="D3191">
        <v>2009</v>
      </c>
      <c r="E3191" t="s">
        <v>1431</v>
      </c>
    </row>
    <row r="3192" spans="1:5" hidden="1">
      <c r="A3192">
        <v>155.69999999999999</v>
      </c>
      <c r="D3192">
        <v>2010</v>
      </c>
      <c r="E3192" t="s">
        <v>1431</v>
      </c>
    </row>
    <row r="3193" spans="1:5" hidden="1">
      <c r="A3193">
        <v>93.3</v>
      </c>
      <c r="D3193">
        <v>2011</v>
      </c>
      <c r="E3193" t="s">
        <v>1431</v>
      </c>
    </row>
    <row r="3194" spans="1:5" hidden="1">
      <c r="A3194">
        <v>136.5</v>
      </c>
      <c r="D3194">
        <v>2012</v>
      </c>
      <c r="E3194" t="s">
        <v>1431</v>
      </c>
    </row>
    <row r="3195" spans="1:5" hidden="1">
      <c r="A3195">
        <v>68.900000000000006</v>
      </c>
      <c r="D3195">
        <v>2013</v>
      </c>
      <c r="E3195" t="s">
        <v>1431</v>
      </c>
    </row>
    <row r="3196" spans="1:5" hidden="1">
      <c r="A3196">
        <v>54.3</v>
      </c>
      <c r="D3196">
        <v>2014</v>
      </c>
      <c r="E3196" t="s">
        <v>1431</v>
      </c>
    </row>
    <row r="3197" spans="1:5" hidden="1">
      <c r="A3197">
        <v>7.5</v>
      </c>
      <c r="D3197">
        <v>2015</v>
      </c>
      <c r="E3197" t="s">
        <v>1431</v>
      </c>
    </row>
    <row r="3198" spans="1:5" hidden="1">
      <c r="A3198">
        <v>22.3</v>
      </c>
      <c r="D3198">
        <v>2016</v>
      </c>
      <c r="E3198" t="s">
        <v>1431</v>
      </c>
    </row>
    <row r="3199" spans="1:5" hidden="1">
      <c r="A3199">
        <v>49.1</v>
      </c>
      <c r="D3199">
        <v>2017</v>
      </c>
      <c r="E3199" t="s">
        <v>1431</v>
      </c>
    </row>
    <row r="3200" spans="1:5" hidden="1">
      <c r="A3200">
        <v>21.5</v>
      </c>
      <c r="D3200">
        <v>2018</v>
      </c>
      <c r="E3200" t="s">
        <v>1431</v>
      </c>
    </row>
    <row r="3201" spans="1:5" hidden="1">
      <c r="A3201">
        <v>24.7</v>
      </c>
      <c r="D3201">
        <v>2019</v>
      </c>
      <c r="E3201" t="s">
        <v>1431</v>
      </c>
    </row>
    <row r="3202" spans="1:5" hidden="1">
      <c r="A3202">
        <v>15.8</v>
      </c>
      <c r="D3202">
        <v>2020</v>
      </c>
      <c r="E3202" t="s">
        <v>1431</v>
      </c>
    </row>
    <row r="3203" spans="1:5" hidden="1">
      <c r="A3203">
        <v>13.8</v>
      </c>
      <c r="D3203">
        <v>2021</v>
      </c>
      <c r="E3203" t="s">
        <v>1431</v>
      </c>
    </row>
    <row r="3204" spans="1:5" hidden="1">
      <c r="A3204">
        <v>31.5</v>
      </c>
      <c r="D3204">
        <v>2022</v>
      </c>
      <c r="E3204" t="s">
        <v>1431</v>
      </c>
    </row>
    <row r="3205" spans="1:5" hidden="1">
      <c r="A3205">
        <v>13.3</v>
      </c>
      <c r="C3205">
        <v>2000</v>
      </c>
      <c r="D3205" t="s">
        <v>1431</v>
      </c>
    </row>
    <row r="3206" spans="1:5" hidden="1">
      <c r="A3206">
        <v>12.4</v>
      </c>
      <c r="C3206">
        <v>2001</v>
      </c>
      <c r="D3206" t="s">
        <v>1431</v>
      </c>
    </row>
    <row r="3207" spans="1:5" hidden="1">
      <c r="A3207">
        <v>10.9</v>
      </c>
      <c r="C3207">
        <v>2002</v>
      </c>
      <c r="D3207" t="s">
        <v>1431</v>
      </c>
    </row>
    <row r="3208" spans="1:5" hidden="1">
      <c r="A3208">
        <v>0.3</v>
      </c>
      <c r="C3208">
        <v>2003</v>
      </c>
      <c r="D3208" t="s">
        <v>1431</v>
      </c>
    </row>
    <row r="3209" spans="1:5" hidden="1">
      <c r="A3209">
        <v>52.9</v>
      </c>
      <c r="C3209">
        <v>2004</v>
      </c>
      <c r="D3209" t="s">
        <v>1431</v>
      </c>
    </row>
    <row r="3210" spans="1:5" hidden="1">
      <c r="A3210">
        <v>206</v>
      </c>
      <c r="C3210">
        <v>2005</v>
      </c>
      <c r="D3210" t="s">
        <v>1431</v>
      </c>
    </row>
    <row r="3211" spans="1:5" hidden="1">
      <c r="A3211">
        <v>52.9</v>
      </c>
      <c r="C3211">
        <v>2006</v>
      </c>
      <c r="D3211" t="s">
        <v>1431</v>
      </c>
    </row>
    <row r="3212" spans="1:5" hidden="1">
      <c r="A3212">
        <v>12.5</v>
      </c>
      <c r="C3212">
        <v>2007</v>
      </c>
      <c r="D3212" t="s">
        <v>1431</v>
      </c>
    </row>
    <row r="3213" spans="1:5" hidden="1">
      <c r="A3213">
        <v>10.7</v>
      </c>
      <c r="C3213">
        <v>2008</v>
      </c>
      <c r="D3213" t="s">
        <v>1431</v>
      </c>
    </row>
    <row r="3214" spans="1:5" hidden="1">
      <c r="A3214">
        <v>9.1</v>
      </c>
      <c r="C3214">
        <v>2009</v>
      </c>
      <c r="D3214" t="s">
        <v>1431</v>
      </c>
    </row>
    <row r="3215" spans="1:5" hidden="1">
      <c r="A3215">
        <v>24.6</v>
      </c>
      <c r="C3215">
        <v>2010</v>
      </c>
      <c r="D3215" t="s">
        <v>1431</v>
      </c>
    </row>
    <row r="3216" spans="1:5" hidden="1">
      <c r="A3216">
        <v>66</v>
      </c>
      <c r="C3216">
        <v>2011</v>
      </c>
      <c r="D3216" t="s">
        <v>1431</v>
      </c>
    </row>
    <row r="3217" spans="1:4" hidden="1">
      <c r="A3217">
        <v>14.1</v>
      </c>
      <c r="C3217">
        <v>2012</v>
      </c>
      <c r="D3217" t="s">
        <v>1431</v>
      </c>
    </row>
    <row r="3218" spans="1:4" hidden="1">
      <c r="A3218">
        <v>26.9</v>
      </c>
      <c r="C3218">
        <v>2013</v>
      </c>
      <c r="D3218" t="s">
        <v>1431</v>
      </c>
    </row>
    <row r="3219" spans="1:4" hidden="1">
      <c r="A3219">
        <v>14.2</v>
      </c>
      <c r="C3219">
        <v>2014</v>
      </c>
      <c r="D3219" t="s">
        <v>1431</v>
      </c>
    </row>
    <row r="3220" spans="1:4" hidden="1">
      <c r="A3220">
        <v>9.1</v>
      </c>
      <c r="C3220">
        <v>2015</v>
      </c>
      <c r="D3220" t="s">
        <v>1431</v>
      </c>
    </row>
    <row r="3221" spans="1:4" hidden="1">
      <c r="A3221">
        <v>14.4</v>
      </c>
      <c r="C3221">
        <v>2016</v>
      </c>
      <c r="D3221" t="s">
        <v>1431</v>
      </c>
    </row>
    <row r="3222" spans="1:4" hidden="1">
      <c r="A3222">
        <v>9.6999999999999993</v>
      </c>
      <c r="C3222">
        <v>2017</v>
      </c>
      <c r="D3222" t="s">
        <v>1431</v>
      </c>
    </row>
    <row r="3223" spans="1:4" hidden="1">
      <c r="A3223">
        <v>13</v>
      </c>
      <c r="C3223">
        <v>2018</v>
      </c>
      <c r="D3223" t="s">
        <v>1431</v>
      </c>
    </row>
    <row r="3224" spans="1:4" hidden="1">
      <c r="A3224">
        <v>12.3</v>
      </c>
      <c r="C3224">
        <v>2019</v>
      </c>
      <c r="D3224" t="s">
        <v>1431</v>
      </c>
    </row>
    <row r="3225" spans="1:4" hidden="1">
      <c r="A3225">
        <v>12.3</v>
      </c>
      <c r="C3225">
        <v>2020</v>
      </c>
      <c r="D3225" t="s">
        <v>1431</v>
      </c>
    </row>
    <row r="3226" spans="1:4" hidden="1">
      <c r="A3226">
        <v>14</v>
      </c>
      <c r="C3226">
        <v>2021</v>
      </c>
      <c r="D3226" t="s">
        <v>1431</v>
      </c>
    </row>
    <row r="3227" spans="1:4" hidden="1">
      <c r="A3227">
        <v>14.9</v>
      </c>
      <c r="C3227">
        <v>2022</v>
      </c>
      <c r="D3227" t="s">
        <v>1431</v>
      </c>
    </row>
    <row r="3228" spans="1:4" hidden="1">
      <c r="A3228">
        <v>204.7</v>
      </c>
      <c r="B3228">
        <v>2000</v>
      </c>
      <c r="C3228" t="s">
        <v>1431</v>
      </c>
    </row>
    <row r="3229" spans="1:4" hidden="1">
      <c r="A3229">
        <v>205.7</v>
      </c>
      <c r="B3229">
        <v>2001</v>
      </c>
      <c r="C3229" t="s">
        <v>1431</v>
      </c>
    </row>
    <row r="3230" spans="1:4" hidden="1">
      <c r="A3230">
        <v>212.1</v>
      </c>
      <c r="B3230">
        <v>2002</v>
      </c>
      <c r="C3230" t="s">
        <v>1431</v>
      </c>
    </row>
    <row r="3231" spans="1:4" hidden="1">
      <c r="A3231">
        <v>220.4</v>
      </c>
      <c r="B3231">
        <v>2003</v>
      </c>
      <c r="C3231" t="s">
        <v>1431</v>
      </c>
    </row>
    <row r="3232" spans="1:4" hidden="1">
      <c r="A3232">
        <v>219.2</v>
      </c>
      <c r="B3232">
        <v>2004</v>
      </c>
      <c r="C3232" t="s">
        <v>1431</v>
      </c>
    </row>
    <row r="3233" spans="1:3" hidden="1">
      <c r="A3233">
        <v>217</v>
      </c>
      <c r="B3233">
        <v>2005</v>
      </c>
      <c r="C3233" t="s">
        <v>1431</v>
      </c>
    </row>
    <row r="3234" spans="1:3" hidden="1">
      <c r="A3234">
        <v>223.1</v>
      </c>
      <c r="B3234">
        <v>2006</v>
      </c>
      <c r="C3234" t="s">
        <v>1431</v>
      </c>
    </row>
    <row r="3235" spans="1:3" hidden="1">
      <c r="A3235">
        <v>226.4</v>
      </c>
      <c r="B3235">
        <v>2007</v>
      </c>
      <c r="C3235" t="s">
        <v>1431</v>
      </c>
    </row>
    <row r="3236" spans="1:3" hidden="1">
      <c r="A3236">
        <v>230.9</v>
      </c>
      <c r="B3236">
        <v>2008</v>
      </c>
      <c r="C3236" t="s">
        <v>1431</v>
      </c>
    </row>
    <row r="3237" spans="1:3" hidden="1">
      <c r="A3237">
        <v>273.8</v>
      </c>
      <c r="B3237">
        <v>2009</v>
      </c>
      <c r="C3237" t="s">
        <v>1431</v>
      </c>
    </row>
    <row r="3238" spans="1:3" hidden="1">
      <c r="A3238">
        <v>237.6</v>
      </c>
      <c r="B3238">
        <v>2010</v>
      </c>
      <c r="C3238" t="s">
        <v>1431</v>
      </c>
    </row>
    <row r="3239" spans="1:3" hidden="1">
      <c r="A3239">
        <v>201.3</v>
      </c>
      <c r="B3239">
        <v>2011</v>
      </c>
      <c r="C3239" t="s">
        <v>1431</v>
      </c>
    </row>
    <row r="3240" spans="1:3" hidden="1">
      <c r="A3240">
        <v>165.1</v>
      </c>
      <c r="B3240">
        <v>2012</v>
      </c>
      <c r="C3240" t="s">
        <v>1431</v>
      </c>
    </row>
    <row r="3241" spans="1:3" hidden="1">
      <c r="A3241">
        <v>147.4</v>
      </c>
      <c r="B3241">
        <v>2013</v>
      </c>
      <c r="C3241" t="s">
        <v>1431</v>
      </c>
    </row>
    <row r="3242" spans="1:3" hidden="1">
      <c r="A3242">
        <v>89.3</v>
      </c>
      <c r="B3242">
        <v>2014</v>
      </c>
      <c r="C3242" t="s">
        <v>1431</v>
      </c>
    </row>
    <row r="3243" spans="1:3" hidden="1">
      <c r="A3243">
        <v>86.5</v>
      </c>
      <c r="B3243">
        <v>2015</v>
      </c>
      <c r="C3243" t="s">
        <v>1431</v>
      </c>
    </row>
    <row r="3244" spans="1:3" hidden="1">
      <c r="A3244">
        <v>108</v>
      </c>
      <c r="B3244">
        <v>2016</v>
      </c>
      <c r="C3244" t="s">
        <v>1431</v>
      </c>
    </row>
    <row r="3245" spans="1:3" hidden="1">
      <c r="A3245">
        <v>108.1</v>
      </c>
      <c r="B3245">
        <v>2017</v>
      </c>
      <c r="C3245" t="s">
        <v>1431</v>
      </c>
    </row>
    <row r="3246" spans="1:3" hidden="1">
      <c r="A3246">
        <v>108.3</v>
      </c>
      <c r="B3246">
        <v>2018</v>
      </c>
      <c r="C3246" t="s">
        <v>1431</v>
      </c>
    </row>
    <row r="3247" spans="1:3" hidden="1">
      <c r="A3247">
        <v>108.4</v>
      </c>
      <c r="B3247">
        <v>2019</v>
      </c>
      <c r="C3247" t="s">
        <v>1431</v>
      </c>
    </row>
    <row r="3248" spans="1:3" hidden="1">
      <c r="A3248">
        <v>182.3</v>
      </c>
      <c r="B3248">
        <v>2020</v>
      </c>
      <c r="C3248" t="s">
        <v>1431</v>
      </c>
    </row>
    <row r="3249" spans="1:8" hidden="1">
      <c r="A3249">
        <v>181.7</v>
      </c>
      <c r="B3249">
        <v>2021</v>
      </c>
      <c r="C3249" t="s">
        <v>1431</v>
      </c>
    </row>
    <row r="3250" spans="1:8" hidden="1">
      <c r="A3250">
        <v>161.30000000000001</v>
      </c>
      <c r="B3250">
        <v>2022</v>
      </c>
      <c r="C3250" t="s">
        <v>1431</v>
      </c>
    </row>
    <row r="3251" spans="1:8" hidden="1">
      <c r="A3251">
        <v>17.600000000000001</v>
      </c>
      <c r="G3251">
        <v>2000</v>
      </c>
      <c r="H3251" t="s">
        <v>176</v>
      </c>
    </row>
    <row r="3252" spans="1:8" hidden="1">
      <c r="A3252">
        <v>20.100000000000001</v>
      </c>
      <c r="G3252">
        <v>2001</v>
      </c>
      <c r="H3252" t="s">
        <v>176</v>
      </c>
    </row>
    <row r="3253" spans="1:8" hidden="1">
      <c r="A3253">
        <v>19</v>
      </c>
      <c r="G3253">
        <v>2002</v>
      </c>
      <c r="H3253" t="s">
        <v>176</v>
      </c>
    </row>
    <row r="3254" spans="1:8" hidden="1">
      <c r="A3254">
        <v>16.7</v>
      </c>
      <c r="G3254">
        <v>2003</v>
      </c>
      <c r="H3254" t="s">
        <v>176</v>
      </c>
    </row>
    <row r="3255" spans="1:8" hidden="1">
      <c r="A3255">
        <v>16.8</v>
      </c>
      <c r="G3255">
        <v>2004</v>
      </c>
      <c r="H3255" t="s">
        <v>176</v>
      </c>
    </row>
    <row r="3256" spans="1:8" hidden="1">
      <c r="A3256">
        <v>19.100000000000001</v>
      </c>
      <c r="G3256">
        <v>2005</v>
      </c>
      <c r="H3256" t="s">
        <v>176</v>
      </c>
    </row>
    <row r="3257" spans="1:8" hidden="1">
      <c r="A3257">
        <v>20.3</v>
      </c>
      <c r="G3257">
        <v>2006</v>
      </c>
      <c r="H3257" t="s">
        <v>176</v>
      </c>
    </row>
    <row r="3258" spans="1:8" hidden="1">
      <c r="A3258">
        <v>23.6</v>
      </c>
      <c r="G3258">
        <v>2007</v>
      </c>
      <c r="H3258" t="s">
        <v>176</v>
      </c>
    </row>
    <row r="3259" spans="1:8" hidden="1">
      <c r="A3259">
        <v>22.3</v>
      </c>
      <c r="G3259">
        <v>2008</v>
      </c>
      <c r="H3259" t="s">
        <v>176</v>
      </c>
    </row>
    <row r="3260" spans="1:8" hidden="1">
      <c r="A3260">
        <v>19.5</v>
      </c>
      <c r="G3260">
        <v>2009</v>
      </c>
      <c r="H3260" t="s">
        <v>176</v>
      </c>
    </row>
    <row r="3261" spans="1:8" hidden="1">
      <c r="A3261">
        <v>28.6</v>
      </c>
      <c r="G3261">
        <v>2010</v>
      </c>
      <c r="H3261" t="s">
        <v>176</v>
      </c>
    </row>
    <row r="3262" spans="1:8" hidden="1">
      <c r="A3262">
        <v>26.6</v>
      </c>
      <c r="G3262">
        <v>2011</v>
      </c>
      <c r="H3262" t="s">
        <v>176</v>
      </c>
    </row>
    <row r="3263" spans="1:8" hidden="1">
      <c r="A3263">
        <v>24.6</v>
      </c>
      <c r="G3263">
        <v>2012</v>
      </c>
      <c r="H3263" t="s">
        <v>176</v>
      </c>
    </row>
    <row r="3264" spans="1:8" hidden="1">
      <c r="A3264">
        <v>30.2</v>
      </c>
      <c r="G3264">
        <v>2013</v>
      </c>
      <c r="H3264" t="s">
        <v>176</v>
      </c>
    </row>
    <row r="3265" spans="1:8" hidden="1">
      <c r="A3265">
        <v>28.9</v>
      </c>
      <c r="G3265">
        <v>2014</v>
      </c>
      <c r="H3265" t="s">
        <v>176</v>
      </c>
    </row>
    <row r="3266" spans="1:8" hidden="1">
      <c r="A3266">
        <v>26.5</v>
      </c>
      <c r="G3266">
        <v>2015</v>
      </c>
      <c r="H3266" t="s">
        <v>176</v>
      </c>
    </row>
    <row r="3267" spans="1:8" hidden="1">
      <c r="A3267">
        <v>28.5</v>
      </c>
      <c r="G3267">
        <v>2016</v>
      </c>
      <c r="H3267" t="s">
        <v>176</v>
      </c>
    </row>
    <row r="3268" spans="1:8" hidden="1">
      <c r="A3268">
        <v>27.8</v>
      </c>
      <c r="G3268">
        <v>2017</v>
      </c>
      <c r="H3268" t="s">
        <v>176</v>
      </c>
    </row>
    <row r="3269" spans="1:8" hidden="1">
      <c r="A3269">
        <v>25</v>
      </c>
      <c r="G3269">
        <v>2018</v>
      </c>
      <c r="H3269" t="s">
        <v>176</v>
      </c>
    </row>
    <row r="3270" spans="1:8" hidden="1">
      <c r="A3270">
        <v>22.6</v>
      </c>
      <c r="G3270">
        <v>2019</v>
      </c>
      <c r="H3270" t="s">
        <v>176</v>
      </c>
    </row>
    <row r="3271" spans="1:8" hidden="1">
      <c r="A3271">
        <v>23</v>
      </c>
      <c r="G3271">
        <v>2020</v>
      </c>
      <c r="H3271" t="s">
        <v>176</v>
      </c>
    </row>
    <row r="3272" spans="1:8" hidden="1">
      <c r="A3272">
        <v>21.7</v>
      </c>
      <c r="G3272">
        <v>2021</v>
      </c>
      <c r="H3272" t="s">
        <v>176</v>
      </c>
    </row>
    <row r="3273" spans="1:8" hidden="1">
      <c r="A3273">
        <v>21.6</v>
      </c>
      <c r="G3273">
        <v>2022</v>
      </c>
      <c r="H3273" t="s">
        <v>176</v>
      </c>
    </row>
    <row r="3274" spans="1:8" hidden="1">
      <c r="A3274">
        <v>0</v>
      </c>
      <c r="F3274" s="48">
        <v>2000</v>
      </c>
      <c r="G3274" t="s">
        <v>176</v>
      </c>
    </row>
    <row r="3275" spans="1:8" hidden="1">
      <c r="A3275">
        <v>0</v>
      </c>
      <c r="F3275" s="48">
        <v>2001</v>
      </c>
      <c r="G3275" t="s">
        <v>176</v>
      </c>
    </row>
    <row r="3276" spans="1:8" hidden="1">
      <c r="A3276">
        <v>0</v>
      </c>
      <c r="F3276" s="48">
        <v>2002</v>
      </c>
      <c r="G3276" t="s">
        <v>176</v>
      </c>
    </row>
    <row r="3277" spans="1:8" hidden="1">
      <c r="A3277">
        <v>0</v>
      </c>
      <c r="F3277" s="48">
        <v>2003</v>
      </c>
      <c r="G3277" t="s">
        <v>176</v>
      </c>
    </row>
    <row r="3278" spans="1:8" hidden="1">
      <c r="A3278">
        <v>0</v>
      </c>
      <c r="F3278" s="48">
        <v>2004</v>
      </c>
      <c r="G3278" t="s">
        <v>176</v>
      </c>
    </row>
    <row r="3279" spans="1:8" hidden="1">
      <c r="A3279">
        <v>0</v>
      </c>
      <c r="F3279" s="48">
        <v>2005</v>
      </c>
      <c r="G3279" t="s">
        <v>176</v>
      </c>
    </row>
    <row r="3280" spans="1:8" hidden="1">
      <c r="A3280">
        <v>0</v>
      </c>
      <c r="F3280" s="48">
        <v>2006</v>
      </c>
      <c r="G3280" t="s">
        <v>176</v>
      </c>
    </row>
    <row r="3281" spans="1:7" hidden="1">
      <c r="A3281">
        <v>0</v>
      </c>
      <c r="F3281" s="48">
        <v>2007</v>
      </c>
      <c r="G3281" t="s">
        <v>176</v>
      </c>
    </row>
    <row r="3282" spans="1:7" hidden="1">
      <c r="A3282">
        <v>0</v>
      </c>
      <c r="F3282" s="48">
        <v>2008</v>
      </c>
      <c r="G3282" t="s">
        <v>176</v>
      </c>
    </row>
    <row r="3283" spans="1:7" hidden="1">
      <c r="A3283">
        <v>0</v>
      </c>
      <c r="F3283" s="48">
        <v>2009</v>
      </c>
      <c r="G3283" t="s">
        <v>176</v>
      </c>
    </row>
    <row r="3284" spans="1:7" hidden="1">
      <c r="A3284">
        <v>0</v>
      </c>
      <c r="F3284" s="48">
        <v>2010</v>
      </c>
      <c r="G3284" t="s">
        <v>176</v>
      </c>
    </row>
    <row r="3285" spans="1:7" hidden="1">
      <c r="A3285">
        <v>0</v>
      </c>
      <c r="F3285" s="48">
        <v>2011</v>
      </c>
      <c r="G3285" t="s">
        <v>176</v>
      </c>
    </row>
    <row r="3286" spans="1:7" hidden="1">
      <c r="A3286">
        <v>0</v>
      </c>
      <c r="F3286" s="48">
        <v>2012</v>
      </c>
      <c r="G3286" t="s">
        <v>176</v>
      </c>
    </row>
    <row r="3287" spans="1:7" hidden="1">
      <c r="A3287">
        <v>0</v>
      </c>
      <c r="F3287" s="48">
        <v>2013</v>
      </c>
      <c r="G3287" t="s">
        <v>176</v>
      </c>
    </row>
    <row r="3288" spans="1:7" hidden="1">
      <c r="A3288">
        <v>0</v>
      </c>
      <c r="F3288" s="48">
        <v>2014</v>
      </c>
      <c r="G3288" t="s">
        <v>176</v>
      </c>
    </row>
    <row r="3289" spans="1:7" hidden="1">
      <c r="A3289">
        <v>0</v>
      </c>
      <c r="F3289" s="48">
        <v>2015</v>
      </c>
      <c r="G3289" t="s">
        <v>176</v>
      </c>
    </row>
    <row r="3290" spans="1:7" hidden="1">
      <c r="A3290">
        <v>0</v>
      </c>
      <c r="F3290" s="48">
        <v>2016</v>
      </c>
      <c r="G3290" t="s">
        <v>176</v>
      </c>
    </row>
    <row r="3291" spans="1:7" hidden="1">
      <c r="A3291">
        <v>0</v>
      </c>
      <c r="F3291" s="48">
        <v>2017</v>
      </c>
      <c r="G3291" t="s">
        <v>176</v>
      </c>
    </row>
    <row r="3292" spans="1:7" hidden="1">
      <c r="A3292">
        <v>0</v>
      </c>
      <c r="F3292" s="48">
        <v>2018</v>
      </c>
      <c r="G3292" t="s">
        <v>176</v>
      </c>
    </row>
    <row r="3293" spans="1:7" hidden="1">
      <c r="A3293">
        <v>0</v>
      </c>
      <c r="F3293" s="48">
        <v>2019</v>
      </c>
      <c r="G3293" t="s">
        <v>176</v>
      </c>
    </row>
    <row r="3294" spans="1:7" hidden="1">
      <c r="A3294">
        <v>0</v>
      </c>
      <c r="F3294" s="48">
        <v>2020</v>
      </c>
      <c r="G3294" t="s">
        <v>176</v>
      </c>
    </row>
    <row r="3295" spans="1:7" hidden="1">
      <c r="A3295">
        <v>0</v>
      </c>
      <c r="F3295" s="48">
        <v>2021</v>
      </c>
      <c r="G3295" t="s">
        <v>176</v>
      </c>
    </row>
    <row r="3296" spans="1:7" hidden="1">
      <c r="A3296">
        <v>0</v>
      </c>
      <c r="F3296" s="48">
        <v>2022</v>
      </c>
      <c r="G3296" t="s">
        <v>176</v>
      </c>
    </row>
    <row r="3297" spans="1:10">
      <c r="A3297">
        <v>0</v>
      </c>
      <c r="E3297">
        <v>2000</v>
      </c>
      <c r="F3297" s="48" t="s">
        <v>176</v>
      </c>
      <c r="I3297">
        <f t="shared" ref="I3297:I3319" si="38">E3297</f>
        <v>2000</v>
      </c>
      <c r="J3297">
        <f t="shared" ref="J3297:J3319" si="39">A3297</f>
        <v>0</v>
      </c>
    </row>
    <row r="3298" spans="1:10">
      <c r="A3298">
        <v>0</v>
      </c>
      <c r="E3298">
        <v>2001</v>
      </c>
      <c r="F3298" s="48" t="s">
        <v>176</v>
      </c>
      <c r="I3298">
        <f t="shared" si="38"/>
        <v>2001</v>
      </c>
      <c r="J3298">
        <f t="shared" si="39"/>
        <v>0</v>
      </c>
    </row>
    <row r="3299" spans="1:10">
      <c r="A3299">
        <v>0</v>
      </c>
      <c r="E3299">
        <v>2002</v>
      </c>
      <c r="F3299" s="48" t="s">
        <v>176</v>
      </c>
      <c r="I3299">
        <f t="shared" si="38"/>
        <v>2002</v>
      </c>
      <c r="J3299">
        <f t="shared" si="39"/>
        <v>0</v>
      </c>
    </row>
    <row r="3300" spans="1:10">
      <c r="A3300">
        <v>0</v>
      </c>
      <c r="E3300">
        <v>2003</v>
      </c>
      <c r="F3300" s="48" t="s">
        <v>176</v>
      </c>
      <c r="I3300">
        <f t="shared" si="38"/>
        <v>2003</v>
      </c>
      <c r="J3300">
        <f t="shared" si="39"/>
        <v>0</v>
      </c>
    </row>
    <row r="3301" spans="1:10">
      <c r="A3301">
        <v>0</v>
      </c>
      <c r="E3301">
        <v>2004</v>
      </c>
      <c r="F3301" s="48" t="s">
        <v>176</v>
      </c>
      <c r="I3301">
        <f t="shared" si="38"/>
        <v>2004</v>
      </c>
      <c r="J3301">
        <f t="shared" si="39"/>
        <v>0</v>
      </c>
    </row>
    <row r="3302" spans="1:10">
      <c r="A3302">
        <v>0</v>
      </c>
      <c r="E3302">
        <v>2005</v>
      </c>
      <c r="F3302" s="48" t="s">
        <v>176</v>
      </c>
      <c r="I3302">
        <f t="shared" si="38"/>
        <v>2005</v>
      </c>
      <c r="J3302">
        <f t="shared" si="39"/>
        <v>0</v>
      </c>
    </row>
    <row r="3303" spans="1:10">
      <c r="A3303">
        <v>0</v>
      </c>
      <c r="E3303">
        <v>2006</v>
      </c>
      <c r="F3303" s="48" t="s">
        <v>176</v>
      </c>
      <c r="I3303">
        <f t="shared" si="38"/>
        <v>2006</v>
      </c>
      <c r="J3303">
        <f t="shared" si="39"/>
        <v>0</v>
      </c>
    </row>
    <row r="3304" spans="1:10">
      <c r="A3304">
        <v>0</v>
      </c>
      <c r="E3304">
        <v>2007</v>
      </c>
      <c r="F3304" s="48" t="s">
        <v>176</v>
      </c>
      <c r="I3304">
        <f t="shared" si="38"/>
        <v>2007</v>
      </c>
      <c r="J3304">
        <f t="shared" si="39"/>
        <v>0</v>
      </c>
    </row>
    <row r="3305" spans="1:10">
      <c r="A3305">
        <v>0</v>
      </c>
      <c r="E3305">
        <v>2008</v>
      </c>
      <c r="F3305" s="48" t="s">
        <v>176</v>
      </c>
      <c r="I3305">
        <f t="shared" si="38"/>
        <v>2008</v>
      </c>
      <c r="J3305">
        <f t="shared" si="39"/>
        <v>0</v>
      </c>
    </row>
    <row r="3306" spans="1:10">
      <c r="A3306">
        <v>0</v>
      </c>
      <c r="E3306">
        <v>2009</v>
      </c>
      <c r="F3306" s="48" t="s">
        <v>176</v>
      </c>
      <c r="I3306">
        <f t="shared" si="38"/>
        <v>2009</v>
      </c>
      <c r="J3306">
        <f t="shared" si="39"/>
        <v>0</v>
      </c>
    </row>
    <row r="3307" spans="1:10">
      <c r="A3307">
        <v>0</v>
      </c>
      <c r="E3307">
        <v>2010</v>
      </c>
      <c r="F3307" s="48" t="s">
        <v>176</v>
      </c>
      <c r="I3307">
        <f t="shared" si="38"/>
        <v>2010</v>
      </c>
      <c r="J3307">
        <f t="shared" si="39"/>
        <v>0</v>
      </c>
    </row>
    <row r="3308" spans="1:10">
      <c r="A3308">
        <v>0</v>
      </c>
      <c r="E3308">
        <v>2011</v>
      </c>
      <c r="F3308" s="48" t="s">
        <v>176</v>
      </c>
      <c r="I3308">
        <f t="shared" si="38"/>
        <v>2011</v>
      </c>
      <c r="J3308">
        <f t="shared" si="39"/>
        <v>0</v>
      </c>
    </row>
    <row r="3309" spans="1:10">
      <c r="A3309">
        <v>0</v>
      </c>
      <c r="E3309">
        <v>2012</v>
      </c>
      <c r="F3309" s="48" t="s">
        <v>176</v>
      </c>
      <c r="I3309">
        <f t="shared" si="38"/>
        <v>2012</v>
      </c>
      <c r="J3309">
        <f t="shared" si="39"/>
        <v>0</v>
      </c>
    </row>
    <row r="3310" spans="1:10">
      <c r="A3310">
        <v>0</v>
      </c>
      <c r="E3310">
        <v>2013</v>
      </c>
      <c r="F3310" s="48" t="s">
        <v>176</v>
      </c>
      <c r="I3310">
        <f t="shared" si="38"/>
        <v>2013</v>
      </c>
      <c r="J3310">
        <f t="shared" si="39"/>
        <v>0</v>
      </c>
    </row>
    <row r="3311" spans="1:10">
      <c r="A3311">
        <v>0</v>
      </c>
      <c r="E3311">
        <v>2014</v>
      </c>
      <c r="F3311" s="48" t="s">
        <v>176</v>
      </c>
      <c r="I3311">
        <f t="shared" si="38"/>
        <v>2014</v>
      </c>
      <c r="J3311">
        <f t="shared" si="39"/>
        <v>0</v>
      </c>
    </row>
    <row r="3312" spans="1:10">
      <c r="A3312">
        <v>0</v>
      </c>
      <c r="E3312">
        <v>2015</v>
      </c>
      <c r="F3312" s="48" t="s">
        <v>176</v>
      </c>
      <c r="I3312">
        <f t="shared" si="38"/>
        <v>2015</v>
      </c>
      <c r="J3312">
        <f t="shared" si="39"/>
        <v>0</v>
      </c>
    </row>
    <row r="3313" spans="1:10">
      <c r="A3313">
        <v>0</v>
      </c>
      <c r="E3313">
        <v>2016</v>
      </c>
      <c r="F3313" s="48" t="s">
        <v>176</v>
      </c>
      <c r="I3313">
        <f t="shared" si="38"/>
        <v>2016</v>
      </c>
      <c r="J3313">
        <f t="shared" si="39"/>
        <v>0</v>
      </c>
    </row>
    <row r="3314" spans="1:10">
      <c r="A3314">
        <v>0</v>
      </c>
      <c r="E3314">
        <v>2017</v>
      </c>
      <c r="F3314" s="48" t="s">
        <v>176</v>
      </c>
      <c r="I3314">
        <f t="shared" si="38"/>
        <v>2017</v>
      </c>
      <c r="J3314">
        <f t="shared" si="39"/>
        <v>0</v>
      </c>
    </row>
    <row r="3315" spans="1:10">
      <c r="A3315">
        <v>0</v>
      </c>
      <c r="E3315">
        <v>2018</v>
      </c>
      <c r="F3315" s="48" t="s">
        <v>176</v>
      </c>
      <c r="I3315">
        <f t="shared" si="38"/>
        <v>2018</v>
      </c>
      <c r="J3315">
        <f t="shared" si="39"/>
        <v>0</v>
      </c>
    </row>
    <row r="3316" spans="1:10">
      <c r="A3316">
        <v>0</v>
      </c>
      <c r="E3316">
        <v>2019</v>
      </c>
      <c r="F3316" s="48" t="s">
        <v>176</v>
      </c>
      <c r="I3316">
        <f t="shared" si="38"/>
        <v>2019</v>
      </c>
      <c r="J3316">
        <f t="shared" si="39"/>
        <v>0</v>
      </c>
    </row>
    <row r="3317" spans="1:10">
      <c r="A3317">
        <v>0</v>
      </c>
      <c r="E3317">
        <v>2020</v>
      </c>
      <c r="F3317" s="48" t="s">
        <v>176</v>
      </c>
      <c r="I3317">
        <f t="shared" si="38"/>
        <v>2020</v>
      </c>
      <c r="J3317">
        <f t="shared" si="39"/>
        <v>0</v>
      </c>
    </row>
    <row r="3318" spans="1:10">
      <c r="A3318">
        <v>0</v>
      </c>
      <c r="E3318">
        <v>2021</v>
      </c>
      <c r="F3318" s="48" t="s">
        <v>176</v>
      </c>
      <c r="I3318">
        <f t="shared" si="38"/>
        <v>2021</v>
      </c>
      <c r="J3318">
        <f t="shared" si="39"/>
        <v>0</v>
      </c>
    </row>
    <row r="3319" spans="1:10">
      <c r="A3319">
        <v>0</v>
      </c>
      <c r="E3319">
        <v>2022</v>
      </c>
      <c r="F3319" s="48" t="s">
        <v>176</v>
      </c>
      <c r="I3319">
        <f t="shared" si="38"/>
        <v>2022</v>
      </c>
      <c r="J3319">
        <f t="shared" si="39"/>
        <v>0</v>
      </c>
    </row>
    <row r="3320" spans="1:10" hidden="1">
      <c r="A3320">
        <v>1</v>
      </c>
      <c r="D3320">
        <v>2000</v>
      </c>
      <c r="E3320" t="s">
        <v>176</v>
      </c>
    </row>
    <row r="3321" spans="1:10" hidden="1">
      <c r="A3321">
        <v>1</v>
      </c>
      <c r="D3321">
        <v>2001</v>
      </c>
      <c r="E3321" t="s">
        <v>176</v>
      </c>
    </row>
    <row r="3322" spans="1:10" hidden="1">
      <c r="A3322">
        <v>1</v>
      </c>
      <c r="D3322">
        <v>2002</v>
      </c>
      <c r="E3322" t="s">
        <v>176</v>
      </c>
    </row>
    <row r="3323" spans="1:10" hidden="1">
      <c r="A3323">
        <v>1</v>
      </c>
      <c r="D3323">
        <v>2003</v>
      </c>
      <c r="E3323" t="s">
        <v>176</v>
      </c>
    </row>
    <row r="3324" spans="1:10" hidden="1">
      <c r="A3324">
        <v>1</v>
      </c>
      <c r="D3324">
        <v>2004</v>
      </c>
      <c r="E3324" t="s">
        <v>176</v>
      </c>
    </row>
    <row r="3325" spans="1:10" hidden="1">
      <c r="A3325">
        <v>1</v>
      </c>
      <c r="D3325">
        <v>2005</v>
      </c>
      <c r="E3325" t="s">
        <v>176</v>
      </c>
    </row>
    <row r="3326" spans="1:10" hidden="1">
      <c r="A3326">
        <v>1</v>
      </c>
      <c r="D3326">
        <v>2006</v>
      </c>
      <c r="E3326" t="s">
        <v>176</v>
      </c>
    </row>
    <row r="3327" spans="1:10" hidden="1">
      <c r="A3327">
        <v>1</v>
      </c>
      <c r="D3327">
        <v>2007</v>
      </c>
      <c r="E3327" t="s">
        <v>176</v>
      </c>
    </row>
    <row r="3328" spans="1:10" hidden="1">
      <c r="A3328">
        <v>1</v>
      </c>
      <c r="D3328">
        <v>2008</v>
      </c>
      <c r="E3328" t="s">
        <v>176</v>
      </c>
    </row>
    <row r="3329" spans="1:5" hidden="1">
      <c r="A3329">
        <v>1</v>
      </c>
      <c r="D3329">
        <v>2009</v>
      </c>
      <c r="E3329" t="s">
        <v>176</v>
      </c>
    </row>
    <row r="3330" spans="1:5" hidden="1">
      <c r="A3330">
        <v>1</v>
      </c>
      <c r="D3330">
        <v>2010</v>
      </c>
      <c r="E3330" t="s">
        <v>176</v>
      </c>
    </row>
    <row r="3331" spans="1:5" hidden="1">
      <c r="A3331">
        <v>1</v>
      </c>
      <c r="D3331">
        <v>2011</v>
      </c>
      <c r="E3331" t="s">
        <v>176</v>
      </c>
    </row>
    <row r="3332" spans="1:5" hidden="1">
      <c r="A3332">
        <v>1</v>
      </c>
      <c r="D3332">
        <v>2012</v>
      </c>
      <c r="E3332" t="s">
        <v>176</v>
      </c>
    </row>
    <row r="3333" spans="1:5" hidden="1">
      <c r="A3333">
        <v>1</v>
      </c>
      <c r="D3333">
        <v>2013</v>
      </c>
      <c r="E3333" t="s">
        <v>176</v>
      </c>
    </row>
    <row r="3334" spans="1:5" hidden="1">
      <c r="A3334">
        <v>1</v>
      </c>
      <c r="D3334">
        <v>2014</v>
      </c>
      <c r="E3334" t="s">
        <v>176</v>
      </c>
    </row>
    <row r="3335" spans="1:5" hidden="1">
      <c r="A3335">
        <v>1</v>
      </c>
      <c r="D3335">
        <v>2015</v>
      </c>
      <c r="E3335" t="s">
        <v>176</v>
      </c>
    </row>
    <row r="3336" spans="1:5" hidden="1">
      <c r="A3336">
        <v>1</v>
      </c>
      <c r="D3336">
        <v>2016</v>
      </c>
      <c r="E3336" t="s">
        <v>176</v>
      </c>
    </row>
    <row r="3337" spans="1:5" hidden="1">
      <c r="A3337">
        <v>1</v>
      </c>
      <c r="D3337">
        <v>2017</v>
      </c>
      <c r="E3337" t="s">
        <v>176</v>
      </c>
    </row>
    <row r="3338" spans="1:5" hidden="1">
      <c r="A3338">
        <v>1</v>
      </c>
      <c r="D3338">
        <v>2018</v>
      </c>
      <c r="E3338" t="s">
        <v>176</v>
      </c>
    </row>
    <row r="3339" spans="1:5" hidden="1">
      <c r="A3339">
        <v>1</v>
      </c>
      <c r="D3339">
        <v>2019</v>
      </c>
      <c r="E3339" t="s">
        <v>176</v>
      </c>
    </row>
    <row r="3340" spans="1:5" hidden="1">
      <c r="A3340">
        <v>1</v>
      </c>
      <c r="D3340">
        <v>2020</v>
      </c>
      <c r="E3340" t="s">
        <v>176</v>
      </c>
    </row>
    <row r="3341" spans="1:5" hidden="1">
      <c r="A3341">
        <v>1</v>
      </c>
      <c r="D3341">
        <v>2021</v>
      </c>
      <c r="E3341" t="s">
        <v>176</v>
      </c>
    </row>
    <row r="3342" spans="1:5" hidden="1">
      <c r="A3342">
        <v>1</v>
      </c>
      <c r="D3342">
        <v>2022</v>
      </c>
      <c r="E3342" t="s">
        <v>176</v>
      </c>
    </row>
    <row r="3343" spans="1:5" hidden="1">
      <c r="A3343">
        <v>0</v>
      </c>
      <c r="C3343">
        <v>2000</v>
      </c>
      <c r="D3343" t="s">
        <v>176</v>
      </c>
    </row>
    <row r="3344" spans="1:5" hidden="1">
      <c r="A3344">
        <v>0</v>
      </c>
      <c r="C3344">
        <v>2001</v>
      </c>
      <c r="D3344" t="s">
        <v>176</v>
      </c>
    </row>
    <row r="3345" spans="1:4" hidden="1">
      <c r="A3345">
        <v>0</v>
      </c>
      <c r="C3345">
        <v>2002</v>
      </c>
      <c r="D3345" t="s">
        <v>176</v>
      </c>
    </row>
    <row r="3346" spans="1:4" hidden="1">
      <c r="A3346">
        <v>0</v>
      </c>
      <c r="C3346">
        <v>2003</v>
      </c>
      <c r="D3346" t="s">
        <v>176</v>
      </c>
    </row>
    <row r="3347" spans="1:4" hidden="1">
      <c r="A3347">
        <v>0</v>
      </c>
      <c r="C3347">
        <v>2004</v>
      </c>
      <c r="D3347" t="s">
        <v>176</v>
      </c>
    </row>
    <row r="3348" spans="1:4" hidden="1">
      <c r="A3348">
        <v>0</v>
      </c>
      <c r="C3348">
        <v>2005</v>
      </c>
      <c r="D3348" t="s">
        <v>176</v>
      </c>
    </row>
    <row r="3349" spans="1:4" hidden="1">
      <c r="A3349">
        <v>0</v>
      </c>
      <c r="C3349">
        <v>2006</v>
      </c>
      <c r="D3349" t="s">
        <v>176</v>
      </c>
    </row>
    <row r="3350" spans="1:4" hidden="1">
      <c r="A3350">
        <v>0</v>
      </c>
      <c r="C3350">
        <v>2007</v>
      </c>
      <c r="D3350" t="s">
        <v>176</v>
      </c>
    </row>
    <row r="3351" spans="1:4" hidden="1">
      <c r="A3351">
        <v>0</v>
      </c>
      <c r="C3351">
        <v>2008</v>
      </c>
      <c r="D3351" t="s">
        <v>176</v>
      </c>
    </row>
    <row r="3352" spans="1:4" hidden="1">
      <c r="A3352">
        <v>0</v>
      </c>
      <c r="C3352">
        <v>2009</v>
      </c>
      <c r="D3352" t="s">
        <v>176</v>
      </c>
    </row>
    <row r="3353" spans="1:4" hidden="1">
      <c r="A3353">
        <v>0</v>
      </c>
      <c r="C3353">
        <v>2010</v>
      </c>
      <c r="D3353" t="s">
        <v>176</v>
      </c>
    </row>
    <row r="3354" spans="1:4" hidden="1">
      <c r="A3354">
        <v>0</v>
      </c>
      <c r="C3354">
        <v>2011</v>
      </c>
      <c r="D3354" t="s">
        <v>176</v>
      </c>
    </row>
    <row r="3355" spans="1:4" hidden="1">
      <c r="A3355">
        <v>0</v>
      </c>
      <c r="C3355">
        <v>2012</v>
      </c>
      <c r="D3355" t="s">
        <v>176</v>
      </c>
    </row>
    <row r="3356" spans="1:4" hidden="1">
      <c r="A3356">
        <v>0</v>
      </c>
      <c r="C3356">
        <v>2013</v>
      </c>
      <c r="D3356" t="s">
        <v>176</v>
      </c>
    </row>
    <row r="3357" spans="1:4" hidden="1">
      <c r="A3357">
        <v>0</v>
      </c>
      <c r="C3357">
        <v>2014</v>
      </c>
      <c r="D3357" t="s">
        <v>176</v>
      </c>
    </row>
    <row r="3358" spans="1:4" hidden="1">
      <c r="A3358">
        <v>0</v>
      </c>
      <c r="C3358">
        <v>2015</v>
      </c>
      <c r="D3358" t="s">
        <v>176</v>
      </c>
    </row>
    <row r="3359" spans="1:4" hidden="1">
      <c r="A3359">
        <v>0</v>
      </c>
      <c r="C3359">
        <v>2016</v>
      </c>
      <c r="D3359" t="s">
        <v>176</v>
      </c>
    </row>
    <row r="3360" spans="1:4" hidden="1">
      <c r="A3360">
        <v>0</v>
      </c>
      <c r="C3360">
        <v>2017</v>
      </c>
      <c r="D3360" t="s">
        <v>176</v>
      </c>
    </row>
    <row r="3361" spans="1:4" hidden="1">
      <c r="A3361">
        <v>0</v>
      </c>
      <c r="C3361">
        <v>2018</v>
      </c>
      <c r="D3361" t="s">
        <v>176</v>
      </c>
    </row>
    <row r="3362" spans="1:4" hidden="1">
      <c r="A3362">
        <v>0</v>
      </c>
      <c r="C3362">
        <v>2019</v>
      </c>
      <c r="D3362" t="s">
        <v>176</v>
      </c>
    </row>
    <row r="3363" spans="1:4" hidden="1">
      <c r="A3363">
        <v>0</v>
      </c>
      <c r="C3363">
        <v>2020</v>
      </c>
      <c r="D3363" t="s">
        <v>176</v>
      </c>
    </row>
    <row r="3364" spans="1:4" hidden="1">
      <c r="A3364">
        <v>0</v>
      </c>
      <c r="C3364">
        <v>2021</v>
      </c>
      <c r="D3364" t="s">
        <v>176</v>
      </c>
    </row>
    <row r="3365" spans="1:4" hidden="1">
      <c r="A3365">
        <v>0</v>
      </c>
      <c r="C3365">
        <v>2022</v>
      </c>
      <c r="D3365" t="s">
        <v>176</v>
      </c>
    </row>
    <row r="3366" spans="1:4" hidden="1">
      <c r="A3366">
        <v>18.600000000000001</v>
      </c>
      <c r="B3366">
        <v>2000</v>
      </c>
      <c r="C3366" t="s">
        <v>176</v>
      </c>
    </row>
    <row r="3367" spans="1:4" hidden="1">
      <c r="A3367">
        <v>16.2</v>
      </c>
      <c r="B3367">
        <v>2001</v>
      </c>
      <c r="C3367" t="s">
        <v>176</v>
      </c>
    </row>
    <row r="3368" spans="1:4" hidden="1">
      <c r="A3368">
        <v>16.3</v>
      </c>
      <c r="B3368">
        <v>2002</v>
      </c>
      <c r="C3368" t="s">
        <v>176</v>
      </c>
    </row>
    <row r="3369" spans="1:4" hidden="1">
      <c r="A3369">
        <v>15.2</v>
      </c>
      <c r="B3369">
        <v>2003</v>
      </c>
      <c r="C3369" t="s">
        <v>176</v>
      </c>
    </row>
    <row r="3370" spans="1:4" hidden="1">
      <c r="A3370">
        <v>14.9</v>
      </c>
      <c r="B3370">
        <v>2004</v>
      </c>
      <c r="C3370" t="s">
        <v>176</v>
      </c>
    </row>
    <row r="3371" spans="1:4" hidden="1">
      <c r="A3371">
        <v>14</v>
      </c>
      <c r="B3371">
        <v>2005</v>
      </c>
      <c r="C3371" t="s">
        <v>176</v>
      </c>
    </row>
    <row r="3372" spans="1:4" hidden="1">
      <c r="A3372">
        <v>13.1</v>
      </c>
      <c r="B3372">
        <v>2006</v>
      </c>
      <c r="C3372" t="s">
        <v>176</v>
      </c>
    </row>
    <row r="3373" spans="1:4" hidden="1">
      <c r="A3373">
        <v>14</v>
      </c>
      <c r="B3373">
        <v>2007</v>
      </c>
      <c r="C3373" t="s">
        <v>176</v>
      </c>
    </row>
    <row r="3374" spans="1:4" hidden="1">
      <c r="A3374">
        <v>14.1</v>
      </c>
      <c r="B3374">
        <v>2008</v>
      </c>
      <c r="C3374" t="s">
        <v>176</v>
      </c>
    </row>
    <row r="3375" spans="1:4" hidden="1">
      <c r="A3375">
        <v>12.7</v>
      </c>
      <c r="B3375">
        <v>2009</v>
      </c>
      <c r="C3375" t="s">
        <v>176</v>
      </c>
    </row>
    <row r="3376" spans="1:4" hidden="1">
      <c r="A3376">
        <v>12.8</v>
      </c>
      <c r="B3376">
        <v>2010</v>
      </c>
      <c r="C3376" t="s">
        <v>176</v>
      </c>
    </row>
    <row r="3377" spans="1:8" hidden="1">
      <c r="A3377">
        <v>13.1</v>
      </c>
      <c r="B3377">
        <v>2011</v>
      </c>
      <c r="C3377" t="s">
        <v>176</v>
      </c>
    </row>
    <row r="3378" spans="1:8" hidden="1">
      <c r="A3378">
        <v>13.3</v>
      </c>
      <c r="B3378">
        <v>2012</v>
      </c>
      <c r="C3378" t="s">
        <v>176</v>
      </c>
    </row>
    <row r="3379" spans="1:8" hidden="1">
      <c r="A3379">
        <v>13.8</v>
      </c>
      <c r="B3379">
        <v>2013</v>
      </c>
      <c r="C3379" t="s">
        <v>176</v>
      </c>
    </row>
    <row r="3380" spans="1:8" hidden="1">
      <c r="A3380">
        <v>14</v>
      </c>
      <c r="B3380">
        <v>2014</v>
      </c>
      <c r="C3380" t="s">
        <v>176</v>
      </c>
    </row>
    <row r="3381" spans="1:8" hidden="1">
      <c r="A3381">
        <v>13.4</v>
      </c>
      <c r="B3381">
        <v>2015</v>
      </c>
      <c r="C3381" t="s">
        <v>176</v>
      </c>
    </row>
    <row r="3382" spans="1:8" hidden="1">
      <c r="A3382">
        <v>13.5</v>
      </c>
      <c r="B3382">
        <v>2016</v>
      </c>
      <c r="C3382" t="s">
        <v>176</v>
      </c>
    </row>
    <row r="3383" spans="1:8" hidden="1">
      <c r="A3383">
        <v>14.4</v>
      </c>
      <c r="B3383">
        <v>2017</v>
      </c>
      <c r="C3383" t="s">
        <v>176</v>
      </c>
    </row>
    <row r="3384" spans="1:8" hidden="1">
      <c r="A3384">
        <v>14.2</v>
      </c>
      <c r="B3384">
        <v>2018</v>
      </c>
      <c r="C3384" t="s">
        <v>176</v>
      </c>
    </row>
    <row r="3385" spans="1:8" hidden="1">
      <c r="A3385">
        <v>14.5</v>
      </c>
      <c r="B3385">
        <v>2019</v>
      </c>
      <c r="C3385" t="s">
        <v>176</v>
      </c>
    </row>
    <row r="3386" spans="1:8" hidden="1">
      <c r="A3386">
        <v>14.5</v>
      </c>
      <c r="B3386">
        <v>2020</v>
      </c>
      <c r="C3386" t="s">
        <v>176</v>
      </c>
    </row>
    <row r="3387" spans="1:8" hidden="1">
      <c r="A3387">
        <v>14.2</v>
      </c>
      <c r="B3387">
        <v>2021</v>
      </c>
      <c r="C3387" t="s">
        <v>176</v>
      </c>
    </row>
    <row r="3388" spans="1:8" hidden="1">
      <c r="A3388">
        <v>13.2</v>
      </c>
      <c r="B3388">
        <v>2022</v>
      </c>
      <c r="C3388" t="s">
        <v>176</v>
      </c>
    </row>
    <row r="3389" spans="1:8" hidden="1">
      <c r="A3389">
        <v>42.4</v>
      </c>
      <c r="G3389">
        <v>2000</v>
      </c>
      <c r="H3389" t="s">
        <v>196</v>
      </c>
    </row>
    <row r="3390" spans="1:8" hidden="1">
      <c r="A3390">
        <v>53.4</v>
      </c>
      <c r="G3390">
        <v>2001</v>
      </c>
      <c r="H3390" t="s">
        <v>196</v>
      </c>
    </row>
    <row r="3391" spans="1:8" hidden="1">
      <c r="A3391">
        <v>52.6</v>
      </c>
      <c r="G3391">
        <v>2002</v>
      </c>
      <c r="H3391" t="s">
        <v>196</v>
      </c>
    </row>
    <row r="3392" spans="1:8" hidden="1">
      <c r="A3392">
        <v>199</v>
      </c>
      <c r="G3392">
        <v>2003</v>
      </c>
      <c r="H3392" t="s">
        <v>196</v>
      </c>
    </row>
    <row r="3393" spans="1:8" hidden="1">
      <c r="A3393">
        <v>87.6</v>
      </c>
      <c r="G3393">
        <v>2004</v>
      </c>
      <c r="H3393" t="s">
        <v>196</v>
      </c>
    </row>
    <row r="3394" spans="1:8" hidden="1">
      <c r="A3394">
        <v>74.8</v>
      </c>
      <c r="G3394">
        <v>2005</v>
      </c>
      <c r="H3394" t="s">
        <v>196</v>
      </c>
    </row>
    <row r="3395" spans="1:8" hidden="1">
      <c r="A3395">
        <v>121.9</v>
      </c>
      <c r="G3395">
        <v>2006</v>
      </c>
      <c r="H3395" t="s">
        <v>196</v>
      </c>
    </row>
    <row r="3396" spans="1:8" hidden="1">
      <c r="A3396">
        <v>71.900000000000006</v>
      </c>
      <c r="G3396">
        <v>2007</v>
      </c>
      <c r="H3396" t="s">
        <v>196</v>
      </c>
    </row>
    <row r="3397" spans="1:8" hidden="1">
      <c r="A3397">
        <v>71.7</v>
      </c>
      <c r="G3397">
        <v>2008</v>
      </c>
      <c r="H3397" t="s">
        <v>196</v>
      </c>
    </row>
    <row r="3398" spans="1:8" hidden="1">
      <c r="A3398">
        <v>92.9</v>
      </c>
      <c r="G3398">
        <v>2009</v>
      </c>
      <c r="H3398" t="s">
        <v>196</v>
      </c>
    </row>
    <row r="3399" spans="1:8" hidden="1">
      <c r="A3399">
        <v>121.9</v>
      </c>
      <c r="G3399">
        <v>2010</v>
      </c>
      <c r="H3399" t="s">
        <v>196</v>
      </c>
    </row>
    <row r="3400" spans="1:8" hidden="1">
      <c r="A3400">
        <v>119.5</v>
      </c>
      <c r="G3400">
        <v>2011</v>
      </c>
      <c r="H3400" t="s">
        <v>196</v>
      </c>
    </row>
    <row r="3401" spans="1:8" hidden="1">
      <c r="A3401">
        <v>60.2</v>
      </c>
      <c r="G3401">
        <v>2012</v>
      </c>
      <c r="H3401" t="s">
        <v>196</v>
      </c>
    </row>
    <row r="3402" spans="1:8" hidden="1">
      <c r="A3402">
        <v>106.9</v>
      </c>
      <c r="G3402">
        <v>2013</v>
      </c>
      <c r="H3402" t="s">
        <v>196</v>
      </c>
    </row>
    <row r="3403" spans="1:8" hidden="1">
      <c r="A3403">
        <v>82.7</v>
      </c>
      <c r="G3403">
        <v>2014</v>
      </c>
      <c r="H3403" t="s">
        <v>196</v>
      </c>
    </row>
    <row r="3404" spans="1:8" hidden="1">
      <c r="A3404">
        <v>105.9</v>
      </c>
      <c r="G3404">
        <v>2015</v>
      </c>
      <c r="H3404" t="s">
        <v>196</v>
      </c>
    </row>
    <row r="3405" spans="1:8" hidden="1">
      <c r="A3405">
        <v>76.5</v>
      </c>
      <c r="G3405">
        <v>2016</v>
      </c>
      <c r="H3405" t="s">
        <v>196</v>
      </c>
    </row>
    <row r="3406" spans="1:8" hidden="1">
      <c r="A3406">
        <v>119.7</v>
      </c>
      <c r="G3406">
        <v>2017</v>
      </c>
      <c r="H3406" t="s">
        <v>196</v>
      </c>
    </row>
    <row r="3407" spans="1:8" hidden="1">
      <c r="A3407">
        <v>302.10000000000002</v>
      </c>
      <c r="G3407">
        <v>2018</v>
      </c>
      <c r="H3407" t="s">
        <v>196</v>
      </c>
    </row>
    <row r="3408" spans="1:8" hidden="1">
      <c r="A3408">
        <v>253.4</v>
      </c>
      <c r="G3408">
        <v>2019</v>
      </c>
      <c r="H3408" t="s">
        <v>196</v>
      </c>
    </row>
    <row r="3409" spans="1:8" hidden="1">
      <c r="A3409">
        <v>307.2</v>
      </c>
      <c r="G3409">
        <v>2020</v>
      </c>
      <c r="H3409" t="s">
        <v>196</v>
      </c>
    </row>
    <row r="3410" spans="1:8" hidden="1">
      <c r="A3410">
        <v>176.7</v>
      </c>
      <c r="G3410">
        <v>2021</v>
      </c>
      <c r="H3410" t="s">
        <v>196</v>
      </c>
    </row>
    <row r="3411" spans="1:8" hidden="1">
      <c r="A3411">
        <v>207.1</v>
      </c>
      <c r="G3411">
        <v>2022</v>
      </c>
      <c r="H3411" t="s">
        <v>196</v>
      </c>
    </row>
    <row r="3412" spans="1:8" hidden="1">
      <c r="A3412">
        <v>0</v>
      </c>
      <c r="F3412" s="48">
        <v>2000</v>
      </c>
      <c r="G3412" t="s">
        <v>196</v>
      </c>
    </row>
    <row r="3413" spans="1:8" hidden="1">
      <c r="A3413">
        <v>0</v>
      </c>
      <c r="F3413" s="48">
        <v>2001</v>
      </c>
      <c r="G3413" t="s">
        <v>196</v>
      </c>
    </row>
    <row r="3414" spans="1:8" hidden="1">
      <c r="A3414">
        <v>0</v>
      </c>
      <c r="F3414" s="48">
        <v>2002</v>
      </c>
      <c r="G3414" t="s">
        <v>196</v>
      </c>
    </row>
    <row r="3415" spans="1:8" hidden="1">
      <c r="A3415">
        <v>0</v>
      </c>
      <c r="F3415" s="48">
        <v>2003</v>
      </c>
      <c r="G3415" t="s">
        <v>196</v>
      </c>
    </row>
    <row r="3416" spans="1:8" hidden="1">
      <c r="A3416">
        <v>0</v>
      </c>
      <c r="F3416" s="48">
        <v>2004</v>
      </c>
      <c r="G3416" t="s">
        <v>196</v>
      </c>
    </row>
    <row r="3417" spans="1:8" hidden="1">
      <c r="A3417">
        <v>0</v>
      </c>
      <c r="F3417" s="48">
        <v>2005</v>
      </c>
      <c r="G3417" t="s">
        <v>196</v>
      </c>
    </row>
    <row r="3418" spans="1:8" hidden="1">
      <c r="A3418">
        <v>0</v>
      </c>
      <c r="F3418" s="48">
        <v>2006</v>
      </c>
      <c r="G3418" t="s">
        <v>196</v>
      </c>
    </row>
    <row r="3419" spans="1:8" hidden="1">
      <c r="A3419">
        <v>0</v>
      </c>
      <c r="F3419" s="48">
        <v>2007</v>
      </c>
      <c r="G3419" t="s">
        <v>196</v>
      </c>
    </row>
    <row r="3420" spans="1:8" hidden="1">
      <c r="A3420">
        <v>0</v>
      </c>
      <c r="F3420" s="48">
        <v>2008</v>
      </c>
      <c r="G3420" t="s">
        <v>196</v>
      </c>
    </row>
    <row r="3421" spans="1:8" hidden="1">
      <c r="A3421">
        <v>0</v>
      </c>
      <c r="F3421" s="48">
        <v>2009</v>
      </c>
      <c r="G3421" t="s">
        <v>196</v>
      </c>
    </row>
    <row r="3422" spans="1:8" hidden="1">
      <c r="A3422">
        <v>0</v>
      </c>
      <c r="F3422" s="48">
        <v>2010</v>
      </c>
      <c r="G3422" t="s">
        <v>196</v>
      </c>
    </row>
    <row r="3423" spans="1:8" hidden="1">
      <c r="A3423">
        <v>0</v>
      </c>
      <c r="F3423" s="48">
        <v>2011</v>
      </c>
      <c r="G3423" t="s">
        <v>196</v>
      </c>
    </row>
    <row r="3424" spans="1:8" hidden="1">
      <c r="A3424">
        <v>0</v>
      </c>
      <c r="F3424" s="48">
        <v>2012</v>
      </c>
      <c r="G3424" t="s">
        <v>196</v>
      </c>
    </row>
    <row r="3425" spans="1:10" hidden="1">
      <c r="A3425">
        <v>0</v>
      </c>
      <c r="F3425" s="48">
        <v>2013</v>
      </c>
      <c r="G3425" t="s">
        <v>196</v>
      </c>
    </row>
    <row r="3426" spans="1:10" hidden="1">
      <c r="A3426">
        <v>0</v>
      </c>
      <c r="F3426" s="48">
        <v>2014</v>
      </c>
      <c r="G3426" t="s">
        <v>196</v>
      </c>
    </row>
    <row r="3427" spans="1:10" hidden="1">
      <c r="A3427">
        <v>0</v>
      </c>
      <c r="F3427" s="48">
        <v>2015</v>
      </c>
      <c r="G3427" t="s">
        <v>196</v>
      </c>
    </row>
    <row r="3428" spans="1:10" hidden="1">
      <c r="A3428">
        <v>0</v>
      </c>
      <c r="F3428" s="48">
        <v>2016</v>
      </c>
      <c r="G3428" t="s">
        <v>196</v>
      </c>
    </row>
    <row r="3429" spans="1:10" hidden="1">
      <c r="A3429">
        <v>0</v>
      </c>
      <c r="F3429" s="48">
        <v>2017</v>
      </c>
      <c r="G3429" t="s">
        <v>196</v>
      </c>
    </row>
    <row r="3430" spans="1:10" hidden="1">
      <c r="A3430">
        <v>0</v>
      </c>
      <c r="F3430" s="48">
        <v>2018</v>
      </c>
      <c r="G3430" t="s">
        <v>196</v>
      </c>
    </row>
    <row r="3431" spans="1:10" hidden="1">
      <c r="A3431">
        <v>0</v>
      </c>
      <c r="F3431" s="48">
        <v>2019</v>
      </c>
      <c r="G3431" t="s">
        <v>196</v>
      </c>
    </row>
    <row r="3432" spans="1:10" hidden="1">
      <c r="A3432">
        <v>0</v>
      </c>
      <c r="F3432" s="48">
        <v>2020</v>
      </c>
      <c r="G3432" t="s">
        <v>196</v>
      </c>
    </row>
    <row r="3433" spans="1:10" hidden="1">
      <c r="A3433">
        <v>0</v>
      </c>
      <c r="F3433" s="48">
        <v>2021</v>
      </c>
      <c r="G3433" t="s">
        <v>196</v>
      </c>
    </row>
    <row r="3434" spans="1:10" hidden="1">
      <c r="A3434">
        <v>0</v>
      </c>
      <c r="F3434" s="48">
        <v>2022</v>
      </c>
      <c r="G3434" t="s">
        <v>196</v>
      </c>
    </row>
    <row r="3435" spans="1:10">
      <c r="A3435">
        <v>5280.3</v>
      </c>
      <c r="E3435">
        <v>2000</v>
      </c>
      <c r="F3435" s="48" t="s">
        <v>196</v>
      </c>
      <c r="I3435">
        <f t="shared" ref="I3435:I3457" si="40">E3435</f>
        <v>2000</v>
      </c>
      <c r="J3435">
        <f t="shared" ref="J3435:J3457" si="41">A3435</f>
        <v>5280.3</v>
      </c>
    </row>
    <row r="3436" spans="1:10">
      <c r="A3436">
        <v>6206.4</v>
      </c>
      <c r="E3436">
        <v>2001</v>
      </c>
      <c r="F3436" s="48" t="s">
        <v>196</v>
      </c>
      <c r="I3436">
        <f t="shared" si="40"/>
        <v>2001</v>
      </c>
      <c r="J3436">
        <f t="shared" si="41"/>
        <v>6206.4</v>
      </c>
    </row>
    <row r="3437" spans="1:10">
      <c r="A3437">
        <v>5876.8</v>
      </c>
      <c r="E3437">
        <v>2002</v>
      </c>
      <c r="F3437" s="48" t="s">
        <v>196</v>
      </c>
      <c r="I3437">
        <f t="shared" si="40"/>
        <v>2002</v>
      </c>
      <c r="J3437">
        <f t="shared" si="41"/>
        <v>5876.8</v>
      </c>
    </row>
    <row r="3438" spans="1:10">
      <c r="A3438">
        <v>5547.2</v>
      </c>
      <c r="E3438">
        <v>2003</v>
      </c>
      <c r="F3438" s="48" t="s">
        <v>196</v>
      </c>
      <c r="I3438">
        <f t="shared" si="40"/>
        <v>2003</v>
      </c>
      <c r="J3438">
        <f t="shared" si="41"/>
        <v>5547.2</v>
      </c>
    </row>
    <row r="3439" spans="1:10">
      <c r="A3439">
        <v>6312</v>
      </c>
      <c r="E3439">
        <v>2004</v>
      </c>
      <c r="F3439" s="48" t="s">
        <v>196</v>
      </c>
      <c r="I3439">
        <f t="shared" si="40"/>
        <v>2004</v>
      </c>
      <c r="J3439">
        <f t="shared" si="41"/>
        <v>6312</v>
      </c>
    </row>
    <row r="3440" spans="1:10">
      <c r="A3440">
        <v>6667.8</v>
      </c>
      <c r="E3440">
        <v>2005</v>
      </c>
      <c r="F3440" s="48" t="s">
        <v>196</v>
      </c>
      <c r="I3440">
        <f t="shared" si="40"/>
        <v>2005</v>
      </c>
      <c r="J3440">
        <f t="shared" si="41"/>
        <v>6667.8</v>
      </c>
    </row>
    <row r="3441" spans="1:10">
      <c r="A3441">
        <v>6060.1</v>
      </c>
      <c r="E3441">
        <v>2006</v>
      </c>
      <c r="F3441" s="48" t="s">
        <v>196</v>
      </c>
      <c r="I3441">
        <f t="shared" si="40"/>
        <v>2006</v>
      </c>
      <c r="J3441">
        <f t="shared" si="41"/>
        <v>6060.1</v>
      </c>
    </row>
    <row r="3442" spans="1:10">
      <c r="A3442">
        <v>6068.4</v>
      </c>
      <c r="E3442">
        <v>2007</v>
      </c>
      <c r="F3442" s="48" t="s">
        <v>196</v>
      </c>
      <c r="I3442">
        <f t="shared" si="40"/>
        <v>2007</v>
      </c>
      <c r="J3442">
        <f t="shared" si="41"/>
        <v>6068.4</v>
      </c>
    </row>
    <row r="3443" spans="1:10">
      <c r="A3443">
        <v>5696.8</v>
      </c>
      <c r="E3443">
        <v>2008</v>
      </c>
      <c r="F3443" s="48" t="s">
        <v>196</v>
      </c>
      <c r="I3443">
        <f t="shared" si="40"/>
        <v>2008</v>
      </c>
      <c r="J3443">
        <f t="shared" si="41"/>
        <v>5696.8</v>
      </c>
    </row>
    <row r="3444" spans="1:10">
      <c r="A3444">
        <v>6062.2</v>
      </c>
      <c r="E3444">
        <v>2009</v>
      </c>
      <c r="F3444" s="48" t="s">
        <v>196</v>
      </c>
      <c r="I3444">
        <f t="shared" si="40"/>
        <v>2009</v>
      </c>
      <c r="J3444">
        <f t="shared" si="41"/>
        <v>6062.2</v>
      </c>
    </row>
    <row r="3445" spans="1:10">
      <c r="A3445">
        <v>6147.6</v>
      </c>
      <c r="E3445">
        <v>2010</v>
      </c>
      <c r="F3445" s="48" t="s">
        <v>196</v>
      </c>
      <c r="I3445">
        <f t="shared" si="40"/>
        <v>2010</v>
      </c>
      <c r="J3445">
        <f t="shared" si="41"/>
        <v>6147.6</v>
      </c>
    </row>
    <row r="3446" spans="1:10">
      <c r="A3446">
        <v>5360.3</v>
      </c>
      <c r="E3446">
        <v>2011</v>
      </c>
      <c r="F3446" s="48" t="s">
        <v>196</v>
      </c>
      <c r="I3446">
        <f t="shared" si="40"/>
        <v>2011</v>
      </c>
      <c r="J3446">
        <f t="shared" si="41"/>
        <v>5360.3</v>
      </c>
    </row>
    <row r="3447" spans="1:10">
      <c r="A3447">
        <v>5967.4</v>
      </c>
      <c r="E3447">
        <v>2012</v>
      </c>
      <c r="F3447" s="48" t="s">
        <v>196</v>
      </c>
      <c r="I3447">
        <f t="shared" si="40"/>
        <v>2012</v>
      </c>
      <c r="J3447">
        <f t="shared" si="41"/>
        <v>5967.4</v>
      </c>
    </row>
    <row r="3448" spans="1:10">
      <c r="A3448">
        <v>5943.8</v>
      </c>
      <c r="E3448">
        <v>2013</v>
      </c>
      <c r="F3448" s="48" t="s">
        <v>196</v>
      </c>
      <c r="I3448">
        <f t="shared" si="40"/>
        <v>2013</v>
      </c>
      <c r="J3448">
        <f t="shared" si="41"/>
        <v>5943.8</v>
      </c>
    </row>
    <row r="3449" spans="1:10">
      <c r="A3449">
        <v>5096.6000000000004</v>
      </c>
      <c r="E3449">
        <v>2014</v>
      </c>
      <c r="F3449" s="48" t="s">
        <v>196</v>
      </c>
      <c r="I3449">
        <f t="shared" si="40"/>
        <v>2014</v>
      </c>
      <c r="J3449">
        <f t="shared" si="41"/>
        <v>5096.6000000000004</v>
      </c>
    </row>
    <row r="3450" spans="1:10">
      <c r="A3450">
        <v>4346.3</v>
      </c>
      <c r="E3450">
        <v>2015</v>
      </c>
      <c r="F3450" s="48" t="s">
        <v>196</v>
      </c>
      <c r="I3450">
        <f t="shared" si="40"/>
        <v>2015</v>
      </c>
      <c r="J3450">
        <f t="shared" si="41"/>
        <v>4346.3</v>
      </c>
    </row>
    <row r="3451" spans="1:10">
      <c r="A3451">
        <v>3588.7</v>
      </c>
      <c r="E3451">
        <v>2016</v>
      </c>
      <c r="F3451" s="48" t="s">
        <v>196</v>
      </c>
      <c r="I3451">
        <f t="shared" si="40"/>
        <v>2016</v>
      </c>
      <c r="J3451">
        <f t="shared" si="41"/>
        <v>3588.7</v>
      </c>
    </row>
    <row r="3452" spans="1:10">
      <c r="A3452">
        <v>3586.4</v>
      </c>
      <c r="E3452">
        <v>2017</v>
      </c>
      <c r="F3452" s="48" t="s">
        <v>196</v>
      </c>
      <c r="I3452">
        <f t="shared" si="40"/>
        <v>2017</v>
      </c>
      <c r="J3452">
        <f t="shared" si="41"/>
        <v>3586.4</v>
      </c>
    </row>
    <row r="3453" spans="1:10">
      <c r="A3453">
        <v>3369.9</v>
      </c>
      <c r="E3453">
        <v>2018</v>
      </c>
      <c r="F3453" s="48" t="s">
        <v>196</v>
      </c>
      <c r="I3453">
        <f t="shared" si="40"/>
        <v>2018</v>
      </c>
      <c r="J3453">
        <f t="shared" si="41"/>
        <v>3369.9</v>
      </c>
    </row>
    <row r="3454" spans="1:10">
      <c r="A3454">
        <v>3770.6</v>
      </c>
      <c r="E3454">
        <v>2019</v>
      </c>
      <c r="F3454" s="48" t="s">
        <v>196</v>
      </c>
      <c r="I3454">
        <f t="shared" si="40"/>
        <v>2019</v>
      </c>
      <c r="J3454">
        <f t="shared" si="41"/>
        <v>3770.6</v>
      </c>
    </row>
    <row r="3455" spans="1:10">
      <c r="A3455">
        <v>3520.6</v>
      </c>
      <c r="E3455">
        <v>2020</v>
      </c>
      <c r="F3455" s="48" t="s">
        <v>196</v>
      </c>
      <c r="I3455">
        <f t="shared" si="40"/>
        <v>2020</v>
      </c>
      <c r="J3455">
        <f t="shared" si="41"/>
        <v>3520.6</v>
      </c>
    </row>
    <row r="3456" spans="1:10">
      <c r="A3456">
        <v>3183.3</v>
      </c>
      <c r="E3456">
        <v>2021</v>
      </c>
      <c r="F3456" s="48" t="s">
        <v>196</v>
      </c>
      <c r="I3456">
        <f t="shared" si="40"/>
        <v>2021</v>
      </c>
      <c r="J3456">
        <f t="shared" si="41"/>
        <v>3183.3</v>
      </c>
    </row>
    <row r="3457" spans="1:10">
      <c r="A3457">
        <v>5600.7</v>
      </c>
      <c r="E3457">
        <v>2022</v>
      </c>
      <c r="F3457" s="48" t="s">
        <v>196</v>
      </c>
      <c r="I3457">
        <f t="shared" si="40"/>
        <v>2022</v>
      </c>
      <c r="J3457">
        <f t="shared" si="41"/>
        <v>5600.7</v>
      </c>
    </row>
    <row r="3458" spans="1:10" hidden="1">
      <c r="A3458">
        <v>836.6</v>
      </c>
      <c r="D3458">
        <v>2000</v>
      </c>
      <c r="E3458" t="s">
        <v>196</v>
      </c>
    </row>
    <row r="3459" spans="1:10" hidden="1">
      <c r="A3459">
        <v>1351.9</v>
      </c>
      <c r="D3459">
        <v>2001</v>
      </c>
      <c r="E3459" t="s">
        <v>196</v>
      </c>
    </row>
    <row r="3460" spans="1:10" hidden="1">
      <c r="A3460">
        <v>2183</v>
      </c>
      <c r="D3460">
        <v>2002</v>
      </c>
      <c r="E3460" t="s">
        <v>196</v>
      </c>
    </row>
    <row r="3461" spans="1:10" hidden="1">
      <c r="A3461">
        <v>3014</v>
      </c>
      <c r="D3461">
        <v>2003</v>
      </c>
      <c r="E3461" t="s">
        <v>196</v>
      </c>
    </row>
    <row r="3462" spans="1:10" hidden="1">
      <c r="A3462">
        <v>3439.3</v>
      </c>
      <c r="D3462">
        <v>2004</v>
      </c>
      <c r="E3462" t="s">
        <v>196</v>
      </c>
    </row>
    <row r="3463" spans="1:10" hidden="1">
      <c r="A3463">
        <v>3024.3</v>
      </c>
      <c r="D3463">
        <v>2005</v>
      </c>
      <c r="E3463" t="s">
        <v>196</v>
      </c>
    </row>
    <row r="3464" spans="1:10" hidden="1">
      <c r="A3464">
        <v>3031.5</v>
      </c>
      <c r="D3464">
        <v>2006</v>
      </c>
      <c r="E3464" t="s">
        <v>196</v>
      </c>
    </row>
    <row r="3465" spans="1:10" hidden="1">
      <c r="A3465">
        <v>3037.6</v>
      </c>
      <c r="D3465">
        <v>2007</v>
      </c>
      <c r="E3465" t="s">
        <v>196</v>
      </c>
    </row>
    <row r="3466" spans="1:10" hidden="1">
      <c r="A3466">
        <v>3212.1</v>
      </c>
      <c r="D3466">
        <v>2008</v>
      </c>
      <c r="E3466" t="s">
        <v>196</v>
      </c>
    </row>
    <row r="3467" spans="1:10" hidden="1">
      <c r="A3467">
        <v>3572.9</v>
      </c>
      <c r="D3467">
        <v>2009</v>
      </c>
      <c r="E3467" t="s">
        <v>196</v>
      </c>
    </row>
    <row r="3468" spans="1:10" hidden="1">
      <c r="A3468">
        <v>2874.6</v>
      </c>
      <c r="D3468">
        <v>2010</v>
      </c>
      <c r="E3468" t="s">
        <v>196</v>
      </c>
    </row>
    <row r="3469" spans="1:10" hidden="1">
      <c r="A3469">
        <v>2925.6</v>
      </c>
      <c r="D3469">
        <v>2011</v>
      </c>
      <c r="E3469" t="s">
        <v>196</v>
      </c>
    </row>
    <row r="3470" spans="1:10" hidden="1">
      <c r="A3470">
        <v>2971.2</v>
      </c>
      <c r="D3470">
        <v>2012</v>
      </c>
      <c r="E3470" t="s">
        <v>196</v>
      </c>
    </row>
    <row r="3471" spans="1:10" hidden="1">
      <c r="A3471">
        <v>2836.7</v>
      </c>
      <c r="D3471">
        <v>2013</v>
      </c>
      <c r="E3471" t="s">
        <v>196</v>
      </c>
    </row>
    <row r="3472" spans="1:10" hidden="1">
      <c r="A3472">
        <v>2522.1999999999998</v>
      </c>
      <c r="D3472">
        <v>2014</v>
      </c>
      <c r="E3472" t="s">
        <v>196</v>
      </c>
    </row>
    <row r="3473" spans="1:5" hidden="1">
      <c r="A3473">
        <v>2225.6999999999998</v>
      </c>
      <c r="D3473">
        <v>2015</v>
      </c>
      <c r="E3473" t="s">
        <v>196</v>
      </c>
    </row>
    <row r="3474" spans="1:5" hidden="1">
      <c r="A3474">
        <v>2540.6999999999998</v>
      </c>
      <c r="D3474">
        <v>2016</v>
      </c>
      <c r="E3474" t="s">
        <v>196</v>
      </c>
    </row>
    <row r="3475" spans="1:5" hidden="1">
      <c r="A3475">
        <v>2520.9</v>
      </c>
      <c r="D3475">
        <v>2017</v>
      </c>
      <c r="E3475" t="s">
        <v>196</v>
      </c>
    </row>
    <row r="3476" spans="1:5" hidden="1">
      <c r="A3476">
        <v>2458.4</v>
      </c>
      <c r="D3476">
        <v>2018</v>
      </c>
      <c r="E3476" t="s">
        <v>196</v>
      </c>
    </row>
    <row r="3477" spans="1:5" hidden="1">
      <c r="A3477">
        <v>2412.8000000000002</v>
      </c>
      <c r="D3477">
        <v>2019</v>
      </c>
      <c r="E3477" t="s">
        <v>196</v>
      </c>
    </row>
    <row r="3478" spans="1:5" hidden="1">
      <c r="A3478">
        <v>2420.8000000000002</v>
      </c>
      <c r="D3478">
        <v>2020</v>
      </c>
      <c r="E3478" t="s">
        <v>196</v>
      </c>
    </row>
    <row r="3479" spans="1:5" hidden="1">
      <c r="A3479">
        <v>2615.1999999999998</v>
      </c>
      <c r="D3479">
        <v>2021</v>
      </c>
      <c r="E3479" t="s">
        <v>196</v>
      </c>
    </row>
    <row r="3480" spans="1:5" hidden="1">
      <c r="A3480">
        <v>3264.5</v>
      </c>
      <c r="D3480">
        <v>2022</v>
      </c>
      <c r="E3480" t="s">
        <v>196</v>
      </c>
    </row>
    <row r="3481" spans="1:5" hidden="1">
      <c r="A3481">
        <v>0</v>
      </c>
      <c r="C3481">
        <v>2000</v>
      </c>
      <c r="D3481" t="s">
        <v>196</v>
      </c>
    </row>
    <row r="3482" spans="1:5" hidden="1">
      <c r="A3482">
        <v>0</v>
      </c>
      <c r="C3482">
        <v>2001</v>
      </c>
      <c r="D3482" t="s">
        <v>196</v>
      </c>
    </row>
    <row r="3483" spans="1:5" hidden="1">
      <c r="A3483">
        <v>0</v>
      </c>
      <c r="C3483">
        <v>2002</v>
      </c>
      <c r="D3483" t="s">
        <v>196</v>
      </c>
    </row>
    <row r="3484" spans="1:5" hidden="1">
      <c r="A3484">
        <v>1.3</v>
      </c>
      <c r="C3484">
        <v>2003</v>
      </c>
      <c r="D3484" t="s">
        <v>196</v>
      </c>
    </row>
    <row r="3485" spans="1:5" hidden="1">
      <c r="A3485">
        <v>1.1000000000000001</v>
      </c>
      <c r="C3485">
        <v>2004</v>
      </c>
      <c r="D3485" t="s">
        <v>196</v>
      </c>
    </row>
    <row r="3486" spans="1:5" hidden="1">
      <c r="A3486">
        <v>1</v>
      </c>
      <c r="C3486">
        <v>2005</v>
      </c>
      <c r="D3486" t="s">
        <v>196</v>
      </c>
    </row>
    <row r="3487" spans="1:5" hidden="1">
      <c r="A3487">
        <v>1</v>
      </c>
      <c r="C3487">
        <v>2006</v>
      </c>
      <c r="D3487" t="s">
        <v>196</v>
      </c>
    </row>
    <row r="3488" spans="1:5" hidden="1">
      <c r="A3488">
        <v>0.9</v>
      </c>
      <c r="C3488">
        <v>2007</v>
      </c>
      <c r="D3488" t="s">
        <v>196</v>
      </c>
    </row>
    <row r="3489" spans="1:4" hidden="1">
      <c r="A3489">
        <v>0.9</v>
      </c>
      <c r="C3489">
        <v>2008</v>
      </c>
      <c r="D3489" t="s">
        <v>196</v>
      </c>
    </row>
    <row r="3490" spans="1:4" hidden="1">
      <c r="A3490">
        <v>0.9</v>
      </c>
      <c r="C3490">
        <v>2009</v>
      </c>
      <c r="D3490" t="s">
        <v>196</v>
      </c>
    </row>
    <row r="3491" spans="1:4" hidden="1">
      <c r="A3491">
        <v>0.8</v>
      </c>
      <c r="C3491">
        <v>2010</v>
      </c>
      <c r="D3491" t="s">
        <v>196</v>
      </c>
    </row>
    <row r="3492" spans="1:4" hidden="1">
      <c r="A3492">
        <v>0.9</v>
      </c>
      <c r="C3492">
        <v>2011</v>
      </c>
      <c r="D3492" t="s">
        <v>196</v>
      </c>
    </row>
    <row r="3493" spans="1:4" hidden="1">
      <c r="A3493">
        <v>0.8</v>
      </c>
      <c r="C3493">
        <v>2012</v>
      </c>
      <c r="D3493" t="s">
        <v>196</v>
      </c>
    </row>
    <row r="3494" spans="1:4" hidden="1">
      <c r="A3494">
        <v>0.8</v>
      </c>
      <c r="C3494">
        <v>2013</v>
      </c>
      <c r="D3494" t="s">
        <v>196</v>
      </c>
    </row>
    <row r="3495" spans="1:4" hidden="1">
      <c r="A3495">
        <v>0.8</v>
      </c>
      <c r="C3495">
        <v>2014</v>
      </c>
      <c r="D3495" t="s">
        <v>196</v>
      </c>
    </row>
    <row r="3496" spans="1:4" hidden="1">
      <c r="A3496">
        <v>0.8</v>
      </c>
      <c r="C3496">
        <v>2015</v>
      </c>
      <c r="D3496" t="s">
        <v>196</v>
      </c>
    </row>
    <row r="3497" spans="1:4" hidden="1">
      <c r="A3497">
        <v>0.8</v>
      </c>
      <c r="C3497">
        <v>2016</v>
      </c>
      <c r="D3497" t="s">
        <v>196</v>
      </c>
    </row>
    <row r="3498" spans="1:4" hidden="1">
      <c r="A3498">
        <v>0.8</v>
      </c>
      <c r="C3498">
        <v>2017</v>
      </c>
      <c r="D3498" t="s">
        <v>196</v>
      </c>
    </row>
    <row r="3499" spans="1:4" hidden="1">
      <c r="A3499">
        <v>0.9</v>
      </c>
      <c r="C3499">
        <v>2018</v>
      </c>
      <c r="D3499" t="s">
        <v>196</v>
      </c>
    </row>
    <row r="3500" spans="1:4" hidden="1">
      <c r="A3500">
        <v>0.1</v>
      </c>
      <c r="C3500">
        <v>2019</v>
      </c>
      <c r="D3500" t="s">
        <v>196</v>
      </c>
    </row>
    <row r="3501" spans="1:4" hidden="1">
      <c r="A3501">
        <v>2.7</v>
      </c>
      <c r="C3501">
        <v>2020</v>
      </c>
      <c r="D3501" t="s">
        <v>196</v>
      </c>
    </row>
    <row r="3502" spans="1:4" hidden="1">
      <c r="A3502">
        <v>2.8</v>
      </c>
      <c r="C3502">
        <v>2021</v>
      </c>
      <c r="D3502" t="s">
        <v>196</v>
      </c>
    </row>
    <row r="3503" spans="1:4" hidden="1">
      <c r="A3503">
        <v>0</v>
      </c>
      <c r="C3503">
        <v>2022</v>
      </c>
      <c r="D3503" t="s">
        <v>196</v>
      </c>
    </row>
    <row r="3504" spans="1:4" hidden="1">
      <c r="A3504">
        <v>1313</v>
      </c>
      <c r="B3504">
        <v>2000</v>
      </c>
      <c r="C3504" t="s">
        <v>196</v>
      </c>
    </row>
    <row r="3505" spans="1:3" hidden="1">
      <c r="A3505">
        <v>1303</v>
      </c>
      <c r="B3505">
        <v>2001</v>
      </c>
      <c r="C3505" t="s">
        <v>196</v>
      </c>
    </row>
    <row r="3506" spans="1:3" hidden="1">
      <c r="A3506">
        <v>1256</v>
      </c>
      <c r="B3506">
        <v>2002</v>
      </c>
      <c r="C3506" t="s">
        <v>196</v>
      </c>
    </row>
    <row r="3507" spans="1:3" hidden="1">
      <c r="A3507">
        <v>1318</v>
      </c>
      <c r="B3507">
        <v>2003</v>
      </c>
      <c r="C3507" t="s">
        <v>196</v>
      </c>
    </row>
    <row r="3508" spans="1:3" hidden="1">
      <c r="A3508">
        <v>1277</v>
      </c>
      <c r="B3508">
        <v>2004</v>
      </c>
      <c r="C3508" t="s">
        <v>196</v>
      </c>
    </row>
    <row r="3509" spans="1:3" hidden="1">
      <c r="A3509">
        <v>1256</v>
      </c>
      <c r="B3509">
        <v>2005</v>
      </c>
      <c r="C3509" t="s">
        <v>196</v>
      </c>
    </row>
    <row r="3510" spans="1:3" hidden="1">
      <c r="A3510">
        <v>1279</v>
      </c>
      <c r="B3510">
        <v>2006</v>
      </c>
      <c r="C3510" t="s">
        <v>196</v>
      </c>
    </row>
    <row r="3511" spans="1:3" hidden="1">
      <c r="A3511">
        <v>1248.4000000000001</v>
      </c>
      <c r="B3511">
        <v>2007</v>
      </c>
      <c r="C3511" t="s">
        <v>196</v>
      </c>
    </row>
    <row r="3512" spans="1:3" hidden="1">
      <c r="A3512">
        <v>1252</v>
      </c>
      <c r="B3512">
        <v>2008</v>
      </c>
      <c r="C3512" t="s">
        <v>196</v>
      </c>
    </row>
    <row r="3513" spans="1:3" hidden="1">
      <c r="A3513">
        <v>1235</v>
      </c>
      <c r="B3513">
        <v>2009</v>
      </c>
      <c r="C3513" t="s">
        <v>196</v>
      </c>
    </row>
    <row r="3514" spans="1:3" hidden="1">
      <c r="A3514">
        <v>1217.0999999999999</v>
      </c>
      <c r="B3514">
        <v>2010</v>
      </c>
      <c r="C3514" t="s">
        <v>196</v>
      </c>
    </row>
    <row r="3515" spans="1:3" hidden="1">
      <c r="A3515">
        <v>1229</v>
      </c>
      <c r="B3515">
        <v>2011</v>
      </c>
      <c r="C3515" t="s">
        <v>196</v>
      </c>
    </row>
    <row r="3516" spans="1:3" hidden="1">
      <c r="A3516">
        <v>1217.3</v>
      </c>
      <c r="B3516">
        <v>2012</v>
      </c>
      <c r="C3516" t="s">
        <v>196</v>
      </c>
    </row>
    <row r="3517" spans="1:3" hidden="1">
      <c r="A3517">
        <v>1221.8</v>
      </c>
      <c r="B3517">
        <v>2013</v>
      </c>
      <c r="C3517" t="s">
        <v>196</v>
      </c>
    </row>
    <row r="3518" spans="1:3" hidden="1">
      <c r="A3518">
        <v>1224.0999999999999</v>
      </c>
      <c r="B3518">
        <v>2014</v>
      </c>
      <c r="C3518" t="s">
        <v>196</v>
      </c>
    </row>
    <row r="3519" spans="1:3" hidden="1">
      <c r="A3519">
        <v>1237.2</v>
      </c>
      <c r="B3519">
        <v>2015</v>
      </c>
      <c r="C3519" t="s">
        <v>196</v>
      </c>
    </row>
    <row r="3520" spans="1:3" hidden="1">
      <c r="A3520">
        <v>1260.4000000000001</v>
      </c>
      <c r="B3520">
        <v>2016</v>
      </c>
      <c r="C3520" t="s">
        <v>196</v>
      </c>
    </row>
    <row r="3521" spans="1:8" hidden="1">
      <c r="A3521">
        <v>1199.4000000000001</v>
      </c>
      <c r="B3521">
        <v>2017</v>
      </c>
      <c r="C3521" t="s">
        <v>196</v>
      </c>
    </row>
    <row r="3522" spans="1:8" hidden="1">
      <c r="A3522">
        <v>1312.2</v>
      </c>
      <c r="B3522">
        <v>2018</v>
      </c>
      <c r="C3522" t="s">
        <v>196</v>
      </c>
    </row>
    <row r="3523" spans="1:8" hidden="1">
      <c r="A3523">
        <v>1302.2</v>
      </c>
      <c r="B3523">
        <v>2019</v>
      </c>
      <c r="C3523" t="s">
        <v>196</v>
      </c>
    </row>
    <row r="3524" spans="1:8" hidden="1">
      <c r="A3524">
        <v>1333.5</v>
      </c>
      <c r="B3524">
        <v>2020</v>
      </c>
      <c r="C3524" t="s">
        <v>196</v>
      </c>
    </row>
    <row r="3525" spans="1:8" hidden="1">
      <c r="A3525">
        <v>1294.8</v>
      </c>
      <c r="B3525">
        <v>2021</v>
      </c>
      <c r="C3525" t="s">
        <v>196</v>
      </c>
    </row>
    <row r="3526" spans="1:8" hidden="1">
      <c r="A3526">
        <v>1335.8</v>
      </c>
      <c r="B3526">
        <v>2022</v>
      </c>
      <c r="C3526" t="s">
        <v>196</v>
      </c>
    </row>
    <row r="3527" spans="1:8" hidden="1">
      <c r="A3527">
        <v>80</v>
      </c>
      <c r="G3527">
        <v>2000</v>
      </c>
      <c r="H3527" t="s">
        <v>204</v>
      </c>
    </row>
    <row r="3528" spans="1:8" hidden="1">
      <c r="A3528">
        <v>176.8</v>
      </c>
      <c r="G3528">
        <v>2001</v>
      </c>
      <c r="H3528" t="s">
        <v>204</v>
      </c>
    </row>
    <row r="3529" spans="1:8" hidden="1">
      <c r="A3529">
        <v>113.1</v>
      </c>
      <c r="G3529">
        <v>2002</v>
      </c>
      <c r="H3529" t="s">
        <v>204</v>
      </c>
    </row>
    <row r="3530" spans="1:8" hidden="1">
      <c r="A3530">
        <v>68.5</v>
      </c>
      <c r="G3530">
        <v>2003</v>
      </c>
      <c r="H3530" t="s">
        <v>204</v>
      </c>
    </row>
    <row r="3531" spans="1:8" hidden="1">
      <c r="A3531">
        <v>73.5</v>
      </c>
      <c r="G3531">
        <v>2004</v>
      </c>
      <c r="H3531" t="s">
        <v>204</v>
      </c>
    </row>
    <row r="3532" spans="1:8" hidden="1">
      <c r="A3532">
        <v>102.9</v>
      </c>
      <c r="G3532">
        <v>2005</v>
      </c>
      <c r="H3532" t="s">
        <v>204</v>
      </c>
    </row>
    <row r="3533" spans="1:8" hidden="1">
      <c r="A3533">
        <v>112.8</v>
      </c>
      <c r="G3533">
        <v>2006</v>
      </c>
      <c r="H3533" t="s">
        <v>204</v>
      </c>
    </row>
    <row r="3534" spans="1:8" hidden="1">
      <c r="A3534">
        <v>113</v>
      </c>
      <c r="G3534">
        <v>2007</v>
      </c>
      <c r="H3534" t="s">
        <v>204</v>
      </c>
    </row>
    <row r="3535" spans="1:8" hidden="1">
      <c r="A3535">
        <v>111.9</v>
      </c>
      <c r="G3535">
        <v>2008</v>
      </c>
      <c r="H3535" t="s">
        <v>204</v>
      </c>
    </row>
    <row r="3536" spans="1:8" hidden="1">
      <c r="A3536">
        <v>109.9</v>
      </c>
      <c r="G3536">
        <v>2009</v>
      </c>
      <c r="H3536" t="s">
        <v>204</v>
      </c>
    </row>
    <row r="3537" spans="1:8" hidden="1">
      <c r="A3537">
        <v>108.8</v>
      </c>
      <c r="G3537">
        <v>2010</v>
      </c>
      <c r="H3537" t="s">
        <v>204</v>
      </c>
    </row>
    <row r="3538" spans="1:8" hidden="1">
      <c r="A3538">
        <v>108.3</v>
      </c>
      <c r="G3538">
        <v>2011</v>
      </c>
      <c r="H3538" t="s">
        <v>204</v>
      </c>
    </row>
    <row r="3539" spans="1:8" hidden="1">
      <c r="A3539">
        <v>108.1</v>
      </c>
      <c r="G3539">
        <v>2012</v>
      </c>
      <c r="H3539" t="s">
        <v>204</v>
      </c>
    </row>
    <row r="3540" spans="1:8" hidden="1">
      <c r="A3540">
        <v>108</v>
      </c>
      <c r="G3540">
        <v>2013</v>
      </c>
      <c r="H3540" t="s">
        <v>204</v>
      </c>
    </row>
    <row r="3541" spans="1:8" hidden="1">
      <c r="A3541">
        <v>107.8</v>
      </c>
      <c r="G3541">
        <v>2014</v>
      </c>
      <c r="H3541" t="s">
        <v>204</v>
      </c>
    </row>
    <row r="3542" spans="1:8" hidden="1">
      <c r="A3542">
        <v>107.7</v>
      </c>
      <c r="G3542">
        <v>2015</v>
      </c>
      <c r="H3542" t="s">
        <v>204</v>
      </c>
    </row>
    <row r="3543" spans="1:8" hidden="1">
      <c r="A3543">
        <v>107.5</v>
      </c>
      <c r="G3543">
        <v>2016</v>
      </c>
      <c r="H3543" t="s">
        <v>204</v>
      </c>
    </row>
    <row r="3544" spans="1:8" hidden="1">
      <c r="A3544">
        <v>107.6</v>
      </c>
      <c r="G3544">
        <v>2017</v>
      </c>
      <c r="H3544" t="s">
        <v>204</v>
      </c>
    </row>
    <row r="3545" spans="1:8" hidden="1">
      <c r="A3545">
        <v>107.8</v>
      </c>
      <c r="G3545">
        <v>2018</v>
      </c>
      <c r="H3545" t="s">
        <v>204</v>
      </c>
    </row>
    <row r="3546" spans="1:8" hidden="1">
      <c r="A3546">
        <v>107.3</v>
      </c>
      <c r="G3546">
        <v>2019</v>
      </c>
      <c r="H3546" t="s">
        <v>204</v>
      </c>
    </row>
    <row r="3547" spans="1:8" hidden="1">
      <c r="A3547">
        <v>133.9</v>
      </c>
      <c r="G3547">
        <v>2020</v>
      </c>
      <c r="H3547" t="s">
        <v>204</v>
      </c>
    </row>
    <row r="3548" spans="1:8" hidden="1">
      <c r="A3548">
        <v>133.9</v>
      </c>
      <c r="G3548">
        <v>2021</v>
      </c>
      <c r="H3548" t="s">
        <v>204</v>
      </c>
    </row>
    <row r="3549" spans="1:8" hidden="1">
      <c r="A3549">
        <v>133.9</v>
      </c>
      <c r="G3549">
        <v>2022</v>
      </c>
      <c r="H3549" t="s">
        <v>204</v>
      </c>
    </row>
    <row r="3550" spans="1:8" hidden="1">
      <c r="A3550">
        <v>0</v>
      </c>
      <c r="E3550">
        <v>2000</v>
      </c>
      <c r="F3550" s="48" t="s">
        <v>204</v>
      </c>
    </row>
    <row r="3551" spans="1:8" hidden="1">
      <c r="A3551">
        <v>0</v>
      </c>
      <c r="E3551">
        <v>2001</v>
      </c>
      <c r="F3551" s="48" t="s">
        <v>204</v>
      </c>
    </row>
    <row r="3552" spans="1:8" hidden="1">
      <c r="A3552">
        <v>0</v>
      </c>
      <c r="E3552">
        <v>2002</v>
      </c>
      <c r="F3552" s="48" t="s">
        <v>204</v>
      </c>
    </row>
    <row r="3553" spans="1:6" hidden="1">
      <c r="A3553">
        <v>0</v>
      </c>
      <c r="E3553">
        <v>2003</v>
      </c>
      <c r="F3553" s="48" t="s">
        <v>204</v>
      </c>
    </row>
    <row r="3554" spans="1:6" hidden="1">
      <c r="A3554">
        <v>0</v>
      </c>
      <c r="E3554">
        <v>2004</v>
      </c>
      <c r="F3554" s="48" t="s">
        <v>204</v>
      </c>
    </row>
    <row r="3555" spans="1:6" hidden="1">
      <c r="A3555">
        <v>0</v>
      </c>
      <c r="E3555">
        <v>2005</v>
      </c>
      <c r="F3555" s="48" t="s">
        <v>204</v>
      </c>
    </row>
    <row r="3556" spans="1:6" hidden="1">
      <c r="A3556">
        <v>0</v>
      </c>
      <c r="E3556">
        <v>2006</v>
      </c>
      <c r="F3556" s="48" t="s">
        <v>204</v>
      </c>
    </row>
    <row r="3557" spans="1:6" hidden="1">
      <c r="A3557">
        <v>0</v>
      </c>
      <c r="E3557">
        <v>2007</v>
      </c>
      <c r="F3557" s="48" t="s">
        <v>204</v>
      </c>
    </row>
    <row r="3558" spans="1:6" hidden="1">
      <c r="A3558">
        <v>0</v>
      </c>
      <c r="E3558">
        <v>2008</v>
      </c>
      <c r="F3558" s="48" t="s">
        <v>204</v>
      </c>
    </row>
    <row r="3559" spans="1:6" hidden="1">
      <c r="A3559">
        <v>0</v>
      </c>
      <c r="E3559">
        <v>2009</v>
      </c>
      <c r="F3559" s="48" t="s">
        <v>204</v>
      </c>
    </row>
    <row r="3560" spans="1:6" hidden="1">
      <c r="A3560">
        <v>0</v>
      </c>
      <c r="E3560">
        <v>2010</v>
      </c>
      <c r="F3560" s="48" t="s">
        <v>204</v>
      </c>
    </row>
    <row r="3561" spans="1:6" hidden="1">
      <c r="A3561">
        <v>0</v>
      </c>
      <c r="E3561">
        <v>2011</v>
      </c>
      <c r="F3561" s="48" t="s">
        <v>204</v>
      </c>
    </row>
    <row r="3562" spans="1:6" hidden="1">
      <c r="A3562">
        <v>0</v>
      </c>
      <c r="E3562">
        <v>2012</v>
      </c>
      <c r="F3562" s="48" t="s">
        <v>204</v>
      </c>
    </row>
    <row r="3563" spans="1:6" hidden="1">
      <c r="A3563">
        <v>0</v>
      </c>
      <c r="E3563">
        <v>2013</v>
      </c>
      <c r="F3563" s="48" t="s">
        <v>204</v>
      </c>
    </row>
    <row r="3564" spans="1:6" hidden="1">
      <c r="A3564">
        <v>0</v>
      </c>
      <c r="E3564">
        <v>2014</v>
      </c>
      <c r="F3564" s="48" t="s">
        <v>204</v>
      </c>
    </row>
    <row r="3565" spans="1:6" hidden="1">
      <c r="A3565">
        <v>0</v>
      </c>
      <c r="E3565">
        <v>2015</v>
      </c>
      <c r="F3565" s="48" t="s">
        <v>204</v>
      </c>
    </row>
    <row r="3566" spans="1:6" hidden="1">
      <c r="A3566">
        <v>0</v>
      </c>
      <c r="E3566">
        <v>2016</v>
      </c>
      <c r="F3566" s="48" t="s">
        <v>204</v>
      </c>
    </row>
    <row r="3567" spans="1:6" hidden="1">
      <c r="A3567">
        <v>0</v>
      </c>
      <c r="E3567">
        <v>2017</v>
      </c>
      <c r="F3567" s="48" t="s">
        <v>204</v>
      </c>
    </row>
    <row r="3568" spans="1:6" hidden="1">
      <c r="A3568">
        <v>0</v>
      </c>
      <c r="E3568">
        <v>2018</v>
      </c>
      <c r="F3568" s="48" t="s">
        <v>204</v>
      </c>
    </row>
    <row r="3569" spans="1:6" hidden="1">
      <c r="A3569">
        <v>0</v>
      </c>
      <c r="E3569">
        <v>2019</v>
      </c>
      <c r="F3569" s="48" t="s">
        <v>204</v>
      </c>
    </row>
    <row r="3570" spans="1:6" hidden="1">
      <c r="A3570">
        <v>111.7</v>
      </c>
      <c r="E3570">
        <v>2020</v>
      </c>
      <c r="F3570" s="48" t="s">
        <v>204</v>
      </c>
    </row>
    <row r="3571" spans="1:6" hidden="1">
      <c r="A3571">
        <v>114.4</v>
      </c>
      <c r="E3571">
        <v>2021</v>
      </c>
      <c r="F3571" s="48" t="s">
        <v>204</v>
      </c>
    </row>
    <row r="3572" spans="1:6" hidden="1">
      <c r="A3572">
        <v>106</v>
      </c>
      <c r="E3572">
        <v>2022</v>
      </c>
      <c r="F3572" s="48" t="s">
        <v>204</v>
      </c>
    </row>
    <row r="3573" spans="1:6" hidden="1">
      <c r="A3573">
        <v>814.3</v>
      </c>
      <c r="D3573">
        <v>2000</v>
      </c>
      <c r="E3573" t="s">
        <v>204</v>
      </c>
    </row>
    <row r="3574" spans="1:6" hidden="1">
      <c r="A3574">
        <v>805.2</v>
      </c>
      <c r="D3574">
        <v>2001</v>
      </c>
      <c r="E3574" t="s">
        <v>204</v>
      </c>
    </row>
    <row r="3575" spans="1:6" hidden="1">
      <c r="A3575">
        <v>799</v>
      </c>
      <c r="D3575">
        <v>2002</v>
      </c>
      <c r="E3575" t="s">
        <v>204</v>
      </c>
    </row>
    <row r="3576" spans="1:6" hidden="1">
      <c r="A3576">
        <v>915</v>
      </c>
      <c r="D3576">
        <v>2003</v>
      </c>
      <c r="E3576" t="s">
        <v>204</v>
      </c>
    </row>
    <row r="3577" spans="1:6" hidden="1">
      <c r="A3577">
        <v>973.3</v>
      </c>
      <c r="D3577">
        <v>2004</v>
      </c>
      <c r="E3577" t="s">
        <v>204</v>
      </c>
    </row>
    <row r="3578" spans="1:6" hidden="1">
      <c r="A3578">
        <v>1154.4000000000001</v>
      </c>
      <c r="D3578">
        <v>2005</v>
      </c>
      <c r="E3578" t="s">
        <v>204</v>
      </c>
    </row>
    <row r="3579" spans="1:6" hidden="1">
      <c r="A3579">
        <v>1105.3</v>
      </c>
      <c r="D3579">
        <v>2006</v>
      </c>
      <c r="E3579" t="s">
        <v>204</v>
      </c>
    </row>
    <row r="3580" spans="1:6" hidden="1">
      <c r="A3580">
        <v>1191.2</v>
      </c>
      <c r="D3580">
        <v>2007</v>
      </c>
      <c r="E3580" t="s">
        <v>204</v>
      </c>
    </row>
    <row r="3581" spans="1:6" hidden="1">
      <c r="A3581">
        <v>1132.3</v>
      </c>
      <c r="D3581">
        <v>2008</v>
      </c>
      <c r="E3581" t="s">
        <v>204</v>
      </c>
    </row>
    <row r="3582" spans="1:6" hidden="1">
      <c r="A3582">
        <v>1027.2</v>
      </c>
      <c r="D3582">
        <v>2009</v>
      </c>
      <c r="E3582" t="s">
        <v>204</v>
      </c>
    </row>
    <row r="3583" spans="1:6" hidden="1">
      <c r="A3583">
        <v>1094.3</v>
      </c>
      <c r="D3583">
        <v>2010</v>
      </c>
      <c r="E3583" t="s">
        <v>204</v>
      </c>
    </row>
    <row r="3584" spans="1:6" hidden="1">
      <c r="A3584">
        <v>1101.5</v>
      </c>
      <c r="D3584">
        <v>2011</v>
      </c>
      <c r="E3584" t="s">
        <v>204</v>
      </c>
    </row>
    <row r="3585" spans="1:5" hidden="1">
      <c r="A3585">
        <v>1130.3</v>
      </c>
      <c r="D3585">
        <v>2012</v>
      </c>
      <c r="E3585" t="s">
        <v>204</v>
      </c>
    </row>
    <row r="3586" spans="1:5" hidden="1">
      <c r="A3586">
        <v>1171.4000000000001</v>
      </c>
      <c r="D3586">
        <v>2013</v>
      </c>
      <c r="E3586" t="s">
        <v>204</v>
      </c>
    </row>
    <row r="3587" spans="1:5" hidden="1">
      <c r="A3587">
        <v>1211.8</v>
      </c>
      <c r="D3587">
        <v>2014</v>
      </c>
      <c r="E3587" t="s">
        <v>204</v>
      </c>
    </row>
    <row r="3588" spans="1:5" hidden="1">
      <c r="A3588">
        <v>1168.2</v>
      </c>
      <c r="D3588">
        <v>2015</v>
      </c>
      <c r="E3588" t="s">
        <v>204</v>
      </c>
    </row>
    <row r="3589" spans="1:5" hidden="1">
      <c r="A3589">
        <v>1131</v>
      </c>
      <c r="D3589">
        <v>2016</v>
      </c>
      <c r="E3589" t="s">
        <v>204</v>
      </c>
    </row>
    <row r="3590" spans="1:5" hidden="1">
      <c r="A3590">
        <v>1131</v>
      </c>
      <c r="D3590">
        <v>2017</v>
      </c>
      <c r="E3590" t="s">
        <v>204</v>
      </c>
    </row>
    <row r="3591" spans="1:5" hidden="1">
      <c r="A3591">
        <v>1150.2</v>
      </c>
      <c r="D3591">
        <v>2018</v>
      </c>
      <c r="E3591" t="s">
        <v>204</v>
      </c>
    </row>
    <row r="3592" spans="1:5" hidden="1">
      <c r="A3592">
        <v>0</v>
      </c>
      <c r="D3592">
        <v>2019</v>
      </c>
      <c r="E3592" t="s">
        <v>204</v>
      </c>
    </row>
    <row r="3593" spans="1:5" hidden="1">
      <c r="A3593">
        <v>1154.2</v>
      </c>
      <c r="D3593">
        <v>2020</v>
      </c>
      <c r="E3593" t="s">
        <v>204</v>
      </c>
    </row>
    <row r="3594" spans="1:5" hidden="1">
      <c r="A3594">
        <v>1239.5999999999999</v>
      </c>
      <c r="D3594">
        <v>2021</v>
      </c>
      <c r="E3594" t="s">
        <v>204</v>
      </c>
    </row>
    <row r="3595" spans="1:5" hidden="1">
      <c r="A3595">
        <v>0</v>
      </c>
      <c r="D3595">
        <v>2022</v>
      </c>
      <c r="E3595" t="s">
        <v>204</v>
      </c>
    </row>
    <row r="3596" spans="1:5" hidden="1">
      <c r="A3596">
        <v>0</v>
      </c>
      <c r="C3596">
        <v>2000</v>
      </c>
      <c r="D3596" t="s">
        <v>204</v>
      </c>
    </row>
    <row r="3597" spans="1:5" hidden="1">
      <c r="A3597">
        <v>0</v>
      </c>
      <c r="C3597">
        <v>2001</v>
      </c>
      <c r="D3597" t="s">
        <v>204</v>
      </c>
    </row>
    <row r="3598" spans="1:5" hidden="1">
      <c r="A3598">
        <v>0</v>
      </c>
      <c r="C3598">
        <v>2002</v>
      </c>
      <c r="D3598" t="s">
        <v>204</v>
      </c>
    </row>
    <row r="3599" spans="1:5" hidden="1">
      <c r="A3599">
        <v>0</v>
      </c>
      <c r="C3599">
        <v>2003</v>
      </c>
      <c r="D3599" t="s">
        <v>204</v>
      </c>
    </row>
    <row r="3600" spans="1:5" hidden="1">
      <c r="A3600">
        <v>0</v>
      </c>
      <c r="C3600">
        <v>2004</v>
      </c>
      <c r="D3600" t="s">
        <v>204</v>
      </c>
    </row>
    <row r="3601" spans="1:4" hidden="1">
      <c r="A3601">
        <v>0</v>
      </c>
      <c r="C3601">
        <v>2005</v>
      </c>
      <c r="D3601" t="s">
        <v>204</v>
      </c>
    </row>
    <row r="3602" spans="1:4" hidden="1">
      <c r="A3602">
        <v>0</v>
      </c>
      <c r="C3602">
        <v>2006</v>
      </c>
      <c r="D3602" t="s">
        <v>204</v>
      </c>
    </row>
    <row r="3603" spans="1:4" hidden="1">
      <c r="A3603">
        <v>0</v>
      </c>
      <c r="C3603">
        <v>2007</v>
      </c>
      <c r="D3603" t="s">
        <v>204</v>
      </c>
    </row>
    <row r="3604" spans="1:4" hidden="1">
      <c r="A3604">
        <v>0</v>
      </c>
      <c r="C3604">
        <v>2008</v>
      </c>
      <c r="D3604" t="s">
        <v>204</v>
      </c>
    </row>
    <row r="3605" spans="1:4" hidden="1">
      <c r="A3605">
        <v>0</v>
      </c>
      <c r="C3605">
        <v>2009</v>
      </c>
      <c r="D3605" t="s">
        <v>204</v>
      </c>
    </row>
    <row r="3606" spans="1:4" hidden="1">
      <c r="A3606">
        <v>0</v>
      </c>
      <c r="C3606">
        <v>2010</v>
      </c>
      <c r="D3606" t="s">
        <v>204</v>
      </c>
    </row>
    <row r="3607" spans="1:4" hidden="1">
      <c r="A3607">
        <v>0</v>
      </c>
      <c r="C3607">
        <v>2011</v>
      </c>
      <c r="D3607" t="s">
        <v>204</v>
      </c>
    </row>
    <row r="3608" spans="1:4" hidden="1">
      <c r="A3608">
        <v>0</v>
      </c>
      <c r="C3608">
        <v>2012</v>
      </c>
      <c r="D3608" t="s">
        <v>204</v>
      </c>
    </row>
    <row r="3609" spans="1:4" hidden="1">
      <c r="A3609">
        <v>0</v>
      </c>
      <c r="C3609">
        <v>2013</v>
      </c>
      <c r="D3609" t="s">
        <v>204</v>
      </c>
    </row>
    <row r="3610" spans="1:4" hidden="1">
      <c r="A3610">
        <v>0</v>
      </c>
      <c r="C3610">
        <v>2014</v>
      </c>
      <c r="D3610" t="s">
        <v>204</v>
      </c>
    </row>
    <row r="3611" spans="1:4" hidden="1">
      <c r="A3611">
        <v>0</v>
      </c>
      <c r="C3611">
        <v>2015</v>
      </c>
      <c r="D3611" t="s">
        <v>204</v>
      </c>
    </row>
    <row r="3612" spans="1:4" hidden="1">
      <c r="A3612">
        <v>0</v>
      </c>
      <c r="C3612">
        <v>2016</v>
      </c>
      <c r="D3612" t="s">
        <v>204</v>
      </c>
    </row>
    <row r="3613" spans="1:4" hidden="1">
      <c r="A3613">
        <v>0</v>
      </c>
      <c r="C3613">
        <v>2017</v>
      </c>
      <c r="D3613" t="s">
        <v>204</v>
      </c>
    </row>
    <row r="3614" spans="1:4" hidden="1">
      <c r="A3614">
        <v>0</v>
      </c>
      <c r="C3614">
        <v>2018</v>
      </c>
      <c r="D3614" t="s">
        <v>204</v>
      </c>
    </row>
    <row r="3615" spans="1:4" hidden="1">
      <c r="A3615">
        <v>0</v>
      </c>
      <c r="C3615">
        <v>2019</v>
      </c>
      <c r="D3615" t="s">
        <v>204</v>
      </c>
    </row>
    <row r="3616" spans="1:4" hidden="1">
      <c r="A3616">
        <v>0</v>
      </c>
      <c r="C3616">
        <v>2020</v>
      </c>
      <c r="D3616" t="s">
        <v>204</v>
      </c>
    </row>
    <row r="3617" spans="1:4" hidden="1">
      <c r="A3617">
        <v>0</v>
      </c>
      <c r="C3617">
        <v>2021</v>
      </c>
      <c r="D3617" t="s">
        <v>204</v>
      </c>
    </row>
    <row r="3618" spans="1:4" hidden="1">
      <c r="A3618">
        <v>0</v>
      </c>
      <c r="C3618">
        <v>2022</v>
      </c>
      <c r="D3618" t="s">
        <v>204</v>
      </c>
    </row>
    <row r="3619" spans="1:4" hidden="1">
      <c r="A3619">
        <v>802</v>
      </c>
      <c r="B3619">
        <v>2000</v>
      </c>
      <c r="C3619" t="s">
        <v>204</v>
      </c>
    </row>
    <row r="3620" spans="1:4" hidden="1">
      <c r="A3620">
        <v>806</v>
      </c>
      <c r="B3620">
        <v>2001</v>
      </c>
      <c r="C3620" t="s">
        <v>204</v>
      </c>
    </row>
    <row r="3621" spans="1:4" hidden="1">
      <c r="A3621">
        <v>808</v>
      </c>
      <c r="B3621">
        <v>2002</v>
      </c>
      <c r="C3621" t="s">
        <v>204</v>
      </c>
    </row>
    <row r="3622" spans="1:4" hidden="1">
      <c r="A3622">
        <v>815</v>
      </c>
      <c r="B3622">
        <v>2003</v>
      </c>
      <c r="C3622" t="s">
        <v>204</v>
      </c>
    </row>
    <row r="3623" spans="1:4" hidden="1">
      <c r="A3623">
        <v>820</v>
      </c>
      <c r="B3623">
        <v>2004</v>
      </c>
      <c r="C3623" t="s">
        <v>204</v>
      </c>
    </row>
    <row r="3624" spans="1:4" hidden="1">
      <c r="A3624">
        <v>825</v>
      </c>
      <c r="B3624">
        <v>2005</v>
      </c>
      <c r="C3624" t="s">
        <v>204</v>
      </c>
    </row>
    <row r="3625" spans="1:4" hidden="1">
      <c r="A3625">
        <v>833</v>
      </c>
      <c r="B3625">
        <v>2006</v>
      </c>
      <c r="C3625" t="s">
        <v>204</v>
      </c>
    </row>
    <row r="3626" spans="1:4" hidden="1">
      <c r="A3626">
        <v>833</v>
      </c>
      <c r="B3626">
        <v>2007</v>
      </c>
      <c r="C3626" t="s">
        <v>204</v>
      </c>
    </row>
    <row r="3627" spans="1:4" hidden="1">
      <c r="A3627">
        <v>826</v>
      </c>
      <c r="B3627">
        <v>2008</v>
      </c>
      <c r="C3627" t="s">
        <v>204</v>
      </c>
    </row>
    <row r="3628" spans="1:4" hidden="1">
      <c r="A3628">
        <v>800</v>
      </c>
      <c r="B3628">
        <v>2009</v>
      </c>
      <c r="C3628" t="s">
        <v>204</v>
      </c>
    </row>
    <row r="3629" spans="1:4" hidden="1">
      <c r="A3629">
        <v>803</v>
      </c>
      <c r="B3629">
        <v>2010</v>
      </c>
      <c r="C3629" t="s">
        <v>204</v>
      </c>
    </row>
    <row r="3630" spans="1:4" hidden="1">
      <c r="A3630">
        <v>819</v>
      </c>
      <c r="B3630">
        <v>2011</v>
      </c>
      <c r="C3630" t="s">
        <v>204</v>
      </c>
    </row>
    <row r="3631" spans="1:4" hidden="1">
      <c r="A3631">
        <v>816</v>
      </c>
      <c r="B3631">
        <v>2012</v>
      </c>
      <c r="C3631" t="s">
        <v>204</v>
      </c>
    </row>
    <row r="3632" spans="1:4" hidden="1">
      <c r="A3632">
        <v>838</v>
      </c>
      <c r="B3632">
        <v>2013</v>
      </c>
      <c r="C3632" t="s">
        <v>204</v>
      </c>
    </row>
    <row r="3633" spans="1:8" hidden="1">
      <c r="A3633">
        <v>863</v>
      </c>
      <c r="B3633">
        <v>2014</v>
      </c>
      <c r="C3633" t="s">
        <v>204</v>
      </c>
    </row>
    <row r="3634" spans="1:8" hidden="1">
      <c r="A3634">
        <v>795.8</v>
      </c>
      <c r="B3634">
        <v>2015</v>
      </c>
      <c r="C3634" t="s">
        <v>204</v>
      </c>
    </row>
    <row r="3635" spans="1:8" hidden="1">
      <c r="A3635">
        <v>732.5</v>
      </c>
      <c r="B3635">
        <v>2016</v>
      </c>
      <c r="C3635" t="s">
        <v>204</v>
      </c>
    </row>
    <row r="3636" spans="1:8" hidden="1">
      <c r="A3636">
        <v>775.5</v>
      </c>
      <c r="B3636">
        <v>2017</v>
      </c>
      <c r="C3636" t="s">
        <v>204</v>
      </c>
    </row>
    <row r="3637" spans="1:8" hidden="1">
      <c r="A3637">
        <v>819.6</v>
      </c>
      <c r="B3637">
        <v>2018</v>
      </c>
      <c r="C3637" t="s">
        <v>204</v>
      </c>
    </row>
    <row r="3638" spans="1:8" hidden="1">
      <c r="A3638">
        <v>851</v>
      </c>
      <c r="B3638">
        <v>2019</v>
      </c>
      <c r="C3638" t="s">
        <v>204</v>
      </c>
    </row>
    <row r="3639" spans="1:8" hidden="1">
      <c r="A3639">
        <v>768.8</v>
      </c>
      <c r="B3639">
        <v>2020</v>
      </c>
      <c r="C3639" t="s">
        <v>204</v>
      </c>
    </row>
    <row r="3640" spans="1:8" hidden="1">
      <c r="A3640">
        <v>728</v>
      </c>
      <c r="B3640">
        <v>2021</v>
      </c>
      <c r="C3640" t="s">
        <v>204</v>
      </c>
    </row>
    <row r="3641" spans="1:8" hidden="1">
      <c r="A3641">
        <v>773.4</v>
      </c>
      <c r="B3641">
        <v>2022</v>
      </c>
      <c r="C3641" t="s">
        <v>204</v>
      </c>
    </row>
    <row r="3642" spans="1:8" hidden="1">
      <c r="A3642">
        <v>1062.5</v>
      </c>
      <c r="G3642">
        <v>2000</v>
      </c>
      <c r="H3642" t="s">
        <v>216</v>
      </c>
    </row>
    <row r="3643" spans="1:8" hidden="1">
      <c r="A3643">
        <v>1035.2</v>
      </c>
      <c r="G3643">
        <v>2001</v>
      </c>
      <c r="H3643" t="s">
        <v>216</v>
      </c>
    </row>
    <row r="3644" spans="1:8" hidden="1">
      <c r="A3644">
        <v>1110.0999999999999</v>
      </c>
      <c r="G3644">
        <v>2002</v>
      </c>
      <c r="H3644" t="s">
        <v>216</v>
      </c>
    </row>
    <row r="3645" spans="1:8" hidden="1">
      <c r="A3645">
        <v>1178.5999999999999</v>
      </c>
      <c r="G3645">
        <v>2003</v>
      </c>
      <c r="H3645" t="s">
        <v>216</v>
      </c>
    </row>
    <row r="3646" spans="1:8" hidden="1">
      <c r="A3646">
        <v>1224.7</v>
      </c>
      <c r="G3646">
        <v>2004</v>
      </c>
      <c r="H3646" t="s">
        <v>216</v>
      </c>
    </row>
    <row r="3647" spans="1:8" hidden="1">
      <c r="A3647">
        <v>1102.9000000000001</v>
      </c>
      <c r="G3647">
        <v>2005</v>
      </c>
      <c r="H3647" t="s">
        <v>216</v>
      </c>
    </row>
    <row r="3648" spans="1:8" hidden="1">
      <c r="A3648">
        <v>1094.9000000000001</v>
      </c>
      <c r="G3648">
        <v>2006</v>
      </c>
      <c r="H3648" t="s">
        <v>216</v>
      </c>
    </row>
    <row r="3649" spans="1:8" hidden="1">
      <c r="A3649">
        <v>1123.9000000000001</v>
      </c>
      <c r="G3649">
        <v>2007</v>
      </c>
      <c r="H3649" t="s">
        <v>216</v>
      </c>
    </row>
    <row r="3650" spans="1:8" hidden="1">
      <c r="A3650">
        <v>1150.8</v>
      </c>
      <c r="G3650">
        <v>2008</v>
      </c>
      <c r="H3650" t="s">
        <v>216</v>
      </c>
    </row>
    <row r="3651" spans="1:8" hidden="1">
      <c r="A3651">
        <v>1161.2</v>
      </c>
      <c r="G3651">
        <v>2009</v>
      </c>
      <c r="H3651" t="s">
        <v>216</v>
      </c>
    </row>
    <row r="3652" spans="1:8" hidden="1">
      <c r="A3652">
        <v>1314</v>
      </c>
      <c r="G3652">
        <v>2010</v>
      </c>
      <c r="H3652" t="s">
        <v>216</v>
      </c>
    </row>
    <row r="3653" spans="1:8" hidden="1">
      <c r="A3653">
        <v>1267.9000000000001</v>
      </c>
      <c r="G3653">
        <v>2011</v>
      </c>
      <c r="H3653" t="s">
        <v>216</v>
      </c>
    </row>
    <row r="3654" spans="1:8" hidden="1">
      <c r="A3654">
        <v>1258.0999999999999</v>
      </c>
      <c r="G3654">
        <v>2012</v>
      </c>
      <c r="H3654" t="s">
        <v>216</v>
      </c>
    </row>
    <row r="3655" spans="1:8" hidden="1">
      <c r="A3655">
        <v>1229.4000000000001</v>
      </c>
      <c r="G3655">
        <v>2013</v>
      </c>
      <c r="H3655" t="s">
        <v>216</v>
      </c>
    </row>
    <row r="3656" spans="1:8" hidden="1">
      <c r="A3656">
        <v>1203.7</v>
      </c>
      <c r="G3656">
        <v>2014</v>
      </c>
      <c r="H3656" t="s">
        <v>216</v>
      </c>
    </row>
    <row r="3657" spans="1:8" hidden="1">
      <c r="A3657">
        <v>1139.8</v>
      </c>
      <c r="G3657">
        <v>2015</v>
      </c>
      <c r="H3657" t="s">
        <v>216</v>
      </c>
    </row>
    <row r="3658" spans="1:8" hidden="1">
      <c r="A3658">
        <v>1190.9000000000001</v>
      </c>
      <c r="G3658">
        <v>2016</v>
      </c>
      <c r="H3658" t="s">
        <v>216</v>
      </c>
    </row>
    <row r="3659" spans="1:8" hidden="1">
      <c r="A3659">
        <v>1165.8</v>
      </c>
      <c r="G3659">
        <v>2017</v>
      </c>
      <c r="H3659" t="s">
        <v>216</v>
      </c>
    </row>
    <row r="3660" spans="1:8" hidden="1">
      <c r="A3660">
        <v>1117.5999999999999</v>
      </c>
      <c r="G3660">
        <v>2018</v>
      </c>
      <c r="H3660" t="s">
        <v>216</v>
      </c>
    </row>
    <row r="3661" spans="1:8" hidden="1">
      <c r="A3661">
        <v>1010.5</v>
      </c>
      <c r="G3661">
        <v>2019</v>
      </c>
      <c r="H3661" t="s">
        <v>216</v>
      </c>
    </row>
    <row r="3662" spans="1:8" hidden="1">
      <c r="A3662">
        <v>949.8</v>
      </c>
      <c r="G3662">
        <v>2020</v>
      </c>
      <c r="H3662" t="s">
        <v>216</v>
      </c>
    </row>
    <row r="3663" spans="1:8" hidden="1">
      <c r="A3663">
        <v>1000</v>
      </c>
      <c r="G3663">
        <v>2021</v>
      </c>
      <c r="H3663" t="s">
        <v>216</v>
      </c>
    </row>
    <row r="3664" spans="1:8" hidden="1">
      <c r="A3664">
        <v>986.8</v>
      </c>
      <c r="G3664">
        <v>2022</v>
      </c>
      <c r="H3664" t="s">
        <v>216</v>
      </c>
    </row>
    <row r="3665" spans="1:7" hidden="1">
      <c r="A3665">
        <v>2.5</v>
      </c>
      <c r="F3665" s="48">
        <v>2000</v>
      </c>
      <c r="G3665" t="s">
        <v>216</v>
      </c>
    </row>
    <row r="3666" spans="1:7" hidden="1">
      <c r="A3666">
        <v>2.2999999999999998</v>
      </c>
      <c r="F3666" s="48">
        <v>2001</v>
      </c>
      <c r="G3666" t="s">
        <v>216</v>
      </c>
    </row>
    <row r="3667" spans="1:7" hidden="1">
      <c r="A3667">
        <v>1.7</v>
      </c>
      <c r="F3667" s="48">
        <v>2002</v>
      </c>
      <c r="G3667" t="s">
        <v>216</v>
      </c>
    </row>
    <row r="3668" spans="1:7" hidden="1">
      <c r="A3668">
        <v>2</v>
      </c>
      <c r="F3668" s="48">
        <v>2003</v>
      </c>
      <c r="G3668" t="s">
        <v>216</v>
      </c>
    </row>
    <row r="3669" spans="1:7" hidden="1">
      <c r="A3669">
        <v>5.5</v>
      </c>
      <c r="F3669" s="48">
        <v>2004</v>
      </c>
      <c r="G3669" t="s">
        <v>216</v>
      </c>
    </row>
    <row r="3670" spans="1:7" hidden="1">
      <c r="A3670">
        <v>62.6</v>
      </c>
      <c r="F3670" s="48">
        <v>2005</v>
      </c>
      <c r="G3670" t="s">
        <v>216</v>
      </c>
    </row>
    <row r="3671" spans="1:7" hidden="1">
      <c r="A3671">
        <v>25</v>
      </c>
      <c r="F3671" s="48">
        <v>2006</v>
      </c>
      <c r="G3671" t="s">
        <v>216</v>
      </c>
    </row>
    <row r="3672" spans="1:7" hidden="1">
      <c r="A3672">
        <v>12.3</v>
      </c>
      <c r="F3672" s="48">
        <v>2007</v>
      </c>
      <c r="G3672" t="s">
        <v>216</v>
      </c>
    </row>
    <row r="3673" spans="1:7" hidden="1">
      <c r="A3673">
        <v>12.4</v>
      </c>
      <c r="F3673" s="48">
        <v>2008</v>
      </c>
      <c r="G3673" t="s">
        <v>216</v>
      </c>
    </row>
    <row r="3674" spans="1:7" hidden="1">
      <c r="A3674">
        <v>16.5</v>
      </c>
      <c r="F3674" s="48">
        <v>2009</v>
      </c>
      <c r="G3674" t="s">
        <v>216</v>
      </c>
    </row>
    <row r="3675" spans="1:7" hidden="1">
      <c r="A3675">
        <v>5.7</v>
      </c>
      <c r="F3675" s="48">
        <v>2010</v>
      </c>
      <c r="G3675" t="s">
        <v>216</v>
      </c>
    </row>
    <row r="3676" spans="1:7" hidden="1">
      <c r="A3676">
        <v>6.3</v>
      </c>
      <c r="F3676" s="48">
        <v>2011</v>
      </c>
      <c r="G3676" t="s">
        <v>216</v>
      </c>
    </row>
    <row r="3677" spans="1:7" hidden="1">
      <c r="A3677">
        <v>6.4</v>
      </c>
      <c r="F3677" s="48">
        <v>2012</v>
      </c>
      <c r="G3677" t="s">
        <v>216</v>
      </c>
    </row>
    <row r="3678" spans="1:7" hidden="1">
      <c r="A3678">
        <v>4</v>
      </c>
      <c r="F3678" s="48">
        <v>2013</v>
      </c>
      <c r="G3678" t="s">
        <v>216</v>
      </c>
    </row>
    <row r="3679" spans="1:7" hidden="1">
      <c r="A3679">
        <v>3.2</v>
      </c>
      <c r="F3679" s="48">
        <v>2014</v>
      </c>
      <c r="G3679" t="s">
        <v>216</v>
      </c>
    </row>
    <row r="3680" spans="1:7" hidden="1">
      <c r="A3680">
        <v>3.9</v>
      </c>
      <c r="F3680" s="48">
        <v>2015</v>
      </c>
      <c r="G3680" t="s">
        <v>216</v>
      </c>
    </row>
    <row r="3681" spans="1:10" hidden="1">
      <c r="A3681">
        <v>3.6</v>
      </c>
      <c r="F3681" s="48">
        <v>2016</v>
      </c>
      <c r="G3681" t="s">
        <v>216</v>
      </c>
    </row>
    <row r="3682" spans="1:10" hidden="1">
      <c r="A3682">
        <v>2.9</v>
      </c>
      <c r="F3682" s="48">
        <v>2017</v>
      </c>
      <c r="G3682" t="s">
        <v>216</v>
      </c>
    </row>
    <row r="3683" spans="1:10" hidden="1">
      <c r="A3683">
        <v>1.5</v>
      </c>
      <c r="F3683" s="48">
        <v>2018</v>
      </c>
      <c r="G3683" t="s">
        <v>216</v>
      </c>
    </row>
    <row r="3684" spans="1:10" hidden="1">
      <c r="A3684">
        <v>4.8</v>
      </c>
      <c r="F3684" s="48">
        <v>2019</v>
      </c>
      <c r="G3684" t="s">
        <v>216</v>
      </c>
    </row>
    <row r="3685" spans="1:10" hidden="1">
      <c r="A3685">
        <v>2.4</v>
      </c>
      <c r="F3685" s="48">
        <v>2020</v>
      </c>
      <c r="G3685" t="s">
        <v>216</v>
      </c>
    </row>
    <row r="3686" spans="1:10" hidden="1">
      <c r="A3686">
        <v>0.3</v>
      </c>
      <c r="F3686" s="48">
        <v>2021</v>
      </c>
      <c r="G3686" t="s">
        <v>216</v>
      </c>
    </row>
    <row r="3687" spans="1:10" hidden="1">
      <c r="A3687">
        <v>2.2000000000000002</v>
      </c>
      <c r="F3687" s="48">
        <v>2022</v>
      </c>
      <c r="G3687" t="s">
        <v>216</v>
      </c>
    </row>
    <row r="3688" spans="1:10">
      <c r="A3688">
        <v>6633.8</v>
      </c>
      <c r="E3688">
        <v>2000</v>
      </c>
      <c r="F3688" s="48" t="s">
        <v>216</v>
      </c>
      <c r="I3688">
        <f t="shared" ref="I3688:I3710" si="42">E3688</f>
        <v>2000</v>
      </c>
      <c r="J3688">
        <f t="shared" ref="J3688:J3710" si="43">A3688</f>
        <v>6633.8</v>
      </c>
    </row>
    <row r="3689" spans="1:10">
      <c r="A3689">
        <v>6588.5</v>
      </c>
      <c r="E3689">
        <v>2001</v>
      </c>
      <c r="F3689" s="48" t="s">
        <v>216</v>
      </c>
      <c r="I3689">
        <f t="shared" si="42"/>
        <v>2001</v>
      </c>
      <c r="J3689">
        <f t="shared" si="43"/>
        <v>6588.5</v>
      </c>
    </row>
    <row r="3690" spans="1:10">
      <c r="A3690">
        <v>6737.4</v>
      </c>
      <c r="E3690">
        <v>2002</v>
      </c>
      <c r="F3690" s="48" t="s">
        <v>216</v>
      </c>
      <c r="I3690">
        <f t="shared" si="42"/>
        <v>2002</v>
      </c>
      <c r="J3690">
        <f t="shared" si="43"/>
        <v>6737.4</v>
      </c>
    </row>
    <row r="3691" spans="1:10">
      <c r="A3691">
        <v>6954.6</v>
      </c>
      <c r="E3691">
        <v>2003</v>
      </c>
      <c r="F3691" s="48" t="s">
        <v>216</v>
      </c>
      <c r="I3691">
        <f t="shared" si="42"/>
        <v>2003</v>
      </c>
      <c r="J3691">
        <f t="shared" si="43"/>
        <v>6954.6</v>
      </c>
    </row>
    <row r="3692" spans="1:10">
      <c r="A3692">
        <v>6866.5</v>
      </c>
      <c r="E3692">
        <v>2004</v>
      </c>
      <c r="F3692" s="48" t="s">
        <v>216</v>
      </c>
      <c r="I3692">
        <f t="shared" si="42"/>
        <v>2004</v>
      </c>
      <c r="J3692">
        <f t="shared" si="43"/>
        <v>6866.5</v>
      </c>
    </row>
    <row r="3693" spans="1:10">
      <c r="A3693">
        <v>6710.6</v>
      </c>
      <c r="E3693">
        <v>2005</v>
      </c>
      <c r="F3693" s="48" t="s">
        <v>216</v>
      </c>
      <c r="I3693">
        <f t="shared" si="42"/>
        <v>2005</v>
      </c>
      <c r="J3693">
        <f t="shared" si="43"/>
        <v>6710.6</v>
      </c>
    </row>
    <row r="3694" spans="1:10">
      <c r="A3694">
        <v>7437.8</v>
      </c>
      <c r="E3694">
        <v>2006</v>
      </c>
      <c r="F3694" s="48" t="s">
        <v>216</v>
      </c>
      <c r="I3694">
        <f t="shared" si="42"/>
        <v>2006</v>
      </c>
      <c r="J3694">
        <f t="shared" si="43"/>
        <v>7437.8</v>
      </c>
    </row>
    <row r="3695" spans="1:10">
      <c r="A3695">
        <v>7213.1</v>
      </c>
      <c r="E3695">
        <v>2007</v>
      </c>
      <c r="F3695" s="48" t="s">
        <v>216</v>
      </c>
      <c r="I3695">
        <f t="shared" si="42"/>
        <v>2007</v>
      </c>
      <c r="J3695">
        <f t="shared" si="43"/>
        <v>7213.1</v>
      </c>
    </row>
    <row r="3696" spans="1:10">
      <c r="A3696">
        <v>6312.7</v>
      </c>
      <c r="E3696">
        <v>2008</v>
      </c>
      <c r="F3696" s="48" t="s">
        <v>216</v>
      </c>
      <c r="I3696">
        <f t="shared" si="42"/>
        <v>2008</v>
      </c>
      <c r="J3696">
        <f t="shared" si="43"/>
        <v>6312.7</v>
      </c>
    </row>
    <row r="3697" spans="1:10">
      <c r="A3697">
        <v>6548.5</v>
      </c>
      <c r="E3697">
        <v>2009</v>
      </c>
      <c r="F3697" s="48" t="s">
        <v>216</v>
      </c>
      <c r="I3697">
        <f t="shared" si="42"/>
        <v>2009</v>
      </c>
      <c r="J3697">
        <f t="shared" si="43"/>
        <v>6548.5</v>
      </c>
    </row>
    <row r="3698" spans="1:10">
      <c r="A3698">
        <v>6561</v>
      </c>
      <c r="E3698">
        <v>2010</v>
      </c>
      <c r="F3698" s="48" t="s">
        <v>216</v>
      </c>
      <c r="I3698">
        <f t="shared" si="42"/>
        <v>2010</v>
      </c>
      <c r="J3698">
        <f t="shared" si="43"/>
        <v>6561</v>
      </c>
    </row>
    <row r="3699" spans="1:10">
      <c r="A3699">
        <v>6889.7</v>
      </c>
      <c r="E3699">
        <v>2011</v>
      </c>
      <c r="F3699" s="48" t="s">
        <v>216</v>
      </c>
      <c r="I3699">
        <f t="shared" si="42"/>
        <v>2011</v>
      </c>
      <c r="J3699">
        <f t="shared" si="43"/>
        <v>6889.7</v>
      </c>
    </row>
    <row r="3700" spans="1:10">
      <c r="A3700">
        <v>6588.2</v>
      </c>
      <c r="E3700">
        <v>2012</v>
      </c>
      <c r="F3700" s="48" t="s">
        <v>216</v>
      </c>
      <c r="I3700">
        <f t="shared" si="42"/>
        <v>2012</v>
      </c>
      <c r="J3700">
        <f t="shared" si="43"/>
        <v>6588.2</v>
      </c>
    </row>
    <row r="3701" spans="1:10">
      <c r="A3701">
        <v>6472.5</v>
      </c>
      <c r="E3701">
        <v>2013</v>
      </c>
      <c r="F3701" s="48" t="s">
        <v>216</v>
      </c>
      <c r="I3701">
        <f t="shared" si="42"/>
        <v>2013</v>
      </c>
      <c r="J3701">
        <f t="shared" si="43"/>
        <v>6472.5</v>
      </c>
    </row>
    <row r="3702" spans="1:10">
      <c r="A3702">
        <v>6606.6</v>
      </c>
      <c r="E3702">
        <v>2014</v>
      </c>
      <c r="F3702" s="48" t="s">
        <v>216</v>
      </c>
      <c r="I3702">
        <f t="shared" si="42"/>
        <v>2014</v>
      </c>
      <c r="J3702">
        <f t="shared" si="43"/>
        <v>6606.6</v>
      </c>
    </row>
    <row r="3703" spans="1:10">
      <c r="A3703">
        <v>6389.7</v>
      </c>
      <c r="E3703">
        <v>2015</v>
      </c>
      <c r="F3703" s="48" t="s">
        <v>216</v>
      </c>
      <c r="I3703">
        <f t="shared" si="42"/>
        <v>2015</v>
      </c>
      <c r="J3703">
        <f t="shared" si="43"/>
        <v>6389.7</v>
      </c>
    </row>
    <row r="3704" spans="1:10">
      <c r="A3704">
        <v>6397.6</v>
      </c>
      <c r="E3704">
        <v>2016</v>
      </c>
      <c r="F3704" s="48" t="s">
        <v>216</v>
      </c>
      <c r="I3704">
        <f t="shared" si="42"/>
        <v>2016</v>
      </c>
      <c r="J3704">
        <f t="shared" si="43"/>
        <v>6397.6</v>
      </c>
    </row>
    <row r="3705" spans="1:10">
      <c r="A3705">
        <v>5979.7</v>
      </c>
      <c r="E3705">
        <v>2017</v>
      </c>
      <c r="F3705" s="48" t="s">
        <v>216</v>
      </c>
      <c r="I3705">
        <f t="shared" si="42"/>
        <v>2017</v>
      </c>
      <c r="J3705">
        <f t="shared" si="43"/>
        <v>5979.7</v>
      </c>
    </row>
    <row r="3706" spans="1:10">
      <c r="A3706">
        <v>5741.1</v>
      </c>
      <c r="E3706">
        <v>2018</v>
      </c>
      <c r="F3706" s="48" t="s">
        <v>216</v>
      </c>
      <c r="I3706">
        <f t="shared" si="42"/>
        <v>2018</v>
      </c>
      <c r="J3706">
        <f t="shared" si="43"/>
        <v>5741.1</v>
      </c>
    </row>
    <row r="3707" spans="1:10">
      <c r="A3707">
        <v>5273.9</v>
      </c>
      <c r="E3707">
        <v>2019</v>
      </c>
      <c r="F3707" s="48" t="s">
        <v>216</v>
      </c>
      <c r="I3707">
        <f t="shared" si="42"/>
        <v>2019</v>
      </c>
      <c r="J3707">
        <f t="shared" si="43"/>
        <v>5273.9</v>
      </c>
    </row>
    <row r="3708" spans="1:10">
      <c r="A3708">
        <v>4901.6000000000004</v>
      </c>
      <c r="E3708">
        <v>2020</v>
      </c>
      <c r="F3708" s="48" t="s">
        <v>216</v>
      </c>
      <c r="I3708">
        <f t="shared" si="42"/>
        <v>2020</v>
      </c>
      <c r="J3708">
        <f t="shared" si="43"/>
        <v>4901.6000000000004</v>
      </c>
    </row>
    <row r="3709" spans="1:10">
      <c r="A3709">
        <v>5216</v>
      </c>
      <c r="E3709">
        <v>2021</v>
      </c>
      <c r="F3709" s="48" t="s">
        <v>216</v>
      </c>
      <c r="I3709">
        <f t="shared" si="42"/>
        <v>2021</v>
      </c>
      <c r="J3709">
        <f t="shared" si="43"/>
        <v>5216</v>
      </c>
    </row>
    <row r="3710" spans="1:10">
      <c r="A3710">
        <v>5379</v>
      </c>
      <c r="E3710">
        <v>2022</v>
      </c>
      <c r="F3710" s="48" t="s">
        <v>216</v>
      </c>
      <c r="I3710">
        <f t="shared" si="42"/>
        <v>2022</v>
      </c>
      <c r="J3710">
        <f t="shared" si="43"/>
        <v>5379</v>
      </c>
    </row>
    <row r="3711" spans="1:10" hidden="1">
      <c r="A3711">
        <v>775.2</v>
      </c>
      <c r="D3711">
        <v>2000</v>
      </c>
      <c r="E3711" t="s">
        <v>216</v>
      </c>
    </row>
    <row r="3712" spans="1:10" hidden="1">
      <c r="A3712">
        <v>645.70000000000005</v>
      </c>
      <c r="D3712">
        <v>2001</v>
      </c>
      <c r="E3712" t="s">
        <v>216</v>
      </c>
    </row>
    <row r="3713" spans="1:5" hidden="1">
      <c r="A3713">
        <v>632.9</v>
      </c>
      <c r="D3713">
        <v>2002</v>
      </c>
      <c r="E3713" t="s">
        <v>216</v>
      </c>
    </row>
    <row r="3714" spans="1:5" hidden="1">
      <c r="A3714">
        <v>464.6</v>
      </c>
      <c r="D3714">
        <v>2003</v>
      </c>
      <c r="E3714" t="s">
        <v>216</v>
      </c>
    </row>
    <row r="3715" spans="1:5" hidden="1">
      <c r="A3715">
        <v>481.9</v>
      </c>
      <c r="D3715">
        <v>2004</v>
      </c>
      <c r="E3715" t="s">
        <v>216</v>
      </c>
    </row>
    <row r="3716" spans="1:5" hidden="1">
      <c r="A3716">
        <v>476.4</v>
      </c>
      <c r="D3716">
        <v>2005</v>
      </c>
      <c r="E3716" t="s">
        <v>216</v>
      </c>
    </row>
    <row r="3717" spans="1:5" hidden="1">
      <c r="A3717">
        <v>493.7</v>
      </c>
      <c r="D3717">
        <v>2006</v>
      </c>
      <c r="E3717" t="s">
        <v>216</v>
      </c>
    </row>
    <row r="3718" spans="1:5" hidden="1">
      <c r="A3718">
        <v>491.7</v>
      </c>
      <c r="D3718">
        <v>2007</v>
      </c>
      <c r="E3718" t="s">
        <v>216</v>
      </c>
    </row>
    <row r="3719" spans="1:5" hidden="1">
      <c r="A3719">
        <v>463.5</v>
      </c>
      <c r="D3719">
        <v>2008</v>
      </c>
      <c r="E3719" t="s">
        <v>216</v>
      </c>
    </row>
    <row r="3720" spans="1:5" hidden="1">
      <c r="A3720">
        <v>444.6</v>
      </c>
      <c r="D3720">
        <v>2009</v>
      </c>
      <c r="E3720" t="s">
        <v>216</v>
      </c>
    </row>
    <row r="3721" spans="1:5" hidden="1">
      <c r="A3721">
        <v>450.3</v>
      </c>
      <c r="D3721">
        <v>2010</v>
      </c>
      <c r="E3721" t="s">
        <v>216</v>
      </c>
    </row>
    <row r="3722" spans="1:5" hidden="1">
      <c r="A3722">
        <v>472.3</v>
      </c>
      <c r="D3722">
        <v>2011</v>
      </c>
      <c r="E3722" t="s">
        <v>216</v>
      </c>
    </row>
    <row r="3723" spans="1:5" hidden="1">
      <c r="A3723">
        <v>464.5</v>
      </c>
      <c r="D3723">
        <v>2012</v>
      </c>
      <c r="E3723" t="s">
        <v>216</v>
      </c>
    </row>
    <row r="3724" spans="1:5" hidden="1">
      <c r="A3724">
        <v>470.8</v>
      </c>
      <c r="D3724">
        <v>2013</v>
      </c>
      <c r="E3724" t="s">
        <v>216</v>
      </c>
    </row>
    <row r="3725" spans="1:5" hidden="1">
      <c r="A3725">
        <v>462.2</v>
      </c>
      <c r="D3725">
        <v>2014</v>
      </c>
      <c r="E3725" t="s">
        <v>216</v>
      </c>
    </row>
    <row r="3726" spans="1:5" hidden="1">
      <c r="A3726">
        <v>471.2</v>
      </c>
      <c r="D3726">
        <v>2015</v>
      </c>
      <c r="E3726" t="s">
        <v>216</v>
      </c>
    </row>
    <row r="3727" spans="1:5" hidden="1">
      <c r="A3727">
        <v>490.3</v>
      </c>
      <c r="D3727">
        <v>2016</v>
      </c>
      <c r="E3727" t="s">
        <v>216</v>
      </c>
    </row>
    <row r="3728" spans="1:5" hidden="1">
      <c r="A3728">
        <v>493.3</v>
      </c>
      <c r="D3728">
        <v>2017</v>
      </c>
      <c r="E3728" t="s">
        <v>216</v>
      </c>
    </row>
    <row r="3729" spans="1:5" hidden="1">
      <c r="A3729">
        <v>499</v>
      </c>
      <c r="D3729">
        <v>2018</v>
      </c>
      <c r="E3729" t="s">
        <v>216</v>
      </c>
    </row>
    <row r="3730" spans="1:5" hidden="1">
      <c r="A3730">
        <v>486.3</v>
      </c>
      <c r="D3730">
        <v>2019</v>
      </c>
      <c r="E3730" t="s">
        <v>216</v>
      </c>
    </row>
    <row r="3731" spans="1:5" hidden="1">
      <c r="A3731">
        <v>478.8</v>
      </c>
      <c r="D3731">
        <v>2020</v>
      </c>
      <c r="E3731" t="s">
        <v>216</v>
      </c>
    </row>
    <row r="3732" spans="1:5" hidden="1">
      <c r="A3732">
        <v>481.4</v>
      </c>
      <c r="D3732">
        <v>2021</v>
      </c>
      <c r="E3732" t="s">
        <v>216</v>
      </c>
    </row>
    <row r="3733" spans="1:5" hidden="1">
      <c r="A3733">
        <v>471.6</v>
      </c>
      <c r="D3733">
        <v>2022</v>
      </c>
      <c r="E3733" t="s">
        <v>216</v>
      </c>
    </row>
    <row r="3734" spans="1:5" hidden="1">
      <c r="A3734">
        <v>153.80000000000001</v>
      </c>
      <c r="C3734">
        <v>2000</v>
      </c>
      <c r="D3734" t="s">
        <v>216</v>
      </c>
    </row>
    <row r="3735" spans="1:5" hidden="1">
      <c r="A3735">
        <v>126.9</v>
      </c>
      <c r="C3735">
        <v>2001</v>
      </c>
      <c r="D3735" t="s">
        <v>216</v>
      </c>
    </row>
    <row r="3736" spans="1:5" hidden="1">
      <c r="A3736">
        <v>118.7</v>
      </c>
      <c r="C3736">
        <v>2002</v>
      </c>
      <c r="D3736" t="s">
        <v>216</v>
      </c>
    </row>
    <row r="3737" spans="1:5" hidden="1">
      <c r="A3737">
        <v>114</v>
      </c>
      <c r="C3737">
        <v>2003</v>
      </c>
      <c r="D3737" t="s">
        <v>216</v>
      </c>
    </row>
    <row r="3738" spans="1:5" hidden="1">
      <c r="A3738">
        <v>88.7</v>
      </c>
      <c r="C3738">
        <v>2004</v>
      </c>
      <c r="D3738" t="s">
        <v>216</v>
      </c>
    </row>
    <row r="3739" spans="1:5" hidden="1">
      <c r="A3739">
        <v>83.4</v>
      </c>
      <c r="C3739">
        <v>2005</v>
      </c>
      <c r="D3739" t="s">
        <v>216</v>
      </c>
    </row>
    <row r="3740" spans="1:5" hidden="1">
      <c r="A3740">
        <v>83.8</v>
      </c>
      <c r="C3740">
        <v>2006</v>
      </c>
      <c r="D3740" t="s">
        <v>216</v>
      </c>
    </row>
    <row r="3741" spans="1:5" hidden="1">
      <c r="A3741">
        <v>81.8</v>
      </c>
      <c r="C3741">
        <v>2007</v>
      </c>
      <c r="D3741" t="s">
        <v>216</v>
      </c>
    </row>
    <row r="3742" spans="1:5" hidden="1">
      <c r="A3742">
        <v>69.5</v>
      </c>
      <c r="C3742">
        <v>2008</v>
      </c>
      <c r="D3742" t="s">
        <v>216</v>
      </c>
    </row>
    <row r="3743" spans="1:5" hidden="1">
      <c r="A3743">
        <v>64.099999999999994</v>
      </c>
      <c r="C3743">
        <v>2009</v>
      </c>
      <c r="D3743" t="s">
        <v>216</v>
      </c>
    </row>
    <row r="3744" spans="1:5" hidden="1">
      <c r="A3744">
        <v>57.9</v>
      </c>
      <c r="C3744">
        <v>2010</v>
      </c>
      <c r="D3744" t="s">
        <v>216</v>
      </c>
    </row>
    <row r="3745" spans="1:4" hidden="1">
      <c r="A3745">
        <v>54.4</v>
      </c>
      <c r="C3745">
        <v>2011</v>
      </c>
      <c r="D3745" t="s">
        <v>216</v>
      </c>
    </row>
    <row r="3746" spans="1:4" hidden="1">
      <c r="A3746">
        <v>51.1</v>
      </c>
      <c r="C3746">
        <v>2012</v>
      </c>
      <c r="D3746" t="s">
        <v>216</v>
      </c>
    </row>
    <row r="3747" spans="1:4" hidden="1">
      <c r="A3747">
        <v>59.4</v>
      </c>
      <c r="C3747">
        <v>2013</v>
      </c>
      <c r="D3747" t="s">
        <v>216</v>
      </c>
    </row>
    <row r="3748" spans="1:4" hidden="1">
      <c r="A3748">
        <v>57.8</v>
      </c>
      <c r="C3748">
        <v>2014</v>
      </c>
      <c r="D3748" t="s">
        <v>216</v>
      </c>
    </row>
    <row r="3749" spans="1:4" hidden="1">
      <c r="A3749">
        <v>52.5</v>
      </c>
      <c r="C3749">
        <v>2015</v>
      </c>
      <c r="D3749" t="s">
        <v>216</v>
      </c>
    </row>
    <row r="3750" spans="1:4" hidden="1">
      <c r="A3750">
        <v>52.4</v>
      </c>
      <c r="C3750">
        <v>2016</v>
      </c>
      <c r="D3750" t="s">
        <v>216</v>
      </c>
    </row>
    <row r="3751" spans="1:4" hidden="1">
      <c r="A3751">
        <v>52.5</v>
      </c>
      <c r="C3751">
        <v>2017</v>
      </c>
      <c r="D3751" t="s">
        <v>216</v>
      </c>
    </row>
    <row r="3752" spans="1:4" hidden="1">
      <c r="A3752">
        <v>48.3</v>
      </c>
      <c r="C3752">
        <v>2018</v>
      </c>
      <c r="D3752" t="s">
        <v>216</v>
      </c>
    </row>
    <row r="3753" spans="1:4" hidden="1">
      <c r="A3753">
        <v>46.1</v>
      </c>
      <c r="C3753">
        <v>2019</v>
      </c>
      <c r="D3753" t="s">
        <v>216</v>
      </c>
    </row>
    <row r="3754" spans="1:4" hidden="1">
      <c r="A3754">
        <v>46.3</v>
      </c>
      <c r="C3754">
        <v>2020</v>
      </c>
      <c r="D3754" t="s">
        <v>216</v>
      </c>
    </row>
    <row r="3755" spans="1:4" hidden="1">
      <c r="A3755">
        <v>48.2</v>
      </c>
      <c r="C3755">
        <v>2021</v>
      </c>
      <c r="D3755" t="s">
        <v>216</v>
      </c>
    </row>
    <row r="3756" spans="1:4" hidden="1">
      <c r="A3756">
        <v>49.2</v>
      </c>
      <c r="C3756">
        <v>2022</v>
      </c>
      <c r="D3756" t="s">
        <v>216</v>
      </c>
    </row>
    <row r="3757" spans="1:4" hidden="1">
      <c r="A3757">
        <v>2350</v>
      </c>
      <c r="B3757">
        <v>2000</v>
      </c>
      <c r="C3757" t="s">
        <v>216</v>
      </c>
    </row>
    <row r="3758" spans="1:4" hidden="1">
      <c r="A3758">
        <v>2217.5</v>
      </c>
      <c r="B3758">
        <v>2001</v>
      </c>
      <c r="C3758" t="s">
        <v>216</v>
      </c>
    </row>
    <row r="3759" spans="1:4" hidden="1">
      <c r="A3759">
        <v>2170.5</v>
      </c>
      <c r="B3759">
        <v>2002</v>
      </c>
      <c r="C3759" t="s">
        <v>216</v>
      </c>
    </row>
    <row r="3760" spans="1:4" hidden="1">
      <c r="A3760">
        <v>2179.4</v>
      </c>
      <c r="B3760">
        <v>2003</v>
      </c>
      <c r="C3760" t="s">
        <v>216</v>
      </c>
    </row>
    <row r="3761" spans="1:3" hidden="1">
      <c r="A3761">
        <v>2102.6</v>
      </c>
      <c r="B3761">
        <v>2004</v>
      </c>
      <c r="C3761" t="s">
        <v>216</v>
      </c>
    </row>
    <row r="3762" spans="1:3" hidden="1">
      <c r="A3762">
        <v>2105.1999999999998</v>
      </c>
      <c r="B3762">
        <v>2005</v>
      </c>
      <c r="C3762" t="s">
        <v>216</v>
      </c>
    </row>
    <row r="3763" spans="1:3" hidden="1">
      <c r="A3763">
        <v>2128.6999999999998</v>
      </c>
      <c r="B3763">
        <v>2006</v>
      </c>
      <c r="C3763" t="s">
        <v>216</v>
      </c>
    </row>
    <row r="3764" spans="1:3" hidden="1">
      <c r="A3764">
        <v>2085.6</v>
      </c>
      <c r="B3764">
        <v>2007</v>
      </c>
      <c r="C3764" t="s">
        <v>216</v>
      </c>
    </row>
    <row r="3765" spans="1:3" hidden="1">
      <c r="A3765">
        <v>2103.6</v>
      </c>
      <c r="B3765">
        <v>2008</v>
      </c>
      <c r="C3765" t="s">
        <v>216</v>
      </c>
    </row>
    <row r="3766" spans="1:3" hidden="1">
      <c r="A3766">
        <v>2067.3000000000002</v>
      </c>
      <c r="B3766">
        <v>2009</v>
      </c>
      <c r="C3766" t="s">
        <v>216</v>
      </c>
    </row>
    <row r="3767" spans="1:3" hidden="1">
      <c r="A3767">
        <v>2062.4</v>
      </c>
      <c r="B3767">
        <v>2010</v>
      </c>
      <c r="C3767" t="s">
        <v>216</v>
      </c>
    </row>
    <row r="3768" spans="1:3" hidden="1">
      <c r="A3768">
        <v>2033</v>
      </c>
      <c r="B3768">
        <v>2011</v>
      </c>
      <c r="C3768" t="s">
        <v>216</v>
      </c>
    </row>
    <row r="3769" spans="1:3" hidden="1">
      <c r="A3769">
        <v>2030.8</v>
      </c>
      <c r="B3769">
        <v>2012</v>
      </c>
      <c r="C3769" t="s">
        <v>216</v>
      </c>
    </row>
    <row r="3770" spans="1:3" hidden="1">
      <c r="A3770">
        <v>1991.3</v>
      </c>
      <c r="B3770">
        <v>2013</v>
      </c>
      <c r="C3770" t="s">
        <v>216</v>
      </c>
    </row>
    <row r="3771" spans="1:3" hidden="1">
      <c r="A3771">
        <v>1988.1</v>
      </c>
      <c r="B3771">
        <v>2014</v>
      </c>
      <c r="C3771" t="s">
        <v>216</v>
      </c>
    </row>
    <row r="3772" spans="1:3" hidden="1">
      <c r="A3772">
        <v>2047.4</v>
      </c>
      <c r="B3772">
        <v>2015</v>
      </c>
      <c r="C3772" t="s">
        <v>216</v>
      </c>
    </row>
    <row r="3773" spans="1:3" hidden="1">
      <c r="A3773">
        <v>2046</v>
      </c>
      <c r="B3773">
        <v>2016</v>
      </c>
      <c r="C3773" t="s">
        <v>216</v>
      </c>
    </row>
    <row r="3774" spans="1:3" hidden="1">
      <c r="A3774">
        <v>2028.2</v>
      </c>
      <c r="B3774">
        <v>2017</v>
      </c>
      <c r="C3774" t="s">
        <v>216</v>
      </c>
    </row>
    <row r="3775" spans="1:3" hidden="1">
      <c r="A3775">
        <v>2128.5</v>
      </c>
      <c r="B3775">
        <v>2018</v>
      </c>
      <c r="C3775" t="s">
        <v>216</v>
      </c>
    </row>
    <row r="3776" spans="1:3" hidden="1">
      <c r="A3776">
        <v>2131.3000000000002</v>
      </c>
      <c r="B3776">
        <v>2019</v>
      </c>
      <c r="C3776" t="s">
        <v>216</v>
      </c>
    </row>
    <row r="3777" spans="1:8" hidden="1">
      <c r="A3777">
        <v>1955.1</v>
      </c>
      <c r="B3777">
        <v>2020</v>
      </c>
      <c r="C3777" t="s">
        <v>216</v>
      </c>
    </row>
    <row r="3778" spans="1:8" hidden="1">
      <c r="A3778">
        <v>2091.4</v>
      </c>
      <c r="B3778">
        <v>2021</v>
      </c>
      <c r="C3778" t="s">
        <v>216</v>
      </c>
    </row>
    <row r="3779" spans="1:8" hidden="1">
      <c r="A3779">
        <v>2343.9</v>
      </c>
      <c r="B3779">
        <v>2022</v>
      </c>
      <c r="C3779" t="s">
        <v>216</v>
      </c>
    </row>
    <row r="3780" spans="1:8" hidden="1">
      <c r="A3780">
        <v>4752.1000000000004</v>
      </c>
      <c r="G3780">
        <v>2000</v>
      </c>
      <c r="H3780" t="s">
        <v>218</v>
      </c>
    </row>
    <row r="3781" spans="1:8" hidden="1">
      <c r="A3781">
        <v>4136.7</v>
      </c>
      <c r="G3781">
        <v>2001</v>
      </c>
      <c r="H3781" t="s">
        <v>218</v>
      </c>
    </row>
    <row r="3782" spans="1:8" hidden="1">
      <c r="A3782">
        <v>3924.8</v>
      </c>
      <c r="G3782">
        <v>2002</v>
      </c>
      <c r="H3782" t="s">
        <v>218</v>
      </c>
    </row>
    <row r="3783" spans="1:8" hidden="1">
      <c r="A3783">
        <v>3745.7</v>
      </c>
      <c r="G3783">
        <v>2003</v>
      </c>
      <c r="H3783" t="s">
        <v>218</v>
      </c>
    </row>
    <row r="3784" spans="1:8" hidden="1">
      <c r="A3784">
        <v>3743.3</v>
      </c>
      <c r="G3784">
        <v>2004</v>
      </c>
      <c r="H3784" t="s">
        <v>218</v>
      </c>
    </row>
    <row r="3785" spans="1:8" hidden="1">
      <c r="A3785">
        <v>3654.1</v>
      </c>
      <c r="G3785">
        <v>2005</v>
      </c>
      <c r="H3785" t="s">
        <v>218</v>
      </c>
    </row>
    <row r="3786" spans="1:8" hidden="1">
      <c r="A3786">
        <v>3532.9</v>
      </c>
      <c r="G3786">
        <v>2006</v>
      </c>
      <c r="H3786" t="s">
        <v>218</v>
      </c>
    </row>
    <row r="3787" spans="1:8" hidden="1">
      <c r="A3787">
        <v>3388.1</v>
      </c>
      <c r="G3787">
        <v>2007</v>
      </c>
      <c r="H3787" t="s">
        <v>218</v>
      </c>
    </row>
    <row r="3788" spans="1:8" hidden="1">
      <c r="A3788">
        <v>3623.1</v>
      </c>
      <c r="G3788">
        <v>2008</v>
      </c>
      <c r="H3788" t="s">
        <v>218</v>
      </c>
    </row>
    <row r="3789" spans="1:8" hidden="1">
      <c r="A3789">
        <v>3436.3</v>
      </c>
      <c r="G3789">
        <v>2009</v>
      </c>
      <c r="H3789" t="s">
        <v>218</v>
      </c>
    </row>
    <row r="3790" spans="1:8" hidden="1">
      <c r="A3790">
        <v>3745.2</v>
      </c>
      <c r="G3790">
        <v>2010</v>
      </c>
      <c r="H3790" t="s">
        <v>218</v>
      </c>
    </row>
    <row r="3791" spans="1:8" hidden="1">
      <c r="A3791">
        <v>3751.9</v>
      </c>
      <c r="G3791">
        <v>2011</v>
      </c>
      <c r="H3791" t="s">
        <v>218</v>
      </c>
    </row>
    <row r="3792" spans="1:8" hidden="1">
      <c r="A3792">
        <v>3772.9</v>
      </c>
      <c r="G3792">
        <v>2012</v>
      </c>
      <c r="H3792" t="s">
        <v>218</v>
      </c>
    </row>
    <row r="3793" spans="1:10" hidden="1">
      <c r="A3793">
        <v>3832.2</v>
      </c>
      <c r="G3793">
        <v>2013</v>
      </c>
      <c r="H3793" t="s">
        <v>218</v>
      </c>
    </row>
    <row r="3794" spans="1:10" hidden="1">
      <c r="A3794">
        <v>3816.6</v>
      </c>
      <c r="G3794">
        <v>2014</v>
      </c>
      <c r="H3794" t="s">
        <v>218</v>
      </c>
    </row>
    <row r="3795" spans="1:10" hidden="1">
      <c r="A3795">
        <v>3815.3</v>
      </c>
      <c r="G3795">
        <v>2015</v>
      </c>
      <c r="H3795" t="s">
        <v>218</v>
      </c>
    </row>
    <row r="3796" spans="1:10" hidden="1">
      <c r="A3796">
        <v>3605</v>
      </c>
      <c r="G3796">
        <v>2016</v>
      </c>
      <c r="H3796" t="s">
        <v>218</v>
      </c>
    </row>
    <row r="3797" spans="1:10" hidden="1">
      <c r="A3797">
        <v>3419.5</v>
      </c>
      <c r="G3797">
        <v>2017</v>
      </c>
      <c r="H3797" t="s">
        <v>218</v>
      </c>
    </row>
    <row r="3798" spans="1:10" hidden="1">
      <c r="A3798">
        <v>3557.5</v>
      </c>
      <c r="G3798">
        <v>2018</v>
      </c>
      <c r="H3798" t="s">
        <v>218</v>
      </c>
    </row>
    <row r="3799" spans="1:10" hidden="1">
      <c r="A3799">
        <v>3820.2</v>
      </c>
      <c r="G3799">
        <v>2019</v>
      </c>
      <c r="H3799" t="s">
        <v>218</v>
      </c>
    </row>
    <row r="3800" spans="1:10" hidden="1">
      <c r="A3800">
        <v>3518.5</v>
      </c>
      <c r="G3800">
        <v>2020</v>
      </c>
      <c r="H3800" t="s">
        <v>218</v>
      </c>
    </row>
    <row r="3801" spans="1:10" hidden="1">
      <c r="A3801">
        <v>3425.3</v>
      </c>
      <c r="G3801">
        <v>2021</v>
      </c>
      <c r="H3801" t="s">
        <v>218</v>
      </c>
    </row>
    <row r="3802" spans="1:10" hidden="1">
      <c r="A3802">
        <v>3541.7</v>
      </c>
      <c r="G3802">
        <v>2022</v>
      </c>
      <c r="H3802" t="s">
        <v>218</v>
      </c>
    </row>
    <row r="3803" spans="1:10">
      <c r="A3803">
        <v>1388.7</v>
      </c>
      <c r="E3803">
        <v>2000</v>
      </c>
      <c r="F3803" s="48" t="s">
        <v>218</v>
      </c>
      <c r="I3803">
        <f t="shared" ref="I3803:I3825" si="44">E3803</f>
        <v>2000</v>
      </c>
      <c r="J3803">
        <f t="shared" ref="J3803:J3825" si="45">A3803</f>
        <v>1388.7</v>
      </c>
    </row>
    <row r="3804" spans="1:10">
      <c r="A3804">
        <v>1475.8</v>
      </c>
      <c r="E3804">
        <v>2001</v>
      </c>
      <c r="F3804" s="48" t="s">
        <v>218</v>
      </c>
      <c r="I3804">
        <f t="shared" si="44"/>
        <v>2001</v>
      </c>
      <c r="J3804">
        <f t="shared" si="45"/>
        <v>1475.8</v>
      </c>
    </row>
    <row r="3805" spans="1:10">
      <c r="A3805">
        <v>1463</v>
      </c>
      <c r="E3805">
        <v>2002</v>
      </c>
      <c r="F3805" s="48" t="s">
        <v>218</v>
      </c>
      <c r="I3805">
        <f t="shared" si="44"/>
        <v>2002</v>
      </c>
      <c r="J3805">
        <f t="shared" si="45"/>
        <v>1463</v>
      </c>
    </row>
    <row r="3806" spans="1:10">
      <c r="A3806">
        <v>1486.7</v>
      </c>
      <c r="E3806">
        <v>2003</v>
      </c>
      <c r="F3806" s="48" t="s">
        <v>218</v>
      </c>
      <c r="I3806">
        <f t="shared" si="44"/>
        <v>2003</v>
      </c>
      <c r="J3806">
        <f t="shared" si="45"/>
        <v>1486.7</v>
      </c>
    </row>
    <row r="3807" spans="1:10">
      <c r="A3807">
        <v>1431.2</v>
      </c>
      <c r="E3807">
        <v>2004</v>
      </c>
      <c r="F3807" s="48" t="s">
        <v>218</v>
      </c>
      <c r="I3807">
        <f t="shared" si="44"/>
        <v>2004</v>
      </c>
      <c r="J3807">
        <f t="shared" si="45"/>
        <v>1431.2</v>
      </c>
    </row>
    <row r="3808" spans="1:10">
      <c r="A3808">
        <v>1477.9</v>
      </c>
      <c r="E3808">
        <v>2005</v>
      </c>
      <c r="F3808" s="48" t="s">
        <v>218</v>
      </c>
      <c r="I3808">
        <f t="shared" si="44"/>
        <v>2005</v>
      </c>
      <c r="J3808">
        <f t="shared" si="45"/>
        <v>1477.9</v>
      </c>
    </row>
    <row r="3809" spans="1:10">
      <c r="A3809">
        <v>1556.1</v>
      </c>
      <c r="E3809">
        <v>2006</v>
      </c>
      <c r="F3809" s="48" t="s">
        <v>218</v>
      </c>
      <c r="I3809">
        <f t="shared" si="44"/>
        <v>2006</v>
      </c>
      <c r="J3809">
        <f t="shared" si="45"/>
        <v>1556.1</v>
      </c>
    </row>
    <row r="3810" spans="1:10">
      <c r="A3810">
        <v>1499.4</v>
      </c>
      <c r="E3810">
        <v>2007</v>
      </c>
      <c r="F3810" s="48" t="s">
        <v>218</v>
      </c>
      <c r="I3810">
        <f t="shared" si="44"/>
        <v>2007</v>
      </c>
      <c r="J3810">
        <f t="shared" si="45"/>
        <v>1499.4</v>
      </c>
    </row>
    <row r="3811" spans="1:10">
      <c r="A3811">
        <v>1458.8</v>
      </c>
      <c r="E3811">
        <v>2008</v>
      </c>
      <c r="F3811" s="48" t="s">
        <v>218</v>
      </c>
      <c r="I3811">
        <f t="shared" si="44"/>
        <v>2008</v>
      </c>
      <c r="J3811">
        <f t="shared" si="45"/>
        <v>1458.8</v>
      </c>
    </row>
    <row r="3812" spans="1:10">
      <c r="A3812">
        <v>618</v>
      </c>
      <c r="E3812">
        <v>2009</v>
      </c>
      <c r="F3812" s="48" t="s">
        <v>218</v>
      </c>
      <c r="I3812">
        <f t="shared" si="44"/>
        <v>2009</v>
      </c>
      <c r="J3812">
        <f t="shared" si="45"/>
        <v>618</v>
      </c>
    </row>
    <row r="3813" spans="1:10">
      <c r="A3813">
        <v>665.8</v>
      </c>
      <c r="E3813">
        <v>2010</v>
      </c>
      <c r="F3813" s="48" t="s">
        <v>218</v>
      </c>
      <c r="I3813">
        <f t="shared" si="44"/>
        <v>2010</v>
      </c>
      <c r="J3813">
        <f t="shared" si="45"/>
        <v>665.8</v>
      </c>
    </row>
    <row r="3814" spans="1:10">
      <c r="A3814">
        <v>645.79999999999995</v>
      </c>
      <c r="E3814">
        <v>2011</v>
      </c>
      <c r="F3814" s="48" t="s">
        <v>218</v>
      </c>
      <c r="I3814">
        <f t="shared" si="44"/>
        <v>2011</v>
      </c>
      <c r="J3814">
        <f t="shared" si="45"/>
        <v>645.79999999999995</v>
      </c>
    </row>
    <row r="3815" spans="1:10">
      <c r="A3815">
        <v>264.5</v>
      </c>
      <c r="E3815">
        <v>2012</v>
      </c>
      <c r="F3815" s="48" t="s">
        <v>218</v>
      </c>
      <c r="I3815">
        <f t="shared" si="44"/>
        <v>2012</v>
      </c>
      <c r="J3815">
        <f t="shared" si="45"/>
        <v>264.5</v>
      </c>
    </row>
    <row r="3816" spans="1:10">
      <c r="A3816">
        <v>636</v>
      </c>
      <c r="E3816">
        <v>2013</v>
      </c>
      <c r="F3816" s="48" t="s">
        <v>218</v>
      </c>
      <c r="I3816">
        <f t="shared" si="44"/>
        <v>2013</v>
      </c>
      <c r="J3816">
        <f t="shared" si="45"/>
        <v>636</v>
      </c>
    </row>
    <row r="3817" spans="1:10">
      <c r="A3817">
        <v>649.9</v>
      </c>
      <c r="E3817">
        <v>2014</v>
      </c>
      <c r="F3817" s="48" t="s">
        <v>218</v>
      </c>
      <c r="I3817">
        <f t="shared" si="44"/>
        <v>2014</v>
      </c>
      <c r="J3817">
        <f t="shared" si="45"/>
        <v>649.9</v>
      </c>
    </row>
    <row r="3818" spans="1:10">
      <c r="A3818">
        <v>645.20000000000005</v>
      </c>
      <c r="E3818">
        <v>2015</v>
      </c>
      <c r="F3818" s="48" t="s">
        <v>218</v>
      </c>
      <c r="I3818">
        <f t="shared" si="44"/>
        <v>2015</v>
      </c>
      <c r="J3818">
        <f t="shared" si="45"/>
        <v>645.20000000000005</v>
      </c>
    </row>
    <row r="3819" spans="1:10">
      <c r="A3819">
        <v>645.20000000000005</v>
      </c>
      <c r="E3819">
        <v>2016</v>
      </c>
      <c r="F3819" s="48" t="s">
        <v>218</v>
      </c>
      <c r="I3819">
        <f t="shared" si="44"/>
        <v>2016</v>
      </c>
      <c r="J3819">
        <f t="shared" si="45"/>
        <v>645.20000000000005</v>
      </c>
    </row>
    <row r="3820" spans="1:10">
      <c r="A3820">
        <v>264.5</v>
      </c>
      <c r="E3820">
        <v>2017</v>
      </c>
      <c r="F3820" s="48" t="s">
        <v>218</v>
      </c>
      <c r="I3820">
        <f t="shared" si="44"/>
        <v>2017</v>
      </c>
      <c r="J3820">
        <f t="shared" si="45"/>
        <v>264.5</v>
      </c>
    </row>
    <row r="3821" spans="1:10">
      <c r="A3821">
        <v>835.8</v>
      </c>
      <c r="E3821">
        <v>2018</v>
      </c>
      <c r="F3821" s="48" t="s">
        <v>218</v>
      </c>
      <c r="I3821">
        <f t="shared" si="44"/>
        <v>2018</v>
      </c>
      <c r="J3821">
        <f t="shared" si="45"/>
        <v>835.8</v>
      </c>
    </row>
    <row r="3822" spans="1:10">
      <c r="A3822">
        <v>632.9</v>
      </c>
      <c r="E3822">
        <v>2019</v>
      </c>
      <c r="F3822" s="48" t="s">
        <v>218</v>
      </c>
      <c r="I3822">
        <f t="shared" si="44"/>
        <v>2019</v>
      </c>
      <c r="J3822">
        <f t="shared" si="45"/>
        <v>632.9</v>
      </c>
    </row>
    <row r="3823" spans="1:10">
      <c r="A3823">
        <v>862.2</v>
      </c>
      <c r="E3823">
        <v>2020</v>
      </c>
      <c r="F3823" s="48" t="s">
        <v>218</v>
      </c>
      <c r="I3823">
        <f t="shared" si="44"/>
        <v>2020</v>
      </c>
      <c r="J3823">
        <f t="shared" si="45"/>
        <v>862.2</v>
      </c>
    </row>
    <row r="3824" spans="1:10">
      <c r="A3824">
        <v>786.9</v>
      </c>
      <c r="E3824">
        <v>2021</v>
      </c>
      <c r="F3824" s="48" t="s">
        <v>218</v>
      </c>
      <c r="I3824">
        <f t="shared" si="44"/>
        <v>2021</v>
      </c>
      <c r="J3824">
        <f t="shared" si="45"/>
        <v>786.9</v>
      </c>
    </row>
    <row r="3825" spans="1:10">
      <c r="A3825">
        <v>826.6</v>
      </c>
      <c r="E3825">
        <v>2022</v>
      </c>
      <c r="F3825" s="48" t="s">
        <v>218</v>
      </c>
      <c r="I3825">
        <f t="shared" si="44"/>
        <v>2022</v>
      </c>
      <c r="J3825">
        <f t="shared" si="45"/>
        <v>826.6</v>
      </c>
    </row>
    <row r="3826" spans="1:10" hidden="1">
      <c r="A3826">
        <v>786</v>
      </c>
      <c r="D3826">
        <v>2000</v>
      </c>
      <c r="E3826" t="s">
        <v>218</v>
      </c>
    </row>
    <row r="3827" spans="1:10" hidden="1">
      <c r="A3827">
        <v>676.7</v>
      </c>
      <c r="D3827">
        <v>2001</v>
      </c>
      <c r="E3827" t="s">
        <v>218</v>
      </c>
    </row>
    <row r="3828" spans="1:10" hidden="1">
      <c r="A3828">
        <v>689.8</v>
      </c>
      <c r="D3828">
        <v>2002</v>
      </c>
      <c r="E3828" t="s">
        <v>218</v>
      </c>
    </row>
    <row r="3829" spans="1:10" hidden="1">
      <c r="A3829">
        <v>516.29999999999995</v>
      </c>
      <c r="D3829">
        <v>2003</v>
      </c>
      <c r="E3829" t="s">
        <v>218</v>
      </c>
    </row>
    <row r="3830" spans="1:10" hidden="1">
      <c r="A3830">
        <v>525.70000000000005</v>
      </c>
      <c r="D3830">
        <v>2004</v>
      </c>
      <c r="E3830" t="s">
        <v>218</v>
      </c>
    </row>
    <row r="3831" spans="1:10" hidden="1">
      <c r="A3831">
        <v>544.29999999999995</v>
      </c>
      <c r="D3831">
        <v>2005</v>
      </c>
      <c r="E3831" t="s">
        <v>218</v>
      </c>
    </row>
    <row r="3832" spans="1:10" hidden="1">
      <c r="A3832">
        <v>555.20000000000005</v>
      </c>
      <c r="D3832">
        <v>2006</v>
      </c>
      <c r="E3832" t="s">
        <v>218</v>
      </c>
    </row>
    <row r="3833" spans="1:10" hidden="1">
      <c r="A3833">
        <v>551.29999999999995</v>
      </c>
      <c r="D3833">
        <v>2007</v>
      </c>
      <c r="E3833" t="s">
        <v>218</v>
      </c>
    </row>
    <row r="3834" spans="1:10" hidden="1">
      <c r="A3834">
        <v>500.9</v>
      </c>
      <c r="D3834">
        <v>2008</v>
      </c>
      <c r="E3834" t="s">
        <v>218</v>
      </c>
    </row>
    <row r="3835" spans="1:10" hidden="1">
      <c r="A3835">
        <v>461</v>
      </c>
      <c r="D3835">
        <v>2009</v>
      </c>
      <c r="E3835" t="s">
        <v>218</v>
      </c>
    </row>
    <row r="3836" spans="1:10" hidden="1">
      <c r="A3836">
        <v>466.3</v>
      </c>
      <c r="D3836">
        <v>2010</v>
      </c>
      <c r="E3836" t="s">
        <v>218</v>
      </c>
    </row>
    <row r="3837" spans="1:10" hidden="1">
      <c r="A3837">
        <v>467.6</v>
      </c>
      <c r="D3837">
        <v>2011</v>
      </c>
      <c r="E3837" t="s">
        <v>218</v>
      </c>
    </row>
    <row r="3838" spans="1:10" hidden="1">
      <c r="A3838">
        <v>383.7</v>
      </c>
      <c r="D3838">
        <v>2012</v>
      </c>
      <c r="E3838" t="s">
        <v>218</v>
      </c>
    </row>
    <row r="3839" spans="1:10" hidden="1">
      <c r="A3839">
        <v>421.8</v>
      </c>
      <c r="D3839">
        <v>2013</v>
      </c>
      <c r="E3839" t="s">
        <v>218</v>
      </c>
    </row>
    <row r="3840" spans="1:10" hidden="1">
      <c r="A3840">
        <v>414.6</v>
      </c>
      <c r="D3840">
        <v>2014</v>
      </c>
      <c r="E3840" t="s">
        <v>218</v>
      </c>
    </row>
    <row r="3841" spans="1:5" hidden="1">
      <c r="A3841">
        <v>434.7</v>
      </c>
      <c r="D3841">
        <v>2015</v>
      </c>
      <c r="E3841" t="s">
        <v>218</v>
      </c>
    </row>
    <row r="3842" spans="1:5" hidden="1">
      <c r="A3842">
        <v>419.8</v>
      </c>
      <c r="D3842">
        <v>2016</v>
      </c>
      <c r="E3842" t="s">
        <v>218</v>
      </c>
    </row>
    <row r="3843" spans="1:5" hidden="1">
      <c r="A3843">
        <v>405</v>
      </c>
      <c r="D3843">
        <v>2017</v>
      </c>
      <c r="E3843" t="s">
        <v>218</v>
      </c>
    </row>
    <row r="3844" spans="1:5" hidden="1">
      <c r="A3844">
        <v>405.9</v>
      </c>
      <c r="D3844">
        <v>2018</v>
      </c>
      <c r="E3844" t="s">
        <v>218</v>
      </c>
    </row>
    <row r="3845" spans="1:5" hidden="1">
      <c r="A3845">
        <v>322</v>
      </c>
      <c r="D3845">
        <v>2019</v>
      </c>
      <c r="E3845" t="s">
        <v>218</v>
      </c>
    </row>
    <row r="3846" spans="1:5" hidden="1">
      <c r="A3846">
        <v>478.5</v>
      </c>
      <c r="D3846">
        <v>2020</v>
      </c>
      <c r="E3846" t="s">
        <v>218</v>
      </c>
    </row>
    <row r="3847" spans="1:5" hidden="1">
      <c r="A3847">
        <v>708.8</v>
      </c>
      <c r="D3847">
        <v>2021</v>
      </c>
      <c r="E3847" t="s">
        <v>218</v>
      </c>
    </row>
    <row r="3848" spans="1:5" hidden="1">
      <c r="A3848">
        <v>652.9</v>
      </c>
      <c r="D3848">
        <v>2022</v>
      </c>
      <c r="E3848" t="s">
        <v>218</v>
      </c>
    </row>
    <row r="3849" spans="1:5" hidden="1">
      <c r="A3849">
        <v>0</v>
      </c>
      <c r="C3849">
        <v>2000</v>
      </c>
      <c r="D3849" t="s">
        <v>218</v>
      </c>
    </row>
    <row r="3850" spans="1:5" hidden="1">
      <c r="A3850">
        <v>0</v>
      </c>
      <c r="C3850">
        <v>2001</v>
      </c>
      <c r="D3850" t="s">
        <v>218</v>
      </c>
    </row>
    <row r="3851" spans="1:5" hidden="1">
      <c r="A3851">
        <v>0</v>
      </c>
      <c r="C3851">
        <v>2002</v>
      </c>
      <c r="D3851" t="s">
        <v>218</v>
      </c>
    </row>
    <row r="3852" spans="1:5" hidden="1">
      <c r="A3852">
        <v>0</v>
      </c>
      <c r="C3852">
        <v>2003</v>
      </c>
      <c r="D3852" t="s">
        <v>218</v>
      </c>
    </row>
    <row r="3853" spans="1:5" hidden="1">
      <c r="A3853">
        <v>0</v>
      </c>
      <c r="C3853">
        <v>2004</v>
      </c>
      <c r="D3853" t="s">
        <v>218</v>
      </c>
    </row>
    <row r="3854" spans="1:5" hidden="1">
      <c r="A3854">
        <v>0</v>
      </c>
      <c r="C3854">
        <v>2005</v>
      </c>
      <c r="D3854" t="s">
        <v>218</v>
      </c>
    </row>
    <row r="3855" spans="1:5" hidden="1">
      <c r="A3855">
        <v>0</v>
      </c>
      <c r="C3855">
        <v>2006</v>
      </c>
      <c r="D3855" t="s">
        <v>218</v>
      </c>
    </row>
    <row r="3856" spans="1:5" hidden="1">
      <c r="A3856">
        <v>1.7</v>
      </c>
      <c r="C3856">
        <v>2007</v>
      </c>
      <c r="D3856" t="s">
        <v>218</v>
      </c>
    </row>
    <row r="3857" spans="1:4" hidden="1">
      <c r="A3857">
        <v>0</v>
      </c>
      <c r="C3857">
        <v>2008</v>
      </c>
      <c r="D3857" t="s">
        <v>218</v>
      </c>
    </row>
    <row r="3858" spans="1:4" hidden="1">
      <c r="A3858">
        <v>0</v>
      </c>
      <c r="C3858">
        <v>2009</v>
      </c>
      <c r="D3858" t="s">
        <v>218</v>
      </c>
    </row>
    <row r="3859" spans="1:4" hidden="1">
      <c r="A3859">
        <v>0</v>
      </c>
      <c r="C3859">
        <v>2010</v>
      </c>
      <c r="D3859" t="s">
        <v>218</v>
      </c>
    </row>
    <row r="3860" spans="1:4" hidden="1">
      <c r="A3860">
        <v>0</v>
      </c>
      <c r="C3860">
        <v>2011</v>
      </c>
      <c r="D3860" t="s">
        <v>218</v>
      </c>
    </row>
    <row r="3861" spans="1:4" hidden="1">
      <c r="A3861">
        <v>0</v>
      </c>
      <c r="C3861">
        <v>2012</v>
      </c>
      <c r="D3861" t="s">
        <v>218</v>
      </c>
    </row>
    <row r="3862" spans="1:4" hidden="1">
      <c r="A3862">
        <v>0</v>
      </c>
      <c r="C3862">
        <v>2013</v>
      </c>
      <c r="D3862" t="s">
        <v>218</v>
      </c>
    </row>
    <row r="3863" spans="1:4" hidden="1">
      <c r="A3863">
        <v>0</v>
      </c>
      <c r="C3863">
        <v>2014</v>
      </c>
      <c r="D3863" t="s">
        <v>218</v>
      </c>
    </row>
    <row r="3864" spans="1:4" hidden="1">
      <c r="A3864">
        <v>0</v>
      </c>
      <c r="C3864">
        <v>2015</v>
      </c>
      <c r="D3864" t="s">
        <v>218</v>
      </c>
    </row>
    <row r="3865" spans="1:4" hidden="1">
      <c r="A3865">
        <v>0</v>
      </c>
      <c r="C3865">
        <v>2016</v>
      </c>
      <c r="D3865" t="s">
        <v>218</v>
      </c>
    </row>
    <row r="3866" spans="1:4" hidden="1">
      <c r="A3866">
        <v>0</v>
      </c>
      <c r="C3866">
        <v>2017</v>
      </c>
      <c r="D3866" t="s">
        <v>218</v>
      </c>
    </row>
    <row r="3867" spans="1:4" hidden="1">
      <c r="A3867">
        <v>0</v>
      </c>
      <c r="C3867">
        <v>2018</v>
      </c>
      <c r="D3867" t="s">
        <v>218</v>
      </c>
    </row>
    <row r="3868" spans="1:4" hidden="1">
      <c r="A3868">
        <v>0</v>
      </c>
      <c r="C3868">
        <v>2019</v>
      </c>
      <c r="D3868" t="s">
        <v>218</v>
      </c>
    </row>
    <row r="3869" spans="1:4" hidden="1">
      <c r="A3869">
        <v>0</v>
      </c>
      <c r="C3869">
        <v>2020</v>
      </c>
      <c r="D3869" t="s">
        <v>218</v>
      </c>
    </row>
    <row r="3870" spans="1:4" hidden="1">
      <c r="A3870">
        <v>0</v>
      </c>
      <c r="C3870">
        <v>2021</v>
      </c>
      <c r="D3870" t="s">
        <v>218</v>
      </c>
    </row>
    <row r="3871" spans="1:4" hidden="1">
      <c r="A3871">
        <v>0</v>
      </c>
      <c r="C3871">
        <v>2022</v>
      </c>
      <c r="D3871" t="s">
        <v>218</v>
      </c>
    </row>
    <row r="3872" spans="1:4" hidden="1">
      <c r="A3872">
        <v>624</v>
      </c>
      <c r="B3872">
        <v>2000</v>
      </c>
      <c r="C3872" t="s">
        <v>218</v>
      </c>
    </row>
    <row r="3873" spans="1:3" hidden="1">
      <c r="A3873">
        <v>663.4</v>
      </c>
      <c r="B3873">
        <v>2001</v>
      </c>
      <c r="C3873" t="s">
        <v>218</v>
      </c>
    </row>
    <row r="3874" spans="1:3" hidden="1">
      <c r="A3874">
        <v>634.5</v>
      </c>
      <c r="B3874">
        <v>2002</v>
      </c>
      <c r="C3874" t="s">
        <v>218</v>
      </c>
    </row>
    <row r="3875" spans="1:3" hidden="1">
      <c r="A3875">
        <v>610.29999999999995</v>
      </c>
      <c r="B3875">
        <v>2003</v>
      </c>
      <c r="C3875" t="s">
        <v>218</v>
      </c>
    </row>
    <row r="3876" spans="1:3" hidden="1">
      <c r="A3876">
        <v>593.70000000000005</v>
      </c>
      <c r="B3876">
        <v>2004</v>
      </c>
      <c r="C3876" t="s">
        <v>218</v>
      </c>
    </row>
    <row r="3877" spans="1:3" hidden="1">
      <c r="A3877">
        <v>1086.2</v>
      </c>
      <c r="B3877">
        <v>2005</v>
      </c>
      <c r="C3877" t="s">
        <v>218</v>
      </c>
    </row>
    <row r="3878" spans="1:3" hidden="1">
      <c r="A3878">
        <v>910.8</v>
      </c>
      <c r="B3878">
        <v>2006</v>
      </c>
      <c r="C3878" t="s">
        <v>218</v>
      </c>
    </row>
    <row r="3879" spans="1:3" hidden="1">
      <c r="A3879">
        <v>976.3</v>
      </c>
      <c r="B3879">
        <v>2007</v>
      </c>
      <c r="C3879" t="s">
        <v>218</v>
      </c>
    </row>
    <row r="3880" spans="1:3" hidden="1">
      <c r="A3880">
        <v>906.5</v>
      </c>
      <c r="B3880">
        <v>2008</v>
      </c>
      <c r="C3880" t="s">
        <v>218</v>
      </c>
    </row>
    <row r="3881" spans="1:3" hidden="1">
      <c r="A3881">
        <v>933.6</v>
      </c>
      <c r="B3881">
        <v>2009</v>
      </c>
      <c r="C3881" t="s">
        <v>218</v>
      </c>
    </row>
    <row r="3882" spans="1:3" hidden="1">
      <c r="A3882">
        <v>683</v>
      </c>
      <c r="B3882">
        <v>2010</v>
      </c>
      <c r="C3882" t="s">
        <v>218</v>
      </c>
    </row>
    <row r="3883" spans="1:3" hidden="1">
      <c r="A3883">
        <v>873.4</v>
      </c>
      <c r="B3883">
        <v>2011</v>
      </c>
      <c r="C3883" t="s">
        <v>218</v>
      </c>
    </row>
    <row r="3884" spans="1:3" hidden="1">
      <c r="A3884">
        <v>879.8</v>
      </c>
      <c r="B3884">
        <v>2012</v>
      </c>
      <c r="C3884" t="s">
        <v>218</v>
      </c>
    </row>
    <row r="3885" spans="1:3" hidden="1">
      <c r="A3885">
        <v>856.8</v>
      </c>
      <c r="B3885">
        <v>2013</v>
      </c>
      <c r="C3885" t="s">
        <v>218</v>
      </c>
    </row>
    <row r="3886" spans="1:3" hidden="1">
      <c r="A3886">
        <v>834.7</v>
      </c>
      <c r="B3886">
        <v>2014</v>
      </c>
      <c r="C3886" t="s">
        <v>218</v>
      </c>
    </row>
    <row r="3887" spans="1:3" hidden="1">
      <c r="A3887">
        <v>848.8</v>
      </c>
      <c r="B3887">
        <v>2015</v>
      </c>
      <c r="C3887" t="s">
        <v>218</v>
      </c>
    </row>
    <row r="3888" spans="1:3" hidden="1">
      <c r="A3888">
        <v>854.6</v>
      </c>
      <c r="B3888">
        <v>2016</v>
      </c>
      <c r="C3888" t="s">
        <v>218</v>
      </c>
    </row>
    <row r="3889" spans="1:8" hidden="1">
      <c r="A3889">
        <v>912.1</v>
      </c>
      <c r="B3889">
        <v>2017</v>
      </c>
      <c r="C3889" t="s">
        <v>218</v>
      </c>
    </row>
    <row r="3890" spans="1:8" hidden="1">
      <c r="A3890">
        <v>880.4</v>
      </c>
      <c r="B3890">
        <v>2018</v>
      </c>
      <c r="C3890" t="s">
        <v>218</v>
      </c>
    </row>
    <row r="3891" spans="1:8" hidden="1">
      <c r="A3891">
        <v>892.9</v>
      </c>
      <c r="B3891">
        <v>2019</v>
      </c>
      <c r="C3891" t="s">
        <v>218</v>
      </c>
    </row>
    <row r="3892" spans="1:8" hidden="1">
      <c r="A3892">
        <v>920.1</v>
      </c>
      <c r="B3892">
        <v>2020</v>
      </c>
      <c r="C3892" t="s">
        <v>218</v>
      </c>
    </row>
    <row r="3893" spans="1:8" hidden="1">
      <c r="A3893">
        <v>816.8</v>
      </c>
      <c r="B3893">
        <v>2021</v>
      </c>
      <c r="C3893" t="s">
        <v>218</v>
      </c>
    </row>
    <row r="3894" spans="1:8" hidden="1">
      <c r="A3894">
        <v>821</v>
      </c>
      <c r="B3894">
        <v>2022</v>
      </c>
      <c r="C3894" t="s">
        <v>218</v>
      </c>
    </row>
    <row r="3895" spans="1:8" hidden="1">
      <c r="A3895">
        <v>967</v>
      </c>
      <c r="G3895">
        <v>2000</v>
      </c>
      <c r="H3895" t="s">
        <v>228</v>
      </c>
    </row>
    <row r="3896" spans="1:8" hidden="1">
      <c r="A3896">
        <v>1044</v>
      </c>
      <c r="G3896">
        <v>2001</v>
      </c>
      <c r="H3896" t="s">
        <v>228</v>
      </c>
    </row>
    <row r="3897" spans="1:8" hidden="1">
      <c r="A3897">
        <v>1217</v>
      </c>
      <c r="G3897">
        <v>2002</v>
      </c>
      <c r="H3897" t="s">
        <v>228</v>
      </c>
    </row>
    <row r="3898" spans="1:8" hidden="1">
      <c r="A3898">
        <v>1307</v>
      </c>
      <c r="G3898">
        <v>2003</v>
      </c>
      <c r="H3898" t="s">
        <v>228</v>
      </c>
    </row>
    <row r="3899" spans="1:8" hidden="1">
      <c r="A3899">
        <v>725</v>
      </c>
      <c r="G3899">
        <v>2004</v>
      </c>
      <c r="H3899" t="s">
        <v>228</v>
      </c>
    </row>
    <row r="3900" spans="1:8" hidden="1">
      <c r="A3900">
        <v>518</v>
      </c>
      <c r="G3900">
        <v>2005</v>
      </c>
      <c r="H3900" t="s">
        <v>228</v>
      </c>
    </row>
    <row r="3901" spans="1:8" hidden="1">
      <c r="A3901">
        <v>546</v>
      </c>
      <c r="G3901">
        <v>2006</v>
      </c>
      <c r="H3901" t="s">
        <v>228</v>
      </c>
    </row>
    <row r="3902" spans="1:8" hidden="1">
      <c r="A3902">
        <v>1117</v>
      </c>
      <c r="G3902">
        <v>2007</v>
      </c>
      <c r="H3902" t="s">
        <v>228</v>
      </c>
    </row>
    <row r="3903" spans="1:8" hidden="1">
      <c r="A3903">
        <v>1102</v>
      </c>
      <c r="G3903">
        <v>2008</v>
      </c>
      <c r="H3903" t="s">
        <v>228</v>
      </c>
    </row>
    <row r="3904" spans="1:8" hidden="1">
      <c r="A3904">
        <v>1191</v>
      </c>
      <c r="G3904">
        <v>2009</v>
      </c>
      <c r="H3904" t="s">
        <v>228</v>
      </c>
    </row>
    <row r="3905" spans="1:8" hidden="1">
      <c r="A3905">
        <v>748</v>
      </c>
      <c r="G3905">
        <v>2010</v>
      </c>
      <c r="H3905" t="s">
        <v>228</v>
      </c>
    </row>
    <row r="3906" spans="1:8" hidden="1">
      <c r="A3906">
        <v>973</v>
      </c>
      <c r="G3906">
        <v>2011</v>
      </c>
      <c r="H3906" t="s">
        <v>228</v>
      </c>
    </row>
    <row r="3907" spans="1:8" hidden="1">
      <c r="A3907">
        <v>1102</v>
      </c>
      <c r="G3907">
        <v>2012</v>
      </c>
      <c r="H3907" t="s">
        <v>228</v>
      </c>
    </row>
    <row r="3908" spans="1:8" hidden="1">
      <c r="A3908">
        <v>1142</v>
      </c>
      <c r="G3908">
        <v>2013</v>
      </c>
      <c r="H3908" t="s">
        <v>228</v>
      </c>
    </row>
    <row r="3909" spans="1:8" hidden="1">
      <c r="A3909">
        <v>1102</v>
      </c>
      <c r="G3909">
        <v>2014</v>
      </c>
      <c r="H3909" t="s">
        <v>228</v>
      </c>
    </row>
    <row r="3910" spans="1:8" hidden="1">
      <c r="A3910">
        <v>1297</v>
      </c>
      <c r="G3910">
        <v>2015</v>
      </c>
      <c r="H3910" t="s">
        <v>228</v>
      </c>
    </row>
    <row r="3911" spans="1:8" hidden="1">
      <c r="A3911">
        <v>1250</v>
      </c>
      <c r="G3911">
        <v>2016</v>
      </c>
      <c r="H3911" t="s">
        <v>228</v>
      </c>
    </row>
    <row r="3912" spans="1:8" hidden="1">
      <c r="A3912">
        <v>1497</v>
      </c>
      <c r="G3912">
        <v>2017</v>
      </c>
      <c r="H3912" t="s">
        <v>228</v>
      </c>
    </row>
    <row r="3913" spans="1:8" hidden="1">
      <c r="A3913">
        <v>1344</v>
      </c>
      <c r="G3913">
        <v>2018</v>
      </c>
      <c r="H3913" t="s">
        <v>228</v>
      </c>
    </row>
    <row r="3914" spans="1:8" hidden="1">
      <c r="A3914">
        <v>1591</v>
      </c>
      <c r="G3914">
        <v>2019</v>
      </c>
      <c r="H3914" t="s">
        <v>228</v>
      </c>
    </row>
    <row r="3915" spans="1:8" hidden="1">
      <c r="A3915">
        <v>2287</v>
      </c>
      <c r="G3915">
        <v>2020</v>
      </c>
      <c r="H3915" t="s">
        <v>228</v>
      </c>
    </row>
    <row r="3916" spans="1:8" hidden="1">
      <c r="A3916">
        <v>2490</v>
      </c>
      <c r="G3916">
        <v>2021</v>
      </c>
      <c r="H3916" t="s">
        <v>228</v>
      </c>
    </row>
    <row r="3917" spans="1:8" hidden="1">
      <c r="A3917">
        <v>2184.6</v>
      </c>
      <c r="G3917">
        <v>2022</v>
      </c>
      <c r="H3917" t="s">
        <v>228</v>
      </c>
    </row>
    <row r="3918" spans="1:8" hidden="1">
      <c r="A3918">
        <v>0</v>
      </c>
      <c r="F3918" s="48">
        <v>2000</v>
      </c>
      <c r="G3918" t="s">
        <v>228</v>
      </c>
    </row>
    <row r="3919" spans="1:8" hidden="1">
      <c r="A3919">
        <v>0</v>
      </c>
      <c r="F3919" s="48">
        <v>2001</v>
      </c>
      <c r="G3919" t="s">
        <v>228</v>
      </c>
    </row>
    <row r="3920" spans="1:8" hidden="1">
      <c r="A3920">
        <v>0</v>
      </c>
      <c r="F3920" s="48">
        <v>2002</v>
      </c>
      <c r="G3920" t="s">
        <v>228</v>
      </c>
    </row>
    <row r="3921" spans="1:7" hidden="1">
      <c r="A3921">
        <v>0</v>
      </c>
      <c r="F3921" s="48">
        <v>2003</v>
      </c>
      <c r="G3921" t="s">
        <v>228</v>
      </c>
    </row>
    <row r="3922" spans="1:7" hidden="1">
      <c r="A3922">
        <v>0</v>
      </c>
      <c r="F3922" s="48">
        <v>2004</v>
      </c>
      <c r="G3922" t="s">
        <v>228</v>
      </c>
    </row>
    <row r="3923" spans="1:7" hidden="1">
      <c r="A3923">
        <v>0</v>
      </c>
      <c r="F3923" s="48">
        <v>2005</v>
      </c>
      <c r="G3923" t="s">
        <v>228</v>
      </c>
    </row>
    <row r="3924" spans="1:7" hidden="1">
      <c r="A3924">
        <v>0</v>
      </c>
      <c r="F3924" s="48">
        <v>2006</v>
      </c>
      <c r="G3924" t="s">
        <v>228</v>
      </c>
    </row>
    <row r="3925" spans="1:7" hidden="1">
      <c r="A3925">
        <v>0</v>
      </c>
      <c r="F3925" s="48">
        <v>2007</v>
      </c>
      <c r="G3925" t="s">
        <v>228</v>
      </c>
    </row>
    <row r="3926" spans="1:7" hidden="1">
      <c r="A3926">
        <v>0</v>
      </c>
      <c r="F3926" s="48">
        <v>2008</v>
      </c>
      <c r="G3926" t="s">
        <v>228</v>
      </c>
    </row>
    <row r="3927" spans="1:7" hidden="1">
      <c r="A3927">
        <v>0</v>
      </c>
      <c r="F3927" s="48">
        <v>2009</v>
      </c>
      <c r="G3927" t="s">
        <v>228</v>
      </c>
    </row>
    <row r="3928" spans="1:7" hidden="1">
      <c r="A3928">
        <v>0</v>
      </c>
      <c r="F3928" s="48">
        <v>2010</v>
      </c>
      <c r="G3928" t="s">
        <v>228</v>
      </c>
    </row>
    <row r="3929" spans="1:7" hidden="1">
      <c r="A3929">
        <v>0</v>
      </c>
      <c r="F3929" s="48">
        <v>2011</v>
      </c>
      <c r="G3929" t="s">
        <v>228</v>
      </c>
    </row>
    <row r="3930" spans="1:7" hidden="1">
      <c r="A3930">
        <v>0</v>
      </c>
      <c r="F3930" s="48">
        <v>2012</v>
      </c>
      <c r="G3930" t="s">
        <v>228</v>
      </c>
    </row>
    <row r="3931" spans="1:7" hidden="1">
      <c r="A3931">
        <v>2.8</v>
      </c>
      <c r="F3931" s="48">
        <v>2013</v>
      </c>
      <c r="G3931" t="s">
        <v>228</v>
      </c>
    </row>
    <row r="3932" spans="1:7" hidden="1">
      <c r="A3932">
        <v>2.6</v>
      </c>
      <c r="F3932" s="48">
        <v>2014</v>
      </c>
      <c r="G3932" t="s">
        <v>228</v>
      </c>
    </row>
    <row r="3933" spans="1:7" hidden="1">
      <c r="A3933">
        <v>1.9</v>
      </c>
      <c r="F3933" s="48">
        <v>2015</v>
      </c>
      <c r="G3933" t="s">
        <v>228</v>
      </c>
    </row>
    <row r="3934" spans="1:7" hidden="1">
      <c r="A3934">
        <v>0</v>
      </c>
      <c r="F3934" s="48">
        <v>2016</v>
      </c>
      <c r="G3934" t="s">
        <v>228</v>
      </c>
    </row>
    <row r="3935" spans="1:7" hidden="1">
      <c r="A3935">
        <v>0</v>
      </c>
      <c r="F3935" s="48">
        <v>2017</v>
      </c>
      <c r="G3935" t="s">
        <v>228</v>
      </c>
    </row>
    <row r="3936" spans="1:7" hidden="1">
      <c r="A3936">
        <v>0</v>
      </c>
      <c r="F3936" s="48">
        <v>2018</v>
      </c>
      <c r="G3936" t="s">
        <v>228</v>
      </c>
    </row>
    <row r="3937" spans="1:10" hidden="1">
      <c r="A3937">
        <v>0</v>
      </c>
      <c r="F3937" s="48">
        <v>2019</v>
      </c>
      <c r="G3937" t="s">
        <v>228</v>
      </c>
    </row>
    <row r="3938" spans="1:10" hidden="1">
      <c r="A3938">
        <v>0</v>
      </c>
      <c r="F3938" s="48">
        <v>2020</v>
      </c>
      <c r="G3938" t="s">
        <v>228</v>
      </c>
    </row>
    <row r="3939" spans="1:10" hidden="1">
      <c r="A3939">
        <v>0</v>
      </c>
      <c r="F3939" s="48">
        <v>2021</v>
      </c>
      <c r="G3939" t="s">
        <v>228</v>
      </c>
    </row>
    <row r="3940" spans="1:10" hidden="1">
      <c r="A3940">
        <v>0</v>
      </c>
      <c r="F3940" s="48">
        <v>2022</v>
      </c>
      <c r="G3940" t="s">
        <v>228</v>
      </c>
    </row>
    <row r="3941" spans="1:10">
      <c r="A3941">
        <v>3356</v>
      </c>
      <c r="E3941">
        <v>2000</v>
      </c>
      <c r="F3941" s="48" t="s">
        <v>228</v>
      </c>
      <c r="I3941">
        <f t="shared" ref="I3941:I3963" si="46">E3941</f>
        <v>2000</v>
      </c>
      <c r="J3941">
        <f t="shared" ref="J3941:J3963" si="47">A3941</f>
        <v>3356</v>
      </c>
    </row>
    <row r="3942" spans="1:10">
      <c r="A3942">
        <v>2918</v>
      </c>
      <c r="E3942">
        <v>2001</v>
      </c>
      <c r="F3942" s="48" t="s">
        <v>228</v>
      </c>
      <c r="I3942">
        <f t="shared" si="46"/>
        <v>2001</v>
      </c>
      <c r="J3942">
        <f t="shared" si="47"/>
        <v>2918</v>
      </c>
    </row>
    <row r="3943" spans="1:10">
      <c r="A3943">
        <v>2917</v>
      </c>
      <c r="E3943">
        <v>2002</v>
      </c>
      <c r="F3943" s="48" t="s">
        <v>228</v>
      </c>
      <c r="I3943">
        <f t="shared" si="46"/>
        <v>2002</v>
      </c>
      <c r="J3943">
        <f t="shared" si="47"/>
        <v>2917</v>
      </c>
    </row>
    <row r="3944" spans="1:10">
      <c r="A3944">
        <v>2390</v>
      </c>
      <c r="E3944">
        <v>2003</v>
      </c>
      <c r="F3944" s="48" t="s">
        <v>228</v>
      </c>
      <c r="I3944">
        <f t="shared" si="46"/>
        <v>2003</v>
      </c>
      <c r="J3944">
        <f t="shared" si="47"/>
        <v>2390</v>
      </c>
    </row>
    <row r="3945" spans="1:10">
      <c r="A3945">
        <v>2615</v>
      </c>
      <c r="E3945">
        <v>2004</v>
      </c>
      <c r="F3945" s="48" t="s">
        <v>228</v>
      </c>
      <c r="I3945">
        <f t="shared" si="46"/>
        <v>2004</v>
      </c>
      <c r="J3945">
        <f t="shared" si="47"/>
        <v>2615</v>
      </c>
    </row>
    <row r="3946" spans="1:10">
      <c r="A3946">
        <v>2237</v>
      </c>
      <c r="E3946">
        <v>2005</v>
      </c>
      <c r="F3946" s="48" t="s">
        <v>228</v>
      </c>
      <c r="I3946">
        <f t="shared" si="46"/>
        <v>2005</v>
      </c>
      <c r="J3946">
        <f t="shared" si="47"/>
        <v>2237</v>
      </c>
    </row>
    <row r="3947" spans="1:10">
      <c r="A3947">
        <v>2443</v>
      </c>
      <c r="E3947">
        <v>2006</v>
      </c>
      <c r="F3947" s="48" t="s">
        <v>228</v>
      </c>
      <c r="I3947">
        <f t="shared" si="46"/>
        <v>2006</v>
      </c>
      <c r="J3947">
        <f t="shared" si="47"/>
        <v>2443</v>
      </c>
    </row>
    <row r="3948" spans="1:10">
      <c r="A3948">
        <v>3496</v>
      </c>
      <c r="E3948">
        <v>2007</v>
      </c>
      <c r="F3948" s="48" t="s">
        <v>228</v>
      </c>
      <c r="I3948">
        <f t="shared" si="46"/>
        <v>2007</v>
      </c>
      <c r="J3948">
        <f t="shared" si="47"/>
        <v>3496</v>
      </c>
    </row>
    <row r="3949" spans="1:10">
      <c r="A3949">
        <v>3485</v>
      </c>
      <c r="E3949">
        <v>2008</v>
      </c>
      <c r="F3949" s="48" t="s">
        <v>228</v>
      </c>
      <c r="I3949">
        <f t="shared" si="46"/>
        <v>2008</v>
      </c>
      <c r="J3949">
        <f t="shared" si="47"/>
        <v>3485</v>
      </c>
    </row>
    <row r="3950" spans="1:10">
      <c r="A3950">
        <v>3185</v>
      </c>
      <c r="E3950">
        <v>2009</v>
      </c>
      <c r="F3950" s="48" t="s">
        <v>228</v>
      </c>
      <c r="I3950">
        <f t="shared" si="46"/>
        <v>2009</v>
      </c>
      <c r="J3950">
        <f t="shared" si="47"/>
        <v>3185</v>
      </c>
    </row>
    <row r="3951" spans="1:10">
      <c r="A3951">
        <v>905</v>
      </c>
      <c r="E3951">
        <v>2010</v>
      </c>
      <c r="F3951" s="48" t="s">
        <v>228</v>
      </c>
      <c r="I3951">
        <f t="shared" si="46"/>
        <v>2010</v>
      </c>
      <c r="J3951">
        <f t="shared" si="47"/>
        <v>905</v>
      </c>
    </row>
    <row r="3952" spans="1:10">
      <c r="A3952">
        <v>1196</v>
      </c>
      <c r="E3952">
        <v>2011</v>
      </c>
      <c r="F3952" s="48" t="s">
        <v>228</v>
      </c>
      <c r="I3952">
        <f t="shared" si="46"/>
        <v>2011</v>
      </c>
      <c r="J3952">
        <f t="shared" si="47"/>
        <v>1196</v>
      </c>
    </row>
    <row r="3953" spans="1:10">
      <c r="A3953">
        <v>1125</v>
      </c>
      <c r="E3953">
        <v>2012</v>
      </c>
      <c r="F3953" s="48" t="s">
        <v>228</v>
      </c>
      <c r="I3953">
        <f t="shared" si="46"/>
        <v>2012</v>
      </c>
      <c r="J3953">
        <f t="shared" si="47"/>
        <v>1125</v>
      </c>
    </row>
    <row r="3954" spans="1:10">
      <c r="A3954">
        <v>990</v>
      </c>
      <c r="E3954">
        <v>2013</v>
      </c>
      <c r="F3954" s="48" t="s">
        <v>228</v>
      </c>
      <c r="I3954">
        <f t="shared" si="46"/>
        <v>2013</v>
      </c>
      <c r="J3954">
        <f t="shared" si="47"/>
        <v>990</v>
      </c>
    </row>
    <row r="3955" spans="1:10">
      <c r="A3955">
        <v>805</v>
      </c>
      <c r="E3955">
        <v>2014</v>
      </c>
      <c r="F3955" s="48" t="s">
        <v>228</v>
      </c>
      <c r="I3955">
        <f t="shared" si="46"/>
        <v>2014</v>
      </c>
      <c r="J3955">
        <f t="shared" si="47"/>
        <v>805</v>
      </c>
    </row>
    <row r="3956" spans="1:10">
      <c r="A3956">
        <v>740</v>
      </c>
      <c r="E3956">
        <v>2015</v>
      </c>
      <c r="F3956" s="48" t="s">
        <v>228</v>
      </c>
      <c r="I3956">
        <f t="shared" si="46"/>
        <v>2015</v>
      </c>
      <c r="J3956">
        <f t="shared" si="47"/>
        <v>740</v>
      </c>
    </row>
    <row r="3957" spans="1:10">
      <c r="A3957">
        <v>688</v>
      </c>
      <c r="E3957">
        <v>2016</v>
      </c>
      <c r="F3957" s="48" t="s">
        <v>228</v>
      </c>
      <c r="I3957">
        <f t="shared" si="46"/>
        <v>2016</v>
      </c>
      <c r="J3957">
        <f t="shared" si="47"/>
        <v>688</v>
      </c>
    </row>
    <row r="3958" spans="1:10">
      <c r="A3958">
        <v>756</v>
      </c>
      <c r="E3958">
        <v>2017</v>
      </c>
      <c r="F3958" s="48" t="s">
        <v>228</v>
      </c>
      <c r="I3958">
        <f t="shared" si="46"/>
        <v>2017</v>
      </c>
      <c r="J3958">
        <f t="shared" si="47"/>
        <v>756</v>
      </c>
    </row>
    <row r="3959" spans="1:10">
      <c r="A3959">
        <v>681.3</v>
      </c>
      <c r="E3959">
        <v>2018</v>
      </c>
      <c r="F3959" s="48" t="s">
        <v>228</v>
      </c>
      <c r="I3959">
        <f t="shared" si="46"/>
        <v>2018</v>
      </c>
      <c r="J3959">
        <f t="shared" si="47"/>
        <v>681.3</v>
      </c>
    </row>
    <row r="3960" spans="1:10">
      <c r="A3960">
        <v>606.70000000000005</v>
      </c>
      <c r="E3960">
        <v>2019</v>
      </c>
      <c r="F3960" s="48" t="s">
        <v>228</v>
      </c>
      <c r="I3960">
        <f t="shared" si="46"/>
        <v>2019</v>
      </c>
      <c r="J3960">
        <f t="shared" si="47"/>
        <v>606.70000000000005</v>
      </c>
    </row>
    <row r="3961" spans="1:10">
      <c r="A3961">
        <v>532</v>
      </c>
      <c r="E3961">
        <v>2020</v>
      </c>
      <c r="F3961" s="48" t="s">
        <v>228</v>
      </c>
      <c r="I3961">
        <f t="shared" si="46"/>
        <v>2020</v>
      </c>
      <c r="J3961">
        <f t="shared" si="47"/>
        <v>532</v>
      </c>
    </row>
    <row r="3962" spans="1:10">
      <c r="A3962">
        <v>566</v>
      </c>
      <c r="E3962">
        <v>2021</v>
      </c>
      <c r="F3962" s="48" t="s">
        <v>228</v>
      </c>
      <c r="I3962">
        <f t="shared" si="46"/>
        <v>2021</v>
      </c>
      <c r="J3962">
        <f t="shared" si="47"/>
        <v>566</v>
      </c>
    </row>
    <row r="3963" spans="1:10">
      <c r="A3963">
        <v>470</v>
      </c>
      <c r="E3963">
        <v>2022</v>
      </c>
      <c r="F3963" s="48" t="s">
        <v>228</v>
      </c>
      <c r="I3963">
        <f t="shared" si="46"/>
        <v>2022</v>
      </c>
      <c r="J3963">
        <f t="shared" si="47"/>
        <v>470</v>
      </c>
    </row>
    <row r="3964" spans="1:10" hidden="1">
      <c r="A3964">
        <v>1032</v>
      </c>
      <c r="D3964">
        <v>2000</v>
      </c>
      <c r="E3964" t="s">
        <v>228</v>
      </c>
    </row>
    <row r="3965" spans="1:10" hidden="1">
      <c r="A3965">
        <v>916</v>
      </c>
      <c r="D3965">
        <v>2001</v>
      </c>
      <c r="E3965" t="s">
        <v>228</v>
      </c>
    </row>
    <row r="3966" spans="1:10" hidden="1">
      <c r="A3966">
        <v>877</v>
      </c>
      <c r="D3966">
        <v>2002</v>
      </c>
      <c r="E3966" t="s">
        <v>228</v>
      </c>
    </row>
    <row r="3967" spans="1:10" hidden="1">
      <c r="A3967">
        <v>804</v>
      </c>
      <c r="D3967">
        <v>2003</v>
      </c>
      <c r="E3967" t="s">
        <v>228</v>
      </c>
    </row>
    <row r="3968" spans="1:10" hidden="1">
      <c r="A3968">
        <v>742</v>
      </c>
      <c r="D3968">
        <v>2004</v>
      </c>
      <c r="E3968" t="s">
        <v>228</v>
      </c>
    </row>
    <row r="3969" spans="1:5" hidden="1">
      <c r="A3969">
        <v>852</v>
      </c>
      <c r="D3969">
        <v>2005</v>
      </c>
      <c r="E3969" t="s">
        <v>228</v>
      </c>
    </row>
    <row r="3970" spans="1:5" hidden="1">
      <c r="A3970">
        <v>787</v>
      </c>
      <c r="D3970">
        <v>2006</v>
      </c>
      <c r="E3970" t="s">
        <v>228</v>
      </c>
    </row>
    <row r="3971" spans="1:5" hidden="1">
      <c r="A3971">
        <v>775</v>
      </c>
      <c r="D3971">
        <v>2007</v>
      </c>
      <c r="E3971" t="s">
        <v>228</v>
      </c>
    </row>
    <row r="3972" spans="1:5" hidden="1">
      <c r="A3972">
        <v>1067</v>
      </c>
      <c r="D3972">
        <v>2008</v>
      </c>
      <c r="E3972" t="s">
        <v>228</v>
      </c>
    </row>
    <row r="3973" spans="1:5" hidden="1">
      <c r="A3973">
        <v>975</v>
      </c>
      <c r="D3973">
        <v>2009</v>
      </c>
      <c r="E3973" t="s">
        <v>228</v>
      </c>
    </row>
    <row r="3974" spans="1:5" hidden="1">
      <c r="A3974">
        <v>3542</v>
      </c>
      <c r="D3974">
        <v>2010</v>
      </c>
      <c r="E3974" t="s">
        <v>228</v>
      </c>
    </row>
    <row r="3975" spans="1:5" hidden="1">
      <c r="A3975">
        <v>3421</v>
      </c>
      <c r="D3975">
        <v>2011</v>
      </c>
      <c r="E3975" t="s">
        <v>228</v>
      </c>
    </row>
    <row r="3976" spans="1:5" hidden="1">
      <c r="A3976">
        <v>3211</v>
      </c>
      <c r="D3976">
        <v>2012</v>
      </c>
      <c r="E3976" t="s">
        <v>228</v>
      </c>
    </row>
    <row r="3977" spans="1:5" hidden="1">
      <c r="A3977">
        <v>3313</v>
      </c>
      <c r="D3977">
        <v>2013</v>
      </c>
      <c r="E3977" t="s">
        <v>228</v>
      </c>
    </row>
    <row r="3978" spans="1:5" hidden="1">
      <c r="A3978">
        <v>3353</v>
      </c>
      <c r="D3978">
        <v>2014</v>
      </c>
      <c r="E3978" t="s">
        <v>228</v>
      </c>
    </row>
    <row r="3979" spans="1:5" hidden="1">
      <c r="A3979">
        <v>3398</v>
      </c>
      <c r="D3979">
        <v>2015</v>
      </c>
      <c r="E3979" t="s">
        <v>228</v>
      </c>
    </row>
    <row r="3980" spans="1:5" hidden="1">
      <c r="A3980">
        <v>3382</v>
      </c>
      <c r="D3980">
        <v>2016</v>
      </c>
      <c r="E3980" t="s">
        <v>228</v>
      </c>
    </row>
    <row r="3981" spans="1:5" hidden="1">
      <c r="A3981">
        <v>3468</v>
      </c>
      <c r="D3981">
        <v>2017</v>
      </c>
      <c r="E3981" t="s">
        <v>228</v>
      </c>
    </row>
    <row r="3982" spans="1:5" hidden="1">
      <c r="A3982">
        <v>3478.3</v>
      </c>
      <c r="D3982">
        <v>2018</v>
      </c>
      <c r="E3982" t="s">
        <v>228</v>
      </c>
    </row>
    <row r="3983" spans="1:5" hidden="1">
      <c r="A3983">
        <v>3488.7</v>
      </c>
      <c r="D3983">
        <v>2019</v>
      </c>
      <c r="E3983" t="s">
        <v>228</v>
      </c>
    </row>
    <row r="3984" spans="1:5" hidden="1">
      <c r="A3984">
        <v>3499</v>
      </c>
      <c r="D3984">
        <v>2020</v>
      </c>
      <c r="E3984" t="s">
        <v>228</v>
      </c>
    </row>
    <row r="3985" spans="1:5" hidden="1">
      <c r="A3985">
        <v>3540</v>
      </c>
      <c r="D3985">
        <v>2021</v>
      </c>
      <c r="E3985" t="s">
        <v>228</v>
      </c>
    </row>
    <row r="3986" spans="1:5" hidden="1">
      <c r="A3986">
        <v>3462</v>
      </c>
      <c r="D3986">
        <v>2022</v>
      </c>
      <c r="E3986" t="s">
        <v>228</v>
      </c>
    </row>
    <row r="3987" spans="1:5" hidden="1">
      <c r="A3987">
        <v>0</v>
      </c>
      <c r="C3987">
        <v>2000</v>
      </c>
      <c r="D3987" t="s">
        <v>228</v>
      </c>
    </row>
    <row r="3988" spans="1:5" hidden="1">
      <c r="A3988">
        <v>0</v>
      </c>
      <c r="C3988">
        <v>2001</v>
      </c>
      <c r="D3988" t="s">
        <v>228</v>
      </c>
    </row>
    <row r="3989" spans="1:5" hidden="1">
      <c r="A3989">
        <v>0</v>
      </c>
      <c r="C3989">
        <v>2002</v>
      </c>
      <c r="D3989" t="s">
        <v>228</v>
      </c>
    </row>
    <row r="3990" spans="1:5" hidden="1">
      <c r="A3990">
        <v>0</v>
      </c>
      <c r="C3990">
        <v>2003</v>
      </c>
      <c r="D3990" t="s">
        <v>228</v>
      </c>
    </row>
    <row r="3991" spans="1:5" hidden="1">
      <c r="A3991">
        <v>0</v>
      </c>
      <c r="C3991">
        <v>2004</v>
      </c>
      <c r="D3991" t="s">
        <v>228</v>
      </c>
    </row>
    <row r="3992" spans="1:5" hidden="1">
      <c r="A3992">
        <v>0</v>
      </c>
      <c r="C3992">
        <v>2005</v>
      </c>
      <c r="D3992" t="s">
        <v>228</v>
      </c>
    </row>
    <row r="3993" spans="1:5" hidden="1">
      <c r="A3993">
        <v>0</v>
      </c>
      <c r="C3993">
        <v>2006</v>
      </c>
      <c r="D3993" t="s">
        <v>228</v>
      </c>
    </row>
    <row r="3994" spans="1:5" hidden="1">
      <c r="A3994">
        <v>9</v>
      </c>
      <c r="C3994">
        <v>2007</v>
      </c>
      <c r="D3994" t="s">
        <v>228</v>
      </c>
    </row>
    <row r="3995" spans="1:5" hidden="1">
      <c r="A3995">
        <v>0</v>
      </c>
      <c r="C3995">
        <v>2008</v>
      </c>
      <c r="D3995" t="s">
        <v>228</v>
      </c>
    </row>
    <row r="3996" spans="1:5" hidden="1">
      <c r="A3996">
        <v>0</v>
      </c>
      <c r="C3996">
        <v>2009</v>
      </c>
      <c r="D3996" t="s">
        <v>228</v>
      </c>
    </row>
    <row r="3997" spans="1:5" hidden="1">
      <c r="A3997">
        <v>0</v>
      </c>
      <c r="C3997">
        <v>2010</v>
      </c>
      <c r="D3997" t="s">
        <v>228</v>
      </c>
    </row>
    <row r="3998" spans="1:5" hidden="1">
      <c r="A3998">
        <v>0</v>
      </c>
      <c r="C3998">
        <v>2011</v>
      </c>
      <c r="D3998" t="s">
        <v>228</v>
      </c>
    </row>
    <row r="3999" spans="1:5" hidden="1">
      <c r="A3999">
        <v>0</v>
      </c>
      <c r="C3999">
        <v>2012</v>
      </c>
      <c r="D3999" t="s">
        <v>228</v>
      </c>
    </row>
    <row r="4000" spans="1:5" hidden="1">
      <c r="A4000">
        <v>0</v>
      </c>
      <c r="C4000">
        <v>2013</v>
      </c>
      <c r="D4000" t="s">
        <v>228</v>
      </c>
    </row>
    <row r="4001" spans="1:4" hidden="1">
      <c r="A4001">
        <v>0</v>
      </c>
      <c r="C4001">
        <v>2014</v>
      </c>
      <c r="D4001" t="s">
        <v>228</v>
      </c>
    </row>
    <row r="4002" spans="1:4" hidden="1">
      <c r="A4002">
        <v>0</v>
      </c>
      <c r="C4002">
        <v>2015</v>
      </c>
      <c r="D4002" t="s">
        <v>228</v>
      </c>
    </row>
    <row r="4003" spans="1:4" hidden="1">
      <c r="A4003">
        <v>0</v>
      </c>
      <c r="C4003">
        <v>2016</v>
      </c>
      <c r="D4003" t="s">
        <v>228</v>
      </c>
    </row>
    <row r="4004" spans="1:4" hidden="1">
      <c r="A4004">
        <v>0</v>
      </c>
      <c r="C4004">
        <v>2017</v>
      </c>
      <c r="D4004" t="s">
        <v>228</v>
      </c>
    </row>
    <row r="4005" spans="1:4" hidden="1">
      <c r="A4005">
        <v>0</v>
      </c>
      <c r="C4005">
        <v>2018</v>
      </c>
      <c r="D4005" t="s">
        <v>228</v>
      </c>
    </row>
    <row r="4006" spans="1:4" hidden="1">
      <c r="A4006">
        <v>0</v>
      </c>
      <c r="C4006">
        <v>2019</v>
      </c>
      <c r="D4006" t="s">
        <v>228</v>
      </c>
    </row>
    <row r="4007" spans="1:4" hidden="1">
      <c r="A4007">
        <v>0</v>
      </c>
      <c r="C4007">
        <v>2020</v>
      </c>
      <c r="D4007" t="s">
        <v>228</v>
      </c>
    </row>
    <row r="4008" spans="1:4" hidden="1">
      <c r="A4008">
        <v>0</v>
      </c>
      <c r="C4008">
        <v>2021</v>
      </c>
      <c r="D4008" t="s">
        <v>228</v>
      </c>
    </row>
    <row r="4009" spans="1:4" hidden="1">
      <c r="A4009">
        <v>0</v>
      </c>
      <c r="C4009">
        <v>2022</v>
      </c>
      <c r="D4009" t="s">
        <v>228</v>
      </c>
    </row>
    <row r="4010" spans="1:4" hidden="1">
      <c r="A4010">
        <v>2609</v>
      </c>
      <c r="B4010">
        <v>2000</v>
      </c>
      <c r="C4010" t="s">
        <v>228</v>
      </c>
    </row>
    <row r="4011" spans="1:4" hidden="1">
      <c r="A4011">
        <v>2462</v>
      </c>
      <c r="B4011">
        <v>2001</v>
      </c>
      <c r="C4011" t="s">
        <v>228</v>
      </c>
    </row>
    <row r="4012" spans="1:4" hidden="1">
      <c r="A4012">
        <v>2225</v>
      </c>
      <c r="B4012">
        <v>2002</v>
      </c>
      <c r="C4012" t="s">
        <v>228</v>
      </c>
    </row>
    <row r="4013" spans="1:4" hidden="1">
      <c r="A4013">
        <v>1989</v>
      </c>
      <c r="B4013">
        <v>2003</v>
      </c>
      <c r="C4013" t="s">
        <v>228</v>
      </c>
    </row>
    <row r="4014" spans="1:4" hidden="1">
      <c r="A4014">
        <v>1765</v>
      </c>
      <c r="B4014">
        <v>2004</v>
      </c>
      <c r="C4014" t="s">
        <v>228</v>
      </c>
    </row>
    <row r="4015" spans="1:4" hidden="1">
      <c r="A4015">
        <v>1686</v>
      </c>
      <c r="B4015">
        <v>2005</v>
      </c>
      <c r="C4015" t="s">
        <v>228</v>
      </c>
    </row>
    <row r="4016" spans="1:4" hidden="1">
      <c r="A4016">
        <v>1543</v>
      </c>
      <c r="B4016">
        <v>2006</v>
      </c>
      <c r="C4016" t="s">
        <v>228</v>
      </c>
    </row>
    <row r="4017" spans="1:3" hidden="1">
      <c r="A4017">
        <v>1493</v>
      </c>
      <c r="B4017">
        <v>2007</v>
      </c>
      <c r="C4017" t="s">
        <v>228</v>
      </c>
    </row>
    <row r="4018" spans="1:3" hidden="1">
      <c r="A4018">
        <v>1546</v>
      </c>
      <c r="B4018">
        <v>2008</v>
      </c>
      <c r="C4018" t="s">
        <v>228</v>
      </c>
    </row>
    <row r="4019" spans="1:3" hidden="1">
      <c r="A4019">
        <v>1505</v>
      </c>
      <c r="B4019">
        <v>2009</v>
      </c>
      <c r="C4019" t="s">
        <v>228</v>
      </c>
    </row>
    <row r="4020" spans="1:3" hidden="1">
      <c r="A4020">
        <v>1022</v>
      </c>
      <c r="B4020">
        <v>2010</v>
      </c>
      <c r="C4020" t="s">
        <v>228</v>
      </c>
    </row>
    <row r="4021" spans="1:3" hidden="1">
      <c r="A4021">
        <v>1000</v>
      </c>
      <c r="B4021">
        <v>2011</v>
      </c>
      <c r="C4021" t="s">
        <v>228</v>
      </c>
    </row>
    <row r="4022" spans="1:3" hidden="1">
      <c r="A4022">
        <v>1041</v>
      </c>
      <c r="B4022">
        <v>2012</v>
      </c>
      <c r="C4022" t="s">
        <v>228</v>
      </c>
    </row>
    <row r="4023" spans="1:3" hidden="1">
      <c r="A4023">
        <v>969</v>
      </c>
      <c r="B4023">
        <v>2013</v>
      </c>
      <c r="C4023" t="s">
        <v>228</v>
      </c>
    </row>
    <row r="4024" spans="1:3" hidden="1">
      <c r="A4024">
        <v>1003</v>
      </c>
      <c r="B4024">
        <v>2014</v>
      </c>
      <c r="C4024" t="s">
        <v>228</v>
      </c>
    </row>
    <row r="4025" spans="1:3" hidden="1">
      <c r="A4025">
        <v>1019</v>
      </c>
      <c r="B4025">
        <v>2015</v>
      </c>
      <c r="C4025" t="s">
        <v>228</v>
      </c>
    </row>
    <row r="4026" spans="1:3" hidden="1">
      <c r="A4026">
        <v>1043</v>
      </c>
      <c r="B4026">
        <v>2016</v>
      </c>
      <c r="C4026" t="s">
        <v>228</v>
      </c>
    </row>
    <row r="4027" spans="1:3" hidden="1">
      <c r="A4027">
        <v>1035</v>
      </c>
      <c r="B4027">
        <v>2017</v>
      </c>
      <c r="C4027" t="s">
        <v>228</v>
      </c>
    </row>
    <row r="4028" spans="1:3" hidden="1">
      <c r="A4028">
        <v>1057.7</v>
      </c>
      <c r="B4028">
        <v>2018</v>
      </c>
      <c r="C4028" t="s">
        <v>228</v>
      </c>
    </row>
    <row r="4029" spans="1:3" hidden="1">
      <c r="A4029">
        <v>1067.3</v>
      </c>
      <c r="B4029">
        <v>2019</v>
      </c>
      <c r="C4029" t="s">
        <v>228</v>
      </c>
    </row>
    <row r="4030" spans="1:3" hidden="1">
      <c r="A4030">
        <v>1057</v>
      </c>
      <c r="B4030">
        <v>2020</v>
      </c>
      <c r="C4030" t="s">
        <v>228</v>
      </c>
    </row>
    <row r="4031" spans="1:3" hidden="1">
      <c r="A4031">
        <v>1247</v>
      </c>
      <c r="B4031">
        <v>2021</v>
      </c>
      <c r="C4031" t="s">
        <v>228</v>
      </c>
    </row>
    <row r="4032" spans="1:3" hidden="1">
      <c r="A4032">
        <v>1255</v>
      </c>
      <c r="B4032">
        <v>2022</v>
      </c>
      <c r="C4032" t="s">
        <v>228</v>
      </c>
    </row>
    <row r="4033" spans="1:8" hidden="1">
      <c r="A4033">
        <v>858.8</v>
      </c>
      <c r="G4033">
        <v>2000</v>
      </c>
      <c r="H4033" t="s">
        <v>238</v>
      </c>
    </row>
    <row r="4034" spans="1:8" hidden="1">
      <c r="A4034">
        <v>824.8</v>
      </c>
      <c r="G4034">
        <v>2001</v>
      </c>
      <c r="H4034" t="s">
        <v>238</v>
      </c>
    </row>
    <row r="4035" spans="1:8" hidden="1">
      <c r="A4035">
        <v>778.9</v>
      </c>
      <c r="G4035">
        <v>2002</v>
      </c>
      <c r="H4035" t="s">
        <v>238</v>
      </c>
    </row>
    <row r="4036" spans="1:8" hidden="1">
      <c r="A4036">
        <v>824.9</v>
      </c>
      <c r="G4036">
        <v>2003</v>
      </c>
      <c r="H4036" t="s">
        <v>238</v>
      </c>
    </row>
    <row r="4037" spans="1:8" hidden="1">
      <c r="A4037">
        <v>754.3</v>
      </c>
      <c r="G4037">
        <v>2004</v>
      </c>
      <c r="H4037" t="s">
        <v>238</v>
      </c>
    </row>
    <row r="4038" spans="1:8" hidden="1">
      <c r="A4038">
        <v>730.9</v>
      </c>
      <c r="G4038">
        <v>2005</v>
      </c>
      <c r="H4038" t="s">
        <v>238</v>
      </c>
    </row>
    <row r="4039" spans="1:8" hidden="1">
      <c r="A4039">
        <v>751.2</v>
      </c>
      <c r="G4039">
        <v>2006</v>
      </c>
      <c r="H4039" t="s">
        <v>238</v>
      </c>
    </row>
    <row r="4040" spans="1:8" hidden="1">
      <c r="A4040">
        <v>781.3</v>
      </c>
      <c r="G4040">
        <v>2007</v>
      </c>
      <c r="H4040" t="s">
        <v>238</v>
      </c>
    </row>
    <row r="4041" spans="1:8" hidden="1">
      <c r="A4041">
        <v>753.6</v>
      </c>
      <c r="G4041">
        <v>2008</v>
      </c>
      <c r="H4041" t="s">
        <v>238</v>
      </c>
    </row>
    <row r="4042" spans="1:8" hidden="1">
      <c r="A4042">
        <v>571.70000000000005</v>
      </c>
      <c r="G4042">
        <v>2009</v>
      </c>
      <c r="H4042" t="s">
        <v>238</v>
      </c>
    </row>
    <row r="4043" spans="1:8" hidden="1">
      <c r="A4043">
        <v>610.4</v>
      </c>
      <c r="G4043">
        <v>2010</v>
      </c>
      <c r="H4043" t="s">
        <v>238</v>
      </c>
    </row>
    <row r="4044" spans="1:8" hidden="1">
      <c r="A4044">
        <v>578.70000000000005</v>
      </c>
      <c r="G4044">
        <v>2011</v>
      </c>
      <c r="H4044" t="s">
        <v>238</v>
      </c>
    </row>
    <row r="4045" spans="1:8" hidden="1">
      <c r="A4045">
        <v>640.70000000000005</v>
      </c>
      <c r="G4045">
        <v>2012</v>
      </c>
      <c r="H4045" t="s">
        <v>238</v>
      </c>
    </row>
    <row r="4046" spans="1:8" hidden="1">
      <c r="A4046">
        <v>649.20000000000005</v>
      </c>
      <c r="G4046">
        <v>2013</v>
      </c>
      <c r="H4046" t="s">
        <v>238</v>
      </c>
    </row>
    <row r="4047" spans="1:8" hidden="1">
      <c r="A4047">
        <v>645.5</v>
      </c>
      <c r="G4047">
        <v>2014</v>
      </c>
      <c r="H4047" t="s">
        <v>238</v>
      </c>
    </row>
    <row r="4048" spans="1:8" hidden="1">
      <c r="A4048">
        <v>736.2</v>
      </c>
      <c r="G4048">
        <v>2015</v>
      </c>
      <c r="H4048" t="s">
        <v>238</v>
      </c>
    </row>
    <row r="4049" spans="1:8" hidden="1">
      <c r="A4049">
        <v>662.3</v>
      </c>
      <c r="G4049">
        <v>2016</v>
      </c>
      <c r="H4049" t="s">
        <v>238</v>
      </c>
    </row>
    <row r="4050" spans="1:8" hidden="1">
      <c r="A4050">
        <v>689</v>
      </c>
      <c r="G4050">
        <v>2017</v>
      </c>
      <c r="H4050" t="s">
        <v>238</v>
      </c>
    </row>
    <row r="4051" spans="1:8" hidden="1">
      <c r="A4051">
        <v>740.3</v>
      </c>
      <c r="G4051">
        <v>2018</v>
      </c>
      <c r="H4051" t="s">
        <v>238</v>
      </c>
    </row>
    <row r="4052" spans="1:8" hidden="1">
      <c r="A4052">
        <v>733.5</v>
      </c>
      <c r="G4052">
        <v>2019</v>
      </c>
      <c r="H4052" t="s">
        <v>238</v>
      </c>
    </row>
    <row r="4053" spans="1:8" hidden="1">
      <c r="A4053">
        <v>687.8</v>
      </c>
      <c r="G4053">
        <v>2020</v>
      </c>
      <c r="H4053" t="s">
        <v>238</v>
      </c>
    </row>
    <row r="4054" spans="1:8" hidden="1">
      <c r="A4054">
        <v>653.4</v>
      </c>
      <c r="G4054">
        <v>2021</v>
      </c>
      <c r="H4054" t="s">
        <v>238</v>
      </c>
    </row>
    <row r="4055" spans="1:8" hidden="1">
      <c r="A4055">
        <v>705</v>
      </c>
      <c r="G4055">
        <v>2022</v>
      </c>
      <c r="H4055" t="s">
        <v>238</v>
      </c>
    </row>
    <row r="4056" spans="1:8" hidden="1">
      <c r="A4056">
        <v>0.2</v>
      </c>
      <c r="F4056" s="48">
        <v>2000</v>
      </c>
      <c r="G4056" t="s">
        <v>238</v>
      </c>
    </row>
    <row r="4057" spans="1:8" hidden="1">
      <c r="A4057">
        <v>0.2</v>
      </c>
      <c r="F4057" s="48">
        <v>2001</v>
      </c>
      <c r="G4057" t="s">
        <v>238</v>
      </c>
    </row>
    <row r="4058" spans="1:8" hidden="1">
      <c r="A4058">
        <v>0</v>
      </c>
      <c r="F4058" s="48">
        <v>2002</v>
      </c>
      <c r="G4058" t="s">
        <v>238</v>
      </c>
    </row>
    <row r="4059" spans="1:8" hidden="1">
      <c r="A4059">
        <v>0.2</v>
      </c>
      <c r="F4059" s="48">
        <v>2003</v>
      </c>
      <c r="G4059" t="s">
        <v>238</v>
      </c>
    </row>
    <row r="4060" spans="1:8" hidden="1">
      <c r="A4060">
        <v>0.2</v>
      </c>
      <c r="F4060" s="48">
        <v>2004</v>
      </c>
      <c r="G4060" t="s">
        <v>238</v>
      </c>
    </row>
    <row r="4061" spans="1:8" hidden="1">
      <c r="A4061">
        <v>0.1</v>
      </c>
      <c r="F4061" s="48">
        <v>2005</v>
      </c>
      <c r="G4061" t="s">
        <v>238</v>
      </c>
    </row>
    <row r="4062" spans="1:8" hidden="1">
      <c r="A4062">
        <v>0.2</v>
      </c>
      <c r="F4062" s="48">
        <v>2006</v>
      </c>
      <c r="G4062" t="s">
        <v>238</v>
      </c>
    </row>
    <row r="4063" spans="1:8" hidden="1">
      <c r="A4063">
        <v>0.2</v>
      </c>
      <c r="F4063" s="48">
        <v>2007</v>
      </c>
      <c r="G4063" t="s">
        <v>238</v>
      </c>
    </row>
    <row r="4064" spans="1:8" hidden="1">
      <c r="A4064">
        <v>0.2</v>
      </c>
      <c r="F4064" s="48">
        <v>2008</v>
      </c>
      <c r="G4064" t="s">
        <v>238</v>
      </c>
    </row>
    <row r="4065" spans="1:7" hidden="1">
      <c r="A4065">
        <v>0.2</v>
      </c>
      <c r="F4065" s="48">
        <v>2009</v>
      </c>
      <c r="G4065" t="s">
        <v>238</v>
      </c>
    </row>
    <row r="4066" spans="1:7" hidden="1">
      <c r="A4066">
        <v>0.2</v>
      </c>
      <c r="F4066" s="48">
        <v>2010</v>
      </c>
      <c r="G4066" t="s">
        <v>238</v>
      </c>
    </row>
    <row r="4067" spans="1:7" hidden="1">
      <c r="A4067">
        <v>0.2</v>
      </c>
      <c r="F4067" s="48">
        <v>2011</v>
      </c>
      <c r="G4067" t="s">
        <v>238</v>
      </c>
    </row>
    <row r="4068" spans="1:7" hidden="1">
      <c r="A4068">
        <v>0.2</v>
      </c>
      <c r="F4068" s="48">
        <v>2012</v>
      </c>
      <c r="G4068" t="s">
        <v>238</v>
      </c>
    </row>
    <row r="4069" spans="1:7" hidden="1">
      <c r="A4069">
        <v>0.2</v>
      </c>
      <c r="F4069" s="48">
        <v>2013</v>
      </c>
      <c r="G4069" t="s">
        <v>238</v>
      </c>
    </row>
    <row r="4070" spans="1:7" hidden="1">
      <c r="A4070">
        <v>0.2</v>
      </c>
      <c r="F4070" s="48">
        <v>2014</v>
      </c>
      <c r="G4070" t="s">
        <v>238</v>
      </c>
    </row>
    <row r="4071" spans="1:7" hidden="1">
      <c r="A4071">
        <v>0.2</v>
      </c>
      <c r="F4071" s="48">
        <v>2015</v>
      </c>
      <c r="G4071" t="s">
        <v>238</v>
      </c>
    </row>
    <row r="4072" spans="1:7" hidden="1">
      <c r="A4072">
        <v>0.3</v>
      </c>
      <c r="F4072" s="48">
        <v>2016</v>
      </c>
      <c r="G4072" t="s">
        <v>238</v>
      </c>
    </row>
    <row r="4073" spans="1:7" hidden="1">
      <c r="A4073">
        <v>0.3</v>
      </c>
      <c r="F4073" s="48">
        <v>2017</v>
      </c>
      <c r="G4073" t="s">
        <v>238</v>
      </c>
    </row>
    <row r="4074" spans="1:7" hidden="1">
      <c r="A4074">
        <v>0.3</v>
      </c>
      <c r="F4074" s="48">
        <v>2018</v>
      </c>
      <c r="G4074" t="s">
        <v>238</v>
      </c>
    </row>
    <row r="4075" spans="1:7" hidden="1">
      <c r="A4075">
        <v>0.5</v>
      </c>
      <c r="F4075" s="48">
        <v>2019</v>
      </c>
      <c r="G4075" t="s">
        <v>238</v>
      </c>
    </row>
    <row r="4076" spans="1:7" hidden="1">
      <c r="A4076">
        <v>0.3</v>
      </c>
      <c r="F4076" s="48">
        <v>2020</v>
      </c>
      <c r="G4076" t="s">
        <v>238</v>
      </c>
    </row>
    <row r="4077" spans="1:7" hidden="1">
      <c r="A4077">
        <v>0.5</v>
      </c>
      <c r="F4077" s="48">
        <v>2021</v>
      </c>
      <c r="G4077" t="s">
        <v>238</v>
      </c>
    </row>
    <row r="4078" spans="1:7" hidden="1">
      <c r="A4078">
        <v>0.3</v>
      </c>
      <c r="F4078" s="48">
        <v>2022</v>
      </c>
      <c r="G4078" t="s">
        <v>238</v>
      </c>
    </row>
    <row r="4079" spans="1:7" hidden="1">
      <c r="A4079">
        <v>2086.3000000000002</v>
      </c>
      <c r="E4079">
        <v>2000</v>
      </c>
      <c r="F4079" s="48" t="s">
        <v>238</v>
      </c>
    </row>
    <row r="4080" spans="1:7" hidden="1">
      <c r="A4080">
        <v>2267.1</v>
      </c>
      <c r="E4080">
        <v>2001</v>
      </c>
      <c r="F4080" s="48" t="s">
        <v>238</v>
      </c>
    </row>
    <row r="4081" spans="1:6" hidden="1">
      <c r="A4081">
        <v>2155.6999999999998</v>
      </c>
      <c r="E4081">
        <v>2002</v>
      </c>
      <c r="F4081" s="48" t="s">
        <v>238</v>
      </c>
    </row>
    <row r="4082" spans="1:6" hidden="1">
      <c r="A4082">
        <v>2274</v>
      </c>
      <c r="E4082">
        <v>2003</v>
      </c>
      <c r="F4082" s="48" t="s">
        <v>238</v>
      </c>
    </row>
    <row r="4083" spans="1:6" hidden="1">
      <c r="A4083">
        <v>1705.4</v>
      </c>
      <c r="E4083">
        <v>2004</v>
      </c>
      <c r="F4083" s="48" t="s">
        <v>238</v>
      </c>
    </row>
    <row r="4084" spans="1:6" hidden="1">
      <c r="A4084">
        <v>2828.7</v>
      </c>
      <c r="E4084">
        <v>2005</v>
      </c>
      <c r="F4084" s="48" t="s">
        <v>238</v>
      </c>
    </row>
    <row r="4085" spans="1:6" hidden="1">
      <c r="A4085">
        <v>2962</v>
      </c>
      <c r="E4085">
        <v>2006</v>
      </c>
      <c r="F4085" s="48" t="s">
        <v>238</v>
      </c>
    </row>
    <row r="4086" spans="1:6" hidden="1">
      <c r="A4086">
        <v>2973.6</v>
      </c>
      <c r="E4086">
        <v>2007</v>
      </c>
      <c r="F4086" s="48" t="s">
        <v>238</v>
      </c>
    </row>
    <row r="4087" spans="1:6" hidden="1">
      <c r="A4087">
        <v>3070.9</v>
      </c>
      <c r="E4087">
        <v>2008</v>
      </c>
      <c r="F4087" s="48" t="s">
        <v>238</v>
      </c>
    </row>
    <row r="4088" spans="1:6" hidden="1">
      <c r="A4088">
        <v>3217.9</v>
      </c>
      <c r="E4088">
        <v>2009</v>
      </c>
      <c r="F4088" s="48" t="s">
        <v>238</v>
      </c>
    </row>
    <row r="4089" spans="1:6" hidden="1">
      <c r="A4089">
        <v>2986.4</v>
      </c>
      <c r="E4089">
        <v>2010</v>
      </c>
      <c r="F4089" s="48" t="s">
        <v>238</v>
      </c>
    </row>
    <row r="4090" spans="1:6" hidden="1">
      <c r="A4090">
        <v>3327.5</v>
      </c>
      <c r="E4090">
        <v>2011</v>
      </c>
      <c r="F4090" s="48" t="s">
        <v>238</v>
      </c>
    </row>
    <row r="4091" spans="1:6" hidden="1">
      <c r="A4091">
        <v>2929.8</v>
      </c>
      <c r="E4091">
        <v>2012</v>
      </c>
      <c r="F4091" s="48" t="s">
        <v>238</v>
      </c>
    </row>
    <row r="4092" spans="1:6" hidden="1">
      <c r="A4092">
        <v>3263.7</v>
      </c>
      <c r="E4092">
        <v>2013</v>
      </c>
      <c r="F4092" s="48" t="s">
        <v>238</v>
      </c>
    </row>
    <row r="4093" spans="1:6" hidden="1">
      <c r="A4093">
        <v>2533.8000000000002</v>
      </c>
      <c r="E4093">
        <v>2014</v>
      </c>
      <c r="F4093" s="48" t="s">
        <v>238</v>
      </c>
    </row>
    <row r="4094" spans="1:6" hidden="1">
      <c r="A4094">
        <v>3148.1</v>
      </c>
      <c r="E4094">
        <v>2015</v>
      </c>
      <c r="F4094" s="48" t="s">
        <v>238</v>
      </c>
    </row>
    <row r="4095" spans="1:6" hidden="1">
      <c r="A4095">
        <v>3244.2</v>
      </c>
      <c r="E4095">
        <v>2016</v>
      </c>
      <c r="F4095" s="48" t="s">
        <v>238</v>
      </c>
    </row>
    <row r="4096" spans="1:6" hidden="1">
      <c r="A4096">
        <v>3834.1</v>
      </c>
      <c r="E4096">
        <v>2017</v>
      </c>
      <c r="F4096" s="48" t="s">
        <v>238</v>
      </c>
    </row>
    <row r="4097" spans="1:6" hidden="1">
      <c r="A4097">
        <v>4029.8</v>
      </c>
      <c r="E4097">
        <v>2018</v>
      </c>
      <c r="F4097" s="48" t="s">
        <v>238</v>
      </c>
    </row>
    <row r="4098" spans="1:6" hidden="1">
      <c r="A4098">
        <v>4080.3</v>
      </c>
      <c r="E4098">
        <v>2019</v>
      </c>
      <c r="F4098" s="48" t="s">
        <v>238</v>
      </c>
    </row>
    <row r="4099" spans="1:6" hidden="1">
      <c r="A4099">
        <v>3825.7</v>
      </c>
      <c r="E4099">
        <v>2020</v>
      </c>
      <c r="F4099" s="48" t="s">
        <v>238</v>
      </c>
    </row>
    <row r="4100" spans="1:6" hidden="1">
      <c r="A4100">
        <v>3574.5</v>
      </c>
      <c r="E4100">
        <v>2021</v>
      </c>
      <c r="F4100" s="48" t="s">
        <v>238</v>
      </c>
    </row>
    <row r="4101" spans="1:6" hidden="1">
      <c r="A4101">
        <v>3038</v>
      </c>
      <c r="E4101">
        <v>2022</v>
      </c>
      <c r="F4101" s="48" t="s">
        <v>238</v>
      </c>
    </row>
    <row r="4102" spans="1:6" hidden="1">
      <c r="A4102">
        <v>122.5</v>
      </c>
      <c r="D4102">
        <v>2000</v>
      </c>
      <c r="E4102" t="s">
        <v>238</v>
      </c>
    </row>
    <row r="4103" spans="1:6" hidden="1">
      <c r="A4103">
        <v>122</v>
      </c>
      <c r="D4103">
        <v>2001</v>
      </c>
      <c r="E4103" t="s">
        <v>238</v>
      </c>
    </row>
    <row r="4104" spans="1:6" hidden="1">
      <c r="A4104">
        <v>130.9</v>
      </c>
      <c r="D4104">
        <v>2002</v>
      </c>
      <c r="E4104" t="s">
        <v>238</v>
      </c>
    </row>
    <row r="4105" spans="1:6" hidden="1">
      <c r="A4105">
        <v>130</v>
      </c>
      <c r="D4105">
        <v>2003</v>
      </c>
      <c r="E4105" t="s">
        <v>238</v>
      </c>
    </row>
    <row r="4106" spans="1:6" hidden="1">
      <c r="A4106">
        <v>150.9</v>
      </c>
      <c r="D4106">
        <v>2004</v>
      </c>
      <c r="E4106" t="s">
        <v>238</v>
      </c>
    </row>
    <row r="4107" spans="1:6" hidden="1">
      <c r="A4107">
        <v>153</v>
      </c>
      <c r="D4107">
        <v>2005</v>
      </c>
      <c r="E4107" t="s">
        <v>238</v>
      </c>
    </row>
    <row r="4108" spans="1:6" hidden="1">
      <c r="A4108">
        <v>133.9</v>
      </c>
      <c r="D4108">
        <v>2006</v>
      </c>
      <c r="E4108" t="s">
        <v>238</v>
      </c>
    </row>
    <row r="4109" spans="1:6" hidden="1">
      <c r="A4109">
        <v>142.80000000000001</v>
      </c>
      <c r="D4109">
        <v>2007</v>
      </c>
      <c r="E4109" t="s">
        <v>238</v>
      </c>
    </row>
    <row r="4110" spans="1:6" hidden="1">
      <c r="A4110">
        <v>136.80000000000001</v>
      </c>
      <c r="D4110">
        <v>2008</v>
      </c>
      <c r="E4110" t="s">
        <v>238</v>
      </c>
    </row>
    <row r="4111" spans="1:6" hidden="1">
      <c r="A4111">
        <v>119.4</v>
      </c>
      <c r="D4111">
        <v>2009</v>
      </c>
      <c r="E4111" t="s">
        <v>238</v>
      </c>
    </row>
    <row r="4112" spans="1:6" hidden="1">
      <c r="A4112">
        <v>117.5</v>
      </c>
      <c r="D4112">
        <v>2010</v>
      </c>
      <c r="E4112" t="s">
        <v>238</v>
      </c>
    </row>
    <row r="4113" spans="1:5" hidden="1">
      <c r="A4113">
        <v>130.1</v>
      </c>
      <c r="D4113">
        <v>2011</v>
      </c>
      <c r="E4113" t="s">
        <v>238</v>
      </c>
    </row>
    <row r="4114" spans="1:5" hidden="1">
      <c r="A4114">
        <v>111.3</v>
      </c>
      <c r="D4114">
        <v>2012</v>
      </c>
      <c r="E4114" t="s">
        <v>238</v>
      </c>
    </row>
    <row r="4115" spans="1:5" hidden="1">
      <c r="A4115">
        <v>100.9</v>
      </c>
      <c r="D4115">
        <v>2013</v>
      </c>
      <c r="E4115" t="s">
        <v>238</v>
      </c>
    </row>
    <row r="4116" spans="1:5" hidden="1">
      <c r="A4116">
        <v>94.1</v>
      </c>
      <c r="D4116">
        <v>2014</v>
      </c>
      <c r="E4116" t="s">
        <v>238</v>
      </c>
    </row>
    <row r="4117" spans="1:5" hidden="1">
      <c r="A4117">
        <v>107.4</v>
      </c>
      <c r="D4117">
        <v>2015</v>
      </c>
      <c r="E4117" t="s">
        <v>238</v>
      </c>
    </row>
    <row r="4118" spans="1:5" hidden="1">
      <c r="A4118">
        <v>105.3</v>
      </c>
      <c r="D4118">
        <v>2016</v>
      </c>
      <c r="E4118" t="s">
        <v>238</v>
      </c>
    </row>
    <row r="4119" spans="1:5" hidden="1">
      <c r="A4119">
        <v>127.9</v>
      </c>
      <c r="D4119">
        <v>2017</v>
      </c>
      <c r="E4119" t="s">
        <v>238</v>
      </c>
    </row>
    <row r="4120" spans="1:5" hidden="1">
      <c r="A4120">
        <v>74.900000000000006</v>
      </c>
      <c r="D4120">
        <v>2018</v>
      </c>
      <c r="E4120" t="s">
        <v>238</v>
      </c>
    </row>
    <row r="4121" spans="1:5" hidden="1">
      <c r="A4121">
        <v>71.7</v>
      </c>
      <c r="D4121">
        <v>2019</v>
      </c>
      <c r="E4121" t="s">
        <v>238</v>
      </c>
    </row>
    <row r="4122" spans="1:5" hidden="1">
      <c r="A4122">
        <v>67.900000000000006</v>
      </c>
      <c r="D4122">
        <v>2020</v>
      </c>
      <c r="E4122" t="s">
        <v>238</v>
      </c>
    </row>
    <row r="4123" spans="1:5" hidden="1">
      <c r="A4123">
        <v>68</v>
      </c>
      <c r="D4123">
        <v>2021</v>
      </c>
      <c r="E4123" t="s">
        <v>238</v>
      </c>
    </row>
    <row r="4124" spans="1:5" hidden="1">
      <c r="A4124">
        <v>67.7</v>
      </c>
      <c r="D4124">
        <v>2022</v>
      </c>
      <c r="E4124" t="s">
        <v>238</v>
      </c>
    </row>
    <row r="4125" spans="1:5" hidden="1">
      <c r="A4125">
        <v>12.7</v>
      </c>
      <c r="C4125">
        <v>2000</v>
      </c>
      <c r="D4125" t="s">
        <v>238</v>
      </c>
    </row>
    <row r="4126" spans="1:5" hidden="1">
      <c r="A4126">
        <v>16.5</v>
      </c>
      <c r="C4126">
        <v>2001</v>
      </c>
      <c r="D4126" t="s">
        <v>238</v>
      </c>
    </row>
    <row r="4127" spans="1:5" hidden="1">
      <c r="A4127">
        <v>13.3</v>
      </c>
      <c r="C4127">
        <v>2002</v>
      </c>
      <c r="D4127" t="s">
        <v>238</v>
      </c>
    </row>
    <row r="4128" spans="1:5" hidden="1">
      <c r="A4128">
        <v>7</v>
      </c>
      <c r="C4128">
        <v>2003</v>
      </c>
      <c r="D4128" t="s">
        <v>238</v>
      </c>
    </row>
    <row r="4129" spans="1:4" hidden="1">
      <c r="A4129">
        <v>9.6</v>
      </c>
      <c r="C4129">
        <v>2004</v>
      </c>
      <c r="D4129" t="s">
        <v>238</v>
      </c>
    </row>
    <row r="4130" spans="1:4" hidden="1">
      <c r="A4130">
        <v>7</v>
      </c>
      <c r="C4130">
        <v>2005</v>
      </c>
      <c r="D4130" t="s">
        <v>238</v>
      </c>
    </row>
    <row r="4131" spans="1:4" hidden="1">
      <c r="A4131">
        <v>6.9</v>
      </c>
      <c r="C4131">
        <v>2006</v>
      </c>
      <c r="D4131" t="s">
        <v>238</v>
      </c>
    </row>
    <row r="4132" spans="1:4" hidden="1">
      <c r="A4132">
        <v>8</v>
      </c>
      <c r="C4132">
        <v>2007</v>
      </c>
      <c r="D4132" t="s">
        <v>238</v>
      </c>
    </row>
    <row r="4133" spans="1:4" hidden="1">
      <c r="A4133">
        <v>5.7</v>
      </c>
      <c r="C4133">
        <v>2008</v>
      </c>
      <c r="D4133" t="s">
        <v>238</v>
      </c>
    </row>
    <row r="4134" spans="1:4" hidden="1">
      <c r="A4134">
        <v>8</v>
      </c>
      <c r="C4134">
        <v>2009</v>
      </c>
      <c r="D4134" t="s">
        <v>238</v>
      </c>
    </row>
    <row r="4135" spans="1:4" hidden="1">
      <c r="A4135">
        <v>8.6999999999999993</v>
      </c>
      <c r="C4135">
        <v>2010</v>
      </c>
      <c r="D4135" t="s">
        <v>238</v>
      </c>
    </row>
    <row r="4136" spans="1:4" hidden="1">
      <c r="A4136">
        <v>9.3000000000000007</v>
      </c>
      <c r="C4136">
        <v>2011</v>
      </c>
      <c r="D4136" t="s">
        <v>238</v>
      </c>
    </row>
    <row r="4137" spans="1:4" hidden="1">
      <c r="A4137">
        <v>9.5</v>
      </c>
      <c r="C4137">
        <v>2012</v>
      </c>
      <c r="D4137" t="s">
        <v>238</v>
      </c>
    </row>
    <row r="4138" spans="1:4" hidden="1">
      <c r="A4138">
        <v>11.1</v>
      </c>
      <c r="C4138">
        <v>2013</v>
      </c>
      <c r="D4138" t="s">
        <v>238</v>
      </c>
    </row>
    <row r="4139" spans="1:4" hidden="1">
      <c r="A4139">
        <v>8.6999999999999993</v>
      </c>
      <c r="C4139">
        <v>2014</v>
      </c>
      <c r="D4139" t="s">
        <v>238</v>
      </c>
    </row>
    <row r="4140" spans="1:4" hidden="1">
      <c r="A4140">
        <v>8.1999999999999993</v>
      </c>
      <c r="C4140">
        <v>2015</v>
      </c>
      <c r="D4140" t="s">
        <v>238</v>
      </c>
    </row>
    <row r="4141" spans="1:4" hidden="1">
      <c r="A4141">
        <v>7.6</v>
      </c>
      <c r="C4141">
        <v>2016</v>
      </c>
      <c r="D4141" t="s">
        <v>238</v>
      </c>
    </row>
    <row r="4142" spans="1:4" hidden="1">
      <c r="A4142">
        <v>13.8</v>
      </c>
      <c r="C4142">
        <v>2017</v>
      </c>
      <c r="D4142" t="s">
        <v>238</v>
      </c>
    </row>
    <row r="4143" spans="1:4" hidden="1">
      <c r="A4143">
        <v>12.2</v>
      </c>
      <c r="C4143">
        <v>2018</v>
      </c>
      <c r="D4143" t="s">
        <v>238</v>
      </c>
    </row>
    <row r="4144" spans="1:4" hidden="1">
      <c r="A4144">
        <v>13.5</v>
      </c>
      <c r="C4144">
        <v>2019</v>
      </c>
      <c r="D4144" t="s">
        <v>238</v>
      </c>
    </row>
    <row r="4145" spans="1:4" hidden="1">
      <c r="A4145">
        <v>16.399999999999999</v>
      </c>
      <c r="C4145">
        <v>2020</v>
      </c>
      <c r="D4145" t="s">
        <v>238</v>
      </c>
    </row>
    <row r="4146" spans="1:4" hidden="1">
      <c r="A4146">
        <v>18.100000000000001</v>
      </c>
      <c r="C4146">
        <v>2021</v>
      </c>
      <c r="D4146" t="s">
        <v>238</v>
      </c>
    </row>
    <row r="4147" spans="1:4" hidden="1">
      <c r="A4147">
        <v>26.3</v>
      </c>
      <c r="C4147">
        <v>2022</v>
      </c>
      <c r="D4147" t="s">
        <v>238</v>
      </c>
    </row>
    <row r="4148" spans="1:4" hidden="1">
      <c r="A4148">
        <v>682.8</v>
      </c>
      <c r="B4148">
        <v>2000</v>
      </c>
      <c r="C4148" t="s">
        <v>238</v>
      </c>
    </row>
    <row r="4149" spans="1:4" hidden="1">
      <c r="A4149">
        <v>696.4</v>
      </c>
      <c r="B4149">
        <v>2001</v>
      </c>
      <c r="C4149" t="s">
        <v>238</v>
      </c>
    </row>
    <row r="4150" spans="1:4" hidden="1">
      <c r="A4150">
        <v>704.1</v>
      </c>
      <c r="B4150">
        <v>2002</v>
      </c>
      <c r="C4150" t="s">
        <v>238</v>
      </c>
    </row>
    <row r="4151" spans="1:4" hidden="1">
      <c r="A4151">
        <v>702.1</v>
      </c>
      <c r="B4151">
        <v>2003</v>
      </c>
      <c r="C4151" t="s">
        <v>238</v>
      </c>
    </row>
    <row r="4152" spans="1:4" hidden="1">
      <c r="A4152">
        <v>710.5</v>
      </c>
      <c r="B4152">
        <v>2004</v>
      </c>
      <c r="C4152" t="s">
        <v>238</v>
      </c>
    </row>
    <row r="4153" spans="1:4" hidden="1">
      <c r="A4153">
        <v>692.6</v>
      </c>
      <c r="B4153">
        <v>2005</v>
      </c>
      <c r="C4153" t="s">
        <v>238</v>
      </c>
    </row>
    <row r="4154" spans="1:4" hidden="1">
      <c r="A4154">
        <v>691</v>
      </c>
      <c r="B4154">
        <v>2006</v>
      </c>
      <c r="C4154" t="s">
        <v>238</v>
      </c>
    </row>
    <row r="4155" spans="1:4" hidden="1">
      <c r="A4155">
        <v>691.9</v>
      </c>
      <c r="B4155">
        <v>2007</v>
      </c>
      <c r="C4155" t="s">
        <v>238</v>
      </c>
    </row>
    <row r="4156" spans="1:4" hidden="1">
      <c r="A4156">
        <v>690.8</v>
      </c>
      <c r="B4156">
        <v>2008</v>
      </c>
      <c r="C4156" t="s">
        <v>238</v>
      </c>
    </row>
    <row r="4157" spans="1:4" hidden="1">
      <c r="A4157">
        <v>684.8</v>
      </c>
      <c r="B4157">
        <v>2009</v>
      </c>
      <c r="C4157" t="s">
        <v>238</v>
      </c>
    </row>
    <row r="4158" spans="1:4" hidden="1">
      <c r="A4158">
        <v>666.8</v>
      </c>
      <c r="B4158">
        <v>2010</v>
      </c>
      <c r="C4158" t="s">
        <v>238</v>
      </c>
    </row>
    <row r="4159" spans="1:4" hidden="1">
      <c r="A4159">
        <v>672.9</v>
      </c>
      <c r="B4159">
        <v>2011</v>
      </c>
      <c r="C4159" t="s">
        <v>238</v>
      </c>
    </row>
    <row r="4160" spans="1:4" hidden="1">
      <c r="A4160">
        <v>681.2</v>
      </c>
      <c r="B4160">
        <v>2012</v>
      </c>
      <c r="C4160" t="s">
        <v>238</v>
      </c>
    </row>
    <row r="4161" spans="1:8" hidden="1">
      <c r="A4161">
        <v>657.6</v>
      </c>
      <c r="B4161">
        <v>2013</v>
      </c>
      <c r="C4161" t="s">
        <v>238</v>
      </c>
    </row>
    <row r="4162" spans="1:8" hidden="1">
      <c r="A4162">
        <v>627.1</v>
      </c>
      <c r="B4162">
        <v>2014</v>
      </c>
      <c r="C4162" t="s">
        <v>238</v>
      </c>
    </row>
    <row r="4163" spans="1:8" hidden="1">
      <c r="A4163">
        <v>644.79999999999995</v>
      </c>
      <c r="B4163">
        <v>2015</v>
      </c>
      <c r="C4163" t="s">
        <v>238</v>
      </c>
    </row>
    <row r="4164" spans="1:8" hidden="1">
      <c r="A4164">
        <v>634.29999999999995</v>
      </c>
      <c r="B4164">
        <v>2016</v>
      </c>
      <c r="C4164" t="s">
        <v>238</v>
      </c>
    </row>
    <row r="4165" spans="1:8" hidden="1">
      <c r="A4165">
        <v>659.5</v>
      </c>
      <c r="B4165">
        <v>2017</v>
      </c>
      <c r="C4165" t="s">
        <v>238</v>
      </c>
    </row>
    <row r="4166" spans="1:8" hidden="1">
      <c r="A4166">
        <v>653.9</v>
      </c>
      <c r="B4166">
        <v>2018</v>
      </c>
      <c r="C4166" t="s">
        <v>238</v>
      </c>
    </row>
    <row r="4167" spans="1:8" hidden="1">
      <c r="A4167">
        <v>668.2</v>
      </c>
      <c r="B4167">
        <v>2019</v>
      </c>
      <c r="C4167" t="s">
        <v>238</v>
      </c>
    </row>
    <row r="4168" spans="1:8" hidden="1">
      <c r="A4168">
        <v>677.1</v>
      </c>
      <c r="B4168">
        <v>2020</v>
      </c>
      <c r="C4168" t="s">
        <v>238</v>
      </c>
    </row>
    <row r="4169" spans="1:8" hidden="1">
      <c r="A4169">
        <v>686.7</v>
      </c>
      <c r="B4169">
        <v>2021</v>
      </c>
      <c r="C4169" t="s">
        <v>238</v>
      </c>
    </row>
    <row r="4170" spans="1:8" hidden="1">
      <c r="A4170">
        <v>733.1</v>
      </c>
      <c r="B4170">
        <v>2022</v>
      </c>
      <c r="C4170" t="s">
        <v>238</v>
      </c>
    </row>
    <row r="4171" spans="1:8" hidden="1">
      <c r="A4171">
        <v>162</v>
      </c>
      <c r="G4171">
        <v>2000</v>
      </c>
      <c r="H4171" t="s">
        <v>256</v>
      </c>
    </row>
    <row r="4172" spans="1:8" hidden="1">
      <c r="A4172">
        <v>151</v>
      </c>
      <c r="G4172">
        <v>2001</v>
      </c>
      <c r="H4172" t="s">
        <v>256</v>
      </c>
    </row>
    <row r="4173" spans="1:8" hidden="1">
      <c r="A4173">
        <v>140</v>
      </c>
      <c r="G4173">
        <v>2002</v>
      </c>
      <c r="H4173" t="s">
        <v>256</v>
      </c>
    </row>
    <row r="4174" spans="1:8" hidden="1">
      <c r="A4174">
        <v>129</v>
      </c>
      <c r="G4174">
        <v>2003</v>
      </c>
      <c r="H4174" t="s">
        <v>256</v>
      </c>
    </row>
    <row r="4175" spans="1:8" hidden="1">
      <c r="A4175">
        <v>118</v>
      </c>
      <c r="G4175">
        <v>2004</v>
      </c>
      <c r="H4175" t="s">
        <v>256</v>
      </c>
    </row>
    <row r="4176" spans="1:8" hidden="1">
      <c r="A4176">
        <v>107</v>
      </c>
      <c r="G4176">
        <v>2005</v>
      </c>
      <c r="H4176" t="s">
        <v>256</v>
      </c>
    </row>
    <row r="4177" spans="1:8" hidden="1">
      <c r="A4177">
        <v>103.6</v>
      </c>
      <c r="G4177">
        <v>2006</v>
      </c>
      <c r="H4177" t="s">
        <v>256</v>
      </c>
    </row>
    <row r="4178" spans="1:8" hidden="1">
      <c r="A4178">
        <v>100.2</v>
      </c>
      <c r="G4178">
        <v>2007</v>
      </c>
      <c r="H4178" t="s">
        <v>256</v>
      </c>
    </row>
    <row r="4179" spans="1:8" hidden="1">
      <c r="A4179">
        <v>96.8</v>
      </c>
      <c r="G4179">
        <v>2008</v>
      </c>
      <c r="H4179" t="s">
        <v>256</v>
      </c>
    </row>
    <row r="4180" spans="1:8" hidden="1">
      <c r="A4180">
        <v>93.4</v>
      </c>
      <c r="G4180">
        <v>2009</v>
      </c>
      <c r="H4180" t="s">
        <v>256</v>
      </c>
    </row>
    <row r="4181" spans="1:8" hidden="1">
      <c r="A4181">
        <v>90</v>
      </c>
      <c r="G4181">
        <v>2010</v>
      </c>
      <c r="H4181" t="s">
        <v>256</v>
      </c>
    </row>
    <row r="4182" spans="1:8" hidden="1">
      <c r="A4182">
        <v>87.2</v>
      </c>
      <c r="G4182">
        <v>2011</v>
      </c>
      <c r="H4182" t="s">
        <v>256</v>
      </c>
    </row>
    <row r="4183" spans="1:8" hidden="1">
      <c r="A4183">
        <v>84.4</v>
      </c>
      <c r="G4183">
        <v>2012</v>
      </c>
      <c r="H4183" t="s">
        <v>256</v>
      </c>
    </row>
    <row r="4184" spans="1:8" hidden="1">
      <c r="A4184">
        <v>81.599999999999994</v>
      </c>
      <c r="G4184">
        <v>2013</v>
      </c>
      <c r="H4184" t="s">
        <v>256</v>
      </c>
    </row>
    <row r="4185" spans="1:8" hidden="1">
      <c r="A4185">
        <v>78.8</v>
      </c>
      <c r="G4185">
        <v>2014</v>
      </c>
      <c r="H4185" t="s">
        <v>256</v>
      </c>
    </row>
    <row r="4186" spans="1:8" hidden="1">
      <c r="A4186">
        <v>76</v>
      </c>
      <c r="G4186">
        <v>2015</v>
      </c>
      <c r="H4186" t="s">
        <v>256</v>
      </c>
    </row>
    <row r="4187" spans="1:8" hidden="1">
      <c r="A4187">
        <v>81.599999999999994</v>
      </c>
      <c r="G4187">
        <v>2016</v>
      </c>
      <c r="H4187" t="s">
        <v>256</v>
      </c>
    </row>
    <row r="4188" spans="1:8" hidden="1">
      <c r="A4188">
        <v>87.2</v>
      </c>
      <c r="G4188">
        <v>2017</v>
      </c>
      <c r="H4188" t="s">
        <v>256</v>
      </c>
    </row>
    <row r="4189" spans="1:8" hidden="1">
      <c r="A4189">
        <v>92.8</v>
      </c>
      <c r="G4189">
        <v>2018</v>
      </c>
      <c r="H4189" t="s">
        <v>256</v>
      </c>
    </row>
    <row r="4190" spans="1:8" hidden="1">
      <c r="A4190">
        <v>98.4</v>
      </c>
      <c r="G4190">
        <v>2019</v>
      </c>
      <c r="H4190" t="s">
        <v>256</v>
      </c>
    </row>
    <row r="4191" spans="1:8" hidden="1">
      <c r="A4191">
        <v>104</v>
      </c>
      <c r="G4191">
        <v>2020</v>
      </c>
      <c r="H4191" t="s">
        <v>256</v>
      </c>
    </row>
    <row r="4192" spans="1:8" hidden="1">
      <c r="A4192">
        <v>99.7</v>
      </c>
      <c r="G4192">
        <v>2021</v>
      </c>
      <c r="H4192" t="s">
        <v>256</v>
      </c>
    </row>
    <row r="4193" spans="1:8" hidden="1">
      <c r="A4193">
        <v>96.1</v>
      </c>
      <c r="G4193">
        <v>2022</v>
      </c>
      <c r="H4193" t="s">
        <v>256</v>
      </c>
    </row>
    <row r="4194" spans="1:8" hidden="1">
      <c r="A4194">
        <v>0</v>
      </c>
      <c r="F4194" s="48">
        <v>2000</v>
      </c>
      <c r="G4194" t="s">
        <v>256</v>
      </c>
    </row>
    <row r="4195" spans="1:8" hidden="1">
      <c r="A4195">
        <v>0</v>
      </c>
      <c r="F4195" s="48">
        <v>2001</v>
      </c>
      <c r="G4195" t="s">
        <v>256</v>
      </c>
    </row>
    <row r="4196" spans="1:8" hidden="1">
      <c r="A4196">
        <v>0</v>
      </c>
      <c r="F4196" s="48">
        <v>2002</v>
      </c>
      <c r="G4196" t="s">
        <v>256</v>
      </c>
    </row>
    <row r="4197" spans="1:8" hidden="1">
      <c r="A4197">
        <v>0</v>
      </c>
      <c r="F4197" s="48">
        <v>2003</v>
      </c>
      <c r="G4197" t="s">
        <v>256</v>
      </c>
    </row>
    <row r="4198" spans="1:8" hidden="1">
      <c r="A4198">
        <v>0</v>
      </c>
      <c r="F4198" s="48">
        <v>2004</v>
      </c>
      <c r="G4198" t="s">
        <v>256</v>
      </c>
    </row>
    <row r="4199" spans="1:8" hidden="1">
      <c r="A4199">
        <v>0</v>
      </c>
      <c r="F4199" s="48">
        <v>2005</v>
      </c>
      <c r="G4199" t="s">
        <v>256</v>
      </c>
    </row>
    <row r="4200" spans="1:8" hidden="1">
      <c r="A4200">
        <v>0</v>
      </c>
      <c r="F4200" s="48">
        <v>2006</v>
      </c>
      <c r="G4200" t="s">
        <v>256</v>
      </c>
    </row>
    <row r="4201" spans="1:8" hidden="1">
      <c r="A4201">
        <v>0</v>
      </c>
      <c r="F4201" s="48">
        <v>2007</v>
      </c>
      <c r="G4201" t="s">
        <v>256</v>
      </c>
    </row>
    <row r="4202" spans="1:8" hidden="1">
      <c r="A4202">
        <v>0</v>
      </c>
      <c r="F4202" s="48">
        <v>2008</v>
      </c>
      <c r="G4202" t="s">
        <v>256</v>
      </c>
    </row>
    <row r="4203" spans="1:8" hidden="1">
      <c r="A4203">
        <v>0</v>
      </c>
      <c r="F4203" s="48">
        <v>2009</v>
      </c>
      <c r="G4203" t="s">
        <v>256</v>
      </c>
    </row>
    <row r="4204" spans="1:8" hidden="1">
      <c r="A4204">
        <v>0</v>
      </c>
      <c r="F4204" s="48">
        <v>2010</v>
      </c>
      <c r="G4204" t="s">
        <v>256</v>
      </c>
    </row>
    <row r="4205" spans="1:8" hidden="1">
      <c r="A4205">
        <v>0</v>
      </c>
      <c r="F4205" s="48">
        <v>2011</v>
      </c>
      <c r="G4205" t="s">
        <v>256</v>
      </c>
    </row>
    <row r="4206" spans="1:8" hidden="1">
      <c r="A4206">
        <v>0</v>
      </c>
      <c r="F4206" s="48">
        <v>2012</v>
      </c>
      <c r="G4206" t="s">
        <v>256</v>
      </c>
    </row>
    <row r="4207" spans="1:8" hidden="1">
      <c r="A4207">
        <v>0</v>
      </c>
      <c r="F4207" s="48">
        <v>2013</v>
      </c>
      <c r="G4207" t="s">
        <v>256</v>
      </c>
    </row>
    <row r="4208" spans="1:8" hidden="1">
      <c r="A4208">
        <v>0</v>
      </c>
      <c r="F4208" s="48">
        <v>2014</v>
      </c>
      <c r="G4208" t="s">
        <v>256</v>
      </c>
    </row>
    <row r="4209" spans="1:10" hidden="1">
      <c r="A4209">
        <v>0</v>
      </c>
      <c r="F4209" s="48">
        <v>2015</v>
      </c>
      <c r="G4209" t="s">
        <v>256</v>
      </c>
    </row>
    <row r="4210" spans="1:10" hidden="1">
      <c r="A4210">
        <v>0</v>
      </c>
      <c r="F4210" s="48">
        <v>2016</v>
      </c>
      <c r="G4210" t="s">
        <v>256</v>
      </c>
    </row>
    <row r="4211" spans="1:10" hidden="1">
      <c r="A4211">
        <v>0</v>
      </c>
      <c r="F4211" s="48">
        <v>2017</v>
      </c>
      <c r="G4211" t="s">
        <v>256</v>
      </c>
    </row>
    <row r="4212" spans="1:10" hidden="1">
      <c r="A4212">
        <v>0</v>
      </c>
      <c r="F4212" s="48">
        <v>2018</v>
      </c>
      <c r="G4212" t="s">
        <v>256</v>
      </c>
    </row>
    <row r="4213" spans="1:10" hidden="1">
      <c r="A4213">
        <v>0</v>
      </c>
      <c r="F4213" s="48">
        <v>2019</v>
      </c>
      <c r="G4213" t="s">
        <v>256</v>
      </c>
    </row>
    <row r="4214" spans="1:10" hidden="1">
      <c r="A4214">
        <v>0</v>
      </c>
      <c r="F4214" s="48">
        <v>2020</v>
      </c>
      <c r="G4214" t="s">
        <v>256</v>
      </c>
    </row>
    <row r="4215" spans="1:10" hidden="1">
      <c r="A4215">
        <v>0</v>
      </c>
      <c r="F4215" s="48">
        <v>2021</v>
      </c>
      <c r="G4215" t="s">
        <v>256</v>
      </c>
    </row>
    <row r="4216" spans="1:10" hidden="1">
      <c r="A4216">
        <v>0</v>
      </c>
      <c r="F4216" s="48">
        <v>2022</v>
      </c>
      <c r="G4216" t="s">
        <v>256</v>
      </c>
    </row>
    <row r="4217" spans="1:10">
      <c r="A4217">
        <v>97</v>
      </c>
      <c r="E4217">
        <v>2000</v>
      </c>
      <c r="F4217" s="48" t="s">
        <v>256</v>
      </c>
      <c r="I4217">
        <f t="shared" ref="I4217:I4239" si="48">E4217</f>
        <v>2000</v>
      </c>
      <c r="J4217">
        <f t="shared" ref="J4217:J4239" si="49">A4217</f>
        <v>97</v>
      </c>
    </row>
    <row r="4218" spans="1:10">
      <c r="A4218">
        <v>98.2</v>
      </c>
      <c r="E4218">
        <v>2001</v>
      </c>
      <c r="F4218" s="48" t="s">
        <v>256</v>
      </c>
      <c r="I4218">
        <f t="shared" si="48"/>
        <v>2001</v>
      </c>
      <c r="J4218">
        <f t="shared" si="49"/>
        <v>98.2</v>
      </c>
    </row>
    <row r="4219" spans="1:10">
      <c r="A4219">
        <v>99.4</v>
      </c>
      <c r="E4219">
        <v>2002</v>
      </c>
      <c r="F4219" s="48" t="s">
        <v>256</v>
      </c>
      <c r="I4219">
        <f t="shared" si="48"/>
        <v>2002</v>
      </c>
      <c r="J4219">
        <f t="shared" si="49"/>
        <v>99.4</v>
      </c>
    </row>
    <row r="4220" spans="1:10">
      <c r="A4220">
        <v>100.6</v>
      </c>
      <c r="E4220">
        <v>2003</v>
      </c>
      <c r="F4220" s="48" t="s">
        <v>256</v>
      </c>
      <c r="I4220">
        <f t="shared" si="48"/>
        <v>2003</v>
      </c>
      <c r="J4220">
        <f t="shared" si="49"/>
        <v>100.6</v>
      </c>
    </row>
    <row r="4221" spans="1:10">
      <c r="A4221">
        <v>101.8</v>
      </c>
      <c r="E4221">
        <v>2004</v>
      </c>
      <c r="F4221" s="48" t="s">
        <v>256</v>
      </c>
      <c r="I4221">
        <f t="shared" si="48"/>
        <v>2004</v>
      </c>
      <c r="J4221">
        <f t="shared" si="49"/>
        <v>101.8</v>
      </c>
    </row>
    <row r="4222" spans="1:10">
      <c r="A4222">
        <v>103</v>
      </c>
      <c r="E4222">
        <v>2005</v>
      </c>
      <c r="F4222" s="48" t="s">
        <v>256</v>
      </c>
      <c r="I4222">
        <f t="shared" si="48"/>
        <v>2005</v>
      </c>
      <c r="J4222">
        <f t="shared" si="49"/>
        <v>103</v>
      </c>
    </row>
    <row r="4223" spans="1:10">
      <c r="A4223">
        <v>109.4</v>
      </c>
      <c r="E4223">
        <v>2006</v>
      </c>
      <c r="F4223" s="48" t="s">
        <v>256</v>
      </c>
      <c r="I4223">
        <f t="shared" si="48"/>
        <v>2006</v>
      </c>
      <c r="J4223">
        <f t="shared" si="49"/>
        <v>109.4</v>
      </c>
    </row>
    <row r="4224" spans="1:10">
      <c r="A4224">
        <v>115.8</v>
      </c>
      <c r="E4224">
        <v>2007</v>
      </c>
      <c r="F4224" s="48" t="s">
        <v>256</v>
      </c>
      <c r="I4224">
        <f t="shared" si="48"/>
        <v>2007</v>
      </c>
      <c r="J4224">
        <f t="shared" si="49"/>
        <v>115.8</v>
      </c>
    </row>
    <row r="4225" spans="1:10">
      <c r="A4225">
        <v>122.2</v>
      </c>
      <c r="E4225">
        <v>2008</v>
      </c>
      <c r="F4225" s="48" t="s">
        <v>256</v>
      </c>
      <c r="I4225">
        <f t="shared" si="48"/>
        <v>2008</v>
      </c>
      <c r="J4225">
        <f t="shared" si="49"/>
        <v>122.2</v>
      </c>
    </row>
    <row r="4226" spans="1:10">
      <c r="A4226">
        <v>128.6</v>
      </c>
      <c r="E4226">
        <v>2009</v>
      </c>
      <c r="F4226" s="48" t="s">
        <v>256</v>
      </c>
      <c r="I4226">
        <f t="shared" si="48"/>
        <v>2009</v>
      </c>
      <c r="J4226">
        <f t="shared" si="49"/>
        <v>128.6</v>
      </c>
    </row>
    <row r="4227" spans="1:10">
      <c r="A4227">
        <v>135</v>
      </c>
      <c r="E4227">
        <v>2010</v>
      </c>
      <c r="F4227" s="48" t="s">
        <v>256</v>
      </c>
      <c r="I4227">
        <f t="shared" si="48"/>
        <v>2010</v>
      </c>
      <c r="J4227">
        <f t="shared" si="49"/>
        <v>135</v>
      </c>
    </row>
    <row r="4228" spans="1:10">
      <c r="A4228">
        <v>124.6</v>
      </c>
      <c r="E4228">
        <v>2011</v>
      </c>
      <c r="F4228" s="48" t="s">
        <v>256</v>
      </c>
      <c r="I4228">
        <f t="shared" si="48"/>
        <v>2011</v>
      </c>
      <c r="J4228">
        <f t="shared" si="49"/>
        <v>124.6</v>
      </c>
    </row>
    <row r="4229" spans="1:10">
      <c r="A4229">
        <v>114.2</v>
      </c>
      <c r="E4229">
        <v>2012</v>
      </c>
      <c r="F4229" s="48" t="s">
        <v>256</v>
      </c>
      <c r="I4229">
        <f t="shared" si="48"/>
        <v>2012</v>
      </c>
      <c r="J4229">
        <f t="shared" si="49"/>
        <v>114.2</v>
      </c>
    </row>
    <row r="4230" spans="1:10">
      <c r="A4230">
        <v>103.8</v>
      </c>
      <c r="E4230">
        <v>2013</v>
      </c>
      <c r="F4230" s="48" t="s">
        <v>256</v>
      </c>
      <c r="I4230">
        <f t="shared" si="48"/>
        <v>2013</v>
      </c>
      <c r="J4230">
        <f t="shared" si="49"/>
        <v>103.8</v>
      </c>
    </row>
    <row r="4231" spans="1:10">
      <c r="A4231">
        <v>93.4</v>
      </c>
      <c r="E4231">
        <v>2014</v>
      </c>
      <c r="F4231" s="48" t="s">
        <v>256</v>
      </c>
      <c r="I4231">
        <f t="shared" si="48"/>
        <v>2014</v>
      </c>
      <c r="J4231">
        <f t="shared" si="49"/>
        <v>93.4</v>
      </c>
    </row>
    <row r="4232" spans="1:10">
      <c r="A4232">
        <v>83</v>
      </c>
      <c r="E4232">
        <v>2015</v>
      </c>
      <c r="F4232" s="48" t="s">
        <v>256</v>
      </c>
      <c r="I4232">
        <f t="shared" si="48"/>
        <v>2015</v>
      </c>
      <c r="J4232">
        <f t="shared" si="49"/>
        <v>83</v>
      </c>
    </row>
    <row r="4233" spans="1:10">
      <c r="A4233">
        <v>82.6</v>
      </c>
      <c r="E4233">
        <v>2016</v>
      </c>
      <c r="F4233" s="48" t="s">
        <v>256</v>
      </c>
      <c r="I4233">
        <f t="shared" si="48"/>
        <v>2016</v>
      </c>
      <c r="J4233">
        <f t="shared" si="49"/>
        <v>82.6</v>
      </c>
    </row>
    <row r="4234" spans="1:10">
      <c r="A4234">
        <v>82.2</v>
      </c>
      <c r="E4234">
        <v>2017</v>
      </c>
      <c r="F4234" s="48" t="s">
        <v>256</v>
      </c>
      <c r="I4234">
        <f t="shared" si="48"/>
        <v>2017</v>
      </c>
      <c r="J4234">
        <f t="shared" si="49"/>
        <v>82.2</v>
      </c>
    </row>
    <row r="4235" spans="1:10">
      <c r="A4235">
        <v>81.8</v>
      </c>
      <c r="E4235">
        <v>2018</v>
      </c>
      <c r="F4235" s="48" t="s">
        <v>256</v>
      </c>
      <c r="I4235">
        <f t="shared" si="48"/>
        <v>2018</v>
      </c>
      <c r="J4235">
        <f t="shared" si="49"/>
        <v>81.8</v>
      </c>
    </row>
    <row r="4236" spans="1:10">
      <c r="A4236">
        <v>81.400000000000006</v>
      </c>
      <c r="E4236">
        <v>2019</v>
      </c>
      <c r="F4236" s="48" t="s">
        <v>256</v>
      </c>
      <c r="I4236">
        <f t="shared" si="48"/>
        <v>2019</v>
      </c>
      <c r="J4236">
        <f t="shared" si="49"/>
        <v>81.400000000000006</v>
      </c>
    </row>
    <row r="4237" spans="1:10">
      <c r="A4237">
        <v>81</v>
      </c>
      <c r="E4237">
        <v>2020</v>
      </c>
      <c r="F4237" s="48" t="s">
        <v>256</v>
      </c>
      <c r="I4237">
        <f t="shared" si="48"/>
        <v>2020</v>
      </c>
      <c r="J4237">
        <f t="shared" si="49"/>
        <v>81</v>
      </c>
    </row>
    <row r="4238" spans="1:10">
      <c r="A4238">
        <v>113.4</v>
      </c>
      <c r="E4238">
        <v>2021</v>
      </c>
      <c r="F4238" s="48" t="s">
        <v>256</v>
      </c>
      <c r="I4238">
        <f t="shared" si="48"/>
        <v>2021</v>
      </c>
      <c r="J4238">
        <f t="shared" si="49"/>
        <v>113.4</v>
      </c>
    </row>
    <row r="4239" spans="1:10">
      <c r="A4239">
        <v>114.9</v>
      </c>
      <c r="E4239">
        <v>2022</v>
      </c>
      <c r="F4239" s="48" t="s">
        <v>256</v>
      </c>
      <c r="I4239">
        <f t="shared" si="48"/>
        <v>2022</v>
      </c>
      <c r="J4239">
        <f t="shared" si="49"/>
        <v>114.9</v>
      </c>
    </row>
    <row r="4240" spans="1:10" hidden="1">
      <c r="A4240">
        <v>1406</v>
      </c>
      <c r="D4240">
        <v>2000</v>
      </c>
      <c r="E4240" t="s">
        <v>256</v>
      </c>
    </row>
    <row r="4241" spans="1:5" hidden="1">
      <c r="A4241">
        <v>1406.6</v>
      </c>
      <c r="D4241">
        <v>2001</v>
      </c>
      <c r="E4241" t="s">
        <v>256</v>
      </c>
    </row>
    <row r="4242" spans="1:5" hidden="1">
      <c r="A4242">
        <v>1407.2</v>
      </c>
      <c r="D4242">
        <v>2002</v>
      </c>
      <c r="E4242" t="s">
        <v>256</v>
      </c>
    </row>
    <row r="4243" spans="1:5" hidden="1">
      <c r="A4243">
        <v>1407.8</v>
      </c>
      <c r="D4243">
        <v>2003</v>
      </c>
      <c r="E4243" t="s">
        <v>256</v>
      </c>
    </row>
    <row r="4244" spans="1:5" hidden="1">
      <c r="A4244">
        <v>1408.4</v>
      </c>
      <c r="D4244">
        <v>2004</v>
      </c>
      <c r="E4244" t="s">
        <v>256</v>
      </c>
    </row>
    <row r="4245" spans="1:5" hidden="1">
      <c r="A4245">
        <v>1406</v>
      </c>
      <c r="D4245">
        <v>2005</v>
      </c>
      <c r="E4245" t="s">
        <v>256</v>
      </c>
    </row>
    <row r="4246" spans="1:5" hidden="1">
      <c r="A4246">
        <v>1438.7</v>
      </c>
      <c r="D4246">
        <v>2006</v>
      </c>
      <c r="E4246" t="s">
        <v>256</v>
      </c>
    </row>
    <row r="4247" spans="1:5" hidden="1">
      <c r="A4247">
        <v>1469.2</v>
      </c>
      <c r="D4247">
        <v>2007</v>
      </c>
      <c r="E4247" t="s">
        <v>256</v>
      </c>
    </row>
    <row r="4248" spans="1:5" hidden="1">
      <c r="A4248">
        <v>1500</v>
      </c>
      <c r="D4248">
        <v>2008</v>
      </c>
      <c r="E4248" t="s">
        <v>256</v>
      </c>
    </row>
    <row r="4249" spans="1:5" hidden="1">
      <c r="A4249">
        <v>1529.5</v>
      </c>
      <c r="D4249">
        <v>2009</v>
      </c>
      <c r="E4249" t="s">
        <v>256</v>
      </c>
    </row>
    <row r="4250" spans="1:5" hidden="1">
      <c r="A4250">
        <v>1565</v>
      </c>
      <c r="D4250">
        <v>2010</v>
      </c>
      <c r="E4250" t="s">
        <v>256</v>
      </c>
    </row>
    <row r="4251" spans="1:5" hidden="1">
      <c r="A4251">
        <v>1492.6</v>
      </c>
      <c r="D4251">
        <v>2011</v>
      </c>
      <c r="E4251" t="s">
        <v>256</v>
      </c>
    </row>
    <row r="4252" spans="1:5" hidden="1">
      <c r="A4252">
        <v>1420.2</v>
      </c>
      <c r="D4252">
        <v>2012</v>
      </c>
      <c r="E4252" t="s">
        <v>256</v>
      </c>
    </row>
    <row r="4253" spans="1:5" hidden="1">
      <c r="A4253">
        <v>1347.8</v>
      </c>
      <c r="D4253">
        <v>2013</v>
      </c>
      <c r="E4253" t="s">
        <v>256</v>
      </c>
    </row>
    <row r="4254" spans="1:5" hidden="1">
      <c r="A4254">
        <v>1275.4000000000001</v>
      </c>
      <c r="D4254">
        <v>2014</v>
      </c>
      <c r="E4254" t="s">
        <v>256</v>
      </c>
    </row>
    <row r="4255" spans="1:5" hidden="1">
      <c r="A4255">
        <v>1203</v>
      </c>
      <c r="D4255">
        <v>2015</v>
      </c>
      <c r="E4255" t="s">
        <v>256</v>
      </c>
    </row>
    <row r="4256" spans="1:5" hidden="1">
      <c r="A4256">
        <v>1215.5999999999999</v>
      </c>
      <c r="D4256">
        <v>2016</v>
      </c>
      <c r="E4256" t="s">
        <v>256</v>
      </c>
    </row>
    <row r="4257" spans="1:5" hidden="1">
      <c r="A4257">
        <v>1228.2</v>
      </c>
      <c r="D4257">
        <v>2017</v>
      </c>
      <c r="E4257" t="s">
        <v>256</v>
      </c>
    </row>
    <row r="4258" spans="1:5" hidden="1">
      <c r="A4258">
        <v>1240.8</v>
      </c>
      <c r="D4258">
        <v>2018</v>
      </c>
      <c r="E4258" t="s">
        <v>256</v>
      </c>
    </row>
    <row r="4259" spans="1:5" hidden="1">
      <c r="A4259">
        <v>1253.4000000000001</v>
      </c>
      <c r="D4259">
        <v>2019</v>
      </c>
      <c r="E4259" t="s">
        <v>256</v>
      </c>
    </row>
    <row r="4260" spans="1:5" hidden="1">
      <c r="A4260">
        <v>1266</v>
      </c>
      <c r="D4260">
        <v>2020</v>
      </c>
      <c r="E4260" t="s">
        <v>256</v>
      </c>
    </row>
    <row r="4261" spans="1:5" hidden="1">
      <c r="A4261">
        <v>813.3</v>
      </c>
      <c r="D4261">
        <v>2021</v>
      </c>
      <c r="E4261" t="s">
        <v>256</v>
      </c>
    </row>
    <row r="4262" spans="1:5" hidden="1">
      <c r="A4262">
        <v>931</v>
      </c>
      <c r="D4262">
        <v>2022</v>
      </c>
      <c r="E4262" t="s">
        <v>256</v>
      </c>
    </row>
    <row r="4263" spans="1:5" hidden="1">
      <c r="A4263">
        <v>11</v>
      </c>
      <c r="C4263">
        <v>2000</v>
      </c>
      <c r="D4263" t="s">
        <v>256</v>
      </c>
    </row>
    <row r="4264" spans="1:5" hidden="1">
      <c r="A4264">
        <v>23.6</v>
      </c>
      <c r="C4264">
        <v>2001</v>
      </c>
      <c r="D4264" t="s">
        <v>256</v>
      </c>
    </row>
    <row r="4265" spans="1:5" hidden="1">
      <c r="A4265">
        <v>24.2</v>
      </c>
      <c r="C4265">
        <v>2002</v>
      </c>
      <c r="D4265" t="s">
        <v>256</v>
      </c>
    </row>
    <row r="4266" spans="1:5" hidden="1">
      <c r="A4266">
        <v>24.8</v>
      </c>
      <c r="C4266">
        <v>2003</v>
      </c>
      <c r="D4266" t="s">
        <v>256</v>
      </c>
    </row>
    <row r="4267" spans="1:5" hidden="1">
      <c r="A4267">
        <v>25.4</v>
      </c>
      <c r="C4267">
        <v>2004</v>
      </c>
      <c r="D4267" t="s">
        <v>256</v>
      </c>
    </row>
    <row r="4268" spans="1:5" hidden="1">
      <c r="A4268">
        <v>15</v>
      </c>
      <c r="C4268">
        <v>2005</v>
      </c>
      <c r="D4268" t="s">
        <v>256</v>
      </c>
    </row>
    <row r="4269" spans="1:5" hidden="1">
      <c r="A4269">
        <v>14.4</v>
      </c>
      <c r="C4269">
        <v>2006</v>
      </c>
      <c r="D4269" t="s">
        <v>256</v>
      </c>
    </row>
    <row r="4270" spans="1:5" hidden="1">
      <c r="A4270">
        <v>13.8</v>
      </c>
      <c r="C4270">
        <v>2007</v>
      </c>
      <c r="D4270" t="s">
        <v>256</v>
      </c>
    </row>
    <row r="4271" spans="1:5" hidden="1">
      <c r="A4271">
        <v>13.2</v>
      </c>
      <c r="C4271">
        <v>2008</v>
      </c>
      <c r="D4271" t="s">
        <v>256</v>
      </c>
    </row>
    <row r="4272" spans="1:5" hidden="1">
      <c r="A4272">
        <v>12.6</v>
      </c>
      <c r="C4272">
        <v>2009</v>
      </c>
      <c r="D4272" t="s">
        <v>256</v>
      </c>
    </row>
    <row r="4273" spans="1:4" hidden="1">
      <c r="A4273">
        <v>12</v>
      </c>
      <c r="C4273">
        <v>2010</v>
      </c>
      <c r="D4273" t="s">
        <v>256</v>
      </c>
    </row>
    <row r="4274" spans="1:4" hidden="1">
      <c r="A4274">
        <v>20.8</v>
      </c>
      <c r="C4274">
        <v>2011</v>
      </c>
      <c r="D4274" t="s">
        <v>256</v>
      </c>
    </row>
    <row r="4275" spans="1:4" hidden="1">
      <c r="A4275">
        <v>29.6</v>
      </c>
      <c r="C4275">
        <v>2012</v>
      </c>
      <c r="D4275" t="s">
        <v>256</v>
      </c>
    </row>
    <row r="4276" spans="1:4" hidden="1">
      <c r="A4276">
        <v>38.4</v>
      </c>
      <c r="C4276">
        <v>2013</v>
      </c>
      <c r="D4276" t="s">
        <v>256</v>
      </c>
    </row>
    <row r="4277" spans="1:4" hidden="1">
      <c r="A4277">
        <v>47.2</v>
      </c>
      <c r="C4277">
        <v>2014</v>
      </c>
      <c r="D4277" t="s">
        <v>256</v>
      </c>
    </row>
    <row r="4278" spans="1:4" hidden="1">
      <c r="A4278">
        <v>56</v>
      </c>
      <c r="C4278">
        <v>2015</v>
      </c>
      <c r="D4278" t="s">
        <v>256</v>
      </c>
    </row>
    <row r="4279" spans="1:4" hidden="1">
      <c r="A4279">
        <v>58.6</v>
      </c>
      <c r="C4279">
        <v>2016</v>
      </c>
      <c r="D4279" t="s">
        <v>256</v>
      </c>
    </row>
    <row r="4280" spans="1:4" hidden="1">
      <c r="A4280">
        <v>61.2</v>
      </c>
      <c r="C4280">
        <v>2017</v>
      </c>
      <c r="D4280" t="s">
        <v>256</v>
      </c>
    </row>
    <row r="4281" spans="1:4" hidden="1">
      <c r="A4281">
        <v>63.8</v>
      </c>
      <c r="C4281">
        <v>2018</v>
      </c>
      <c r="D4281" t="s">
        <v>256</v>
      </c>
    </row>
    <row r="4282" spans="1:4" hidden="1">
      <c r="A4282">
        <v>66.400000000000006</v>
      </c>
      <c r="C4282">
        <v>2019</v>
      </c>
      <c r="D4282" t="s">
        <v>256</v>
      </c>
    </row>
    <row r="4283" spans="1:4" hidden="1">
      <c r="A4283">
        <v>69</v>
      </c>
      <c r="C4283">
        <v>2020</v>
      </c>
      <c r="D4283" t="s">
        <v>256</v>
      </c>
    </row>
    <row r="4284" spans="1:4" hidden="1">
      <c r="A4284">
        <v>0</v>
      </c>
      <c r="C4284">
        <v>2021</v>
      </c>
      <c r="D4284" t="s">
        <v>256</v>
      </c>
    </row>
    <row r="4285" spans="1:4" hidden="1">
      <c r="A4285">
        <v>0</v>
      </c>
      <c r="C4285">
        <v>2022</v>
      </c>
      <c r="D4285" t="s">
        <v>256</v>
      </c>
    </row>
    <row r="4286" spans="1:4" hidden="1">
      <c r="A4286">
        <v>923</v>
      </c>
      <c r="B4286">
        <v>2000</v>
      </c>
      <c r="C4286" t="s">
        <v>256</v>
      </c>
    </row>
    <row r="4287" spans="1:4" hidden="1">
      <c r="A4287">
        <v>916.6</v>
      </c>
      <c r="B4287">
        <v>2001</v>
      </c>
      <c r="C4287" t="s">
        <v>256</v>
      </c>
    </row>
    <row r="4288" spans="1:4" hidden="1">
      <c r="A4288">
        <v>910.2</v>
      </c>
      <c r="B4288">
        <v>2002</v>
      </c>
      <c r="C4288" t="s">
        <v>256</v>
      </c>
    </row>
    <row r="4289" spans="1:3" hidden="1">
      <c r="A4289">
        <v>903.8</v>
      </c>
      <c r="B4289">
        <v>2003</v>
      </c>
      <c r="C4289" t="s">
        <v>256</v>
      </c>
    </row>
    <row r="4290" spans="1:3" hidden="1">
      <c r="A4290">
        <v>897.4</v>
      </c>
      <c r="B4290">
        <v>2004</v>
      </c>
      <c r="C4290" t="s">
        <v>256</v>
      </c>
    </row>
    <row r="4291" spans="1:3" hidden="1">
      <c r="A4291">
        <v>891</v>
      </c>
      <c r="B4291">
        <v>2005</v>
      </c>
      <c r="C4291" t="s">
        <v>256</v>
      </c>
    </row>
    <row r="4292" spans="1:3" hidden="1">
      <c r="A4292">
        <v>894.4</v>
      </c>
      <c r="B4292">
        <v>2006</v>
      </c>
      <c r="C4292" t="s">
        <v>256</v>
      </c>
    </row>
    <row r="4293" spans="1:3" hidden="1">
      <c r="A4293">
        <v>897.8</v>
      </c>
      <c r="B4293">
        <v>2007</v>
      </c>
      <c r="C4293" t="s">
        <v>256</v>
      </c>
    </row>
    <row r="4294" spans="1:3" hidden="1">
      <c r="A4294">
        <v>901.2</v>
      </c>
      <c r="B4294">
        <v>2008</v>
      </c>
      <c r="C4294" t="s">
        <v>256</v>
      </c>
    </row>
    <row r="4295" spans="1:3" hidden="1">
      <c r="A4295">
        <v>904.6</v>
      </c>
      <c r="B4295">
        <v>2009</v>
      </c>
      <c r="C4295" t="s">
        <v>256</v>
      </c>
    </row>
    <row r="4296" spans="1:3" hidden="1">
      <c r="A4296">
        <v>908</v>
      </c>
      <c r="B4296">
        <v>2010</v>
      </c>
      <c r="C4296" t="s">
        <v>256</v>
      </c>
    </row>
    <row r="4297" spans="1:3" hidden="1">
      <c r="A4297">
        <v>899</v>
      </c>
      <c r="B4297">
        <v>2011</v>
      </c>
      <c r="C4297" t="s">
        <v>256</v>
      </c>
    </row>
    <row r="4298" spans="1:3" hidden="1">
      <c r="A4298">
        <v>890</v>
      </c>
      <c r="B4298">
        <v>2012</v>
      </c>
      <c r="C4298" t="s">
        <v>256</v>
      </c>
    </row>
    <row r="4299" spans="1:3" hidden="1">
      <c r="A4299">
        <v>881</v>
      </c>
      <c r="B4299">
        <v>2013</v>
      </c>
      <c r="C4299" t="s">
        <v>256</v>
      </c>
    </row>
    <row r="4300" spans="1:3" hidden="1">
      <c r="A4300">
        <v>872</v>
      </c>
      <c r="B4300">
        <v>2014</v>
      </c>
      <c r="C4300" t="s">
        <v>256</v>
      </c>
    </row>
    <row r="4301" spans="1:3" hidden="1">
      <c r="A4301">
        <v>863</v>
      </c>
      <c r="B4301">
        <v>2015</v>
      </c>
      <c r="C4301" t="s">
        <v>256</v>
      </c>
    </row>
    <row r="4302" spans="1:3" hidden="1">
      <c r="A4302">
        <v>865</v>
      </c>
      <c r="B4302">
        <v>2016</v>
      </c>
      <c r="C4302" t="s">
        <v>256</v>
      </c>
    </row>
    <row r="4303" spans="1:3" hidden="1">
      <c r="A4303">
        <v>867</v>
      </c>
      <c r="B4303">
        <v>2017</v>
      </c>
      <c r="C4303" t="s">
        <v>256</v>
      </c>
    </row>
    <row r="4304" spans="1:3" hidden="1">
      <c r="A4304">
        <v>869</v>
      </c>
      <c r="B4304">
        <v>2018</v>
      </c>
      <c r="C4304" t="s">
        <v>256</v>
      </c>
    </row>
    <row r="4305" spans="1:8" hidden="1">
      <c r="A4305">
        <v>871</v>
      </c>
      <c r="B4305">
        <v>2019</v>
      </c>
      <c r="C4305" t="s">
        <v>256</v>
      </c>
    </row>
    <row r="4306" spans="1:8" hidden="1">
      <c r="A4306">
        <v>873</v>
      </c>
      <c r="B4306">
        <v>2020</v>
      </c>
      <c r="C4306" t="s">
        <v>256</v>
      </c>
    </row>
    <row r="4307" spans="1:8" hidden="1">
      <c r="A4307">
        <v>983.8</v>
      </c>
      <c r="B4307">
        <v>2021</v>
      </c>
      <c r="C4307" t="s">
        <v>256</v>
      </c>
    </row>
    <row r="4308" spans="1:8" hidden="1">
      <c r="A4308">
        <v>990.7</v>
      </c>
      <c r="B4308">
        <v>2022</v>
      </c>
      <c r="C4308" t="s">
        <v>256</v>
      </c>
    </row>
    <row r="4309" spans="1:8" hidden="1">
      <c r="A4309">
        <v>5.8</v>
      </c>
      <c r="G4309">
        <v>2000</v>
      </c>
      <c r="H4309" t="s">
        <v>246</v>
      </c>
    </row>
    <row r="4310" spans="1:8" hidden="1">
      <c r="A4310">
        <v>5.8</v>
      </c>
      <c r="G4310">
        <v>2001</v>
      </c>
      <c r="H4310" t="s">
        <v>246</v>
      </c>
    </row>
    <row r="4311" spans="1:8" hidden="1">
      <c r="A4311">
        <v>6.7</v>
      </c>
      <c r="G4311">
        <v>2002</v>
      </c>
      <c r="H4311" t="s">
        <v>246</v>
      </c>
    </row>
    <row r="4312" spans="1:8" hidden="1">
      <c r="A4312">
        <v>6.4</v>
      </c>
      <c r="G4312">
        <v>2003</v>
      </c>
      <c r="H4312" t="s">
        <v>246</v>
      </c>
    </row>
    <row r="4313" spans="1:8" hidden="1">
      <c r="A4313">
        <v>4.5</v>
      </c>
      <c r="G4313">
        <v>2004</v>
      </c>
      <c r="H4313" t="s">
        <v>246</v>
      </c>
    </row>
    <row r="4314" spans="1:8" hidden="1">
      <c r="A4314">
        <v>2.2999999999999998</v>
      </c>
      <c r="G4314">
        <v>2005</v>
      </c>
      <c r="H4314" t="s">
        <v>246</v>
      </c>
    </row>
    <row r="4315" spans="1:8" hidden="1">
      <c r="A4315">
        <v>6.3</v>
      </c>
      <c r="G4315">
        <v>2006</v>
      </c>
      <c r="H4315" t="s">
        <v>246</v>
      </c>
    </row>
    <row r="4316" spans="1:8" hidden="1">
      <c r="A4316">
        <v>4.7</v>
      </c>
      <c r="G4316">
        <v>2007</v>
      </c>
      <c r="H4316" t="s">
        <v>246</v>
      </c>
    </row>
    <row r="4317" spans="1:8" hidden="1">
      <c r="A4317">
        <v>2.4</v>
      </c>
      <c r="G4317">
        <v>2008</v>
      </c>
      <c r="H4317" t="s">
        <v>246</v>
      </c>
    </row>
    <row r="4318" spans="1:8" hidden="1">
      <c r="A4318">
        <v>2.5</v>
      </c>
      <c r="G4318">
        <v>2009</v>
      </c>
      <c r="H4318" t="s">
        <v>246</v>
      </c>
    </row>
    <row r="4319" spans="1:8" hidden="1">
      <c r="A4319">
        <v>1.8</v>
      </c>
      <c r="G4319">
        <v>2010</v>
      </c>
      <c r="H4319" t="s">
        <v>246</v>
      </c>
    </row>
    <row r="4320" spans="1:8" hidden="1">
      <c r="A4320">
        <v>3.2</v>
      </c>
      <c r="G4320">
        <v>2011</v>
      </c>
      <c r="H4320" t="s">
        <v>246</v>
      </c>
    </row>
    <row r="4321" spans="1:8" hidden="1">
      <c r="A4321">
        <v>2.2999999999999998</v>
      </c>
      <c r="G4321">
        <v>2012</v>
      </c>
      <c r="H4321" t="s">
        <v>246</v>
      </c>
    </row>
    <row r="4322" spans="1:8" hidden="1">
      <c r="A4322">
        <v>3.6</v>
      </c>
      <c r="G4322">
        <v>2013</v>
      </c>
      <c r="H4322" t="s">
        <v>246</v>
      </c>
    </row>
    <row r="4323" spans="1:8" hidden="1">
      <c r="A4323">
        <v>1.7</v>
      </c>
      <c r="G4323">
        <v>2014</v>
      </c>
      <c r="H4323" t="s">
        <v>246</v>
      </c>
    </row>
    <row r="4324" spans="1:8" hidden="1">
      <c r="A4324">
        <v>3.6</v>
      </c>
      <c r="G4324">
        <v>2015</v>
      </c>
      <c r="H4324" t="s">
        <v>246</v>
      </c>
    </row>
    <row r="4325" spans="1:8" hidden="1">
      <c r="A4325">
        <v>3.3</v>
      </c>
      <c r="G4325">
        <v>2016</v>
      </c>
      <c r="H4325" t="s">
        <v>246</v>
      </c>
    </row>
    <row r="4326" spans="1:8" hidden="1">
      <c r="A4326">
        <v>3.9</v>
      </c>
      <c r="G4326">
        <v>2017</v>
      </c>
      <c r="H4326" t="s">
        <v>246</v>
      </c>
    </row>
    <row r="4327" spans="1:8" hidden="1">
      <c r="A4327">
        <v>3.1</v>
      </c>
      <c r="G4327">
        <v>2018</v>
      </c>
      <c r="H4327" t="s">
        <v>246</v>
      </c>
    </row>
    <row r="4328" spans="1:8" hidden="1">
      <c r="A4328">
        <v>3.3</v>
      </c>
      <c r="G4328">
        <v>2019</v>
      </c>
      <c r="H4328" t="s">
        <v>246</v>
      </c>
    </row>
    <row r="4329" spans="1:8" hidden="1">
      <c r="A4329">
        <v>2.8</v>
      </c>
      <c r="G4329">
        <v>2020</v>
      </c>
      <c r="H4329" t="s">
        <v>246</v>
      </c>
    </row>
    <row r="4330" spans="1:8" hidden="1">
      <c r="A4330">
        <v>2.8</v>
      </c>
      <c r="G4330">
        <v>2021</v>
      </c>
      <c r="H4330" t="s">
        <v>246</v>
      </c>
    </row>
    <row r="4331" spans="1:8" hidden="1">
      <c r="A4331">
        <v>3</v>
      </c>
      <c r="G4331">
        <v>2022</v>
      </c>
      <c r="H4331" t="s">
        <v>246</v>
      </c>
    </row>
    <row r="4332" spans="1:8" hidden="1">
      <c r="A4332">
        <v>0</v>
      </c>
      <c r="F4332" s="48">
        <v>2000</v>
      </c>
      <c r="G4332" t="s">
        <v>246</v>
      </c>
    </row>
    <row r="4333" spans="1:8" hidden="1">
      <c r="A4333">
        <v>0</v>
      </c>
      <c r="F4333" s="48">
        <v>2001</v>
      </c>
      <c r="G4333" t="s">
        <v>246</v>
      </c>
    </row>
    <row r="4334" spans="1:8" hidden="1">
      <c r="A4334">
        <v>0</v>
      </c>
      <c r="F4334" s="48">
        <v>2002</v>
      </c>
      <c r="G4334" t="s">
        <v>246</v>
      </c>
    </row>
    <row r="4335" spans="1:8" hidden="1">
      <c r="A4335">
        <v>0</v>
      </c>
      <c r="F4335" s="48">
        <v>2003</v>
      </c>
      <c r="G4335" t="s">
        <v>246</v>
      </c>
    </row>
    <row r="4336" spans="1:8" hidden="1">
      <c r="A4336">
        <v>0</v>
      </c>
      <c r="F4336" s="48">
        <v>2004</v>
      </c>
      <c r="G4336" t="s">
        <v>246</v>
      </c>
    </row>
    <row r="4337" spans="1:7" hidden="1">
      <c r="A4337">
        <v>0</v>
      </c>
      <c r="F4337" s="48">
        <v>2005</v>
      </c>
      <c r="G4337" t="s">
        <v>246</v>
      </c>
    </row>
    <row r="4338" spans="1:7" hidden="1">
      <c r="A4338">
        <v>0</v>
      </c>
      <c r="F4338" s="48">
        <v>2006</v>
      </c>
      <c r="G4338" t="s">
        <v>246</v>
      </c>
    </row>
    <row r="4339" spans="1:7" hidden="1">
      <c r="A4339">
        <v>0</v>
      </c>
      <c r="F4339" s="48">
        <v>2007</v>
      </c>
      <c r="G4339" t="s">
        <v>246</v>
      </c>
    </row>
    <row r="4340" spans="1:7" hidden="1">
      <c r="A4340">
        <v>0.5</v>
      </c>
      <c r="F4340" s="48">
        <v>2008</v>
      </c>
      <c r="G4340" t="s">
        <v>246</v>
      </c>
    </row>
    <row r="4341" spans="1:7" hidden="1">
      <c r="A4341">
        <v>0.1</v>
      </c>
      <c r="F4341" s="48">
        <v>2009</v>
      </c>
      <c r="G4341" t="s">
        <v>246</v>
      </c>
    </row>
    <row r="4342" spans="1:7" hidden="1">
      <c r="A4342">
        <v>0</v>
      </c>
      <c r="F4342" s="48">
        <v>2010</v>
      </c>
      <c r="G4342" t="s">
        <v>246</v>
      </c>
    </row>
    <row r="4343" spans="1:7" hidden="1">
      <c r="A4343">
        <v>0</v>
      </c>
      <c r="F4343" s="48">
        <v>2011</v>
      </c>
      <c r="G4343" t="s">
        <v>246</v>
      </c>
    </row>
    <row r="4344" spans="1:7" hidden="1">
      <c r="A4344">
        <v>0</v>
      </c>
      <c r="F4344" s="48">
        <v>2012</v>
      </c>
      <c r="G4344" t="s">
        <v>246</v>
      </c>
    </row>
    <row r="4345" spans="1:7" hidden="1">
      <c r="A4345">
        <v>0</v>
      </c>
      <c r="F4345" s="48">
        <v>2013</v>
      </c>
      <c r="G4345" t="s">
        <v>246</v>
      </c>
    </row>
    <row r="4346" spans="1:7" hidden="1">
      <c r="A4346">
        <v>0</v>
      </c>
      <c r="F4346" s="48">
        <v>2014</v>
      </c>
      <c r="G4346" t="s">
        <v>246</v>
      </c>
    </row>
    <row r="4347" spans="1:7" hidden="1">
      <c r="A4347">
        <v>0</v>
      </c>
      <c r="F4347" s="48">
        <v>2015</v>
      </c>
      <c r="G4347" t="s">
        <v>246</v>
      </c>
    </row>
    <row r="4348" spans="1:7" hidden="1">
      <c r="A4348">
        <v>0</v>
      </c>
      <c r="F4348" s="48">
        <v>2016</v>
      </c>
      <c r="G4348" t="s">
        <v>246</v>
      </c>
    </row>
    <row r="4349" spans="1:7" hidden="1">
      <c r="A4349">
        <v>0</v>
      </c>
      <c r="F4349" s="48">
        <v>2017</v>
      </c>
      <c r="G4349" t="s">
        <v>246</v>
      </c>
    </row>
    <row r="4350" spans="1:7" hidden="1">
      <c r="A4350">
        <v>0</v>
      </c>
      <c r="F4350" s="48">
        <v>2018</v>
      </c>
      <c r="G4350" t="s">
        <v>246</v>
      </c>
    </row>
    <row r="4351" spans="1:7" hidden="1">
      <c r="A4351">
        <v>0</v>
      </c>
      <c r="F4351" s="48">
        <v>2019</v>
      </c>
      <c r="G4351" t="s">
        <v>246</v>
      </c>
    </row>
    <row r="4352" spans="1:7" hidden="1">
      <c r="A4352">
        <v>0</v>
      </c>
      <c r="F4352" s="48">
        <v>2020</v>
      </c>
      <c r="G4352" t="s">
        <v>246</v>
      </c>
    </row>
    <row r="4353" spans="1:10" hidden="1">
      <c r="A4353">
        <v>0</v>
      </c>
      <c r="F4353" s="48">
        <v>2021</v>
      </c>
      <c r="G4353" t="s">
        <v>246</v>
      </c>
    </row>
    <row r="4354" spans="1:10" hidden="1">
      <c r="A4354">
        <v>0</v>
      </c>
      <c r="F4354" s="48">
        <v>2022</v>
      </c>
      <c r="G4354" t="s">
        <v>246</v>
      </c>
    </row>
    <row r="4355" spans="1:10">
      <c r="A4355">
        <v>599.1</v>
      </c>
      <c r="E4355">
        <v>2000</v>
      </c>
      <c r="F4355" s="48" t="s">
        <v>246</v>
      </c>
      <c r="I4355">
        <f t="shared" ref="I4355:I4377" si="50">E4355</f>
        <v>2000</v>
      </c>
      <c r="J4355">
        <f t="shared" ref="J4355:J4377" si="51">A4355</f>
        <v>599.1</v>
      </c>
    </row>
    <row r="4356" spans="1:10">
      <c r="A4356">
        <v>636.1</v>
      </c>
      <c r="E4356">
        <v>2001</v>
      </c>
      <c r="F4356" s="48" t="s">
        <v>246</v>
      </c>
      <c r="I4356">
        <f t="shared" si="50"/>
        <v>2001</v>
      </c>
      <c r="J4356">
        <f t="shared" si="51"/>
        <v>636.1</v>
      </c>
    </row>
    <row r="4357" spans="1:10">
      <c r="A4357">
        <v>621.6</v>
      </c>
      <c r="E4357">
        <v>2002</v>
      </c>
      <c r="F4357" s="48" t="s">
        <v>246</v>
      </c>
      <c r="I4357">
        <f t="shared" si="50"/>
        <v>2002</v>
      </c>
      <c r="J4357">
        <f t="shared" si="51"/>
        <v>621.6</v>
      </c>
    </row>
    <row r="4358" spans="1:10">
      <c r="A4358">
        <v>587.9</v>
      </c>
      <c r="E4358">
        <v>2003</v>
      </c>
      <c r="F4358" s="48" t="s">
        <v>246</v>
      </c>
      <c r="I4358">
        <f t="shared" si="50"/>
        <v>2003</v>
      </c>
      <c r="J4358">
        <f t="shared" si="51"/>
        <v>587.9</v>
      </c>
    </row>
    <row r="4359" spans="1:10">
      <c r="A4359">
        <v>746.5</v>
      </c>
      <c r="E4359">
        <v>2004</v>
      </c>
      <c r="F4359" s="48" t="s">
        <v>246</v>
      </c>
      <c r="I4359">
        <f t="shared" si="50"/>
        <v>2004</v>
      </c>
      <c r="J4359">
        <f t="shared" si="51"/>
        <v>746.5</v>
      </c>
    </row>
    <row r="4360" spans="1:10">
      <c r="A4360">
        <v>685.9</v>
      </c>
      <c r="E4360">
        <v>2005</v>
      </c>
      <c r="F4360" s="48" t="s">
        <v>246</v>
      </c>
      <c r="I4360">
        <f t="shared" si="50"/>
        <v>2005</v>
      </c>
      <c r="J4360">
        <f t="shared" si="51"/>
        <v>685.9</v>
      </c>
    </row>
    <row r="4361" spans="1:10">
      <c r="A4361">
        <v>666.8</v>
      </c>
      <c r="E4361">
        <v>2006</v>
      </c>
      <c r="F4361" s="48" t="s">
        <v>246</v>
      </c>
      <c r="I4361">
        <f t="shared" si="50"/>
        <v>2006</v>
      </c>
      <c r="J4361">
        <f t="shared" si="51"/>
        <v>666.8</v>
      </c>
    </row>
    <row r="4362" spans="1:10">
      <c r="A4362">
        <v>706.3</v>
      </c>
      <c r="E4362">
        <v>2007</v>
      </c>
      <c r="F4362" s="48" t="s">
        <v>246</v>
      </c>
      <c r="I4362">
        <f t="shared" si="50"/>
        <v>2007</v>
      </c>
      <c r="J4362">
        <f t="shared" si="51"/>
        <v>706.3</v>
      </c>
    </row>
    <row r="4363" spans="1:10">
      <c r="A4363">
        <v>821.4</v>
      </c>
      <c r="E4363">
        <v>2008</v>
      </c>
      <c r="F4363" s="48" t="s">
        <v>246</v>
      </c>
      <c r="I4363">
        <f t="shared" si="50"/>
        <v>2008</v>
      </c>
      <c r="J4363">
        <f t="shared" si="51"/>
        <v>821.4</v>
      </c>
    </row>
    <row r="4364" spans="1:10">
      <c r="A4364">
        <v>725.6</v>
      </c>
      <c r="E4364">
        <v>2009</v>
      </c>
      <c r="F4364" s="48" t="s">
        <v>246</v>
      </c>
      <c r="I4364">
        <f t="shared" si="50"/>
        <v>2009</v>
      </c>
      <c r="J4364">
        <f t="shared" si="51"/>
        <v>725.6</v>
      </c>
    </row>
    <row r="4365" spans="1:10">
      <c r="A4365">
        <v>706.9</v>
      </c>
      <c r="E4365">
        <v>2010</v>
      </c>
      <c r="F4365" s="48" t="s">
        <v>246</v>
      </c>
      <c r="I4365">
        <f t="shared" si="50"/>
        <v>2010</v>
      </c>
      <c r="J4365">
        <f t="shared" si="51"/>
        <v>706.9</v>
      </c>
    </row>
    <row r="4366" spans="1:10">
      <c r="A4366">
        <v>632</v>
      </c>
      <c r="E4366">
        <v>2011</v>
      </c>
      <c r="F4366" s="48" t="s">
        <v>246</v>
      </c>
      <c r="I4366">
        <f t="shared" si="50"/>
        <v>2011</v>
      </c>
      <c r="J4366">
        <f t="shared" si="51"/>
        <v>632</v>
      </c>
    </row>
    <row r="4367" spans="1:10">
      <c r="A4367">
        <v>576</v>
      </c>
      <c r="E4367">
        <v>2012</v>
      </c>
      <c r="F4367" s="48" t="s">
        <v>246</v>
      </c>
      <c r="I4367">
        <f t="shared" si="50"/>
        <v>2012</v>
      </c>
      <c r="J4367">
        <f t="shared" si="51"/>
        <v>576</v>
      </c>
    </row>
    <row r="4368" spans="1:10">
      <c r="A4368">
        <v>681.8</v>
      </c>
      <c r="E4368">
        <v>2013</v>
      </c>
      <c r="F4368" s="48" t="s">
        <v>246</v>
      </c>
      <c r="I4368">
        <f t="shared" si="50"/>
        <v>2013</v>
      </c>
      <c r="J4368">
        <f t="shared" si="51"/>
        <v>681.8</v>
      </c>
    </row>
    <row r="4369" spans="1:10">
      <c r="A4369">
        <v>769.6</v>
      </c>
      <c r="E4369">
        <v>2014</v>
      </c>
      <c r="F4369" s="48" t="s">
        <v>246</v>
      </c>
      <c r="I4369">
        <f t="shared" si="50"/>
        <v>2014</v>
      </c>
      <c r="J4369">
        <f t="shared" si="51"/>
        <v>769.6</v>
      </c>
    </row>
    <row r="4370" spans="1:10">
      <c r="A4370">
        <v>685.5</v>
      </c>
      <c r="E4370">
        <v>2015</v>
      </c>
      <c r="F4370" s="48" t="s">
        <v>246</v>
      </c>
      <c r="I4370">
        <f t="shared" si="50"/>
        <v>2015</v>
      </c>
      <c r="J4370">
        <f t="shared" si="51"/>
        <v>685.5</v>
      </c>
    </row>
    <row r="4371" spans="1:10">
      <c r="A4371">
        <v>678.6</v>
      </c>
      <c r="E4371">
        <v>2016</v>
      </c>
      <c r="F4371" s="48" t="s">
        <v>246</v>
      </c>
      <c r="I4371">
        <f t="shared" si="50"/>
        <v>2016</v>
      </c>
      <c r="J4371">
        <f t="shared" si="51"/>
        <v>678.6</v>
      </c>
    </row>
    <row r="4372" spans="1:10">
      <c r="A4372">
        <v>713.9</v>
      </c>
      <c r="E4372">
        <v>2017</v>
      </c>
      <c r="F4372" s="48" t="s">
        <v>246</v>
      </c>
      <c r="I4372">
        <f t="shared" si="50"/>
        <v>2017</v>
      </c>
      <c r="J4372">
        <f t="shared" si="51"/>
        <v>713.9</v>
      </c>
    </row>
    <row r="4373" spans="1:10">
      <c r="A4373">
        <v>742.3</v>
      </c>
      <c r="E4373">
        <v>2018</v>
      </c>
      <c r="F4373" s="48" t="s">
        <v>246</v>
      </c>
      <c r="I4373">
        <f t="shared" si="50"/>
        <v>2018</v>
      </c>
      <c r="J4373">
        <f t="shared" si="51"/>
        <v>742.3</v>
      </c>
    </row>
    <row r="4374" spans="1:10">
      <c r="A4374">
        <v>727.1</v>
      </c>
      <c r="E4374">
        <v>2019</v>
      </c>
      <c r="F4374" s="48" t="s">
        <v>246</v>
      </c>
      <c r="I4374">
        <f t="shared" si="50"/>
        <v>2019</v>
      </c>
      <c r="J4374">
        <f t="shared" si="51"/>
        <v>727.1</v>
      </c>
    </row>
    <row r="4375" spans="1:10">
      <c r="A4375">
        <v>792</v>
      </c>
      <c r="E4375">
        <v>2020</v>
      </c>
      <c r="F4375" s="48" t="s">
        <v>246</v>
      </c>
      <c r="I4375">
        <f t="shared" si="50"/>
        <v>2020</v>
      </c>
      <c r="J4375">
        <f t="shared" si="51"/>
        <v>792</v>
      </c>
    </row>
    <row r="4376" spans="1:10">
      <c r="A4376">
        <v>717.1</v>
      </c>
      <c r="E4376">
        <v>2021</v>
      </c>
      <c r="F4376" s="48" t="s">
        <v>246</v>
      </c>
      <c r="I4376">
        <f t="shared" si="50"/>
        <v>2021</v>
      </c>
      <c r="J4376">
        <f t="shared" si="51"/>
        <v>717.1</v>
      </c>
    </row>
    <row r="4377" spans="1:10">
      <c r="A4377">
        <v>605.9</v>
      </c>
      <c r="E4377">
        <v>2022</v>
      </c>
      <c r="F4377" s="48" t="s">
        <v>246</v>
      </c>
      <c r="I4377">
        <f t="shared" si="50"/>
        <v>2022</v>
      </c>
      <c r="J4377">
        <f t="shared" si="51"/>
        <v>605.9</v>
      </c>
    </row>
    <row r="4378" spans="1:10" hidden="1">
      <c r="A4378">
        <v>84.8</v>
      </c>
      <c r="D4378">
        <v>2000</v>
      </c>
      <c r="E4378" t="s">
        <v>246</v>
      </c>
    </row>
    <row r="4379" spans="1:10" hidden="1">
      <c r="A4379">
        <v>83.3</v>
      </c>
      <c r="D4379">
        <v>2001</v>
      </c>
      <c r="E4379" t="s">
        <v>246</v>
      </c>
    </row>
    <row r="4380" spans="1:10" hidden="1">
      <c r="A4380">
        <v>83.8</v>
      </c>
      <c r="D4380">
        <v>2002</v>
      </c>
      <c r="E4380" t="s">
        <v>246</v>
      </c>
    </row>
    <row r="4381" spans="1:10" hidden="1">
      <c r="A4381">
        <v>75.2</v>
      </c>
      <c r="D4381">
        <v>2003</v>
      </c>
      <c r="E4381" t="s">
        <v>246</v>
      </c>
    </row>
    <row r="4382" spans="1:10" hidden="1">
      <c r="A4382">
        <v>72</v>
      </c>
      <c r="D4382">
        <v>2004</v>
      </c>
      <c r="E4382" t="s">
        <v>246</v>
      </c>
    </row>
    <row r="4383" spans="1:10" hidden="1">
      <c r="A4383">
        <v>71.900000000000006</v>
      </c>
      <c r="D4383">
        <v>2005</v>
      </c>
      <c r="E4383" t="s">
        <v>246</v>
      </c>
    </row>
    <row r="4384" spans="1:10" hidden="1">
      <c r="A4384">
        <v>66.2</v>
      </c>
      <c r="D4384">
        <v>2006</v>
      </c>
      <c r="E4384" t="s">
        <v>246</v>
      </c>
    </row>
    <row r="4385" spans="1:5" hidden="1">
      <c r="A4385">
        <v>54.9</v>
      </c>
      <c r="D4385">
        <v>2007</v>
      </c>
      <c r="E4385" t="s">
        <v>246</v>
      </c>
    </row>
    <row r="4386" spans="1:5" hidden="1">
      <c r="A4386">
        <v>48.1</v>
      </c>
      <c r="D4386">
        <v>2008</v>
      </c>
      <c r="E4386" t="s">
        <v>246</v>
      </c>
    </row>
    <row r="4387" spans="1:5" hidden="1">
      <c r="A4387">
        <v>48.4</v>
      </c>
      <c r="D4387">
        <v>2009</v>
      </c>
      <c r="E4387" t="s">
        <v>246</v>
      </c>
    </row>
    <row r="4388" spans="1:5" hidden="1">
      <c r="A4388">
        <v>49.6</v>
      </c>
      <c r="D4388">
        <v>2010</v>
      </c>
      <c r="E4388" t="s">
        <v>246</v>
      </c>
    </row>
    <row r="4389" spans="1:5" hidden="1">
      <c r="A4389">
        <v>45.1</v>
      </c>
      <c r="D4389">
        <v>2011</v>
      </c>
      <c r="E4389" t="s">
        <v>246</v>
      </c>
    </row>
    <row r="4390" spans="1:5" hidden="1">
      <c r="A4390">
        <v>40.5</v>
      </c>
      <c r="D4390">
        <v>2012</v>
      </c>
      <c r="E4390" t="s">
        <v>246</v>
      </c>
    </row>
    <row r="4391" spans="1:5" hidden="1">
      <c r="A4391">
        <v>43.1</v>
      </c>
      <c r="D4391">
        <v>2013</v>
      </c>
      <c r="E4391" t="s">
        <v>246</v>
      </c>
    </row>
    <row r="4392" spans="1:5" hidden="1">
      <c r="A4392">
        <v>43</v>
      </c>
      <c r="D4392">
        <v>2014</v>
      </c>
      <c r="E4392" t="s">
        <v>246</v>
      </c>
    </row>
    <row r="4393" spans="1:5" hidden="1">
      <c r="A4393">
        <v>40.9</v>
      </c>
      <c r="D4393">
        <v>2015</v>
      </c>
      <c r="E4393" t="s">
        <v>246</v>
      </c>
    </row>
    <row r="4394" spans="1:5" hidden="1">
      <c r="A4394">
        <v>40.6</v>
      </c>
      <c r="D4394">
        <v>2016</v>
      </c>
      <c r="E4394" t="s">
        <v>246</v>
      </c>
    </row>
    <row r="4395" spans="1:5" hidden="1">
      <c r="A4395">
        <v>41.7</v>
      </c>
      <c r="D4395">
        <v>2017</v>
      </c>
      <c r="E4395" t="s">
        <v>246</v>
      </c>
    </row>
    <row r="4396" spans="1:5" hidden="1">
      <c r="A4396">
        <v>40.4</v>
      </c>
      <c r="D4396">
        <v>2018</v>
      </c>
      <c r="E4396" t="s">
        <v>246</v>
      </c>
    </row>
    <row r="4397" spans="1:5" hidden="1">
      <c r="A4397">
        <v>41.7</v>
      </c>
      <c r="D4397">
        <v>2019</v>
      </c>
      <c r="E4397" t="s">
        <v>246</v>
      </c>
    </row>
    <row r="4398" spans="1:5" hidden="1">
      <c r="A4398">
        <v>37.1</v>
      </c>
      <c r="D4398">
        <v>2020</v>
      </c>
      <c r="E4398" t="s">
        <v>246</v>
      </c>
    </row>
    <row r="4399" spans="1:5" hidden="1">
      <c r="A4399">
        <v>35.799999999999997</v>
      </c>
      <c r="D4399">
        <v>2021</v>
      </c>
      <c r="E4399" t="s">
        <v>246</v>
      </c>
    </row>
    <row r="4400" spans="1:5" hidden="1">
      <c r="A4400">
        <v>36.4</v>
      </c>
      <c r="D4400">
        <v>2022</v>
      </c>
      <c r="E4400" t="s">
        <v>246</v>
      </c>
    </row>
    <row r="4401" spans="1:4" hidden="1">
      <c r="A4401">
        <v>0</v>
      </c>
      <c r="C4401">
        <v>2000</v>
      </c>
      <c r="D4401" t="s">
        <v>246</v>
      </c>
    </row>
    <row r="4402" spans="1:4" hidden="1">
      <c r="A4402">
        <v>0</v>
      </c>
      <c r="C4402">
        <v>2001</v>
      </c>
      <c r="D4402" t="s">
        <v>246</v>
      </c>
    </row>
    <row r="4403" spans="1:4" hidden="1">
      <c r="A4403">
        <v>0</v>
      </c>
      <c r="C4403">
        <v>2002</v>
      </c>
      <c r="D4403" t="s">
        <v>246</v>
      </c>
    </row>
    <row r="4404" spans="1:4" hidden="1">
      <c r="A4404">
        <v>1.1000000000000001</v>
      </c>
      <c r="C4404">
        <v>2003</v>
      </c>
      <c r="D4404" t="s">
        <v>246</v>
      </c>
    </row>
    <row r="4405" spans="1:4" hidden="1">
      <c r="A4405">
        <v>1.3</v>
      </c>
      <c r="C4405">
        <v>2004</v>
      </c>
      <c r="D4405" t="s">
        <v>246</v>
      </c>
    </row>
    <row r="4406" spans="1:4" hidden="1">
      <c r="A4406">
        <v>0.8</v>
      </c>
      <c r="C4406">
        <v>2005</v>
      </c>
      <c r="D4406" t="s">
        <v>246</v>
      </c>
    </row>
    <row r="4407" spans="1:4" hidden="1">
      <c r="A4407">
        <v>1.5</v>
      </c>
      <c r="C4407">
        <v>2006</v>
      </c>
      <c r="D4407" t="s">
        <v>246</v>
      </c>
    </row>
    <row r="4408" spans="1:4" hidden="1">
      <c r="A4408">
        <v>1.7</v>
      </c>
      <c r="C4408">
        <v>2007</v>
      </c>
      <c r="D4408" t="s">
        <v>246</v>
      </c>
    </row>
    <row r="4409" spans="1:4" hidden="1">
      <c r="A4409">
        <v>1.4</v>
      </c>
      <c r="C4409">
        <v>2008</v>
      </c>
      <c r="D4409" t="s">
        <v>246</v>
      </c>
    </row>
    <row r="4410" spans="1:4" hidden="1">
      <c r="A4410">
        <v>0.9</v>
      </c>
      <c r="C4410">
        <v>2009</v>
      </c>
      <c r="D4410" t="s">
        <v>246</v>
      </c>
    </row>
    <row r="4411" spans="1:4" hidden="1">
      <c r="A4411">
        <v>1.2</v>
      </c>
      <c r="C4411">
        <v>2010</v>
      </c>
      <c r="D4411" t="s">
        <v>246</v>
      </c>
    </row>
    <row r="4412" spans="1:4" hidden="1">
      <c r="A4412">
        <v>0.9</v>
      </c>
      <c r="C4412">
        <v>2011</v>
      </c>
      <c r="D4412" t="s">
        <v>246</v>
      </c>
    </row>
    <row r="4413" spans="1:4" hidden="1">
      <c r="A4413">
        <v>0.8</v>
      </c>
      <c r="C4413">
        <v>2012</v>
      </c>
      <c r="D4413" t="s">
        <v>246</v>
      </c>
    </row>
    <row r="4414" spans="1:4" hidden="1">
      <c r="A4414">
        <v>0.8</v>
      </c>
      <c r="C4414">
        <v>2013</v>
      </c>
      <c r="D4414" t="s">
        <v>246</v>
      </c>
    </row>
    <row r="4415" spans="1:4" hidden="1">
      <c r="A4415">
        <v>0.9</v>
      </c>
      <c r="C4415">
        <v>2014</v>
      </c>
      <c r="D4415" t="s">
        <v>246</v>
      </c>
    </row>
    <row r="4416" spans="1:4" hidden="1">
      <c r="A4416">
        <v>0.7</v>
      </c>
      <c r="C4416">
        <v>2015</v>
      </c>
      <c r="D4416" t="s">
        <v>246</v>
      </c>
    </row>
    <row r="4417" spans="1:4" hidden="1">
      <c r="A4417">
        <v>0.8</v>
      </c>
      <c r="C4417">
        <v>2016</v>
      </c>
      <c r="D4417" t="s">
        <v>246</v>
      </c>
    </row>
    <row r="4418" spans="1:4" hidden="1">
      <c r="A4418">
        <v>0.8</v>
      </c>
      <c r="C4418">
        <v>2017</v>
      </c>
      <c r="D4418" t="s">
        <v>246</v>
      </c>
    </row>
    <row r="4419" spans="1:4" hidden="1">
      <c r="A4419">
        <v>0.9</v>
      </c>
      <c r="C4419">
        <v>2018</v>
      </c>
      <c r="D4419" t="s">
        <v>246</v>
      </c>
    </row>
    <row r="4420" spans="1:4" hidden="1">
      <c r="A4420">
        <v>1</v>
      </c>
      <c r="C4420">
        <v>2019</v>
      </c>
      <c r="D4420" t="s">
        <v>246</v>
      </c>
    </row>
    <row r="4421" spans="1:4" hidden="1">
      <c r="A4421">
        <v>1</v>
      </c>
      <c r="C4421">
        <v>2020</v>
      </c>
      <c r="D4421" t="s">
        <v>246</v>
      </c>
    </row>
    <row r="4422" spans="1:4" hidden="1">
      <c r="A4422">
        <v>1.2</v>
      </c>
      <c r="C4422">
        <v>2021</v>
      </c>
      <c r="D4422" t="s">
        <v>246</v>
      </c>
    </row>
    <row r="4423" spans="1:4" hidden="1">
      <c r="A4423">
        <v>1.1000000000000001</v>
      </c>
      <c r="C4423">
        <v>2022</v>
      </c>
      <c r="D4423" t="s">
        <v>246</v>
      </c>
    </row>
    <row r="4424" spans="1:4" hidden="1">
      <c r="A4424">
        <v>108.2</v>
      </c>
      <c r="B4424">
        <v>2000</v>
      </c>
      <c r="C4424" t="s">
        <v>246</v>
      </c>
    </row>
    <row r="4425" spans="1:4" hidden="1">
      <c r="A4425">
        <v>106.5</v>
      </c>
      <c r="B4425">
        <v>2001</v>
      </c>
      <c r="C4425" t="s">
        <v>246</v>
      </c>
    </row>
    <row r="4426" spans="1:4" hidden="1">
      <c r="A4426">
        <v>187.1</v>
      </c>
      <c r="B4426">
        <v>2002</v>
      </c>
      <c r="C4426" t="s">
        <v>246</v>
      </c>
    </row>
    <row r="4427" spans="1:4" hidden="1">
      <c r="A4427">
        <v>178.7</v>
      </c>
      <c r="B4427">
        <v>2003</v>
      </c>
      <c r="C4427" t="s">
        <v>246</v>
      </c>
    </row>
    <row r="4428" spans="1:4" hidden="1">
      <c r="A4428">
        <v>162.5</v>
      </c>
      <c r="B4428">
        <v>2004</v>
      </c>
      <c r="C4428" t="s">
        <v>246</v>
      </c>
    </row>
    <row r="4429" spans="1:4" hidden="1">
      <c r="A4429">
        <v>163.4</v>
      </c>
      <c r="B4429">
        <v>2005</v>
      </c>
      <c r="C4429" t="s">
        <v>246</v>
      </c>
    </row>
    <row r="4430" spans="1:4" hidden="1">
      <c r="A4430">
        <v>166.2</v>
      </c>
      <c r="B4430">
        <v>2006</v>
      </c>
      <c r="C4430" t="s">
        <v>246</v>
      </c>
    </row>
    <row r="4431" spans="1:4" hidden="1">
      <c r="A4431">
        <v>167.4</v>
      </c>
      <c r="B4431">
        <v>2007</v>
      </c>
      <c r="C4431" t="s">
        <v>246</v>
      </c>
    </row>
    <row r="4432" spans="1:4" hidden="1">
      <c r="A4432">
        <v>166.7</v>
      </c>
      <c r="B4432">
        <v>2008</v>
      </c>
      <c r="C4432" t="s">
        <v>246</v>
      </c>
    </row>
    <row r="4433" spans="1:8" hidden="1">
      <c r="A4433">
        <v>165.4</v>
      </c>
      <c r="B4433">
        <v>2009</v>
      </c>
      <c r="C4433" t="s">
        <v>246</v>
      </c>
    </row>
    <row r="4434" spans="1:8" hidden="1">
      <c r="A4434">
        <v>166.2</v>
      </c>
      <c r="B4434">
        <v>2010</v>
      </c>
      <c r="C4434" t="s">
        <v>246</v>
      </c>
    </row>
    <row r="4435" spans="1:8" hidden="1">
      <c r="A4435">
        <v>169.1</v>
      </c>
      <c r="B4435">
        <v>2011</v>
      </c>
      <c r="C4435" t="s">
        <v>246</v>
      </c>
    </row>
    <row r="4436" spans="1:8" hidden="1">
      <c r="A4436">
        <v>161.69999999999999</v>
      </c>
      <c r="B4436">
        <v>2012</v>
      </c>
      <c r="C4436" t="s">
        <v>246</v>
      </c>
    </row>
    <row r="4437" spans="1:8" hidden="1">
      <c r="A4437">
        <v>164</v>
      </c>
      <c r="B4437">
        <v>2013</v>
      </c>
      <c r="C4437" t="s">
        <v>246</v>
      </c>
    </row>
    <row r="4438" spans="1:8" hidden="1">
      <c r="A4438">
        <v>163</v>
      </c>
      <c r="B4438">
        <v>2014</v>
      </c>
      <c r="C4438" t="s">
        <v>246</v>
      </c>
    </row>
    <row r="4439" spans="1:8" hidden="1">
      <c r="A4439">
        <v>164.4</v>
      </c>
      <c r="B4439">
        <v>2015</v>
      </c>
      <c r="C4439" t="s">
        <v>246</v>
      </c>
    </row>
    <row r="4440" spans="1:8" hidden="1">
      <c r="A4440">
        <v>161.80000000000001</v>
      </c>
      <c r="B4440">
        <v>2016</v>
      </c>
      <c r="C4440" t="s">
        <v>246</v>
      </c>
    </row>
    <row r="4441" spans="1:8" hidden="1">
      <c r="A4441">
        <v>169.3</v>
      </c>
      <c r="B4441">
        <v>2017</v>
      </c>
      <c r="C4441" t="s">
        <v>246</v>
      </c>
    </row>
    <row r="4442" spans="1:8" hidden="1">
      <c r="A4442">
        <v>170.7</v>
      </c>
      <c r="B4442">
        <v>2018</v>
      </c>
      <c r="C4442" t="s">
        <v>246</v>
      </c>
    </row>
    <row r="4443" spans="1:8" hidden="1">
      <c r="A4443">
        <v>170</v>
      </c>
      <c r="B4443">
        <v>2019</v>
      </c>
      <c r="C4443" t="s">
        <v>246</v>
      </c>
    </row>
    <row r="4444" spans="1:8" hidden="1">
      <c r="A4444">
        <v>168.9</v>
      </c>
      <c r="B4444">
        <v>2020</v>
      </c>
      <c r="C4444" t="s">
        <v>246</v>
      </c>
    </row>
    <row r="4445" spans="1:8" hidden="1">
      <c r="A4445">
        <v>173.4</v>
      </c>
      <c r="B4445">
        <v>2021</v>
      </c>
      <c r="C4445" t="s">
        <v>246</v>
      </c>
    </row>
    <row r="4446" spans="1:8" hidden="1">
      <c r="A4446">
        <v>179.3</v>
      </c>
      <c r="B4446">
        <v>2022</v>
      </c>
      <c r="C4446" t="s">
        <v>246</v>
      </c>
    </row>
    <row r="4447" spans="1:8" hidden="1">
      <c r="A4447">
        <v>124.9</v>
      </c>
      <c r="G4447">
        <v>2000</v>
      </c>
      <c r="H4447" t="s">
        <v>244</v>
      </c>
    </row>
    <row r="4448" spans="1:8" hidden="1">
      <c r="A4448">
        <v>101.9</v>
      </c>
      <c r="G4448">
        <v>2001</v>
      </c>
      <c r="H4448" t="s">
        <v>244</v>
      </c>
    </row>
    <row r="4449" spans="1:8" hidden="1">
      <c r="A4449">
        <v>86.6</v>
      </c>
      <c r="G4449">
        <v>2002</v>
      </c>
      <c r="H4449" t="s">
        <v>244</v>
      </c>
    </row>
    <row r="4450" spans="1:8" hidden="1">
      <c r="A4450">
        <v>125.3</v>
      </c>
      <c r="G4450">
        <v>2003</v>
      </c>
      <c r="H4450" t="s">
        <v>244</v>
      </c>
    </row>
    <row r="4451" spans="1:8" hidden="1">
      <c r="A4451">
        <v>68.599999999999994</v>
      </c>
      <c r="G4451">
        <v>2004</v>
      </c>
      <c r="H4451" t="s">
        <v>244</v>
      </c>
    </row>
    <row r="4452" spans="1:8" hidden="1">
      <c r="A4452">
        <v>60.1</v>
      </c>
      <c r="G4452">
        <v>2005</v>
      </c>
      <c r="H4452" t="s">
        <v>244</v>
      </c>
    </row>
    <row r="4453" spans="1:8" hidden="1">
      <c r="A4453">
        <v>68.8</v>
      </c>
      <c r="G4453">
        <v>2006</v>
      </c>
      <c r="H4453" t="s">
        <v>244</v>
      </c>
    </row>
    <row r="4454" spans="1:8" hidden="1">
      <c r="A4454">
        <v>61.5</v>
      </c>
      <c r="G4454">
        <v>2007</v>
      </c>
      <c r="H4454" t="s">
        <v>244</v>
      </c>
    </row>
    <row r="4455" spans="1:8" hidden="1">
      <c r="A4455">
        <v>55.7</v>
      </c>
      <c r="G4455">
        <v>2008</v>
      </c>
      <c r="H4455" t="s">
        <v>244</v>
      </c>
    </row>
    <row r="4456" spans="1:8" hidden="1">
      <c r="A4456">
        <v>47.4</v>
      </c>
      <c r="G4456">
        <v>2009</v>
      </c>
      <c r="H4456" t="s">
        <v>244</v>
      </c>
    </row>
    <row r="4457" spans="1:8" hidden="1">
      <c r="A4457">
        <v>37.700000000000003</v>
      </c>
      <c r="G4457">
        <v>2010</v>
      </c>
      <c r="H4457" t="s">
        <v>244</v>
      </c>
    </row>
    <row r="4458" spans="1:8" hidden="1">
      <c r="A4458">
        <v>43</v>
      </c>
      <c r="G4458">
        <v>2011</v>
      </c>
      <c r="H4458" t="s">
        <v>244</v>
      </c>
    </row>
    <row r="4459" spans="1:8" hidden="1">
      <c r="A4459">
        <v>49.3</v>
      </c>
      <c r="G4459">
        <v>2012</v>
      </c>
      <c r="H4459" t="s">
        <v>244</v>
      </c>
    </row>
    <row r="4460" spans="1:8" hidden="1">
      <c r="A4460">
        <v>45.3</v>
      </c>
      <c r="G4460">
        <v>2013</v>
      </c>
      <c r="H4460" t="s">
        <v>244</v>
      </c>
    </row>
    <row r="4461" spans="1:8" hidden="1">
      <c r="A4461">
        <v>42.7</v>
      </c>
      <c r="G4461">
        <v>2014</v>
      </c>
      <c r="H4461" t="s">
        <v>244</v>
      </c>
    </row>
    <row r="4462" spans="1:8" hidden="1">
      <c r="A4462">
        <v>51.3</v>
      </c>
      <c r="G4462">
        <v>2015</v>
      </c>
      <c r="H4462" t="s">
        <v>244</v>
      </c>
    </row>
    <row r="4463" spans="1:8" hidden="1">
      <c r="A4463">
        <v>40.6</v>
      </c>
      <c r="G4463">
        <v>2016</v>
      </c>
      <c r="H4463" t="s">
        <v>244</v>
      </c>
    </row>
    <row r="4464" spans="1:8" hidden="1">
      <c r="A4464">
        <v>52.2</v>
      </c>
      <c r="G4464">
        <v>2017</v>
      </c>
      <c r="H4464" t="s">
        <v>244</v>
      </c>
    </row>
    <row r="4465" spans="1:8" hidden="1">
      <c r="A4465">
        <v>46.7</v>
      </c>
      <c r="G4465">
        <v>2018</v>
      </c>
      <c r="H4465" t="s">
        <v>244</v>
      </c>
    </row>
    <row r="4466" spans="1:8" hidden="1">
      <c r="A4466">
        <v>49.1</v>
      </c>
      <c r="G4466">
        <v>2019</v>
      </c>
      <c r="H4466" t="s">
        <v>244</v>
      </c>
    </row>
    <row r="4467" spans="1:8" hidden="1">
      <c r="A4467">
        <v>47.1</v>
      </c>
      <c r="G4467">
        <v>2020</v>
      </c>
      <c r="H4467" t="s">
        <v>244</v>
      </c>
    </row>
    <row r="4468" spans="1:8" hidden="1">
      <c r="A4468">
        <v>47.2</v>
      </c>
      <c r="G4468">
        <v>2021</v>
      </c>
      <c r="H4468" t="s">
        <v>244</v>
      </c>
    </row>
    <row r="4469" spans="1:8" hidden="1">
      <c r="A4469">
        <v>47.8</v>
      </c>
      <c r="G4469">
        <v>2022</v>
      </c>
      <c r="H4469" t="s">
        <v>244</v>
      </c>
    </row>
    <row r="4470" spans="1:8" hidden="1">
      <c r="A4470">
        <v>0</v>
      </c>
      <c r="F4470" s="48">
        <v>2000</v>
      </c>
      <c r="G4470" t="s">
        <v>244</v>
      </c>
    </row>
    <row r="4471" spans="1:8" hidden="1">
      <c r="A4471">
        <v>0</v>
      </c>
      <c r="F4471" s="48">
        <v>2001</v>
      </c>
      <c r="G4471" t="s">
        <v>244</v>
      </c>
    </row>
    <row r="4472" spans="1:8" hidden="1">
      <c r="A4472">
        <v>0</v>
      </c>
      <c r="F4472" s="48">
        <v>2002</v>
      </c>
      <c r="G4472" t="s">
        <v>244</v>
      </c>
    </row>
    <row r="4473" spans="1:8" hidden="1">
      <c r="A4473">
        <v>0</v>
      </c>
      <c r="F4473" s="48">
        <v>2003</v>
      </c>
      <c r="G4473" t="s">
        <v>244</v>
      </c>
    </row>
    <row r="4474" spans="1:8" hidden="1">
      <c r="A4474">
        <v>0</v>
      </c>
      <c r="F4474" s="48">
        <v>2004</v>
      </c>
      <c r="G4474" t="s">
        <v>244</v>
      </c>
    </row>
    <row r="4475" spans="1:8" hidden="1">
      <c r="A4475">
        <v>0</v>
      </c>
      <c r="F4475" s="48">
        <v>2005</v>
      </c>
      <c r="G4475" t="s">
        <v>244</v>
      </c>
    </row>
    <row r="4476" spans="1:8" hidden="1">
      <c r="A4476">
        <v>0</v>
      </c>
      <c r="F4476" s="48">
        <v>2006</v>
      </c>
      <c r="G4476" t="s">
        <v>244</v>
      </c>
    </row>
    <row r="4477" spans="1:8" hidden="1">
      <c r="A4477">
        <v>0</v>
      </c>
      <c r="F4477" s="48">
        <v>2007</v>
      </c>
      <c r="G4477" t="s">
        <v>244</v>
      </c>
    </row>
    <row r="4478" spans="1:8" hidden="1">
      <c r="A4478">
        <v>0</v>
      </c>
      <c r="F4478" s="48">
        <v>2008</v>
      </c>
      <c r="G4478" t="s">
        <v>244</v>
      </c>
    </row>
    <row r="4479" spans="1:8" hidden="1">
      <c r="A4479">
        <v>0</v>
      </c>
      <c r="F4479" s="48">
        <v>2009</v>
      </c>
      <c r="G4479" t="s">
        <v>244</v>
      </c>
    </row>
    <row r="4480" spans="1:8" hidden="1">
      <c r="A4480">
        <v>0</v>
      </c>
      <c r="F4480" s="48">
        <v>2010</v>
      </c>
      <c r="G4480" t="s">
        <v>244</v>
      </c>
    </row>
    <row r="4481" spans="1:10" hidden="1">
      <c r="A4481">
        <v>0</v>
      </c>
      <c r="F4481" s="48">
        <v>2011</v>
      </c>
      <c r="G4481" t="s">
        <v>244</v>
      </c>
    </row>
    <row r="4482" spans="1:10" hidden="1">
      <c r="A4482">
        <v>0</v>
      </c>
      <c r="F4482" s="48">
        <v>2012</v>
      </c>
      <c r="G4482" t="s">
        <v>244</v>
      </c>
    </row>
    <row r="4483" spans="1:10" hidden="1">
      <c r="A4483">
        <v>0.1</v>
      </c>
      <c r="F4483" s="48">
        <v>2013</v>
      </c>
      <c r="G4483" t="s">
        <v>244</v>
      </c>
    </row>
    <row r="4484" spans="1:10" hidden="1">
      <c r="A4484">
        <v>0.1</v>
      </c>
      <c r="F4484" s="48">
        <v>2014</v>
      </c>
      <c r="G4484" t="s">
        <v>244</v>
      </c>
    </row>
    <row r="4485" spans="1:10" hidden="1">
      <c r="A4485">
        <v>0.1</v>
      </c>
      <c r="F4485" s="48">
        <v>2015</v>
      </c>
      <c r="G4485" t="s">
        <v>244</v>
      </c>
    </row>
    <row r="4486" spans="1:10" hidden="1">
      <c r="A4486">
        <v>1.7</v>
      </c>
      <c r="F4486" s="48">
        <v>2016</v>
      </c>
      <c r="G4486" t="s">
        <v>244</v>
      </c>
    </row>
    <row r="4487" spans="1:10" hidden="1">
      <c r="A4487">
        <v>1.8</v>
      </c>
      <c r="F4487" s="48">
        <v>2017</v>
      </c>
      <c r="G4487" t="s">
        <v>244</v>
      </c>
    </row>
    <row r="4488" spans="1:10" hidden="1">
      <c r="A4488">
        <v>1.7</v>
      </c>
      <c r="F4488" s="48">
        <v>2018</v>
      </c>
      <c r="G4488" t="s">
        <v>244</v>
      </c>
    </row>
    <row r="4489" spans="1:10" hidden="1">
      <c r="A4489">
        <v>2.8</v>
      </c>
      <c r="F4489" s="48">
        <v>2019</v>
      </c>
      <c r="G4489" t="s">
        <v>244</v>
      </c>
    </row>
    <row r="4490" spans="1:10" hidden="1">
      <c r="A4490">
        <v>2.2000000000000002</v>
      </c>
      <c r="F4490" s="48">
        <v>2020</v>
      </c>
      <c r="G4490" t="s">
        <v>244</v>
      </c>
    </row>
    <row r="4491" spans="1:10" hidden="1">
      <c r="A4491">
        <v>2.4</v>
      </c>
      <c r="F4491" s="48">
        <v>2021</v>
      </c>
      <c r="G4491" t="s">
        <v>244</v>
      </c>
    </row>
    <row r="4492" spans="1:10" hidden="1">
      <c r="A4492">
        <v>7.7</v>
      </c>
      <c r="F4492" s="48">
        <v>2022</v>
      </c>
      <c r="G4492" t="s">
        <v>244</v>
      </c>
    </row>
    <row r="4493" spans="1:10">
      <c r="A4493">
        <v>194.7</v>
      </c>
      <c r="E4493">
        <v>2000</v>
      </c>
      <c r="F4493" s="48" t="s">
        <v>244</v>
      </c>
      <c r="I4493">
        <f t="shared" ref="I4493:I4515" si="52">E4493</f>
        <v>2000</v>
      </c>
      <c r="J4493">
        <f t="shared" ref="J4493:J4515" si="53">A4493</f>
        <v>194.7</v>
      </c>
    </row>
    <row r="4494" spans="1:10">
      <c r="A4494">
        <v>200.3</v>
      </c>
      <c r="E4494">
        <v>2001</v>
      </c>
      <c r="F4494" s="48" t="s">
        <v>244</v>
      </c>
      <c r="I4494">
        <f t="shared" si="52"/>
        <v>2001</v>
      </c>
      <c r="J4494">
        <f t="shared" si="53"/>
        <v>200.3</v>
      </c>
    </row>
    <row r="4495" spans="1:10">
      <c r="A4495">
        <v>202.6</v>
      </c>
      <c r="E4495">
        <v>2002</v>
      </c>
      <c r="F4495" s="48" t="s">
        <v>244</v>
      </c>
      <c r="I4495">
        <f t="shared" si="52"/>
        <v>2002</v>
      </c>
      <c r="J4495">
        <f t="shared" si="53"/>
        <v>202.6</v>
      </c>
    </row>
    <row r="4496" spans="1:10">
      <c r="A4496">
        <v>194.8</v>
      </c>
      <c r="E4496">
        <v>2003</v>
      </c>
      <c r="F4496" s="48" t="s">
        <v>244</v>
      </c>
      <c r="I4496">
        <f t="shared" si="52"/>
        <v>2003</v>
      </c>
      <c r="J4496">
        <f t="shared" si="53"/>
        <v>194.8</v>
      </c>
    </row>
    <row r="4497" spans="1:10">
      <c r="A4497">
        <v>191</v>
      </c>
      <c r="E4497">
        <v>2004</v>
      </c>
      <c r="F4497" s="48" t="s">
        <v>244</v>
      </c>
      <c r="I4497">
        <f t="shared" si="52"/>
        <v>2004</v>
      </c>
      <c r="J4497">
        <f t="shared" si="53"/>
        <v>191</v>
      </c>
    </row>
    <row r="4498" spans="1:10">
      <c r="A4498">
        <v>196.6</v>
      </c>
      <c r="E4498">
        <v>2005</v>
      </c>
      <c r="F4498" s="48" t="s">
        <v>244</v>
      </c>
      <c r="I4498">
        <f t="shared" si="52"/>
        <v>2005</v>
      </c>
      <c r="J4498">
        <f t="shared" si="53"/>
        <v>196.6</v>
      </c>
    </row>
    <row r="4499" spans="1:10">
      <c r="A4499">
        <v>196.3</v>
      </c>
      <c r="E4499">
        <v>2006</v>
      </c>
      <c r="F4499" s="48" t="s">
        <v>244</v>
      </c>
      <c r="I4499">
        <f t="shared" si="52"/>
        <v>2006</v>
      </c>
      <c r="J4499">
        <f t="shared" si="53"/>
        <v>196.3</v>
      </c>
    </row>
    <row r="4500" spans="1:10">
      <c r="A4500">
        <v>175.3</v>
      </c>
      <c r="E4500">
        <v>2007</v>
      </c>
      <c r="F4500" s="48" t="s">
        <v>244</v>
      </c>
      <c r="I4500">
        <f t="shared" si="52"/>
        <v>2007</v>
      </c>
      <c r="J4500">
        <f t="shared" si="53"/>
        <v>175.3</v>
      </c>
    </row>
    <row r="4501" spans="1:10">
      <c r="A4501">
        <v>181</v>
      </c>
      <c r="E4501">
        <v>2008</v>
      </c>
      <c r="F4501" s="48" t="s">
        <v>244</v>
      </c>
      <c r="I4501">
        <f t="shared" si="52"/>
        <v>2008</v>
      </c>
      <c r="J4501">
        <f t="shared" si="53"/>
        <v>181</v>
      </c>
    </row>
    <row r="4502" spans="1:10">
      <c r="A4502">
        <v>247.1</v>
      </c>
      <c r="E4502">
        <v>2009</v>
      </c>
      <c r="F4502" s="48" t="s">
        <v>244</v>
      </c>
      <c r="I4502">
        <f t="shared" si="52"/>
        <v>2009</v>
      </c>
      <c r="J4502">
        <f t="shared" si="53"/>
        <v>247.1</v>
      </c>
    </row>
    <row r="4503" spans="1:10">
      <c r="A4503">
        <v>85</v>
      </c>
      <c r="E4503">
        <v>2010</v>
      </c>
      <c r="F4503" s="48" t="s">
        <v>244</v>
      </c>
      <c r="I4503">
        <f t="shared" si="52"/>
        <v>2010</v>
      </c>
      <c r="J4503">
        <f t="shared" si="53"/>
        <v>85</v>
      </c>
    </row>
    <row r="4504" spans="1:10">
      <c r="A4504">
        <v>179.1</v>
      </c>
      <c r="E4504">
        <v>2011</v>
      </c>
      <c r="F4504" s="48" t="s">
        <v>244</v>
      </c>
      <c r="I4504">
        <f t="shared" si="52"/>
        <v>2011</v>
      </c>
      <c r="J4504">
        <f t="shared" si="53"/>
        <v>179.1</v>
      </c>
    </row>
    <row r="4505" spans="1:10">
      <c r="A4505">
        <v>179.1</v>
      </c>
      <c r="E4505">
        <v>2012</v>
      </c>
      <c r="F4505" s="48" t="s">
        <v>244</v>
      </c>
      <c r="I4505">
        <f t="shared" si="52"/>
        <v>2012</v>
      </c>
      <c r="J4505">
        <f t="shared" si="53"/>
        <v>179.1</v>
      </c>
    </row>
    <row r="4506" spans="1:10">
      <c r="A4506">
        <v>113.6</v>
      </c>
      <c r="E4506">
        <v>2013</v>
      </c>
      <c r="F4506" s="48" t="s">
        <v>244</v>
      </c>
      <c r="I4506">
        <f t="shared" si="52"/>
        <v>2013</v>
      </c>
      <c r="J4506">
        <f t="shared" si="53"/>
        <v>113.6</v>
      </c>
    </row>
    <row r="4507" spans="1:10">
      <c r="A4507">
        <v>56</v>
      </c>
      <c r="E4507">
        <v>2014</v>
      </c>
      <c r="F4507" s="48" t="s">
        <v>244</v>
      </c>
      <c r="I4507">
        <f t="shared" si="52"/>
        <v>2014</v>
      </c>
      <c r="J4507">
        <f t="shared" si="53"/>
        <v>56</v>
      </c>
    </row>
    <row r="4508" spans="1:10">
      <c r="A4508">
        <v>53.8</v>
      </c>
      <c r="E4508">
        <v>2015</v>
      </c>
      <c r="F4508" s="48" t="s">
        <v>244</v>
      </c>
      <c r="I4508">
        <f t="shared" si="52"/>
        <v>2015</v>
      </c>
      <c r="J4508">
        <f t="shared" si="53"/>
        <v>53.8</v>
      </c>
    </row>
    <row r="4509" spans="1:10">
      <c r="A4509">
        <v>51.5</v>
      </c>
      <c r="E4509">
        <v>2016</v>
      </c>
      <c r="F4509" s="48" t="s">
        <v>244</v>
      </c>
      <c r="I4509">
        <f t="shared" si="52"/>
        <v>2016</v>
      </c>
      <c r="J4509">
        <f t="shared" si="53"/>
        <v>51.5</v>
      </c>
    </row>
    <row r="4510" spans="1:10">
      <c r="A4510">
        <v>54.2</v>
      </c>
      <c r="E4510">
        <v>2017</v>
      </c>
      <c r="F4510" s="48" t="s">
        <v>244</v>
      </c>
      <c r="I4510">
        <f t="shared" si="52"/>
        <v>2017</v>
      </c>
      <c r="J4510">
        <f t="shared" si="53"/>
        <v>54.2</v>
      </c>
    </row>
    <row r="4511" spans="1:10">
      <c r="A4511">
        <v>57.2</v>
      </c>
      <c r="E4511">
        <v>2018</v>
      </c>
      <c r="F4511" s="48" t="s">
        <v>244</v>
      </c>
      <c r="I4511">
        <f t="shared" si="52"/>
        <v>2018</v>
      </c>
      <c r="J4511">
        <f t="shared" si="53"/>
        <v>57.2</v>
      </c>
    </row>
    <row r="4512" spans="1:10">
      <c r="A4512">
        <v>54.6</v>
      </c>
      <c r="E4512">
        <v>2019</v>
      </c>
      <c r="F4512" s="48" t="s">
        <v>244</v>
      </c>
      <c r="I4512">
        <f t="shared" si="52"/>
        <v>2019</v>
      </c>
      <c r="J4512">
        <f t="shared" si="53"/>
        <v>54.6</v>
      </c>
    </row>
    <row r="4513" spans="1:10">
      <c r="A4513">
        <v>51.2</v>
      </c>
      <c r="E4513">
        <v>2020</v>
      </c>
      <c r="F4513" s="48" t="s">
        <v>244</v>
      </c>
      <c r="I4513">
        <f t="shared" si="52"/>
        <v>2020</v>
      </c>
      <c r="J4513">
        <f t="shared" si="53"/>
        <v>51.2</v>
      </c>
    </row>
    <row r="4514" spans="1:10">
      <c r="A4514">
        <v>50.4</v>
      </c>
      <c r="E4514">
        <v>2021</v>
      </c>
      <c r="F4514" s="48" t="s">
        <v>244</v>
      </c>
      <c r="I4514">
        <f t="shared" si="52"/>
        <v>2021</v>
      </c>
      <c r="J4514">
        <f t="shared" si="53"/>
        <v>50.4</v>
      </c>
    </row>
    <row r="4515" spans="1:10">
      <c r="A4515">
        <v>53.9</v>
      </c>
      <c r="E4515">
        <v>2022</v>
      </c>
      <c r="F4515" s="48" t="s">
        <v>244</v>
      </c>
      <c r="I4515">
        <f t="shared" si="52"/>
        <v>2022</v>
      </c>
      <c r="J4515">
        <f t="shared" si="53"/>
        <v>53.9</v>
      </c>
    </row>
    <row r="4516" spans="1:10" hidden="1">
      <c r="A4516">
        <v>623.20000000000005</v>
      </c>
      <c r="D4516">
        <v>2000</v>
      </c>
      <c r="E4516" t="s">
        <v>244</v>
      </c>
    </row>
    <row r="4517" spans="1:10" hidden="1">
      <c r="A4517">
        <v>641.9</v>
      </c>
      <c r="D4517">
        <v>2001</v>
      </c>
      <c r="E4517" t="s">
        <v>244</v>
      </c>
    </row>
    <row r="4518" spans="1:10" hidden="1">
      <c r="A4518">
        <v>623</v>
      </c>
      <c r="D4518">
        <v>2002</v>
      </c>
      <c r="E4518" t="s">
        <v>244</v>
      </c>
    </row>
    <row r="4519" spans="1:10" hidden="1">
      <c r="A4519">
        <v>530.9</v>
      </c>
      <c r="D4519">
        <v>2003</v>
      </c>
      <c r="E4519" t="s">
        <v>244</v>
      </c>
    </row>
    <row r="4520" spans="1:10" hidden="1">
      <c r="A4520">
        <v>603.6</v>
      </c>
      <c r="D4520">
        <v>2004</v>
      </c>
      <c r="E4520" t="s">
        <v>244</v>
      </c>
    </row>
    <row r="4521" spans="1:10" hidden="1">
      <c r="A4521">
        <v>504</v>
      </c>
      <c r="D4521">
        <v>2005</v>
      </c>
      <c r="E4521" t="s">
        <v>244</v>
      </c>
    </row>
    <row r="4522" spans="1:10" hidden="1">
      <c r="A4522">
        <v>359.9</v>
      </c>
      <c r="D4522">
        <v>2006</v>
      </c>
      <c r="E4522" t="s">
        <v>244</v>
      </c>
    </row>
    <row r="4523" spans="1:10" hidden="1">
      <c r="A4523">
        <v>307</v>
      </c>
      <c r="D4523">
        <v>2007</v>
      </c>
      <c r="E4523" t="s">
        <v>244</v>
      </c>
    </row>
    <row r="4524" spans="1:10" hidden="1">
      <c r="A4524">
        <v>286.89999999999998</v>
      </c>
      <c r="D4524">
        <v>2008</v>
      </c>
      <c r="E4524" t="s">
        <v>244</v>
      </c>
    </row>
    <row r="4525" spans="1:10" hidden="1">
      <c r="A4525">
        <v>263</v>
      </c>
      <c r="D4525">
        <v>2009</v>
      </c>
      <c r="E4525" t="s">
        <v>244</v>
      </c>
    </row>
    <row r="4526" spans="1:10" hidden="1">
      <c r="A4526">
        <v>254</v>
      </c>
      <c r="D4526">
        <v>2010</v>
      </c>
      <c r="E4526" t="s">
        <v>244</v>
      </c>
    </row>
    <row r="4527" spans="1:10" hidden="1">
      <c r="A4527">
        <v>247.8</v>
      </c>
      <c r="D4527">
        <v>2011</v>
      </c>
      <c r="E4527" t="s">
        <v>244</v>
      </c>
    </row>
    <row r="4528" spans="1:10" hidden="1">
      <c r="A4528">
        <v>310.2</v>
      </c>
      <c r="D4528">
        <v>2012</v>
      </c>
      <c r="E4528" t="s">
        <v>244</v>
      </c>
    </row>
    <row r="4529" spans="1:5" hidden="1">
      <c r="A4529">
        <v>158</v>
      </c>
      <c r="D4529">
        <v>2013</v>
      </c>
      <c r="E4529" t="s">
        <v>244</v>
      </c>
    </row>
    <row r="4530" spans="1:5" hidden="1">
      <c r="A4530">
        <v>153.6</v>
      </c>
      <c r="D4530">
        <v>2014</v>
      </c>
      <c r="E4530" t="s">
        <v>244</v>
      </c>
    </row>
    <row r="4531" spans="1:5" hidden="1">
      <c r="A4531">
        <v>155.6</v>
      </c>
      <c r="D4531">
        <v>2015</v>
      </c>
      <c r="E4531" t="s">
        <v>244</v>
      </c>
    </row>
    <row r="4532" spans="1:5" hidden="1">
      <c r="A4532">
        <v>153.80000000000001</v>
      </c>
      <c r="D4532">
        <v>2016</v>
      </c>
      <c r="E4532" t="s">
        <v>244</v>
      </c>
    </row>
    <row r="4533" spans="1:5" hidden="1">
      <c r="A4533">
        <v>157.19999999999999</v>
      </c>
      <c r="D4533">
        <v>2017</v>
      </c>
      <c r="E4533" t="s">
        <v>244</v>
      </c>
    </row>
    <row r="4534" spans="1:5" hidden="1">
      <c r="A4534">
        <v>165.9</v>
      </c>
      <c r="D4534">
        <v>2018</v>
      </c>
      <c r="E4534" t="s">
        <v>244</v>
      </c>
    </row>
    <row r="4535" spans="1:5" hidden="1">
      <c r="A4535">
        <v>164.2</v>
      </c>
      <c r="D4535">
        <v>2019</v>
      </c>
      <c r="E4535" t="s">
        <v>244</v>
      </c>
    </row>
    <row r="4536" spans="1:5" hidden="1">
      <c r="A4536">
        <v>161.4</v>
      </c>
      <c r="D4536">
        <v>2020</v>
      </c>
      <c r="E4536" t="s">
        <v>244</v>
      </c>
    </row>
    <row r="4537" spans="1:5" hidden="1">
      <c r="A4537">
        <v>165.4</v>
      </c>
      <c r="D4537">
        <v>2021</v>
      </c>
      <c r="E4537" t="s">
        <v>244</v>
      </c>
    </row>
    <row r="4538" spans="1:5" hidden="1">
      <c r="A4538">
        <v>156.30000000000001</v>
      </c>
      <c r="D4538">
        <v>2022</v>
      </c>
      <c r="E4538" t="s">
        <v>244</v>
      </c>
    </row>
    <row r="4539" spans="1:5" hidden="1">
      <c r="A4539">
        <v>0</v>
      </c>
      <c r="C4539">
        <v>2000</v>
      </c>
      <c r="D4539" t="s">
        <v>244</v>
      </c>
    </row>
    <row r="4540" spans="1:5" hidden="1">
      <c r="A4540">
        <v>0</v>
      </c>
      <c r="C4540">
        <v>2001</v>
      </c>
      <c r="D4540" t="s">
        <v>244</v>
      </c>
    </row>
    <row r="4541" spans="1:5" hidden="1">
      <c r="A4541">
        <v>0</v>
      </c>
      <c r="C4541">
        <v>2002</v>
      </c>
      <c r="D4541" t="s">
        <v>244</v>
      </c>
    </row>
    <row r="4542" spans="1:5" hidden="1">
      <c r="A4542">
        <v>0</v>
      </c>
      <c r="C4542">
        <v>2003</v>
      </c>
      <c r="D4542" t="s">
        <v>244</v>
      </c>
    </row>
    <row r="4543" spans="1:5" hidden="1">
      <c r="A4543">
        <v>0</v>
      </c>
      <c r="C4543">
        <v>2004</v>
      </c>
      <c r="D4543" t="s">
        <v>244</v>
      </c>
    </row>
    <row r="4544" spans="1:5" hidden="1">
      <c r="A4544">
        <v>0</v>
      </c>
      <c r="C4544">
        <v>2005</v>
      </c>
      <c r="D4544" t="s">
        <v>244</v>
      </c>
    </row>
    <row r="4545" spans="1:4" hidden="1">
      <c r="A4545">
        <v>0</v>
      </c>
      <c r="C4545">
        <v>2006</v>
      </c>
      <c r="D4545" t="s">
        <v>244</v>
      </c>
    </row>
    <row r="4546" spans="1:4" hidden="1">
      <c r="A4546">
        <v>0</v>
      </c>
      <c r="C4546">
        <v>2007</v>
      </c>
      <c r="D4546" t="s">
        <v>244</v>
      </c>
    </row>
    <row r="4547" spans="1:4" hidden="1">
      <c r="A4547">
        <v>0</v>
      </c>
      <c r="C4547">
        <v>2008</v>
      </c>
      <c r="D4547" t="s">
        <v>244</v>
      </c>
    </row>
    <row r="4548" spans="1:4" hidden="1">
      <c r="A4548">
        <v>0</v>
      </c>
      <c r="C4548">
        <v>2009</v>
      </c>
      <c r="D4548" t="s">
        <v>244</v>
      </c>
    </row>
    <row r="4549" spans="1:4" hidden="1">
      <c r="A4549">
        <v>30.6</v>
      </c>
      <c r="C4549">
        <v>2010</v>
      </c>
      <c r="D4549" t="s">
        <v>244</v>
      </c>
    </row>
    <row r="4550" spans="1:4" hidden="1">
      <c r="A4550">
        <v>0</v>
      </c>
      <c r="C4550">
        <v>2011</v>
      </c>
      <c r="D4550" t="s">
        <v>244</v>
      </c>
    </row>
    <row r="4551" spans="1:4" hidden="1">
      <c r="A4551">
        <v>90.9</v>
      </c>
      <c r="C4551">
        <v>2012</v>
      </c>
      <c r="D4551" t="s">
        <v>244</v>
      </c>
    </row>
    <row r="4552" spans="1:4" hidden="1">
      <c r="A4552">
        <v>0.4</v>
      </c>
      <c r="C4552">
        <v>2013</v>
      </c>
      <c r="D4552" t="s">
        <v>244</v>
      </c>
    </row>
    <row r="4553" spans="1:4" hidden="1">
      <c r="A4553">
        <v>138.6</v>
      </c>
      <c r="C4553">
        <v>2014</v>
      </c>
      <c r="D4553" t="s">
        <v>244</v>
      </c>
    </row>
    <row r="4554" spans="1:4" hidden="1">
      <c r="A4554">
        <v>4.9000000000000004</v>
      </c>
      <c r="C4554">
        <v>2015</v>
      </c>
      <c r="D4554" t="s">
        <v>244</v>
      </c>
    </row>
    <row r="4555" spans="1:4" hidden="1">
      <c r="A4555">
        <v>147.19999999999999</v>
      </c>
      <c r="C4555">
        <v>2016</v>
      </c>
      <c r="D4555" t="s">
        <v>244</v>
      </c>
    </row>
    <row r="4556" spans="1:4" hidden="1">
      <c r="A4556">
        <v>0.1</v>
      </c>
      <c r="C4556">
        <v>2017</v>
      </c>
      <c r="D4556" t="s">
        <v>244</v>
      </c>
    </row>
    <row r="4557" spans="1:4" hidden="1">
      <c r="A4557">
        <v>157</v>
      </c>
      <c r="C4557">
        <v>2018</v>
      </c>
      <c r="D4557" t="s">
        <v>244</v>
      </c>
    </row>
    <row r="4558" spans="1:4" hidden="1">
      <c r="A4558">
        <v>0.6</v>
      </c>
      <c r="C4558">
        <v>2019</v>
      </c>
      <c r="D4558" t="s">
        <v>244</v>
      </c>
    </row>
    <row r="4559" spans="1:4" hidden="1">
      <c r="A4559">
        <v>165.2</v>
      </c>
      <c r="C4559">
        <v>2020</v>
      </c>
      <c r="D4559" t="s">
        <v>244</v>
      </c>
    </row>
    <row r="4560" spans="1:4" hidden="1">
      <c r="A4560">
        <v>0.4</v>
      </c>
      <c r="C4560">
        <v>2021</v>
      </c>
      <c r="D4560" t="s">
        <v>244</v>
      </c>
    </row>
    <row r="4561" spans="1:4" hidden="1">
      <c r="A4561">
        <v>0.5</v>
      </c>
      <c r="C4561">
        <v>2022</v>
      </c>
      <c r="D4561" t="s">
        <v>244</v>
      </c>
    </row>
    <row r="4562" spans="1:4" hidden="1">
      <c r="A4562">
        <v>423.4</v>
      </c>
      <c r="B4562">
        <v>2000</v>
      </c>
      <c r="C4562" t="s">
        <v>244</v>
      </c>
    </row>
    <row r="4563" spans="1:4" hidden="1">
      <c r="A4563">
        <v>394.7</v>
      </c>
      <c r="B4563">
        <v>2001</v>
      </c>
      <c r="C4563" t="s">
        <v>244</v>
      </c>
    </row>
    <row r="4564" spans="1:4" hidden="1">
      <c r="A4564">
        <v>385.3</v>
      </c>
      <c r="B4564">
        <v>2002</v>
      </c>
      <c r="C4564" t="s">
        <v>244</v>
      </c>
    </row>
    <row r="4565" spans="1:4" hidden="1">
      <c r="A4565">
        <v>383.8</v>
      </c>
      <c r="B4565">
        <v>2003</v>
      </c>
      <c r="C4565" t="s">
        <v>244</v>
      </c>
    </row>
    <row r="4566" spans="1:4" hidden="1">
      <c r="A4566">
        <v>355.9</v>
      </c>
      <c r="B4566">
        <v>2004</v>
      </c>
      <c r="C4566" t="s">
        <v>244</v>
      </c>
    </row>
    <row r="4567" spans="1:4" hidden="1">
      <c r="A4567">
        <v>342.7</v>
      </c>
      <c r="B4567">
        <v>2005</v>
      </c>
      <c r="C4567" t="s">
        <v>244</v>
      </c>
    </row>
    <row r="4568" spans="1:4" hidden="1">
      <c r="A4568">
        <v>334.3</v>
      </c>
      <c r="B4568">
        <v>2006</v>
      </c>
      <c r="C4568" t="s">
        <v>244</v>
      </c>
    </row>
    <row r="4569" spans="1:4" hidden="1">
      <c r="A4569">
        <v>319.5</v>
      </c>
      <c r="B4569">
        <v>2007</v>
      </c>
      <c r="C4569" t="s">
        <v>244</v>
      </c>
    </row>
    <row r="4570" spans="1:4" hidden="1">
      <c r="A4570">
        <v>319.2</v>
      </c>
      <c r="B4570">
        <v>2008</v>
      </c>
      <c r="C4570" t="s">
        <v>244</v>
      </c>
    </row>
    <row r="4571" spans="1:4" hidden="1">
      <c r="A4571">
        <v>318.3</v>
      </c>
      <c r="B4571">
        <v>2009</v>
      </c>
      <c r="C4571" t="s">
        <v>244</v>
      </c>
    </row>
    <row r="4572" spans="1:4" hidden="1">
      <c r="A4572">
        <v>308.89999999999998</v>
      </c>
      <c r="B4572">
        <v>2010</v>
      </c>
      <c r="C4572" t="s">
        <v>244</v>
      </c>
    </row>
    <row r="4573" spans="1:4" hidden="1">
      <c r="A4573">
        <v>302.39999999999998</v>
      </c>
      <c r="B4573">
        <v>2011</v>
      </c>
      <c r="C4573" t="s">
        <v>244</v>
      </c>
    </row>
    <row r="4574" spans="1:4" hidden="1">
      <c r="A4574">
        <v>305.8</v>
      </c>
      <c r="B4574">
        <v>2012</v>
      </c>
      <c r="C4574" t="s">
        <v>244</v>
      </c>
    </row>
    <row r="4575" spans="1:4" hidden="1">
      <c r="A4575">
        <v>294.89999999999998</v>
      </c>
      <c r="B4575">
        <v>2013</v>
      </c>
      <c r="C4575" t="s">
        <v>244</v>
      </c>
    </row>
    <row r="4576" spans="1:4" hidden="1">
      <c r="A4576">
        <v>285.10000000000002</v>
      </c>
      <c r="B4576">
        <v>2014</v>
      </c>
      <c r="C4576" t="s">
        <v>244</v>
      </c>
    </row>
    <row r="4577" spans="1:8" hidden="1">
      <c r="A4577">
        <v>288.7</v>
      </c>
      <c r="B4577">
        <v>2015</v>
      </c>
      <c r="C4577" t="s">
        <v>244</v>
      </c>
    </row>
    <row r="4578" spans="1:8" hidden="1">
      <c r="A4578">
        <v>286.2</v>
      </c>
      <c r="B4578">
        <v>2016</v>
      </c>
      <c r="C4578" t="s">
        <v>244</v>
      </c>
    </row>
    <row r="4579" spans="1:8" hidden="1">
      <c r="A4579">
        <v>293.5</v>
      </c>
      <c r="B4579">
        <v>2017</v>
      </c>
      <c r="C4579" t="s">
        <v>244</v>
      </c>
    </row>
    <row r="4580" spans="1:8" hidden="1">
      <c r="A4580">
        <v>292.5</v>
      </c>
      <c r="B4580">
        <v>2018</v>
      </c>
      <c r="C4580" t="s">
        <v>244</v>
      </c>
    </row>
    <row r="4581" spans="1:8" hidden="1">
      <c r="A4581">
        <v>292.3</v>
      </c>
      <c r="B4581">
        <v>2019</v>
      </c>
      <c r="C4581" t="s">
        <v>244</v>
      </c>
    </row>
    <row r="4582" spans="1:8" hidden="1">
      <c r="A4582">
        <v>293.10000000000002</v>
      </c>
      <c r="B4582">
        <v>2020</v>
      </c>
      <c r="C4582" t="s">
        <v>244</v>
      </c>
    </row>
    <row r="4583" spans="1:8" hidden="1">
      <c r="A4583">
        <v>298.60000000000002</v>
      </c>
      <c r="B4583">
        <v>2021</v>
      </c>
      <c r="C4583" t="s">
        <v>244</v>
      </c>
    </row>
    <row r="4584" spans="1:8" hidden="1">
      <c r="A4584">
        <v>325.7</v>
      </c>
      <c r="B4584">
        <v>2022</v>
      </c>
      <c r="C4584" t="s">
        <v>244</v>
      </c>
    </row>
    <row r="4585" spans="1:8" hidden="1">
      <c r="A4585">
        <v>32907</v>
      </c>
      <c r="G4585">
        <v>2000</v>
      </c>
      <c r="H4585" t="s">
        <v>1432</v>
      </c>
    </row>
    <row r="4586" spans="1:8" hidden="1">
      <c r="A4586">
        <v>29281</v>
      </c>
      <c r="G4586">
        <v>2001</v>
      </c>
      <c r="H4586" t="s">
        <v>1432</v>
      </c>
    </row>
    <row r="4587" spans="1:8" hidden="1">
      <c r="A4587">
        <v>32911</v>
      </c>
      <c r="G4587">
        <v>2002</v>
      </c>
      <c r="H4587" t="s">
        <v>1432</v>
      </c>
    </row>
    <row r="4588" spans="1:8" hidden="1">
      <c r="A4588">
        <v>33544</v>
      </c>
      <c r="G4588">
        <v>2003</v>
      </c>
      <c r="H4588" t="s">
        <v>1432</v>
      </c>
    </row>
    <row r="4589" spans="1:8" hidden="1">
      <c r="A4589">
        <v>37273</v>
      </c>
      <c r="G4589">
        <v>2004</v>
      </c>
      <c r="H4589" t="s">
        <v>1432</v>
      </c>
    </row>
    <row r="4590" spans="1:8" hidden="1">
      <c r="A4590">
        <v>37049</v>
      </c>
      <c r="G4590">
        <v>2005</v>
      </c>
      <c r="H4590" t="s">
        <v>1432</v>
      </c>
    </row>
    <row r="4591" spans="1:8" hidden="1">
      <c r="A4591">
        <v>35925</v>
      </c>
      <c r="G4591">
        <v>2006</v>
      </c>
      <c r="H4591" t="s">
        <v>1432</v>
      </c>
    </row>
    <row r="4592" spans="1:8" hidden="1">
      <c r="A4592">
        <v>31809</v>
      </c>
      <c r="G4592">
        <v>2007</v>
      </c>
      <c r="H4592" t="s">
        <v>1432</v>
      </c>
    </row>
    <row r="4593" spans="1:8" hidden="1">
      <c r="A4593">
        <v>33768</v>
      </c>
      <c r="G4593">
        <v>2008</v>
      </c>
      <c r="H4593" t="s">
        <v>1432</v>
      </c>
    </row>
    <row r="4594" spans="1:8" hidden="1">
      <c r="A4594">
        <v>36907</v>
      </c>
      <c r="G4594">
        <v>2009</v>
      </c>
      <c r="H4594" t="s">
        <v>1432</v>
      </c>
    </row>
    <row r="4595" spans="1:8" hidden="1">
      <c r="A4595">
        <v>38146</v>
      </c>
      <c r="G4595">
        <v>2010</v>
      </c>
      <c r="H4595" t="s">
        <v>1432</v>
      </c>
    </row>
    <row r="4596" spans="1:8" hidden="1">
      <c r="A4596">
        <v>40888.699999999997</v>
      </c>
      <c r="G4596">
        <v>2011</v>
      </c>
      <c r="H4596" t="s">
        <v>1432</v>
      </c>
    </row>
    <row r="4597" spans="1:8" hidden="1">
      <c r="A4597">
        <v>41547</v>
      </c>
      <c r="G4597">
        <v>2012</v>
      </c>
      <c r="H4597" t="s">
        <v>1432</v>
      </c>
    </row>
    <row r="4598" spans="1:8" hidden="1">
      <c r="A4598">
        <v>43489</v>
      </c>
      <c r="G4598">
        <v>2013</v>
      </c>
      <c r="H4598" t="s">
        <v>1432</v>
      </c>
    </row>
    <row r="4599" spans="1:8" hidden="1">
      <c r="A4599">
        <v>42992.7</v>
      </c>
      <c r="G4599">
        <v>2014</v>
      </c>
      <c r="H4599" t="s">
        <v>1432</v>
      </c>
    </row>
    <row r="4600" spans="1:8" hidden="1">
      <c r="A4600">
        <v>48293.4</v>
      </c>
      <c r="G4600">
        <v>2015</v>
      </c>
      <c r="H4600" t="s">
        <v>1432</v>
      </c>
    </row>
    <row r="4601" spans="1:8" hidden="1">
      <c r="A4601">
        <v>50807</v>
      </c>
      <c r="G4601">
        <v>2016</v>
      </c>
      <c r="H4601" t="s">
        <v>1432</v>
      </c>
    </row>
    <row r="4602" spans="1:8" hidden="1">
      <c r="A4602">
        <v>50046</v>
      </c>
      <c r="G4602">
        <v>2017</v>
      </c>
      <c r="H4602" t="s">
        <v>1432</v>
      </c>
    </row>
    <row r="4603" spans="1:8" hidden="1">
      <c r="A4603">
        <v>51734.8</v>
      </c>
      <c r="G4603">
        <v>2018</v>
      </c>
      <c r="H4603" t="s">
        <v>1432</v>
      </c>
    </row>
    <row r="4604" spans="1:8" hidden="1">
      <c r="A4604">
        <v>54272.9</v>
      </c>
      <c r="G4604">
        <v>2019</v>
      </c>
      <c r="H4604" t="s">
        <v>1432</v>
      </c>
    </row>
    <row r="4605" spans="1:8" hidden="1">
      <c r="A4605">
        <v>54176.4</v>
      </c>
      <c r="G4605">
        <v>2020</v>
      </c>
      <c r="H4605" t="s">
        <v>1432</v>
      </c>
    </row>
    <row r="4606" spans="1:8" hidden="1">
      <c r="A4606">
        <v>53142.2</v>
      </c>
      <c r="G4606">
        <v>2021</v>
      </c>
      <c r="H4606" t="s">
        <v>1432</v>
      </c>
    </row>
    <row r="4607" spans="1:8" hidden="1">
      <c r="A4607">
        <v>53863.8</v>
      </c>
      <c r="G4607">
        <v>2022</v>
      </c>
      <c r="H4607" t="s">
        <v>1432</v>
      </c>
    </row>
    <row r="4608" spans="1:8" hidden="1">
      <c r="A4608">
        <v>78.599999999999994</v>
      </c>
      <c r="E4608">
        <v>2000</v>
      </c>
      <c r="F4608" s="48" t="s">
        <v>1432</v>
      </c>
    </row>
    <row r="4609" spans="1:6" hidden="1">
      <c r="A4609">
        <v>84.8</v>
      </c>
      <c r="E4609">
        <v>2001</v>
      </c>
      <c r="F4609" s="48" t="s">
        <v>1432</v>
      </c>
    </row>
    <row r="4610" spans="1:6" hidden="1">
      <c r="A4610">
        <v>67.7</v>
      </c>
      <c r="E4610">
        <v>2002</v>
      </c>
      <c r="F4610" s="48" t="s">
        <v>1432</v>
      </c>
    </row>
    <row r="4611" spans="1:6" hidden="1">
      <c r="A4611">
        <v>54</v>
      </c>
      <c r="E4611">
        <v>2003</v>
      </c>
      <c r="F4611" s="48" t="s">
        <v>1432</v>
      </c>
    </row>
    <row r="4612" spans="1:6" hidden="1">
      <c r="A4612">
        <v>54.1</v>
      </c>
      <c r="E4612">
        <v>2004</v>
      </c>
      <c r="F4612" s="48" t="s">
        <v>1432</v>
      </c>
    </row>
    <row r="4613" spans="1:6" hidden="1">
      <c r="A4613">
        <v>85.7</v>
      </c>
      <c r="E4613">
        <v>2005</v>
      </c>
      <c r="F4613" s="48" t="s">
        <v>1432</v>
      </c>
    </row>
    <row r="4614" spans="1:6" hidden="1">
      <c r="A4614">
        <v>61.7</v>
      </c>
      <c r="E4614">
        <v>2006</v>
      </c>
      <c r="F4614" s="48" t="s">
        <v>1432</v>
      </c>
    </row>
    <row r="4615" spans="1:6" hidden="1">
      <c r="A4615">
        <v>101.4</v>
      </c>
      <c r="E4615">
        <v>2007</v>
      </c>
      <c r="F4615" s="48" t="s">
        <v>1432</v>
      </c>
    </row>
    <row r="4616" spans="1:6" hidden="1">
      <c r="A4616">
        <v>91.6</v>
      </c>
      <c r="E4616">
        <v>2008</v>
      </c>
      <c r="F4616" s="48" t="s">
        <v>1432</v>
      </c>
    </row>
    <row r="4617" spans="1:6" hidden="1">
      <c r="A4617">
        <v>103.2</v>
      </c>
      <c r="E4617">
        <v>2009</v>
      </c>
      <c r="F4617" s="48" t="s">
        <v>1432</v>
      </c>
    </row>
    <row r="4618" spans="1:6" hidden="1">
      <c r="A4618">
        <v>97.8</v>
      </c>
      <c r="E4618">
        <v>2010</v>
      </c>
      <c r="F4618" s="48" t="s">
        <v>1432</v>
      </c>
    </row>
    <row r="4619" spans="1:6" hidden="1">
      <c r="A4619">
        <v>121.5</v>
      </c>
      <c r="E4619">
        <v>2011</v>
      </c>
      <c r="F4619" s="48" t="s">
        <v>1432</v>
      </c>
    </row>
    <row r="4620" spans="1:6" hidden="1">
      <c r="A4620">
        <v>88.3</v>
      </c>
      <c r="E4620">
        <v>2012</v>
      </c>
      <c r="F4620" s="48" t="s">
        <v>1432</v>
      </c>
    </row>
    <row r="4621" spans="1:6" hidden="1">
      <c r="A4621">
        <v>127.2</v>
      </c>
      <c r="E4621">
        <v>2013</v>
      </c>
      <c r="F4621" s="48" t="s">
        <v>1432</v>
      </c>
    </row>
    <row r="4622" spans="1:6" hidden="1">
      <c r="A4622">
        <v>88.4</v>
      </c>
      <c r="E4622">
        <v>2014</v>
      </c>
      <c r="F4622" s="48" t="s">
        <v>1432</v>
      </c>
    </row>
    <row r="4623" spans="1:6" hidden="1">
      <c r="A4623">
        <v>138.6</v>
      </c>
      <c r="E4623">
        <v>2015</v>
      </c>
      <c r="F4623" s="48" t="s">
        <v>1432</v>
      </c>
    </row>
    <row r="4624" spans="1:6" hidden="1">
      <c r="A4624">
        <v>83.5</v>
      </c>
      <c r="E4624">
        <v>2016</v>
      </c>
      <c r="F4624" s="48" t="s">
        <v>1432</v>
      </c>
    </row>
    <row r="4625" spans="1:6" hidden="1">
      <c r="A4625">
        <v>68.5</v>
      </c>
      <c r="E4625">
        <v>2017</v>
      </c>
      <c r="F4625" s="48" t="s">
        <v>1432</v>
      </c>
    </row>
    <row r="4626" spans="1:6" hidden="1">
      <c r="A4626">
        <v>83.1</v>
      </c>
      <c r="E4626">
        <v>2018</v>
      </c>
      <c r="F4626" s="48" t="s">
        <v>1432</v>
      </c>
    </row>
    <row r="4627" spans="1:6" hidden="1">
      <c r="A4627">
        <v>120.5</v>
      </c>
      <c r="E4627">
        <v>2019</v>
      </c>
      <c r="F4627" s="48" t="s">
        <v>1432</v>
      </c>
    </row>
    <row r="4628" spans="1:6" hidden="1">
      <c r="A4628">
        <v>66.2</v>
      </c>
      <c r="E4628">
        <v>2020</v>
      </c>
      <c r="F4628" s="48" t="s">
        <v>1432</v>
      </c>
    </row>
    <row r="4629" spans="1:6" hidden="1">
      <c r="A4629">
        <v>127.5</v>
      </c>
      <c r="E4629">
        <v>2021</v>
      </c>
      <c r="F4629" s="48" t="s">
        <v>1432</v>
      </c>
    </row>
    <row r="4630" spans="1:6" hidden="1">
      <c r="A4630">
        <v>66.099999999999994</v>
      </c>
      <c r="E4630">
        <v>2022</v>
      </c>
      <c r="F4630" s="48" t="s">
        <v>1432</v>
      </c>
    </row>
    <row r="4631" spans="1:6" hidden="1">
      <c r="A4631">
        <v>809.4</v>
      </c>
      <c r="D4631">
        <v>2000</v>
      </c>
      <c r="E4631" t="s">
        <v>1432</v>
      </c>
    </row>
    <row r="4632" spans="1:6" hidden="1">
      <c r="A4632">
        <v>1424.8</v>
      </c>
      <c r="D4632">
        <v>2001</v>
      </c>
      <c r="E4632" t="s">
        <v>1432</v>
      </c>
    </row>
    <row r="4633" spans="1:6" hidden="1">
      <c r="A4633">
        <v>1506.9</v>
      </c>
      <c r="D4633">
        <v>2002</v>
      </c>
      <c r="E4633" t="s">
        <v>1432</v>
      </c>
    </row>
    <row r="4634" spans="1:6" hidden="1">
      <c r="A4634">
        <v>1593.6</v>
      </c>
      <c r="D4634">
        <v>2003</v>
      </c>
      <c r="E4634" t="s">
        <v>1432</v>
      </c>
    </row>
    <row r="4635" spans="1:6" hidden="1">
      <c r="A4635">
        <v>516.79999999999995</v>
      </c>
      <c r="D4635">
        <v>2004</v>
      </c>
      <c r="E4635" t="s">
        <v>1432</v>
      </c>
    </row>
    <row r="4636" spans="1:6" hidden="1">
      <c r="A4636">
        <v>1427.5</v>
      </c>
      <c r="D4636">
        <v>2005</v>
      </c>
      <c r="E4636" t="s">
        <v>1432</v>
      </c>
    </row>
    <row r="4637" spans="1:6" hidden="1">
      <c r="A4637">
        <v>1517.9</v>
      </c>
      <c r="D4637">
        <v>2006</v>
      </c>
      <c r="E4637" t="s">
        <v>1432</v>
      </c>
    </row>
    <row r="4638" spans="1:6" hidden="1">
      <c r="A4638">
        <v>1636.6</v>
      </c>
      <c r="D4638">
        <v>2007</v>
      </c>
      <c r="E4638" t="s">
        <v>1432</v>
      </c>
    </row>
    <row r="4639" spans="1:6" hidden="1">
      <c r="A4639">
        <v>658</v>
      </c>
      <c r="D4639">
        <v>2008</v>
      </c>
      <c r="E4639" t="s">
        <v>1432</v>
      </c>
    </row>
    <row r="4640" spans="1:6" hidden="1">
      <c r="A4640">
        <v>1204</v>
      </c>
      <c r="D4640">
        <v>2009</v>
      </c>
      <c r="E4640" t="s">
        <v>1432</v>
      </c>
    </row>
    <row r="4641" spans="1:5" hidden="1">
      <c r="A4641">
        <v>809.9</v>
      </c>
      <c r="D4641">
        <v>2010</v>
      </c>
      <c r="E4641" t="s">
        <v>1432</v>
      </c>
    </row>
    <row r="4642" spans="1:5" hidden="1">
      <c r="A4642">
        <v>1771.7</v>
      </c>
      <c r="D4642">
        <v>2011</v>
      </c>
      <c r="E4642" t="s">
        <v>1432</v>
      </c>
    </row>
    <row r="4643" spans="1:5" hidden="1">
      <c r="A4643">
        <v>619.1</v>
      </c>
      <c r="D4643">
        <v>2012</v>
      </c>
      <c r="E4643" t="s">
        <v>1432</v>
      </c>
    </row>
    <row r="4644" spans="1:5" hidden="1">
      <c r="A4644">
        <v>1938.4</v>
      </c>
      <c r="D4644">
        <v>2013</v>
      </c>
      <c r="E4644" t="s">
        <v>1432</v>
      </c>
    </row>
    <row r="4645" spans="1:5" hidden="1">
      <c r="A4645">
        <v>680.2</v>
      </c>
      <c r="D4645">
        <v>2014</v>
      </c>
      <c r="E4645" t="s">
        <v>1432</v>
      </c>
    </row>
    <row r="4646" spans="1:5" hidden="1">
      <c r="A4646">
        <v>2508</v>
      </c>
      <c r="D4646">
        <v>2015</v>
      </c>
      <c r="E4646" t="s">
        <v>1432</v>
      </c>
    </row>
    <row r="4647" spans="1:5" hidden="1">
      <c r="A4647">
        <v>724.8</v>
      </c>
      <c r="D4647">
        <v>2016</v>
      </c>
      <c r="E4647" t="s">
        <v>1432</v>
      </c>
    </row>
    <row r="4648" spans="1:5" hidden="1">
      <c r="A4648">
        <v>725</v>
      </c>
      <c r="D4648">
        <v>2017</v>
      </c>
      <c r="E4648" t="s">
        <v>1432</v>
      </c>
    </row>
    <row r="4649" spans="1:5" hidden="1">
      <c r="A4649">
        <v>777.7</v>
      </c>
      <c r="D4649">
        <v>2018</v>
      </c>
      <c r="E4649" t="s">
        <v>1432</v>
      </c>
    </row>
    <row r="4650" spans="1:5" hidden="1">
      <c r="A4650">
        <v>772.3</v>
      </c>
      <c r="D4650">
        <v>2019</v>
      </c>
      <c r="E4650" t="s">
        <v>1432</v>
      </c>
    </row>
    <row r="4651" spans="1:5" hidden="1">
      <c r="A4651">
        <v>630.70000000000005</v>
      </c>
      <c r="D4651">
        <v>2020</v>
      </c>
      <c r="E4651" t="s">
        <v>1432</v>
      </c>
    </row>
    <row r="4652" spans="1:5" hidden="1">
      <c r="A4652">
        <v>0</v>
      </c>
      <c r="D4652">
        <v>2021</v>
      </c>
      <c r="E4652" t="s">
        <v>1432</v>
      </c>
    </row>
    <row r="4653" spans="1:5" hidden="1">
      <c r="A4653">
        <v>717.8</v>
      </c>
      <c r="D4653">
        <v>2022</v>
      </c>
      <c r="E4653" t="s">
        <v>1432</v>
      </c>
    </row>
    <row r="4654" spans="1:5" hidden="1">
      <c r="A4654">
        <v>0</v>
      </c>
      <c r="C4654">
        <v>2000</v>
      </c>
      <c r="D4654" t="s">
        <v>1432</v>
      </c>
    </row>
    <row r="4655" spans="1:5" hidden="1">
      <c r="A4655">
        <v>0</v>
      </c>
      <c r="C4655">
        <v>2001</v>
      </c>
      <c r="D4655" t="s">
        <v>1432</v>
      </c>
    </row>
    <row r="4656" spans="1:5" hidden="1">
      <c r="A4656">
        <v>0</v>
      </c>
      <c r="C4656">
        <v>2002</v>
      </c>
      <c r="D4656" t="s">
        <v>1432</v>
      </c>
    </row>
    <row r="4657" spans="1:4" hidden="1">
      <c r="A4657">
        <v>0</v>
      </c>
      <c r="C4657">
        <v>2003</v>
      </c>
      <c r="D4657" t="s">
        <v>1432</v>
      </c>
    </row>
    <row r="4658" spans="1:4" hidden="1">
      <c r="A4658">
        <v>0</v>
      </c>
      <c r="C4658">
        <v>2004</v>
      </c>
      <c r="D4658" t="s">
        <v>1432</v>
      </c>
    </row>
    <row r="4659" spans="1:4" hidden="1">
      <c r="A4659">
        <v>0</v>
      </c>
      <c r="C4659">
        <v>2005</v>
      </c>
      <c r="D4659" t="s">
        <v>1432</v>
      </c>
    </row>
    <row r="4660" spans="1:4" hidden="1">
      <c r="A4660">
        <v>0</v>
      </c>
      <c r="C4660">
        <v>2006</v>
      </c>
      <c r="D4660" t="s">
        <v>1432</v>
      </c>
    </row>
    <row r="4661" spans="1:4" hidden="1">
      <c r="A4661">
        <v>0</v>
      </c>
      <c r="C4661">
        <v>2007</v>
      </c>
      <c r="D4661" t="s">
        <v>1432</v>
      </c>
    </row>
    <row r="4662" spans="1:4" hidden="1">
      <c r="A4662">
        <v>0</v>
      </c>
      <c r="C4662">
        <v>2008</v>
      </c>
      <c r="D4662" t="s">
        <v>1432</v>
      </c>
    </row>
    <row r="4663" spans="1:4" hidden="1">
      <c r="A4663">
        <v>0</v>
      </c>
      <c r="C4663">
        <v>2009</v>
      </c>
      <c r="D4663" t="s">
        <v>1432</v>
      </c>
    </row>
    <row r="4664" spans="1:4" hidden="1">
      <c r="A4664">
        <v>54.2</v>
      </c>
      <c r="C4664">
        <v>2010</v>
      </c>
      <c r="D4664" t="s">
        <v>1432</v>
      </c>
    </row>
    <row r="4665" spans="1:4" hidden="1">
      <c r="A4665">
        <v>0</v>
      </c>
      <c r="C4665">
        <v>2011</v>
      </c>
      <c r="D4665" t="s">
        <v>1432</v>
      </c>
    </row>
    <row r="4666" spans="1:4" hidden="1">
      <c r="A4666">
        <v>110.1</v>
      </c>
      <c r="C4666">
        <v>2012</v>
      </c>
      <c r="D4666" t="s">
        <v>1432</v>
      </c>
    </row>
    <row r="4667" spans="1:4" hidden="1">
      <c r="A4667">
        <v>0</v>
      </c>
      <c r="C4667">
        <v>2013</v>
      </c>
      <c r="D4667" t="s">
        <v>1432</v>
      </c>
    </row>
    <row r="4668" spans="1:4" hidden="1">
      <c r="A4668">
        <v>156.1</v>
      </c>
      <c r="C4668">
        <v>2014</v>
      </c>
      <c r="D4668" t="s">
        <v>1432</v>
      </c>
    </row>
    <row r="4669" spans="1:4" hidden="1">
      <c r="A4669">
        <v>0</v>
      </c>
      <c r="C4669">
        <v>2015</v>
      </c>
      <c r="D4669" t="s">
        <v>1432</v>
      </c>
    </row>
    <row r="4670" spans="1:4" hidden="1">
      <c r="A4670">
        <v>185</v>
      </c>
      <c r="C4670">
        <v>2016</v>
      </c>
      <c r="D4670" t="s">
        <v>1432</v>
      </c>
    </row>
    <row r="4671" spans="1:4" hidden="1">
      <c r="A4671">
        <v>0</v>
      </c>
      <c r="C4671">
        <v>2017</v>
      </c>
      <c r="D4671" t="s">
        <v>1432</v>
      </c>
    </row>
    <row r="4672" spans="1:4" hidden="1">
      <c r="A4672">
        <v>193</v>
      </c>
      <c r="C4672">
        <v>2018</v>
      </c>
      <c r="D4672" t="s">
        <v>1432</v>
      </c>
    </row>
    <row r="4673" spans="1:4" hidden="1">
      <c r="A4673">
        <v>0</v>
      </c>
      <c r="C4673">
        <v>2019</v>
      </c>
      <c r="D4673" t="s">
        <v>1432</v>
      </c>
    </row>
    <row r="4674" spans="1:4" hidden="1">
      <c r="A4674">
        <v>202.7</v>
      </c>
      <c r="C4674">
        <v>2020</v>
      </c>
      <c r="D4674" t="s">
        <v>1432</v>
      </c>
    </row>
    <row r="4675" spans="1:4" hidden="1">
      <c r="A4675">
        <v>0</v>
      </c>
      <c r="C4675">
        <v>2021</v>
      </c>
      <c r="D4675" t="s">
        <v>1432</v>
      </c>
    </row>
    <row r="4676" spans="1:4" hidden="1">
      <c r="A4676">
        <v>177</v>
      </c>
      <c r="C4676">
        <v>2022</v>
      </c>
      <c r="D4676" t="s">
        <v>1432</v>
      </c>
    </row>
    <row r="4677" spans="1:4" hidden="1">
      <c r="A4677">
        <v>4453.2</v>
      </c>
      <c r="B4677">
        <v>2000</v>
      </c>
      <c r="C4677" t="s">
        <v>1432</v>
      </c>
    </row>
    <row r="4678" spans="1:4" hidden="1">
      <c r="A4678">
        <v>4664.5</v>
      </c>
      <c r="B4678">
        <v>2001</v>
      </c>
      <c r="C4678" t="s">
        <v>1432</v>
      </c>
    </row>
    <row r="4679" spans="1:4" hidden="1">
      <c r="A4679">
        <v>4813.1000000000004</v>
      </c>
      <c r="B4679">
        <v>2002</v>
      </c>
      <c r="C4679" t="s">
        <v>1432</v>
      </c>
    </row>
    <row r="4680" spans="1:4" hidden="1">
      <c r="A4680">
        <v>4918.5</v>
      </c>
      <c r="B4680">
        <v>2003</v>
      </c>
      <c r="C4680" t="s">
        <v>1432</v>
      </c>
    </row>
    <row r="4681" spans="1:4" hidden="1">
      <c r="A4681">
        <v>4954.3</v>
      </c>
      <c r="B4681">
        <v>2004</v>
      </c>
      <c r="C4681" t="s">
        <v>1432</v>
      </c>
    </row>
    <row r="4682" spans="1:4" hidden="1">
      <c r="A4682">
        <v>5167.8</v>
      </c>
      <c r="B4682">
        <v>2005</v>
      </c>
      <c r="C4682" t="s">
        <v>1432</v>
      </c>
    </row>
    <row r="4683" spans="1:4" hidden="1">
      <c r="A4683">
        <v>5163.5</v>
      </c>
      <c r="B4683">
        <v>2006</v>
      </c>
      <c r="C4683" t="s">
        <v>1432</v>
      </c>
    </row>
    <row r="4684" spans="1:4" hidden="1">
      <c r="A4684">
        <v>5125.7</v>
      </c>
      <c r="B4684">
        <v>2007</v>
      </c>
      <c r="C4684" t="s">
        <v>1432</v>
      </c>
    </row>
    <row r="4685" spans="1:4" hidden="1">
      <c r="A4685">
        <v>5768.1</v>
      </c>
      <c r="B4685">
        <v>2008</v>
      </c>
      <c r="C4685" t="s">
        <v>1432</v>
      </c>
    </row>
    <row r="4686" spans="1:4" hidden="1">
      <c r="A4686">
        <v>5708.4</v>
      </c>
      <c r="B4686">
        <v>2009</v>
      </c>
      <c r="C4686" t="s">
        <v>1432</v>
      </c>
    </row>
    <row r="4687" spans="1:4" hidden="1">
      <c r="A4687">
        <v>5791.8</v>
      </c>
      <c r="B4687">
        <v>2010</v>
      </c>
      <c r="C4687" t="s">
        <v>1432</v>
      </c>
    </row>
    <row r="4688" spans="1:4" hidden="1">
      <c r="A4688">
        <v>5892.3</v>
      </c>
      <c r="B4688">
        <v>2011</v>
      </c>
      <c r="C4688" t="s">
        <v>1432</v>
      </c>
    </row>
    <row r="4689" spans="1:8" hidden="1">
      <c r="A4689">
        <v>5967.5</v>
      </c>
      <c r="B4689">
        <v>2012</v>
      </c>
      <c r="C4689" t="s">
        <v>1432</v>
      </c>
    </row>
    <row r="4690" spans="1:8" hidden="1">
      <c r="A4690">
        <v>5695.8</v>
      </c>
      <c r="B4690">
        <v>2013</v>
      </c>
      <c r="C4690" t="s">
        <v>1432</v>
      </c>
    </row>
    <row r="4691" spans="1:8" hidden="1">
      <c r="A4691">
        <v>5424.1</v>
      </c>
      <c r="B4691">
        <v>2014</v>
      </c>
      <c r="C4691" t="s">
        <v>1432</v>
      </c>
    </row>
    <row r="4692" spans="1:8" hidden="1">
      <c r="A4692">
        <v>5815.9</v>
      </c>
      <c r="B4692">
        <v>2015</v>
      </c>
      <c r="C4692" t="s">
        <v>1432</v>
      </c>
    </row>
    <row r="4693" spans="1:8" hidden="1">
      <c r="A4693">
        <v>6207.6</v>
      </c>
      <c r="B4693">
        <v>2016</v>
      </c>
      <c r="C4693" t="s">
        <v>1432</v>
      </c>
    </row>
    <row r="4694" spans="1:8" hidden="1">
      <c r="A4694">
        <v>6505</v>
      </c>
      <c r="B4694">
        <v>2017</v>
      </c>
      <c r="C4694" t="s">
        <v>1432</v>
      </c>
    </row>
    <row r="4695" spans="1:8" hidden="1">
      <c r="A4695">
        <v>6584</v>
      </c>
      <c r="B4695">
        <v>2018</v>
      </c>
      <c r="C4695" t="s">
        <v>1432</v>
      </c>
    </row>
    <row r="4696" spans="1:8" hidden="1">
      <c r="A4696">
        <v>6715.9</v>
      </c>
      <c r="B4696">
        <v>2019</v>
      </c>
      <c r="C4696" t="s">
        <v>1432</v>
      </c>
    </row>
    <row r="4697" spans="1:8" hidden="1">
      <c r="A4697">
        <v>6906.4</v>
      </c>
      <c r="B4697">
        <v>2020</v>
      </c>
      <c r="C4697" t="s">
        <v>1432</v>
      </c>
    </row>
    <row r="4698" spans="1:8" hidden="1">
      <c r="A4698">
        <v>6807</v>
      </c>
      <c r="B4698">
        <v>2021</v>
      </c>
      <c r="C4698" t="s">
        <v>1432</v>
      </c>
    </row>
    <row r="4699" spans="1:8" hidden="1">
      <c r="A4699">
        <v>7204.7</v>
      </c>
      <c r="B4699">
        <v>2022</v>
      </c>
      <c r="C4699" t="s">
        <v>1432</v>
      </c>
    </row>
    <row r="4700" spans="1:8" hidden="1">
      <c r="A4700">
        <v>69.7</v>
      </c>
      <c r="G4700">
        <v>2000</v>
      </c>
      <c r="H4700" t="s">
        <v>1433</v>
      </c>
    </row>
    <row r="4701" spans="1:8" hidden="1">
      <c r="A4701">
        <v>69.7</v>
      </c>
      <c r="G4701">
        <v>2001</v>
      </c>
      <c r="H4701" t="s">
        <v>1433</v>
      </c>
    </row>
    <row r="4702" spans="1:8" hidden="1">
      <c r="A4702">
        <v>69.7</v>
      </c>
      <c r="G4702">
        <v>2002</v>
      </c>
      <c r="H4702" t="s">
        <v>1433</v>
      </c>
    </row>
    <row r="4703" spans="1:8" hidden="1">
      <c r="A4703">
        <v>69.7</v>
      </c>
      <c r="G4703">
        <v>2003</v>
      </c>
      <c r="H4703" t="s">
        <v>1433</v>
      </c>
    </row>
    <row r="4704" spans="1:8" hidden="1">
      <c r="A4704">
        <v>69.7</v>
      </c>
      <c r="G4704">
        <v>2004</v>
      </c>
      <c r="H4704" t="s">
        <v>1433</v>
      </c>
    </row>
    <row r="4705" spans="1:8" hidden="1">
      <c r="A4705">
        <v>69.7</v>
      </c>
      <c r="G4705">
        <v>2005</v>
      </c>
      <c r="H4705" t="s">
        <v>1433</v>
      </c>
    </row>
    <row r="4706" spans="1:8" hidden="1">
      <c r="A4706">
        <v>69.7</v>
      </c>
      <c r="G4706">
        <v>2006</v>
      </c>
      <c r="H4706" t="s">
        <v>1433</v>
      </c>
    </row>
    <row r="4707" spans="1:8" hidden="1">
      <c r="A4707">
        <v>70.900000000000006</v>
      </c>
      <c r="G4707">
        <v>2007</v>
      </c>
      <c r="H4707" t="s">
        <v>1433</v>
      </c>
    </row>
    <row r="4708" spans="1:8" hidden="1">
      <c r="A4708">
        <v>70.2</v>
      </c>
      <c r="G4708">
        <v>2008</v>
      </c>
      <c r="H4708" t="s">
        <v>1433</v>
      </c>
    </row>
    <row r="4709" spans="1:8" hidden="1">
      <c r="A4709">
        <v>69.900000000000006</v>
      </c>
      <c r="G4709">
        <v>2009</v>
      </c>
      <c r="H4709" t="s">
        <v>1433</v>
      </c>
    </row>
    <row r="4710" spans="1:8" hidden="1">
      <c r="A4710">
        <v>59.7</v>
      </c>
      <c r="G4710">
        <v>2010</v>
      </c>
      <c r="H4710" t="s">
        <v>1433</v>
      </c>
    </row>
    <row r="4711" spans="1:8" hidden="1">
      <c r="A4711">
        <v>64.7</v>
      </c>
      <c r="G4711">
        <v>2011</v>
      </c>
      <c r="H4711" t="s">
        <v>1433</v>
      </c>
    </row>
    <row r="4712" spans="1:8" hidden="1">
      <c r="A4712">
        <v>64.8</v>
      </c>
      <c r="G4712">
        <v>2012</v>
      </c>
      <c r="H4712" t="s">
        <v>1433</v>
      </c>
    </row>
    <row r="4713" spans="1:8" hidden="1">
      <c r="A4713">
        <v>67.5</v>
      </c>
      <c r="G4713">
        <v>2013</v>
      </c>
      <c r="H4713" t="s">
        <v>1433</v>
      </c>
    </row>
    <row r="4714" spans="1:8" hidden="1">
      <c r="A4714">
        <v>68.400000000000006</v>
      </c>
      <c r="G4714">
        <v>2014</v>
      </c>
      <c r="H4714" t="s">
        <v>1433</v>
      </c>
    </row>
    <row r="4715" spans="1:8" hidden="1">
      <c r="A4715">
        <v>73.2</v>
      </c>
      <c r="G4715">
        <v>2015</v>
      </c>
      <c r="H4715" t="s">
        <v>1433</v>
      </c>
    </row>
    <row r="4716" spans="1:8" hidden="1">
      <c r="A4716">
        <v>80.099999999999994</v>
      </c>
      <c r="G4716">
        <v>2016</v>
      </c>
      <c r="H4716" t="s">
        <v>1433</v>
      </c>
    </row>
    <row r="4717" spans="1:8" hidden="1">
      <c r="A4717">
        <v>69.900000000000006</v>
      </c>
      <c r="G4717">
        <v>2017</v>
      </c>
      <c r="H4717" t="s">
        <v>1433</v>
      </c>
    </row>
    <row r="4718" spans="1:8" hidden="1">
      <c r="A4718">
        <v>70.2</v>
      </c>
      <c r="G4718">
        <v>2018</v>
      </c>
      <c r="H4718" t="s">
        <v>1433</v>
      </c>
    </row>
    <row r="4719" spans="1:8" hidden="1">
      <c r="A4719">
        <v>71</v>
      </c>
      <c r="G4719">
        <v>2019</v>
      </c>
      <c r="H4719" t="s">
        <v>1433</v>
      </c>
    </row>
    <row r="4720" spans="1:8" hidden="1">
      <c r="A4720">
        <v>71</v>
      </c>
      <c r="G4720">
        <v>2020</v>
      </c>
      <c r="H4720" t="s">
        <v>1433</v>
      </c>
    </row>
    <row r="4721" spans="1:8" hidden="1">
      <c r="A4721">
        <v>71</v>
      </c>
      <c r="G4721">
        <v>2021</v>
      </c>
      <c r="H4721" t="s">
        <v>1433</v>
      </c>
    </row>
    <row r="4722" spans="1:8" hidden="1">
      <c r="A4722">
        <v>71</v>
      </c>
      <c r="G4722">
        <v>2022</v>
      </c>
      <c r="H4722" t="s">
        <v>1433</v>
      </c>
    </row>
    <row r="4723" spans="1:8" hidden="1">
      <c r="A4723">
        <v>7</v>
      </c>
      <c r="E4723">
        <v>2000</v>
      </c>
      <c r="F4723" s="48" t="s">
        <v>1433</v>
      </c>
    </row>
    <row r="4724" spans="1:8" hidden="1">
      <c r="A4724">
        <v>8.9</v>
      </c>
      <c r="E4724">
        <v>2001</v>
      </c>
      <c r="F4724" s="48" t="s">
        <v>1433</v>
      </c>
    </row>
    <row r="4725" spans="1:8" hidden="1">
      <c r="A4725">
        <v>8.8000000000000007</v>
      </c>
      <c r="E4725">
        <v>2002</v>
      </c>
      <c r="F4725" s="48" t="s">
        <v>1433</v>
      </c>
    </row>
    <row r="4726" spans="1:8" hidden="1">
      <c r="A4726">
        <v>8.6</v>
      </c>
      <c r="E4726">
        <v>2003</v>
      </c>
      <c r="F4726" s="48" t="s">
        <v>1433</v>
      </c>
    </row>
    <row r="4727" spans="1:8" hidden="1">
      <c r="A4727">
        <v>9.6999999999999993</v>
      </c>
      <c r="E4727">
        <v>2004</v>
      </c>
      <c r="F4727" s="48" t="s">
        <v>1433</v>
      </c>
    </row>
    <row r="4728" spans="1:8" hidden="1">
      <c r="A4728">
        <v>10.6</v>
      </c>
      <c r="E4728">
        <v>2005</v>
      </c>
      <c r="F4728" s="48" t="s">
        <v>1433</v>
      </c>
    </row>
    <row r="4729" spans="1:8" hidden="1">
      <c r="A4729">
        <v>11.1</v>
      </c>
      <c r="E4729">
        <v>2006</v>
      </c>
      <c r="F4729" s="48" t="s">
        <v>1433</v>
      </c>
    </row>
    <row r="4730" spans="1:8" hidden="1">
      <c r="A4730">
        <v>12.4</v>
      </c>
      <c r="E4730">
        <v>2007</v>
      </c>
      <c r="F4730" s="48" t="s">
        <v>1433</v>
      </c>
    </row>
    <row r="4731" spans="1:8" hidden="1">
      <c r="A4731">
        <v>11.5</v>
      </c>
      <c r="E4731">
        <v>2008</v>
      </c>
      <c r="F4731" s="48" t="s">
        <v>1433</v>
      </c>
    </row>
    <row r="4732" spans="1:8" hidden="1">
      <c r="A4732">
        <v>13.4</v>
      </c>
      <c r="E4732">
        <v>2009</v>
      </c>
      <c r="F4732" s="48" t="s">
        <v>1433</v>
      </c>
    </row>
    <row r="4733" spans="1:8" hidden="1">
      <c r="A4733">
        <v>13.8</v>
      </c>
      <c r="E4733">
        <v>2010</v>
      </c>
      <c r="F4733" s="48" t="s">
        <v>1433</v>
      </c>
    </row>
    <row r="4734" spans="1:8" hidden="1">
      <c r="A4734">
        <v>12.8</v>
      </c>
      <c r="E4734">
        <v>2011</v>
      </c>
      <c r="F4734" s="48" t="s">
        <v>1433</v>
      </c>
    </row>
    <row r="4735" spans="1:8" hidden="1">
      <c r="A4735">
        <v>12.9</v>
      </c>
      <c r="E4735">
        <v>2012</v>
      </c>
      <c r="F4735" s="48" t="s">
        <v>1433</v>
      </c>
    </row>
    <row r="4736" spans="1:8" hidden="1">
      <c r="A4736">
        <v>13.7</v>
      </c>
      <c r="E4736">
        <v>2013</v>
      </c>
      <c r="F4736" s="48" t="s">
        <v>1433</v>
      </c>
    </row>
    <row r="4737" spans="1:6" hidden="1">
      <c r="A4737">
        <v>12.1</v>
      </c>
      <c r="E4737">
        <v>2014</v>
      </c>
      <c r="F4737" s="48" t="s">
        <v>1433</v>
      </c>
    </row>
    <row r="4738" spans="1:6" hidden="1">
      <c r="A4738">
        <v>14.8</v>
      </c>
      <c r="E4738">
        <v>2015</v>
      </c>
      <c r="F4738" s="48" t="s">
        <v>1433</v>
      </c>
    </row>
    <row r="4739" spans="1:6" hidden="1">
      <c r="A4739">
        <v>15.3</v>
      </c>
      <c r="E4739">
        <v>2016</v>
      </c>
      <c r="F4739" s="48" t="s">
        <v>1433</v>
      </c>
    </row>
    <row r="4740" spans="1:6" hidden="1">
      <c r="A4740">
        <v>12.3</v>
      </c>
      <c r="E4740">
        <v>2017</v>
      </c>
      <c r="F4740" s="48" t="s">
        <v>1433</v>
      </c>
    </row>
    <row r="4741" spans="1:6" hidden="1">
      <c r="A4741">
        <v>14.2</v>
      </c>
      <c r="E4741">
        <v>2018</v>
      </c>
      <c r="F4741" s="48" t="s">
        <v>1433</v>
      </c>
    </row>
    <row r="4742" spans="1:6" hidden="1">
      <c r="A4742">
        <v>15.3</v>
      </c>
      <c r="E4742">
        <v>2019</v>
      </c>
      <c r="F4742" s="48" t="s">
        <v>1433</v>
      </c>
    </row>
    <row r="4743" spans="1:6" hidden="1">
      <c r="A4743">
        <v>15.6</v>
      </c>
      <c r="E4743">
        <v>2020</v>
      </c>
      <c r="F4743" s="48" t="s">
        <v>1433</v>
      </c>
    </row>
    <row r="4744" spans="1:6" hidden="1">
      <c r="A4744">
        <v>15.9</v>
      </c>
      <c r="E4744">
        <v>2021</v>
      </c>
      <c r="F4744" s="48" t="s">
        <v>1433</v>
      </c>
    </row>
    <row r="4745" spans="1:6" hidden="1">
      <c r="A4745">
        <v>0</v>
      </c>
      <c r="E4745">
        <v>2022</v>
      </c>
      <c r="F4745" s="48" t="s">
        <v>1433</v>
      </c>
    </row>
    <row r="4746" spans="1:6" hidden="1">
      <c r="A4746">
        <v>0</v>
      </c>
      <c r="D4746">
        <v>2000</v>
      </c>
      <c r="E4746" t="s">
        <v>1433</v>
      </c>
    </row>
    <row r="4747" spans="1:6" hidden="1">
      <c r="A4747">
        <v>0</v>
      </c>
      <c r="D4747">
        <v>2001</v>
      </c>
      <c r="E4747" t="s">
        <v>1433</v>
      </c>
    </row>
    <row r="4748" spans="1:6" hidden="1">
      <c r="A4748">
        <v>0</v>
      </c>
      <c r="D4748">
        <v>2002</v>
      </c>
      <c r="E4748" t="s">
        <v>1433</v>
      </c>
    </row>
    <row r="4749" spans="1:6" hidden="1">
      <c r="A4749">
        <v>0</v>
      </c>
      <c r="D4749">
        <v>2003</v>
      </c>
      <c r="E4749" t="s">
        <v>1433</v>
      </c>
    </row>
    <row r="4750" spans="1:6" hidden="1">
      <c r="A4750">
        <v>0</v>
      </c>
      <c r="D4750">
        <v>2004</v>
      </c>
      <c r="E4750" t="s">
        <v>1433</v>
      </c>
    </row>
    <row r="4751" spans="1:6" hidden="1">
      <c r="A4751">
        <v>0</v>
      </c>
      <c r="D4751">
        <v>2005</v>
      </c>
      <c r="E4751" t="s">
        <v>1433</v>
      </c>
    </row>
    <row r="4752" spans="1:6" hidden="1">
      <c r="A4752">
        <v>0</v>
      </c>
      <c r="D4752">
        <v>2006</v>
      </c>
      <c r="E4752" t="s">
        <v>1433</v>
      </c>
    </row>
    <row r="4753" spans="1:5" hidden="1">
      <c r="A4753">
        <v>0</v>
      </c>
      <c r="D4753">
        <v>2007</v>
      </c>
      <c r="E4753" t="s">
        <v>1433</v>
      </c>
    </row>
    <row r="4754" spans="1:5" hidden="1">
      <c r="A4754">
        <v>0</v>
      </c>
      <c r="D4754">
        <v>2008</v>
      </c>
      <c r="E4754" t="s">
        <v>1433</v>
      </c>
    </row>
    <row r="4755" spans="1:5" hidden="1">
      <c r="A4755">
        <v>0</v>
      </c>
      <c r="D4755">
        <v>2009</v>
      </c>
      <c r="E4755" t="s">
        <v>1433</v>
      </c>
    </row>
    <row r="4756" spans="1:5" hidden="1">
      <c r="A4756">
        <v>15.8</v>
      </c>
      <c r="D4756">
        <v>2010</v>
      </c>
      <c r="E4756" t="s">
        <v>1433</v>
      </c>
    </row>
    <row r="4757" spans="1:5" hidden="1">
      <c r="A4757">
        <v>15.1</v>
      </c>
      <c r="D4757">
        <v>2011</v>
      </c>
      <c r="E4757" t="s">
        <v>1433</v>
      </c>
    </row>
    <row r="4758" spans="1:5" hidden="1">
      <c r="A4758">
        <v>15.2</v>
      </c>
      <c r="D4758">
        <v>2012</v>
      </c>
      <c r="E4758" t="s">
        <v>1433</v>
      </c>
    </row>
    <row r="4759" spans="1:5" hidden="1">
      <c r="A4759">
        <v>15.7</v>
      </c>
      <c r="D4759">
        <v>2013</v>
      </c>
      <c r="E4759" t="s">
        <v>1433</v>
      </c>
    </row>
    <row r="4760" spans="1:5" hidden="1">
      <c r="A4760">
        <v>13.8</v>
      </c>
      <c r="D4760">
        <v>2014</v>
      </c>
      <c r="E4760" t="s">
        <v>1433</v>
      </c>
    </row>
    <row r="4761" spans="1:5" hidden="1">
      <c r="A4761">
        <v>17.399999999999999</v>
      </c>
      <c r="D4761">
        <v>2015</v>
      </c>
      <c r="E4761" t="s">
        <v>1433</v>
      </c>
    </row>
    <row r="4762" spans="1:5" hidden="1">
      <c r="A4762">
        <v>16.600000000000001</v>
      </c>
      <c r="D4762">
        <v>2016</v>
      </c>
      <c r="E4762" t="s">
        <v>1433</v>
      </c>
    </row>
    <row r="4763" spans="1:5" hidden="1">
      <c r="A4763">
        <v>15.5</v>
      </c>
      <c r="D4763">
        <v>2017</v>
      </c>
      <c r="E4763" t="s">
        <v>1433</v>
      </c>
    </row>
    <row r="4764" spans="1:5" hidden="1">
      <c r="A4764">
        <v>15.1</v>
      </c>
      <c r="D4764">
        <v>2018</v>
      </c>
      <c r="E4764" t="s">
        <v>1433</v>
      </c>
    </row>
    <row r="4765" spans="1:5" hidden="1">
      <c r="A4765">
        <v>16.3</v>
      </c>
      <c r="D4765">
        <v>2019</v>
      </c>
      <c r="E4765" t="s">
        <v>1433</v>
      </c>
    </row>
    <row r="4766" spans="1:5" hidden="1">
      <c r="A4766">
        <v>0</v>
      </c>
      <c r="D4766">
        <v>2020</v>
      </c>
      <c r="E4766" t="s">
        <v>1433</v>
      </c>
    </row>
    <row r="4767" spans="1:5" hidden="1">
      <c r="A4767">
        <v>0</v>
      </c>
      <c r="D4767">
        <v>2021</v>
      </c>
      <c r="E4767" t="s">
        <v>1433</v>
      </c>
    </row>
    <row r="4768" spans="1:5" hidden="1">
      <c r="A4768">
        <v>0</v>
      </c>
      <c r="D4768">
        <v>2022</v>
      </c>
      <c r="E4768" t="s">
        <v>1433</v>
      </c>
    </row>
    <row r="4769" spans="1:4" hidden="1">
      <c r="A4769">
        <v>0</v>
      </c>
      <c r="C4769">
        <v>2000</v>
      </c>
      <c r="D4769" t="s">
        <v>1433</v>
      </c>
    </row>
    <row r="4770" spans="1:4" hidden="1">
      <c r="A4770">
        <v>0</v>
      </c>
      <c r="C4770">
        <v>2001</v>
      </c>
      <c r="D4770" t="s">
        <v>1433</v>
      </c>
    </row>
    <row r="4771" spans="1:4" hidden="1">
      <c r="A4771">
        <v>0</v>
      </c>
      <c r="C4771">
        <v>2002</v>
      </c>
      <c r="D4771" t="s">
        <v>1433</v>
      </c>
    </row>
    <row r="4772" spans="1:4" hidden="1">
      <c r="A4772">
        <v>0</v>
      </c>
      <c r="C4772">
        <v>2003</v>
      </c>
      <c r="D4772" t="s">
        <v>1433</v>
      </c>
    </row>
    <row r="4773" spans="1:4" hidden="1">
      <c r="A4773">
        <v>0</v>
      </c>
      <c r="C4773">
        <v>2004</v>
      </c>
      <c r="D4773" t="s">
        <v>1433</v>
      </c>
    </row>
    <row r="4774" spans="1:4" hidden="1">
      <c r="A4774">
        <v>0</v>
      </c>
      <c r="C4774">
        <v>2005</v>
      </c>
      <c r="D4774" t="s">
        <v>1433</v>
      </c>
    </row>
    <row r="4775" spans="1:4" hidden="1">
      <c r="A4775">
        <v>0</v>
      </c>
      <c r="C4775">
        <v>2006</v>
      </c>
      <c r="D4775" t="s">
        <v>1433</v>
      </c>
    </row>
    <row r="4776" spans="1:4" hidden="1">
      <c r="A4776">
        <v>0</v>
      </c>
      <c r="C4776">
        <v>2007</v>
      </c>
      <c r="D4776" t="s">
        <v>1433</v>
      </c>
    </row>
    <row r="4777" spans="1:4" hidden="1">
      <c r="A4777">
        <v>0</v>
      </c>
      <c r="C4777">
        <v>2008</v>
      </c>
      <c r="D4777" t="s">
        <v>1433</v>
      </c>
    </row>
    <row r="4778" spans="1:4" hidden="1">
      <c r="A4778">
        <v>0</v>
      </c>
      <c r="C4778">
        <v>2009</v>
      </c>
      <c r="D4778" t="s">
        <v>1433</v>
      </c>
    </row>
    <row r="4779" spans="1:4" hidden="1">
      <c r="A4779">
        <v>3</v>
      </c>
      <c r="C4779">
        <v>2010</v>
      </c>
      <c r="D4779" t="s">
        <v>1433</v>
      </c>
    </row>
    <row r="4780" spans="1:4" hidden="1">
      <c r="A4780">
        <v>3</v>
      </c>
      <c r="C4780">
        <v>2011</v>
      </c>
      <c r="D4780" t="s">
        <v>1433</v>
      </c>
    </row>
    <row r="4781" spans="1:4" hidden="1">
      <c r="A4781">
        <v>3</v>
      </c>
      <c r="C4781">
        <v>2012</v>
      </c>
      <c r="D4781" t="s">
        <v>1433</v>
      </c>
    </row>
    <row r="4782" spans="1:4" hidden="1">
      <c r="A4782">
        <v>3</v>
      </c>
      <c r="C4782">
        <v>2013</v>
      </c>
      <c r="D4782" t="s">
        <v>1433</v>
      </c>
    </row>
    <row r="4783" spans="1:4" hidden="1">
      <c r="A4783">
        <v>3.1</v>
      </c>
      <c r="C4783">
        <v>2014</v>
      </c>
      <c r="D4783" t="s">
        <v>1433</v>
      </c>
    </row>
    <row r="4784" spans="1:4" hidden="1">
      <c r="A4784">
        <v>3.1</v>
      </c>
      <c r="C4784">
        <v>2015</v>
      </c>
      <c r="D4784" t="s">
        <v>1433</v>
      </c>
    </row>
    <row r="4785" spans="1:4" hidden="1">
      <c r="A4785">
        <v>2</v>
      </c>
      <c r="C4785">
        <v>2016</v>
      </c>
      <c r="D4785" t="s">
        <v>1433</v>
      </c>
    </row>
    <row r="4786" spans="1:4" hidden="1">
      <c r="A4786">
        <v>2.5</v>
      </c>
      <c r="C4786">
        <v>2017</v>
      </c>
      <c r="D4786" t="s">
        <v>1433</v>
      </c>
    </row>
    <row r="4787" spans="1:4" hidden="1">
      <c r="A4787">
        <v>2.2999999999999998</v>
      </c>
      <c r="C4787">
        <v>2018</v>
      </c>
      <c r="D4787" t="s">
        <v>1433</v>
      </c>
    </row>
    <row r="4788" spans="1:4" hidden="1">
      <c r="A4788">
        <v>3.2</v>
      </c>
      <c r="C4788">
        <v>2019</v>
      </c>
      <c r="D4788" t="s">
        <v>1433</v>
      </c>
    </row>
    <row r="4789" spans="1:4" hidden="1">
      <c r="A4789">
        <v>0</v>
      </c>
      <c r="C4789">
        <v>2020</v>
      </c>
      <c r="D4789" t="s">
        <v>1433</v>
      </c>
    </row>
    <row r="4790" spans="1:4" hidden="1">
      <c r="A4790">
        <v>0</v>
      </c>
      <c r="C4790">
        <v>2021</v>
      </c>
      <c r="D4790" t="s">
        <v>1433</v>
      </c>
    </row>
    <row r="4791" spans="1:4" hidden="1">
      <c r="A4791">
        <v>0</v>
      </c>
      <c r="C4791">
        <v>2022</v>
      </c>
      <c r="D4791" t="s">
        <v>1433</v>
      </c>
    </row>
    <row r="4792" spans="1:4" hidden="1">
      <c r="A4792">
        <v>33.799999999999997</v>
      </c>
      <c r="B4792">
        <v>2000</v>
      </c>
      <c r="C4792" t="s">
        <v>1433</v>
      </c>
    </row>
    <row r="4793" spans="1:4" hidden="1">
      <c r="A4793">
        <v>34.799999999999997</v>
      </c>
      <c r="B4793">
        <v>2001</v>
      </c>
      <c r="C4793" t="s">
        <v>1433</v>
      </c>
    </row>
    <row r="4794" spans="1:4" hidden="1">
      <c r="A4794">
        <v>35.9</v>
      </c>
      <c r="B4794">
        <v>2002</v>
      </c>
      <c r="C4794" t="s">
        <v>1433</v>
      </c>
    </row>
    <row r="4795" spans="1:4" hidden="1">
      <c r="A4795">
        <v>36.9</v>
      </c>
      <c r="B4795">
        <v>2003</v>
      </c>
      <c r="C4795" t="s">
        <v>1433</v>
      </c>
    </row>
    <row r="4796" spans="1:4" hidden="1">
      <c r="A4796">
        <v>38</v>
      </c>
      <c r="B4796">
        <v>2004</v>
      </c>
      <c r="C4796" t="s">
        <v>1433</v>
      </c>
    </row>
    <row r="4797" spans="1:4" hidden="1">
      <c r="A4797">
        <v>38</v>
      </c>
      <c r="B4797">
        <v>2005</v>
      </c>
      <c r="C4797" t="s">
        <v>1433</v>
      </c>
    </row>
    <row r="4798" spans="1:4" hidden="1">
      <c r="A4798">
        <v>41</v>
      </c>
      <c r="B4798">
        <v>2006</v>
      </c>
      <c r="C4798" t="s">
        <v>1433</v>
      </c>
    </row>
    <row r="4799" spans="1:4" hidden="1">
      <c r="A4799">
        <v>42</v>
      </c>
      <c r="B4799">
        <v>2007</v>
      </c>
      <c r="C4799" t="s">
        <v>1433</v>
      </c>
    </row>
    <row r="4800" spans="1:4" hidden="1">
      <c r="A4800">
        <v>45</v>
      </c>
      <c r="B4800">
        <v>2008</v>
      </c>
      <c r="C4800" t="s">
        <v>1433</v>
      </c>
    </row>
    <row r="4801" spans="1:3" hidden="1">
      <c r="A4801">
        <v>42</v>
      </c>
      <c r="B4801">
        <v>2009</v>
      </c>
      <c r="C4801" t="s">
        <v>1433</v>
      </c>
    </row>
    <row r="4802" spans="1:3" hidden="1">
      <c r="A4802">
        <v>211.6</v>
      </c>
      <c r="B4802">
        <v>2010</v>
      </c>
      <c r="C4802" t="s">
        <v>1433</v>
      </c>
    </row>
    <row r="4803" spans="1:3" hidden="1">
      <c r="A4803">
        <v>217.5</v>
      </c>
      <c r="B4803">
        <v>2011</v>
      </c>
      <c r="C4803" t="s">
        <v>1433</v>
      </c>
    </row>
    <row r="4804" spans="1:3" hidden="1">
      <c r="A4804">
        <v>211.4</v>
      </c>
      <c r="B4804">
        <v>2012</v>
      </c>
      <c r="C4804" t="s">
        <v>1433</v>
      </c>
    </row>
    <row r="4805" spans="1:3" hidden="1">
      <c r="A4805">
        <v>207</v>
      </c>
      <c r="B4805">
        <v>2013</v>
      </c>
      <c r="C4805" t="s">
        <v>1433</v>
      </c>
    </row>
    <row r="4806" spans="1:3" hidden="1">
      <c r="A4806">
        <v>209</v>
      </c>
      <c r="B4806">
        <v>2014</v>
      </c>
      <c r="C4806" t="s">
        <v>1433</v>
      </c>
    </row>
    <row r="4807" spans="1:3" hidden="1">
      <c r="A4807">
        <v>217.1</v>
      </c>
      <c r="B4807">
        <v>2015</v>
      </c>
      <c r="C4807" t="s">
        <v>1433</v>
      </c>
    </row>
    <row r="4808" spans="1:3" hidden="1">
      <c r="A4808">
        <v>212.3</v>
      </c>
      <c r="B4808">
        <v>2016</v>
      </c>
      <c r="C4808" t="s">
        <v>1433</v>
      </c>
    </row>
    <row r="4809" spans="1:3" hidden="1">
      <c r="A4809">
        <v>223.2</v>
      </c>
      <c r="B4809">
        <v>2017</v>
      </c>
      <c r="C4809" t="s">
        <v>1433</v>
      </c>
    </row>
    <row r="4810" spans="1:3" hidden="1">
      <c r="A4810">
        <v>235.4</v>
      </c>
      <c r="B4810">
        <v>2018</v>
      </c>
      <c r="C4810" t="s">
        <v>1433</v>
      </c>
    </row>
    <row r="4811" spans="1:3" hidden="1">
      <c r="A4811">
        <v>230.3</v>
      </c>
      <c r="B4811">
        <v>2019</v>
      </c>
      <c r="C4811" t="s">
        <v>1433</v>
      </c>
    </row>
    <row r="4812" spans="1:3" hidden="1">
      <c r="A4812">
        <v>138.80000000000001</v>
      </c>
      <c r="B4812">
        <v>2020</v>
      </c>
      <c r="C4812" t="s">
        <v>1433</v>
      </c>
    </row>
    <row r="4813" spans="1:3" hidden="1">
      <c r="A4813">
        <v>140.1</v>
      </c>
      <c r="B4813">
        <v>2021</v>
      </c>
      <c r="C4813" t="s">
        <v>1433</v>
      </c>
    </row>
    <row r="4814" spans="1:3" hidden="1">
      <c r="A4814">
        <v>0</v>
      </c>
      <c r="B4814">
        <v>2022</v>
      </c>
      <c r="C4814" t="s">
        <v>1433</v>
      </c>
    </row>
  </sheetData>
  <autoFilter ref="A8:F4814" xr:uid="{8E977EF7-D050-40D4-AC34-28942F573B6F}">
    <filterColumn colId="5">
      <filters>
        <filter val="Austria"/>
        <filter val="Belgium"/>
        <filter val="Bulgaria"/>
        <filter val="Croatia"/>
        <filter val="Cyprus"/>
        <filter val="Czechia"/>
        <filter val="Denmark"/>
        <filter val="Estonia"/>
        <filter val="Finland"/>
        <filter val="France"/>
        <filter val="Germany"/>
        <filter val="Greece"/>
        <filter val="Hungary"/>
        <filter val="Ireland"/>
        <filter val="Italy"/>
        <filter val="Latvia"/>
        <filter val="Lithuania"/>
        <filter val="Luxembourg"/>
        <filter val="Malta"/>
        <filter val="Netherlands"/>
        <filter val="Poland"/>
        <filter val="Portugal"/>
        <filter val="Romania"/>
        <filter val="Slovakia"/>
        <filter val="Slovenia"/>
        <filter val="Spain"/>
        <filter val="Sweden"/>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683AB-C55B-4D89-A09B-7891FF1B20EB}">
  <sheetPr>
    <tabColor theme="7" tint="0.59999389629810485"/>
  </sheetPr>
  <dimension ref="A1:J11"/>
  <sheetViews>
    <sheetView workbookViewId="0">
      <selection sqref="A1:J11"/>
    </sheetView>
  </sheetViews>
  <sheetFormatPr defaultRowHeight="15"/>
  <sheetData>
    <row r="1" spans="1:10" ht="14.45" customHeight="1">
      <c r="A1" s="62" t="s">
        <v>304</v>
      </c>
      <c r="B1" s="62"/>
      <c r="C1" s="62"/>
      <c r="D1" s="62"/>
      <c r="E1" s="62"/>
      <c r="F1" s="62"/>
      <c r="G1" s="62"/>
      <c r="H1" s="62"/>
      <c r="I1" s="62"/>
      <c r="J1" s="62"/>
    </row>
    <row r="2" spans="1:10">
      <c r="A2" s="62"/>
      <c r="B2" s="62"/>
      <c r="C2" s="62"/>
      <c r="D2" s="62"/>
      <c r="E2" s="62"/>
      <c r="F2" s="62"/>
      <c r="G2" s="62"/>
      <c r="H2" s="62"/>
      <c r="I2" s="62"/>
      <c r="J2" s="62"/>
    </row>
    <row r="3" spans="1:10">
      <c r="A3" s="62"/>
      <c r="B3" s="62"/>
      <c r="C3" s="62"/>
      <c r="D3" s="62"/>
      <c r="E3" s="62"/>
      <c r="F3" s="62"/>
      <c r="G3" s="62"/>
      <c r="H3" s="62"/>
      <c r="I3" s="62"/>
      <c r="J3" s="62"/>
    </row>
    <row r="4" spans="1:10">
      <c r="A4" s="62"/>
      <c r="B4" s="62"/>
      <c r="C4" s="62"/>
      <c r="D4" s="62"/>
      <c r="E4" s="62"/>
      <c r="F4" s="62"/>
      <c r="G4" s="62"/>
      <c r="H4" s="62"/>
      <c r="I4" s="62"/>
      <c r="J4" s="62"/>
    </row>
    <row r="5" spans="1:10">
      <c r="A5" s="62"/>
      <c r="B5" s="62"/>
      <c r="C5" s="62"/>
      <c r="D5" s="62"/>
      <c r="E5" s="62"/>
      <c r="F5" s="62"/>
      <c r="G5" s="62"/>
      <c r="H5" s="62"/>
      <c r="I5" s="62"/>
      <c r="J5" s="62"/>
    </row>
    <row r="6" spans="1:10">
      <c r="A6" s="62"/>
      <c r="B6" s="62"/>
      <c r="C6" s="62"/>
      <c r="D6" s="62"/>
      <c r="E6" s="62"/>
      <c r="F6" s="62"/>
      <c r="G6" s="62"/>
      <c r="H6" s="62"/>
      <c r="I6" s="62"/>
      <c r="J6" s="62"/>
    </row>
    <row r="7" spans="1:10">
      <c r="A7" s="62"/>
      <c r="B7" s="62"/>
      <c r="C7" s="62"/>
      <c r="D7" s="62"/>
      <c r="E7" s="62"/>
      <c r="F7" s="62"/>
      <c r="G7" s="62"/>
      <c r="H7" s="62"/>
      <c r="I7" s="62"/>
      <c r="J7" s="62"/>
    </row>
    <row r="8" spans="1:10">
      <c r="A8" s="62"/>
      <c r="B8" s="62"/>
      <c r="C8" s="62"/>
      <c r="D8" s="62"/>
      <c r="E8" s="62"/>
      <c r="F8" s="62"/>
      <c r="G8" s="62"/>
      <c r="H8" s="62"/>
      <c r="I8" s="62"/>
      <c r="J8" s="62"/>
    </row>
    <row r="9" spans="1:10">
      <c r="A9" s="62"/>
      <c r="B9" s="62"/>
      <c r="C9" s="62"/>
      <c r="D9" s="62"/>
      <c r="E9" s="62"/>
      <c r="F9" s="62"/>
      <c r="G9" s="62"/>
      <c r="H9" s="62"/>
      <c r="I9" s="62"/>
      <c r="J9" s="62"/>
    </row>
    <row r="10" spans="1:10">
      <c r="A10" s="62"/>
      <c r="B10" s="62"/>
      <c r="C10" s="62"/>
      <c r="D10" s="62"/>
      <c r="E10" s="62"/>
      <c r="F10" s="62"/>
      <c r="G10" s="62"/>
      <c r="H10" s="62"/>
      <c r="I10" s="62"/>
      <c r="J10" s="62"/>
    </row>
    <row r="11" spans="1:10">
      <c r="A11" s="62"/>
      <c r="B11" s="62"/>
      <c r="C11" s="62"/>
      <c r="D11" s="62"/>
      <c r="E11" s="62"/>
      <c r="F11" s="62"/>
      <c r="G11" s="62"/>
      <c r="H11" s="62"/>
      <c r="I11" s="62"/>
      <c r="J11" s="62"/>
    </row>
  </sheetData>
  <mergeCells count="1">
    <mergeCell ref="A1:J1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F322-CA0C-4FE3-978A-1942953222F6}">
  <sheetPr filterMode="1">
    <tabColor theme="7" tint="0.59999389629810485"/>
  </sheetPr>
  <dimension ref="A1:K173"/>
  <sheetViews>
    <sheetView workbookViewId="0">
      <selection activeCell="C120" sqref="C120"/>
    </sheetView>
  </sheetViews>
  <sheetFormatPr defaultRowHeight="15"/>
  <cols>
    <col min="1" max="1" width="33.42578125" bestFit="1" customWidth="1"/>
    <col min="2" max="8" width="20.7109375" customWidth="1"/>
    <col min="9" max="9" width="25.85546875" style="43" customWidth="1"/>
    <col min="10" max="10" width="10.7109375" customWidth="1"/>
    <col min="11" max="11" width="13" customWidth="1"/>
  </cols>
  <sheetData>
    <row r="1" spans="1:11" ht="45.75" thickBot="1">
      <c r="A1" s="9" t="s">
        <v>0</v>
      </c>
      <c r="B1" s="10" t="s">
        <v>1</v>
      </c>
      <c r="C1" s="10" t="s">
        <v>2</v>
      </c>
      <c r="D1" s="10" t="s">
        <v>3</v>
      </c>
      <c r="E1" s="10" t="s">
        <v>4</v>
      </c>
      <c r="F1" s="10" t="s">
        <v>5</v>
      </c>
      <c r="G1" s="10" t="s">
        <v>6</v>
      </c>
      <c r="H1" s="10" t="s">
        <v>7</v>
      </c>
      <c r="I1" s="10" t="s">
        <v>1409</v>
      </c>
      <c r="J1" s="47" t="s">
        <v>1410</v>
      </c>
      <c r="K1" s="47" t="s">
        <v>1411</v>
      </c>
    </row>
    <row r="2" spans="1:11" hidden="1">
      <c r="A2" s="1" t="s">
        <v>8</v>
      </c>
      <c r="B2" s="2" t="s">
        <v>9</v>
      </c>
      <c r="C2" s="3">
        <v>100</v>
      </c>
      <c r="D2" s="3">
        <v>0</v>
      </c>
      <c r="E2" s="3">
        <v>265.27999999999997</v>
      </c>
      <c r="F2" s="3">
        <v>265.27999999999997</v>
      </c>
      <c r="G2" s="3">
        <v>265.27999999999997</v>
      </c>
      <c r="H2" s="3">
        <v>265.27999999999997</v>
      </c>
      <c r="I2" s="3"/>
    </row>
    <row r="3" spans="1:11" hidden="1">
      <c r="A3" s="1" t="s">
        <v>10</v>
      </c>
      <c r="B3" s="2" t="s">
        <v>11</v>
      </c>
      <c r="C3" s="3">
        <v>97</v>
      </c>
      <c r="D3" s="3">
        <v>1</v>
      </c>
      <c r="E3" s="3">
        <v>0</v>
      </c>
      <c r="F3" s="3">
        <v>9327.9599999999991</v>
      </c>
      <c r="G3" s="3">
        <v>0</v>
      </c>
      <c r="H3" s="3">
        <v>1061522.06</v>
      </c>
      <c r="I3" s="3"/>
    </row>
    <row r="4" spans="1:11" hidden="1">
      <c r="A4" s="1" t="s">
        <v>12</v>
      </c>
      <c r="B4" s="2" t="s">
        <v>13</v>
      </c>
      <c r="C4" s="3">
        <v>14368.8</v>
      </c>
      <c r="D4" s="3">
        <v>0.68</v>
      </c>
      <c r="E4" s="3">
        <v>6444718.8499999996</v>
      </c>
      <c r="F4" s="3">
        <v>6725831.8799999999</v>
      </c>
      <c r="G4" s="3">
        <v>8032545.5800000001</v>
      </c>
      <c r="H4" s="3">
        <v>8313658.5999999996</v>
      </c>
      <c r="I4" s="3"/>
    </row>
    <row r="5" spans="1:11" hidden="1">
      <c r="A5" s="1" t="s">
        <v>14</v>
      </c>
      <c r="B5" s="2" t="s">
        <v>15</v>
      </c>
      <c r="C5" s="3">
        <v>404</v>
      </c>
      <c r="D5" s="3">
        <v>1</v>
      </c>
      <c r="E5" s="3">
        <v>0</v>
      </c>
      <c r="F5" s="3">
        <v>2218845.63</v>
      </c>
      <c r="G5" s="3">
        <v>0</v>
      </c>
      <c r="H5" s="3">
        <v>70487518.489999995</v>
      </c>
      <c r="I5" s="3"/>
    </row>
    <row r="6" spans="1:11" hidden="1">
      <c r="A6" s="1" t="s">
        <v>16</v>
      </c>
      <c r="B6" s="2" t="s">
        <v>17</v>
      </c>
      <c r="C6" s="3">
        <v>19098.41</v>
      </c>
      <c r="D6" s="3">
        <v>0.41</v>
      </c>
      <c r="E6" s="3">
        <v>60712580.890000001</v>
      </c>
      <c r="F6" s="3">
        <v>139338450.56999999</v>
      </c>
      <c r="G6" s="3">
        <v>2666335487.6399999</v>
      </c>
      <c r="H6" s="3">
        <v>3117535451.4499998</v>
      </c>
      <c r="I6" s="3"/>
    </row>
    <row r="7" spans="1:11" hidden="1">
      <c r="A7" s="1" t="s">
        <v>18</v>
      </c>
      <c r="B7" s="2" t="s">
        <v>19</v>
      </c>
      <c r="C7" s="3">
        <v>2257.9</v>
      </c>
      <c r="D7" s="3">
        <v>0</v>
      </c>
      <c r="E7" s="3">
        <v>13186842.85</v>
      </c>
      <c r="F7" s="3">
        <v>13186842.85</v>
      </c>
      <c r="G7" s="3">
        <v>20061132.789999999</v>
      </c>
      <c r="H7" s="3">
        <v>20061132.789999999</v>
      </c>
      <c r="I7" s="3"/>
    </row>
    <row r="8" spans="1:11" hidden="1">
      <c r="A8" s="4" t="s">
        <v>20</v>
      </c>
      <c r="B8" s="5" t="s">
        <v>21</v>
      </c>
      <c r="C8" s="6">
        <v>45749.68</v>
      </c>
      <c r="D8" s="6">
        <v>0.35</v>
      </c>
      <c r="E8" s="7">
        <v>255278378.03</v>
      </c>
      <c r="F8" s="7">
        <v>378247875.52999997</v>
      </c>
      <c r="G8" s="6">
        <v>2329541106.0700002</v>
      </c>
      <c r="H8" s="6">
        <v>2486905600.6399999</v>
      </c>
      <c r="I8" s="3"/>
    </row>
    <row r="9" spans="1:11">
      <c r="A9" s="1" t="s">
        <v>22</v>
      </c>
      <c r="B9" s="2" t="s">
        <v>23</v>
      </c>
      <c r="C9" s="3">
        <v>7483.4</v>
      </c>
      <c r="D9" s="3">
        <v>0</v>
      </c>
      <c r="E9" s="3">
        <v>23716477.920000002</v>
      </c>
      <c r="F9" s="3">
        <v>23716477.920000002</v>
      </c>
      <c r="G9" s="3">
        <v>1121264299.73</v>
      </c>
      <c r="H9" s="3">
        <v>1121264299.73</v>
      </c>
      <c r="I9" s="44">
        <f>F9/H9</f>
        <v>2.115155001876981E-2</v>
      </c>
      <c r="J9">
        <f>H9/1000000</f>
        <v>1121.2642997299999</v>
      </c>
      <c r="K9">
        <f>F9/1000000</f>
        <v>23.716477920000003</v>
      </c>
    </row>
    <row r="10" spans="1:11" hidden="1">
      <c r="A10" s="1" t="s">
        <v>24</v>
      </c>
      <c r="B10" s="2" t="s">
        <v>25</v>
      </c>
      <c r="C10" s="3">
        <v>6183.9</v>
      </c>
      <c r="D10" s="3">
        <v>0.23</v>
      </c>
      <c r="E10" s="3">
        <v>5101961.82</v>
      </c>
      <c r="F10" s="3">
        <v>6570539.0800000001</v>
      </c>
      <c r="G10" s="3">
        <v>588706115.80999994</v>
      </c>
      <c r="H10" s="3">
        <v>624953524.63999999</v>
      </c>
      <c r="I10" s="3"/>
    </row>
    <row r="11" spans="1:11" hidden="1">
      <c r="A11" s="1" t="s">
        <v>26</v>
      </c>
      <c r="B11" s="2" t="s">
        <v>27</v>
      </c>
      <c r="C11" s="3">
        <v>403.8</v>
      </c>
      <c r="D11" s="3">
        <v>1</v>
      </c>
      <c r="E11" s="3">
        <v>0</v>
      </c>
      <c r="F11" s="3">
        <v>1377194.36</v>
      </c>
      <c r="G11" s="3">
        <v>0</v>
      </c>
      <c r="H11" s="3">
        <v>97288756.689999998</v>
      </c>
      <c r="I11" s="7"/>
    </row>
    <row r="12" spans="1:11" hidden="1">
      <c r="A12" s="1" t="s">
        <v>28</v>
      </c>
      <c r="B12" s="2" t="s">
        <v>29</v>
      </c>
      <c r="C12" s="3">
        <v>5394</v>
      </c>
      <c r="D12" s="3">
        <v>1</v>
      </c>
      <c r="E12" s="3">
        <v>0</v>
      </c>
      <c r="F12" s="3">
        <v>18215139.129999999</v>
      </c>
      <c r="G12" s="3">
        <v>0</v>
      </c>
      <c r="H12" s="3">
        <v>552631727.58000004</v>
      </c>
      <c r="I12" s="6"/>
    </row>
    <row r="13" spans="1:11" hidden="1">
      <c r="A13" s="1" t="s">
        <v>30</v>
      </c>
      <c r="B13" s="2" t="s">
        <v>31</v>
      </c>
      <c r="C13" s="3">
        <v>8177.7</v>
      </c>
      <c r="D13" s="3">
        <v>0.08</v>
      </c>
      <c r="E13" s="3">
        <v>64002986.579999998</v>
      </c>
      <c r="F13" s="3">
        <v>70266995.709999993</v>
      </c>
      <c r="G13" s="3">
        <v>1346434015.3900001</v>
      </c>
      <c r="H13" s="3">
        <v>1517613676.8299999</v>
      </c>
      <c r="I13" s="3"/>
    </row>
    <row r="14" spans="1:11" hidden="1">
      <c r="A14" s="1" t="s">
        <v>32</v>
      </c>
      <c r="B14" s="2" t="s">
        <v>33</v>
      </c>
      <c r="C14" s="3">
        <v>285.39999999999998</v>
      </c>
      <c r="D14" s="3">
        <v>1</v>
      </c>
      <c r="E14" s="3">
        <v>0</v>
      </c>
      <c r="F14" s="3">
        <v>2837642.45</v>
      </c>
      <c r="G14" s="3">
        <v>0</v>
      </c>
      <c r="H14" s="3">
        <v>4132789.19</v>
      </c>
      <c r="I14" s="3"/>
    </row>
    <row r="15" spans="1:11" hidden="1">
      <c r="A15" s="1" t="s">
        <v>34</v>
      </c>
      <c r="B15" s="2" t="s">
        <v>35</v>
      </c>
      <c r="C15" s="3">
        <v>8596.01</v>
      </c>
      <c r="D15" s="3">
        <v>0</v>
      </c>
      <c r="E15" s="3">
        <v>57177918.68</v>
      </c>
      <c r="F15" s="3">
        <v>57177918.68</v>
      </c>
      <c r="G15" s="3">
        <v>1703645542.9100001</v>
      </c>
      <c r="H15" s="3">
        <v>1703645542.9100001</v>
      </c>
      <c r="I15" s="3"/>
    </row>
    <row r="16" spans="1:11">
      <c r="A16" s="1" t="s">
        <v>36</v>
      </c>
      <c r="B16" s="2" t="s">
        <v>37</v>
      </c>
      <c r="C16" s="3">
        <v>12111</v>
      </c>
      <c r="D16" s="3">
        <v>0.35</v>
      </c>
      <c r="E16" s="3">
        <v>69115201.609999999</v>
      </c>
      <c r="F16" s="3">
        <v>115585583.45999999</v>
      </c>
      <c r="G16" s="3">
        <v>172683277.81</v>
      </c>
      <c r="H16" s="3">
        <v>246490623.22</v>
      </c>
      <c r="I16" s="44">
        <f>F16/H16</f>
        <v>0.46892487004195904</v>
      </c>
      <c r="J16">
        <f>H16/1000000</f>
        <v>246.49062322</v>
      </c>
      <c r="K16">
        <f>F16/1000000</f>
        <v>115.58558346</v>
      </c>
    </row>
    <row r="17" spans="1:11" hidden="1">
      <c r="A17" s="1" t="s">
        <v>38</v>
      </c>
      <c r="B17" s="2" t="s">
        <v>39</v>
      </c>
      <c r="C17" s="3">
        <v>1129.18</v>
      </c>
      <c r="D17" s="3">
        <v>0</v>
      </c>
      <c r="E17" s="3">
        <v>2620947.17</v>
      </c>
      <c r="F17" s="3">
        <v>2620947.17</v>
      </c>
      <c r="G17" s="3">
        <v>3258512.55</v>
      </c>
      <c r="H17" s="3">
        <v>3258512.55</v>
      </c>
      <c r="I17" s="3"/>
    </row>
    <row r="18" spans="1:11" hidden="1">
      <c r="A18" s="1" t="s">
        <v>40</v>
      </c>
      <c r="B18" s="2" t="s">
        <v>41</v>
      </c>
      <c r="C18" s="3">
        <v>1765</v>
      </c>
      <c r="D18" s="3">
        <v>0</v>
      </c>
      <c r="E18" s="3">
        <v>19313083.239999998</v>
      </c>
      <c r="F18" s="3">
        <v>19313083.239999998</v>
      </c>
      <c r="G18" s="3">
        <v>23667598.870000001</v>
      </c>
      <c r="H18" s="3">
        <v>23667598.870000001</v>
      </c>
      <c r="I18" s="3"/>
    </row>
    <row r="19" spans="1:11" hidden="1">
      <c r="A19" s="1" t="s">
        <v>42</v>
      </c>
      <c r="B19" s="2" t="s">
        <v>43</v>
      </c>
      <c r="C19" s="3">
        <v>742</v>
      </c>
      <c r="D19" s="3">
        <v>0</v>
      </c>
      <c r="E19" s="3">
        <v>7904411.4699999997</v>
      </c>
      <c r="F19" s="3">
        <v>7904411.4699999997</v>
      </c>
      <c r="G19" s="3">
        <v>9711867.4100000001</v>
      </c>
      <c r="H19" s="3">
        <v>9711867.4100000001</v>
      </c>
      <c r="I19" s="3"/>
    </row>
    <row r="20" spans="1:11" hidden="1">
      <c r="A20" s="1" t="s">
        <v>44</v>
      </c>
      <c r="B20" s="2" t="s">
        <v>45</v>
      </c>
      <c r="C20" s="3">
        <v>24349.72</v>
      </c>
      <c r="D20" s="3">
        <v>0.62</v>
      </c>
      <c r="E20" s="3">
        <v>50134439.990000002</v>
      </c>
      <c r="F20" s="3">
        <v>130826939.65000001</v>
      </c>
      <c r="G20" s="3">
        <v>373134506.70999998</v>
      </c>
      <c r="H20" s="3">
        <v>3714444969.4099998</v>
      </c>
      <c r="I20" s="3"/>
    </row>
    <row r="21" spans="1:11" hidden="1">
      <c r="A21" s="1" t="s">
        <v>46</v>
      </c>
      <c r="B21" s="2" t="s">
        <v>47</v>
      </c>
      <c r="C21" s="3">
        <v>876</v>
      </c>
      <c r="D21" s="3">
        <v>1</v>
      </c>
      <c r="E21" s="3">
        <v>0</v>
      </c>
      <c r="F21" s="3">
        <v>9712876.75</v>
      </c>
      <c r="G21" s="3">
        <v>0</v>
      </c>
      <c r="H21" s="3">
        <v>13883653.630000001</v>
      </c>
      <c r="I21" s="3"/>
    </row>
    <row r="22" spans="1:11">
      <c r="A22" s="1" t="s">
        <v>48</v>
      </c>
      <c r="B22" s="2" t="s">
        <v>49</v>
      </c>
      <c r="C22" s="3">
        <v>8007.18</v>
      </c>
      <c r="D22" s="3">
        <v>0.03</v>
      </c>
      <c r="E22" s="3">
        <v>58187097.390000001</v>
      </c>
      <c r="F22" s="3">
        <v>59269781.899999999</v>
      </c>
      <c r="G22" s="3">
        <v>2845245482.6999998</v>
      </c>
      <c r="H22" s="3">
        <v>2846822322.2399998</v>
      </c>
      <c r="I22" s="45">
        <f>F22/H22</f>
        <v>2.0819628059317745E-2</v>
      </c>
      <c r="J22">
        <f>H22/1000000</f>
        <v>2846.8223222399997</v>
      </c>
      <c r="K22">
        <f>F22/1000000</f>
        <v>59.269781899999998</v>
      </c>
    </row>
    <row r="23" spans="1:11" hidden="1">
      <c r="A23" s="1" t="s">
        <v>50</v>
      </c>
      <c r="B23" s="2" t="s">
        <v>51</v>
      </c>
      <c r="C23" s="3">
        <v>100</v>
      </c>
      <c r="D23" s="3">
        <v>1</v>
      </c>
      <c r="E23" s="3">
        <v>0</v>
      </c>
      <c r="F23" s="3">
        <v>355974.66</v>
      </c>
      <c r="G23" s="3">
        <v>0</v>
      </c>
      <c r="H23" s="3">
        <v>85333110.670000002</v>
      </c>
      <c r="I23" s="3"/>
    </row>
    <row r="24" spans="1:11" hidden="1">
      <c r="A24" s="1" t="s">
        <v>52</v>
      </c>
      <c r="B24" s="2" t="s">
        <v>53</v>
      </c>
      <c r="C24" s="3">
        <v>449.5</v>
      </c>
      <c r="D24" s="3">
        <v>0.87</v>
      </c>
      <c r="E24" s="3">
        <v>1595.67</v>
      </c>
      <c r="F24" s="3">
        <v>17210.099999999999</v>
      </c>
      <c r="G24" s="3">
        <v>1595.67</v>
      </c>
      <c r="H24" s="3">
        <v>17210.099999999999</v>
      </c>
      <c r="I24" s="3"/>
    </row>
    <row r="25" spans="1:11" hidden="1">
      <c r="A25" s="4" t="s">
        <v>54</v>
      </c>
      <c r="B25" s="5" t="s">
        <v>55</v>
      </c>
      <c r="C25" s="6">
        <v>47303.06</v>
      </c>
      <c r="D25" s="6">
        <v>0.15</v>
      </c>
      <c r="E25" s="6">
        <v>171047036.03999999</v>
      </c>
      <c r="F25" s="6">
        <v>187229970.75</v>
      </c>
      <c r="G25" s="7">
        <v>21876899955.439999</v>
      </c>
      <c r="H25" s="7">
        <v>23663637519.650002</v>
      </c>
      <c r="I25" s="3"/>
    </row>
    <row r="26" spans="1:11" hidden="1">
      <c r="A26" s="1" t="s">
        <v>56</v>
      </c>
      <c r="B26" s="2" t="s">
        <v>57</v>
      </c>
      <c r="C26" s="3">
        <v>52.75</v>
      </c>
      <c r="D26" s="3">
        <v>1</v>
      </c>
      <c r="E26" s="3">
        <v>0</v>
      </c>
      <c r="F26" s="3">
        <v>152390.31</v>
      </c>
      <c r="G26" s="3">
        <v>0</v>
      </c>
      <c r="H26" s="3">
        <v>22223587.379999999</v>
      </c>
      <c r="I26" s="3"/>
    </row>
    <row r="27" spans="1:11" hidden="1">
      <c r="A27" s="1" t="s">
        <v>58</v>
      </c>
      <c r="B27" s="2" t="s">
        <v>59</v>
      </c>
      <c r="C27" s="3">
        <v>11566.44</v>
      </c>
      <c r="D27" s="3">
        <v>0.77</v>
      </c>
      <c r="E27" s="3">
        <v>5177368.96</v>
      </c>
      <c r="F27" s="3">
        <v>25069582.559999999</v>
      </c>
      <c r="G27" s="3">
        <v>131479370.01000001</v>
      </c>
      <c r="H27" s="3">
        <v>2899039753.3499999</v>
      </c>
      <c r="I27" s="6"/>
    </row>
    <row r="28" spans="1:11" hidden="1">
      <c r="A28" s="4" t="s">
        <v>60</v>
      </c>
      <c r="B28" s="5" t="s">
        <v>61</v>
      </c>
      <c r="C28" s="6">
        <v>922340.2</v>
      </c>
      <c r="D28" s="6">
        <v>0.22</v>
      </c>
      <c r="E28" s="8">
        <v>5615624203.3699999</v>
      </c>
      <c r="F28" s="8">
        <v>6349810546.8100004</v>
      </c>
      <c r="G28" s="7">
        <v>42115058588</v>
      </c>
      <c r="H28" s="7">
        <v>56473869340.169998</v>
      </c>
      <c r="I28" s="3"/>
    </row>
    <row r="29" spans="1:11" ht="15.75" hidden="1" thickBot="1">
      <c r="A29" s="1" t="s">
        <v>62</v>
      </c>
      <c r="B29" s="2" t="s">
        <v>63</v>
      </c>
      <c r="C29" s="3">
        <v>6847</v>
      </c>
      <c r="D29" s="3">
        <v>0.4</v>
      </c>
      <c r="E29" s="3">
        <v>16813845.890000001</v>
      </c>
      <c r="F29" s="3">
        <v>25342441.449999999</v>
      </c>
      <c r="G29" s="3">
        <v>502535180.22000003</v>
      </c>
      <c r="H29" s="3">
        <v>965260289.38</v>
      </c>
      <c r="I29" s="10"/>
    </row>
    <row r="30" spans="1:11" hidden="1">
      <c r="A30" s="1" t="s">
        <v>64</v>
      </c>
      <c r="B30" s="2" t="s">
        <v>65</v>
      </c>
      <c r="C30" s="3">
        <v>292.2</v>
      </c>
      <c r="D30" s="3">
        <v>1</v>
      </c>
      <c r="E30" s="3">
        <v>0</v>
      </c>
      <c r="F30" s="3">
        <v>2529760.63</v>
      </c>
      <c r="G30" s="3">
        <v>0</v>
      </c>
      <c r="H30" s="3">
        <v>3162200.78</v>
      </c>
      <c r="I30" s="3"/>
    </row>
    <row r="31" spans="1:11" hidden="1">
      <c r="A31" s="1" t="s">
        <v>66</v>
      </c>
      <c r="B31" s="2" t="s">
        <v>67</v>
      </c>
      <c r="C31" s="3">
        <v>431</v>
      </c>
      <c r="D31" s="3">
        <v>1</v>
      </c>
      <c r="E31" s="3">
        <v>0</v>
      </c>
      <c r="F31" s="3">
        <v>414318.69</v>
      </c>
      <c r="G31" s="3">
        <v>0</v>
      </c>
      <c r="H31" s="3">
        <v>59410314.630000003</v>
      </c>
      <c r="I31" s="3"/>
    </row>
    <row r="32" spans="1:11">
      <c r="A32" s="1" t="s">
        <v>68</v>
      </c>
      <c r="B32" s="2" t="s">
        <v>69</v>
      </c>
      <c r="C32" s="3">
        <v>1895.8</v>
      </c>
      <c r="D32" s="3">
        <v>0.34</v>
      </c>
      <c r="E32" s="3">
        <v>499631.38</v>
      </c>
      <c r="F32" s="3">
        <v>1425337.02</v>
      </c>
      <c r="G32" s="3">
        <v>35851621.909999996</v>
      </c>
      <c r="H32" s="3">
        <v>250825123.43000001</v>
      </c>
      <c r="I32" s="44">
        <f>F32/H32</f>
        <v>5.6825927184195385E-3</v>
      </c>
      <c r="J32">
        <f>H32/1000000</f>
        <v>250.82512343000002</v>
      </c>
      <c r="K32">
        <f>F32/1000000</f>
        <v>1.42533702</v>
      </c>
    </row>
    <row r="33" spans="1:11" hidden="1">
      <c r="A33" s="1" t="s">
        <v>70</v>
      </c>
      <c r="B33" s="2" t="s">
        <v>71</v>
      </c>
      <c r="C33" s="3">
        <v>4346.2</v>
      </c>
      <c r="D33" s="3">
        <v>0.9</v>
      </c>
      <c r="E33" s="3">
        <v>1300012.1499999999</v>
      </c>
      <c r="F33" s="3">
        <v>12587584.140000001</v>
      </c>
      <c r="G33" s="3">
        <v>189585105.59</v>
      </c>
      <c r="H33" s="3">
        <v>1778894907</v>
      </c>
      <c r="I33" s="3"/>
    </row>
    <row r="34" spans="1:11">
      <c r="A34" s="1" t="s">
        <v>72</v>
      </c>
      <c r="B34" s="2" t="s">
        <v>73</v>
      </c>
      <c r="C34" s="3">
        <v>1375.3</v>
      </c>
      <c r="D34" s="3">
        <v>1</v>
      </c>
      <c r="E34" s="3">
        <v>0</v>
      </c>
      <c r="F34" s="3">
        <v>1129823.5900000001</v>
      </c>
      <c r="G34" s="3">
        <v>0</v>
      </c>
      <c r="H34" s="3">
        <v>140189075.02000001</v>
      </c>
      <c r="I34" s="44">
        <f t="shared" ref="I34:I36" si="0">F34/H34</f>
        <v>8.0592841477755261E-3</v>
      </c>
      <c r="J34">
        <f t="shared" ref="J34:J36" si="1">H34/1000000</f>
        <v>140.18907502000002</v>
      </c>
      <c r="K34">
        <f t="shared" ref="K34:K36" si="2">F34/1000000</f>
        <v>1.12982359</v>
      </c>
    </row>
    <row r="35" spans="1:11">
      <c r="A35" s="1" t="s">
        <v>74</v>
      </c>
      <c r="B35" s="2" t="s">
        <v>75</v>
      </c>
      <c r="C35" s="3">
        <v>15424.62</v>
      </c>
      <c r="D35" s="3">
        <v>0</v>
      </c>
      <c r="E35" s="3">
        <v>142138569.18000001</v>
      </c>
      <c r="F35" s="3">
        <v>142138569.18000001</v>
      </c>
      <c r="G35" s="3">
        <v>244942977.31999999</v>
      </c>
      <c r="H35" s="3">
        <v>244942977.31999999</v>
      </c>
      <c r="I35" s="44">
        <f t="shared" si="0"/>
        <v>0.58029248576621328</v>
      </c>
      <c r="J35">
        <f t="shared" si="1"/>
        <v>244.94297731999998</v>
      </c>
      <c r="K35">
        <f t="shared" si="2"/>
        <v>142.13856918000002</v>
      </c>
    </row>
    <row r="36" spans="1:11">
      <c r="A36" s="1" t="s">
        <v>76</v>
      </c>
      <c r="B36" s="2" t="s">
        <v>77</v>
      </c>
      <c r="C36" s="3">
        <v>6792.79</v>
      </c>
      <c r="D36" s="3">
        <v>0.99</v>
      </c>
      <c r="E36" s="3">
        <v>350.04</v>
      </c>
      <c r="F36" s="3">
        <v>4924215.38</v>
      </c>
      <c r="G36" s="3">
        <v>350.04</v>
      </c>
      <c r="H36" s="3">
        <v>1144283108.8699999</v>
      </c>
      <c r="I36" s="44">
        <f t="shared" si="0"/>
        <v>4.3033191190445441E-3</v>
      </c>
      <c r="J36">
        <f t="shared" si="1"/>
        <v>1144.28310887</v>
      </c>
      <c r="K36">
        <f t="shared" si="2"/>
        <v>4.9242153799999997</v>
      </c>
    </row>
    <row r="37" spans="1:11" hidden="1">
      <c r="A37" s="1" t="s">
        <v>78</v>
      </c>
      <c r="B37" s="2" t="s">
        <v>79</v>
      </c>
      <c r="C37" s="3">
        <v>82</v>
      </c>
      <c r="D37" s="3">
        <v>1</v>
      </c>
      <c r="E37" s="3">
        <v>0</v>
      </c>
      <c r="F37" s="3">
        <v>1772098.81</v>
      </c>
      <c r="G37" s="3">
        <v>0</v>
      </c>
      <c r="H37" s="3">
        <v>2580913.89</v>
      </c>
      <c r="I37" s="3"/>
    </row>
    <row r="38" spans="1:11" hidden="1">
      <c r="A38" s="1" t="s">
        <v>80</v>
      </c>
      <c r="B38" s="2" t="s">
        <v>81</v>
      </c>
      <c r="C38" s="3">
        <v>4293.8</v>
      </c>
      <c r="D38" s="3">
        <v>0.86</v>
      </c>
      <c r="E38" s="3">
        <v>1203726.99</v>
      </c>
      <c r="F38" s="3">
        <v>48284252.609999999</v>
      </c>
      <c r="G38" s="3">
        <v>1705170.57</v>
      </c>
      <c r="H38" s="3">
        <v>559085428.13999999</v>
      </c>
      <c r="I38" s="3"/>
    </row>
    <row r="39" spans="1:11" hidden="1">
      <c r="A39" s="1" t="s">
        <v>82</v>
      </c>
      <c r="B39" s="2" t="s">
        <v>83</v>
      </c>
      <c r="C39" s="3">
        <v>1902.9</v>
      </c>
      <c r="D39" s="3">
        <v>0.78</v>
      </c>
      <c r="E39" s="3">
        <v>2793030.05</v>
      </c>
      <c r="F39" s="3">
        <v>9006769.7300000004</v>
      </c>
      <c r="G39" s="3">
        <v>153023427.91999999</v>
      </c>
      <c r="H39" s="3">
        <v>427086061.23000002</v>
      </c>
      <c r="I39" s="7"/>
    </row>
    <row r="40" spans="1:11" hidden="1">
      <c r="A40" s="4" t="s">
        <v>84</v>
      </c>
      <c r="B40" s="5" t="s">
        <v>85</v>
      </c>
      <c r="C40" s="6">
        <v>27241.41</v>
      </c>
      <c r="D40" s="6">
        <v>0.4</v>
      </c>
      <c r="E40" s="6">
        <v>27746369.129999999</v>
      </c>
      <c r="F40" s="6">
        <v>110985476.52</v>
      </c>
      <c r="G40" s="6">
        <v>2854460794.3400002</v>
      </c>
      <c r="H40" s="7">
        <v>11417843177.360001</v>
      </c>
      <c r="I40" s="6"/>
    </row>
    <row r="41" spans="1:11" hidden="1">
      <c r="A41" s="1" t="s">
        <v>86</v>
      </c>
      <c r="B41" s="2" t="s">
        <v>87</v>
      </c>
      <c r="C41" s="3">
        <v>734.1</v>
      </c>
      <c r="D41" s="3">
        <v>0.74</v>
      </c>
      <c r="E41" s="3">
        <v>4574.12</v>
      </c>
      <c r="F41" s="3">
        <v>17672.939999999999</v>
      </c>
      <c r="G41" s="3">
        <v>4574.12</v>
      </c>
      <c r="H41" s="3">
        <v>17672.939999999999</v>
      </c>
      <c r="I41" s="3"/>
    </row>
    <row r="42" spans="1:11" hidden="1">
      <c r="A42" s="1" t="s">
        <v>88</v>
      </c>
      <c r="B42" s="2" t="s">
        <v>89</v>
      </c>
      <c r="C42" s="3">
        <v>88</v>
      </c>
      <c r="D42" s="3">
        <v>1</v>
      </c>
      <c r="E42" s="3">
        <v>0</v>
      </c>
      <c r="F42" s="3">
        <v>119758.76</v>
      </c>
      <c r="G42" s="3">
        <v>0</v>
      </c>
      <c r="H42" s="3">
        <v>17464818.48</v>
      </c>
      <c r="I42" s="3"/>
    </row>
    <row r="43" spans="1:11">
      <c r="A43" s="1" t="s">
        <v>90</v>
      </c>
      <c r="B43" s="2" t="s">
        <v>91</v>
      </c>
      <c r="C43" s="3">
        <v>3170</v>
      </c>
      <c r="D43" s="3">
        <v>0.92</v>
      </c>
      <c r="E43" s="3">
        <v>5767.74</v>
      </c>
      <c r="F43" s="3">
        <v>9138249.1600000001</v>
      </c>
      <c r="G43" s="3">
        <v>5767.74</v>
      </c>
      <c r="H43" s="3">
        <v>1330856956.75</v>
      </c>
      <c r="I43" s="44">
        <f t="shared" ref="I43:I45" si="3">F43/H43</f>
        <v>6.8664397880264525E-3</v>
      </c>
      <c r="J43">
        <f t="shared" ref="J43:J45" si="4">H43/1000000</f>
        <v>1330.8569567500001</v>
      </c>
      <c r="K43">
        <f t="shared" ref="K43:K45" si="5">F43/1000000</f>
        <v>9.1382491600000009</v>
      </c>
    </row>
    <row r="44" spans="1:11">
      <c r="A44" s="1" t="s">
        <v>92</v>
      </c>
      <c r="B44" s="2" t="s">
        <v>93</v>
      </c>
      <c r="C44" s="3">
        <v>8975.6</v>
      </c>
      <c r="D44" s="3">
        <v>0.82</v>
      </c>
      <c r="E44" s="3">
        <v>2561794.35</v>
      </c>
      <c r="F44" s="3">
        <v>35049677.549999997</v>
      </c>
      <c r="G44" s="3">
        <v>521489469.41000003</v>
      </c>
      <c r="H44" s="3">
        <v>6333295405.1199999</v>
      </c>
      <c r="I44" s="44">
        <f t="shared" si="3"/>
        <v>5.5341927555858095E-3</v>
      </c>
      <c r="J44">
        <f t="shared" si="4"/>
        <v>6333.2954051199995</v>
      </c>
      <c r="K44">
        <f t="shared" si="5"/>
        <v>35.049677549999998</v>
      </c>
    </row>
    <row r="45" spans="1:11">
      <c r="A45" s="4" t="s">
        <v>94</v>
      </c>
      <c r="B45" s="5" t="s">
        <v>95</v>
      </c>
      <c r="C45" s="6">
        <v>87125.9</v>
      </c>
      <c r="D45" s="6">
        <v>0.32</v>
      </c>
      <c r="E45" s="7">
        <v>698452340.37</v>
      </c>
      <c r="F45" s="7">
        <v>1066969285.77</v>
      </c>
      <c r="G45" s="7">
        <v>11090787082.92</v>
      </c>
      <c r="H45" s="7">
        <v>11876136481.51</v>
      </c>
      <c r="I45" s="44">
        <f t="shared" si="3"/>
        <v>8.9841446958037932E-2</v>
      </c>
      <c r="J45">
        <f t="shared" si="4"/>
        <v>11876.136481510001</v>
      </c>
      <c r="K45">
        <f t="shared" si="5"/>
        <v>1066.9692857699999</v>
      </c>
    </row>
    <row r="46" spans="1:11" hidden="1">
      <c r="A46" s="1" t="s">
        <v>96</v>
      </c>
      <c r="B46" s="2" t="s">
        <v>97</v>
      </c>
      <c r="C46" s="3">
        <v>60</v>
      </c>
      <c r="D46" s="3">
        <v>1</v>
      </c>
      <c r="E46" s="3">
        <v>0</v>
      </c>
      <c r="F46" s="3">
        <v>191480.24</v>
      </c>
      <c r="G46" s="3">
        <v>0</v>
      </c>
      <c r="H46" s="3">
        <v>27924201.890000001</v>
      </c>
      <c r="I46" s="3"/>
    </row>
    <row r="47" spans="1:11" hidden="1">
      <c r="A47" s="1" t="s">
        <v>98</v>
      </c>
      <c r="B47" s="2" t="s">
        <v>99</v>
      </c>
      <c r="C47" s="3">
        <v>1278</v>
      </c>
      <c r="D47" s="3">
        <v>0</v>
      </c>
      <c r="E47" s="3">
        <v>7000964.9800000004</v>
      </c>
      <c r="F47" s="3">
        <v>7000964.9800000004</v>
      </c>
      <c r="G47" s="3">
        <v>10196320.66</v>
      </c>
      <c r="H47" s="3">
        <v>10196320.66</v>
      </c>
      <c r="I47" s="3"/>
    </row>
    <row r="48" spans="1:11">
      <c r="A48" s="4" t="s">
        <v>100</v>
      </c>
      <c r="B48" s="5" t="s">
        <v>101</v>
      </c>
      <c r="C48" s="6">
        <v>95461.91</v>
      </c>
      <c r="D48" s="6">
        <v>0.06</v>
      </c>
      <c r="E48" s="7">
        <v>667581745.88</v>
      </c>
      <c r="F48" s="7">
        <v>725674857.73000002</v>
      </c>
      <c r="G48" s="7">
        <v>2960391467.3099999</v>
      </c>
      <c r="H48" s="6">
        <v>3044324894.2399998</v>
      </c>
      <c r="I48" s="44">
        <f>F48/H48</f>
        <v>0.23836971510596969</v>
      </c>
      <c r="J48">
        <f>H48/1000000</f>
        <v>3044.3248942399996</v>
      </c>
      <c r="K48">
        <f>F48/1000000</f>
        <v>725.67485772999999</v>
      </c>
    </row>
    <row r="49" spans="1:11" hidden="1">
      <c r="A49" s="1" t="s">
        <v>102</v>
      </c>
      <c r="B49" s="2" t="s">
        <v>103</v>
      </c>
      <c r="C49" s="3">
        <v>1214</v>
      </c>
      <c r="D49" s="3">
        <v>1</v>
      </c>
      <c r="E49" s="3">
        <v>0</v>
      </c>
      <c r="F49" s="3">
        <v>15039854.060000001</v>
      </c>
      <c r="G49" s="3">
        <v>0</v>
      </c>
      <c r="H49" s="3">
        <v>21565908.16</v>
      </c>
      <c r="I49" s="3"/>
    </row>
    <row r="50" spans="1:11">
      <c r="A50" s="1" t="s">
        <v>104</v>
      </c>
      <c r="B50" s="2" t="s">
        <v>105</v>
      </c>
      <c r="C50" s="3">
        <v>12787.98</v>
      </c>
      <c r="D50" s="3">
        <v>0.53</v>
      </c>
      <c r="E50" s="3">
        <v>39192582.450000003</v>
      </c>
      <c r="F50" s="3">
        <v>46116851.770000003</v>
      </c>
      <c r="G50" s="3">
        <v>48026877</v>
      </c>
      <c r="H50" s="3">
        <v>652387886.24000001</v>
      </c>
      <c r="I50" s="45">
        <f>F50/H50</f>
        <v>7.0689313432522202E-2</v>
      </c>
      <c r="J50">
        <f>H50/1000000</f>
        <v>652.38788624000006</v>
      </c>
      <c r="K50">
        <f>F50/1000000</f>
        <v>46.116851770000004</v>
      </c>
    </row>
    <row r="51" spans="1:11" hidden="1">
      <c r="A51" s="1" t="s">
        <v>106</v>
      </c>
      <c r="B51" s="2" t="s">
        <v>107</v>
      </c>
      <c r="C51" s="3">
        <v>355</v>
      </c>
      <c r="D51" s="3">
        <v>1</v>
      </c>
      <c r="E51" s="3">
        <v>0</v>
      </c>
      <c r="F51" s="3">
        <v>1802508.43</v>
      </c>
      <c r="G51" s="3">
        <v>0</v>
      </c>
      <c r="H51" s="3">
        <v>262865812.84</v>
      </c>
      <c r="I51" s="3"/>
    </row>
    <row r="52" spans="1:11" hidden="1">
      <c r="A52" s="1" t="s">
        <v>108</v>
      </c>
      <c r="B52" s="2" t="s">
        <v>109</v>
      </c>
      <c r="C52" s="3">
        <v>737</v>
      </c>
      <c r="D52" s="3">
        <v>0.53</v>
      </c>
      <c r="E52" s="3">
        <v>4774258.95</v>
      </c>
      <c r="F52" s="3">
        <v>8691677.0500000007</v>
      </c>
      <c r="G52" s="3">
        <v>6029815.8200000003</v>
      </c>
      <c r="H52" s="3">
        <v>11735208.039999999</v>
      </c>
      <c r="I52" s="3"/>
    </row>
    <row r="53" spans="1:11" hidden="1">
      <c r="A53" s="1" t="s">
        <v>110</v>
      </c>
      <c r="B53" s="2" t="s">
        <v>111</v>
      </c>
      <c r="C53" s="3">
        <v>50</v>
      </c>
      <c r="D53" s="3">
        <v>1</v>
      </c>
      <c r="E53" s="3">
        <v>0</v>
      </c>
      <c r="F53" s="3">
        <v>1203.71</v>
      </c>
      <c r="G53" s="3">
        <v>0</v>
      </c>
      <c r="H53" s="3">
        <v>1203.71</v>
      </c>
      <c r="I53" s="3"/>
    </row>
    <row r="54" spans="1:11" hidden="1">
      <c r="A54" s="1" t="s">
        <v>112</v>
      </c>
      <c r="B54" s="2" t="s">
        <v>113</v>
      </c>
      <c r="C54" s="3">
        <v>735.2</v>
      </c>
      <c r="D54" s="3">
        <v>0.57999999999999996</v>
      </c>
      <c r="E54" s="3">
        <v>3040473.24</v>
      </c>
      <c r="F54" s="3">
        <v>7309862.4100000001</v>
      </c>
      <c r="G54" s="3">
        <v>4428195.28</v>
      </c>
      <c r="H54" s="3">
        <v>10646203.970000001</v>
      </c>
      <c r="I54" s="3"/>
    </row>
    <row r="55" spans="1:11" hidden="1">
      <c r="A55" s="1" t="s">
        <v>114</v>
      </c>
      <c r="B55" s="2" t="s">
        <v>115</v>
      </c>
      <c r="C55" s="3">
        <v>12098</v>
      </c>
      <c r="D55" s="3">
        <v>1</v>
      </c>
      <c r="E55" s="3">
        <v>0</v>
      </c>
      <c r="F55" s="3">
        <v>22322014.289999999</v>
      </c>
      <c r="G55" s="3">
        <v>0</v>
      </c>
      <c r="H55" s="3">
        <v>4521785169.8000002</v>
      </c>
      <c r="I55" s="6"/>
    </row>
    <row r="56" spans="1:11">
      <c r="A56" s="1" t="s">
        <v>116</v>
      </c>
      <c r="B56" s="2" t="s">
        <v>117</v>
      </c>
      <c r="C56" s="3">
        <v>4122.3</v>
      </c>
      <c r="D56" s="3">
        <v>0</v>
      </c>
      <c r="E56" s="3">
        <v>20737927.469999999</v>
      </c>
      <c r="F56" s="3">
        <v>20737927.469999999</v>
      </c>
      <c r="G56" s="3">
        <v>293699817.06</v>
      </c>
      <c r="H56" s="3">
        <v>293699817.06</v>
      </c>
      <c r="I56" s="44">
        <f>F56/H56</f>
        <v>7.0609262469385342E-2</v>
      </c>
      <c r="J56">
        <f>H56/1000000</f>
        <v>293.69981705999999</v>
      </c>
      <c r="K56">
        <f>F56/1000000</f>
        <v>20.737927469999999</v>
      </c>
    </row>
    <row r="57" spans="1:11" ht="15.75" hidden="1" thickBot="1">
      <c r="A57" s="4" t="s">
        <v>118</v>
      </c>
      <c r="B57" s="5" t="s">
        <v>119</v>
      </c>
      <c r="C57" s="6">
        <v>190934.59</v>
      </c>
      <c r="D57" s="6">
        <v>0.2</v>
      </c>
      <c r="E57" s="7">
        <v>1687625607.9300001</v>
      </c>
      <c r="F57" s="7">
        <v>1995179956.6700001</v>
      </c>
      <c r="G57" s="7">
        <v>7665318722.8999996</v>
      </c>
      <c r="H57" s="6">
        <v>8330112069.6700001</v>
      </c>
      <c r="I57" s="10"/>
    </row>
    <row r="58" spans="1:11" hidden="1">
      <c r="A58" s="4" t="s">
        <v>120</v>
      </c>
      <c r="B58" s="5" t="s">
        <v>121</v>
      </c>
      <c r="C58" s="6">
        <v>42306.13</v>
      </c>
      <c r="D58" s="6">
        <v>0.91</v>
      </c>
      <c r="E58" s="6">
        <v>19356326.16</v>
      </c>
      <c r="F58" s="6">
        <v>149355007.31</v>
      </c>
      <c r="G58" s="6">
        <v>1019457746.83</v>
      </c>
      <c r="H58" s="7">
        <v>15191698643.58</v>
      </c>
      <c r="I58" s="3"/>
    </row>
    <row r="59" spans="1:11" hidden="1">
      <c r="A59" s="4" t="s">
        <v>122</v>
      </c>
      <c r="B59" s="5" t="s">
        <v>123</v>
      </c>
      <c r="C59" s="6">
        <v>59805.2</v>
      </c>
      <c r="D59" s="6">
        <v>0.19</v>
      </c>
      <c r="E59" s="7">
        <v>283875259.11000001</v>
      </c>
      <c r="F59" s="7">
        <v>399514513.63</v>
      </c>
      <c r="G59" s="6">
        <v>399252124.57999998</v>
      </c>
      <c r="H59" s="6">
        <v>1310233043.3900001</v>
      </c>
      <c r="I59" s="3"/>
    </row>
    <row r="60" spans="1:11" hidden="1">
      <c r="A60" s="1" t="s">
        <v>124</v>
      </c>
      <c r="B60" s="2" t="s">
        <v>125</v>
      </c>
      <c r="C60" s="3">
        <v>28485.599999999999</v>
      </c>
      <c r="D60" s="3">
        <v>0.01</v>
      </c>
      <c r="E60" s="3">
        <v>1699375.12</v>
      </c>
      <c r="F60" s="3">
        <v>33987502.359999999</v>
      </c>
      <c r="G60" s="3">
        <v>152568890.87</v>
      </c>
      <c r="H60" s="3">
        <v>3051377817.4200001</v>
      </c>
      <c r="I60" s="3"/>
    </row>
    <row r="61" spans="1:11">
      <c r="A61" s="1" t="s">
        <v>126</v>
      </c>
      <c r="B61" s="2" t="s">
        <v>127</v>
      </c>
      <c r="C61" s="3">
        <v>6160</v>
      </c>
      <c r="D61" s="3">
        <v>0.9</v>
      </c>
      <c r="E61" s="3">
        <v>225237.29</v>
      </c>
      <c r="F61" s="3">
        <v>3338917.86</v>
      </c>
      <c r="G61" s="3">
        <v>312402.17</v>
      </c>
      <c r="H61" s="3">
        <v>601438711.00999999</v>
      </c>
      <c r="I61" s="44">
        <f>F61/H61</f>
        <v>5.5515513033621219E-3</v>
      </c>
      <c r="J61">
        <f>H61/1000000</f>
        <v>601.43871101000002</v>
      </c>
      <c r="K61">
        <f>F61/1000000</f>
        <v>3.33891786</v>
      </c>
    </row>
    <row r="62" spans="1:11" hidden="1">
      <c r="A62" s="1" t="s">
        <v>128</v>
      </c>
      <c r="B62" s="2" t="s">
        <v>129</v>
      </c>
      <c r="C62" s="3">
        <v>88</v>
      </c>
      <c r="D62" s="3">
        <v>1</v>
      </c>
      <c r="E62" s="3">
        <v>0</v>
      </c>
      <c r="F62" s="3">
        <v>174677.28</v>
      </c>
      <c r="G62" s="3">
        <v>0</v>
      </c>
      <c r="H62" s="3">
        <v>217281.49</v>
      </c>
      <c r="I62" s="3"/>
    </row>
    <row r="63" spans="1:11" hidden="1">
      <c r="A63" s="1" t="s">
        <v>130</v>
      </c>
      <c r="B63" s="2" t="s">
        <v>131</v>
      </c>
      <c r="C63" s="3">
        <v>14484</v>
      </c>
      <c r="D63" s="3">
        <v>0.82</v>
      </c>
      <c r="E63" s="3">
        <v>3284874.45</v>
      </c>
      <c r="F63" s="3">
        <v>18643210.18</v>
      </c>
      <c r="G63" s="3">
        <v>7420162.5700000003</v>
      </c>
      <c r="H63" s="3">
        <v>3132624367.6100001</v>
      </c>
      <c r="I63" s="3"/>
    </row>
    <row r="64" spans="1:11">
      <c r="A64" s="1" t="s">
        <v>132</v>
      </c>
      <c r="B64" s="2" t="s">
        <v>133</v>
      </c>
      <c r="C64" s="3">
        <v>77799.100000000006</v>
      </c>
      <c r="D64" s="3">
        <v>0.63</v>
      </c>
      <c r="E64" s="3">
        <v>24310219.600000001</v>
      </c>
      <c r="F64" s="3">
        <v>55811990.82</v>
      </c>
      <c r="G64" s="3">
        <v>1447433634.05</v>
      </c>
      <c r="H64" s="3">
        <v>3672470694.6999998</v>
      </c>
      <c r="I64" s="44">
        <f>F64/H64</f>
        <v>1.519739582961035E-2</v>
      </c>
      <c r="J64">
        <f>H64/1000000</f>
        <v>3672.4706947</v>
      </c>
      <c r="K64">
        <f>F64/1000000</f>
        <v>55.811990819999998</v>
      </c>
    </row>
    <row r="65" spans="1:11" hidden="1">
      <c r="A65" s="1" t="s">
        <v>134</v>
      </c>
      <c r="B65" s="2" t="s">
        <v>135</v>
      </c>
      <c r="C65" s="3">
        <v>821</v>
      </c>
      <c r="D65" s="3">
        <v>1</v>
      </c>
      <c r="E65" s="3">
        <v>0</v>
      </c>
      <c r="F65" s="3">
        <v>1625415.76</v>
      </c>
      <c r="G65" s="3">
        <v>0</v>
      </c>
      <c r="H65" s="3">
        <v>2024480.9</v>
      </c>
      <c r="I65" s="3"/>
    </row>
    <row r="66" spans="1:11" hidden="1">
      <c r="A66" s="1" t="s">
        <v>136</v>
      </c>
      <c r="B66" s="2" t="s">
        <v>137</v>
      </c>
      <c r="C66" s="3">
        <v>694.06</v>
      </c>
      <c r="D66" s="3">
        <v>1</v>
      </c>
      <c r="E66" s="3">
        <v>0</v>
      </c>
      <c r="F66" s="3">
        <v>4195888.91</v>
      </c>
      <c r="G66" s="3">
        <v>0</v>
      </c>
      <c r="H66" s="3">
        <v>138634760.53</v>
      </c>
      <c r="I66" s="3"/>
    </row>
    <row r="67" spans="1:11" hidden="1">
      <c r="A67" s="4" t="s">
        <v>138</v>
      </c>
      <c r="B67" s="5" t="s">
        <v>139</v>
      </c>
      <c r="C67" s="6">
        <v>237399.53</v>
      </c>
      <c r="D67" s="6">
        <v>0.96</v>
      </c>
      <c r="E67" s="6">
        <v>43300489.469999999</v>
      </c>
      <c r="F67" s="7">
        <v>1158757546.3</v>
      </c>
      <c r="G67" s="6">
        <v>2826967500.4099998</v>
      </c>
      <c r="H67" s="7">
        <v>32190448876.709999</v>
      </c>
      <c r="I67" s="7"/>
    </row>
    <row r="68" spans="1:11" hidden="1">
      <c r="A68" s="1" t="s">
        <v>140</v>
      </c>
      <c r="B68" s="2" t="s">
        <v>141</v>
      </c>
      <c r="C68" s="3">
        <v>4237</v>
      </c>
      <c r="D68" s="3">
        <v>0.15</v>
      </c>
      <c r="E68" s="3">
        <v>1225658.82</v>
      </c>
      <c r="F68" s="3">
        <v>1242032.3899999999</v>
      </c>
      <c r="G68" s="3">
        <v>1504627.64</v>
      </c>
      <c r="H68" s="3">
        <v>1521001.21</v>
      </c>
      <c r="I68" s="6"/>
    </row>
    <row r="69" spans="1:11" hidden="1">
      <c r="A69" s="1" t="s">
        <v>142</v>
      </c>
      <c r="B69" s="2" t="s">
        <v>143</v>
      </c>
      <c r="C69" s="3">
        <v>17566</v>
      </c>
      <c r="D69" s="3">
        <v>0.08</v>
      </c>
      <c r="E69" s="3">
        <v>109442287.66</v>
      </c>
      <c r="F69" s="3">
        <v>121151648.70999999</v>
      </c>
      <c r="G69" s="3">
        <v>1187833242.99</v>
      </c>
      <c r="H69" s="3">
        <v>1204886949.22</v>
      </c>
      <c r="I69" s="3"/>
    </row>
    <row r="70" spans="1:11" hidden="1">
      <c r="A70" s="1" t="s">
        <v>144</v>
      </c>
      <c r="B70" s="2" t="s">
        <v>145</v>
      </c>
      <c r="C70" s="3">
        <v>679.21</v>
      </c>
      <c r="D70" s="3">
        <v>0.6</v>
      </c>
      <c r="E70" s="3">
        <v>115284.92</v>
      </c>
      <c r="F70" s="3">
        <v>119828.2</v>
      </c>
      <c r="G70" s="3">
        <v>143527.46</v>
      </c>
      <c r="H70" s="3">
        <v>148070.74</v>
      </c>
      <c r="I70" s="3"/>
    </row>
    <row r="71" spans="1:11" hidden="1">
      <c r="A71" s="1" t="s">
        <v>146</v>
      </c>
      <c r="B71" s="2" t="s">
        <v>147</v>
      </c>
      <c r="C71" s="3">
        <v>3170</v>
      </c>
      <c r="D71" s="3">
        <v>0.11</v>
      </c>
      <c r="E71" s="3">
        <v>8063808.8399999999</v>
      </c>
      <c r="F71" s="3">
        <v>8913050.1899999995</v>
      </c>
      <c r="G71" s="3">
        <v>1437074338.1199999</v>
      </c>
      <c r="H71" s="3">
        <v>1615584328.78</v>
      </c>
      <c r="I71" s="3"/>
    </row>
    <row r="72" spans="1:11" hidden="1">
      <c r="A72" s="4" t="s">
        <v>148</v>
      </c>
      <c r="B72" s="5" t="s">
        <v>149</v>
      </c>
      <c r="C72" s="6">
        <v>83330.81</v>
      </c>
      <c r="D72" s="6">
        <v>0.86</v>
      </c>
      <c r="E72" s="6">
        <v>24738515.18</v>
      </c>
      <c r="F72" s="6">
        <v>327410161.74000001</v>
      </c>
      <c r="G72" s="6">
        <v>1119657418.76</v>
      </c>
      <c r="H72" s="7">
        <v>29726871959.880001</v>
      </c>
      <c r="I72" s="3"/>
    </row>
    <row r="73" spans="1:11" hidden="1">
      <c r="A73" s="1" t="s">
        <v>150</v>
      </c>
      <c r="B73" s="2" t="s">
        <v>151</v>
      </c>
      <c r="C73" s="3">
        <v>1480</v>
      </c>
      <c r="D73" s="3">
        <v>0</v>
      </c>
      <c r="E73" s="3">
        <v>16194540.050000001</v>
      </c>
      <c r="F73" s="3">
        <v>16194540.050000001</v>
      </c>
      <c r="G73" s="3">
        <v>19845918.600000001</v>
      </c>
      <c r="H73" s="3">
        <v>19845918.600000001</v>
      </c>
      <c r="I73" s="3"/>
    </row>
    <row r="74" spans="1:11" hidden="1">
      <c r="A74" s="1" t="s">
        <v>152</v>
      </c>
      <c r="B74" s="2" t="s">
        <v>153</v>
      </c>
      <c r="C74" s="3">
        <v>15217.3</v>
      </c>
      <c r="D74" s="3">
        <v>1</v>
      </c>
      <c r="E74" s="3">
        <v>0</v>
      </c>
      <c r="F74" s="3">
        <v>44904987.640000001</v>
      </c>
      <c r="G74" s="3">
        <v>0</v>
      </c>
      <c r="H74" s="3">
        <v>5222091922.8800001</v>
      </c>
      <c r="I74" s="3"/>
    </row>
    <row r="75" spans="1:11" hidden="1">
      <c r="A75" s="1" t="s">
        <v>154</v>
      </c>
      <c r="B75" s="2" t="s">
        <v>155</v>
      </c>
      <c r="C75" s="3">
        <v>728</v>
      </c>
      <c r="D75" s="3">
        <v>0</v>
      </c>
      <c r="E75" s="3">
        <v>1221683.57</v>
      </c>
      <c r="F75" s="3">
        <v>1221683.57</v>
      </c>
      <c r="G75" s="3">
        <v>151895878.78</v>
      </c>
      <c r="H75" s="3">
        <v>151895878.78</v>
      </c>
      <c r="I75" s="3"/>
    </row>
    <row r="76" spans="1:11">
      <c r="A76" s="1" t="s">
        <v>156</v>
      </c>
      <c r="B76" s="2" t="s">
        <v>157</v>
      </c>
      <c r="C76" s="3">
        <v>894</v>
      </c>
      <c r="D76" s="3">
        <v>1</v>
      </c>
      <c r="E76" s="3">
        <v>0</v>
      </c>
      <c r="F76" s="3">
        <v>4140867.92</v>
      </c>
      <c r="G76" s="3">
        <v>0</v>
      </c>
      <c r="H76" s="3">
        <v>5818241.96</v>
      </c>
      <c r="I76" s="44">
        <f>F76/H76</f>
        <v>0.71170431695143865</v>
      </c>
      <c r="J76">
        <f>H76/1000000</f>
        <v>5.8182419599999999</v>
      </c>
      <c r="K76">
        <f>F76/1000000</f>
        <v>4.1408679199999998</v>
      </c>
    </row>
    <row r="77" spans="1:11" hidden="1">
      <c r="A77" s="1" t="s">
        <v>158</v>
      </c>
      <c r="B77" s="2" t="s">
        <v>159</v>
      </c>
      <c r="C77" s="3">
        <v>2375.6</v>
      </c>
      <c r="D77" s="3">
        <v>0.89</v>
      </c>
      <c r="E77" s="3">
        <v>2154550.29</v>
      </c>
      <c r="F77" s="3">
        <v>18748533.59</v>
      </c>
      <c r="G77" s="3">
        <v>2693187.86</v>
      </c>
      <c r="H77" s="3">
        <v>23435666.989999998</v>
      </c>
      <c r="I77" s="3"/>
    </row>
    <row r="78" spans="1:11" hidden="1">
      <c r="A78" s="1" t="s">
        <v>160</v>
      </c>
      <c r="B78" s="2" t="s">
        <v>161</v>
      </c>
      <c r="C78" s="3">
        <v>64</v>
      </c>
      <c r="D78" s="3">
        <v>1</v>
      </c>
      <c r="E78" s="3">
        <v>0</v>
      </c>
      <c r="F78" s="3">
        <v>446773.7</v>
      </c>
      <c r="G78" s="3">
        <v>0</v>
      </c>
      <c r="H78" s="3">
        <v>558467.13</v>
      </c>
      <c r="I78" s="6"/>
    </row>
    <row r="79" spans="1:11" hidden="1">
      <c r="A79" s="1" t="s">
        <v>162</v>
      </c>
      <c r="B79" s="2" t="s">
        <v>163</v>
      </c>
      <c r="C79" s="3">
        <v>10814</v>
      </c>
      <c r="D79" s="3">
        <v>0.83</v>
      </c>
      <c r="E79" s="3">
        <v>44085.31</v>
      </c>
      <c r="F79" s="3">
        <v>294220.78000000003</v>
      </c>
      <c r="G79" s="3">
        <v>44085.31</v>
      </c>
      <c r="H79" s="3">
        <v>294220.78000000003</v>
      </c>
      <c r="I79" s="3"/>
    </row>
    <row r="80" spans="1:11">
      <c r="A80" s="1" t="s">
        <v>164</v>
      </c>
      <c r="B80" s="2" t="s">
        <v>165</v>
      </c>
      <c r="C80" s="3">
        <v>3063</v>
      </c>
      <c r="D80" s="3">
        <v>0.06</v>
      </c>
      <c r="E80" s="3">
        <v>12094163.800000001</v>
      </c>
      <c r="F80" s="3">
        <v>13713975.800000001</v>
      </c>
      <c r="G80" s="3">
        <v>796056670.27999997</v>
      </c>
      <c r="H80" s="3">
        <v>798415791.13999999</v>
      </c>
      <c r="I80" s="44">
        <f t="shared" ref="I80:I81" si="6">F80/H80</f>
        <v>1.7176483672021077E-2</v>
      </c>
      <c r="J80">
        <f t="shared" ref="J80:J81" si="7">H80/1000000</f>
        <v>798.41579114000001</v>
      </c>
      <c r="K80">
        <f t="shared" ref="K80:K81" si="8">F80/1000000</f>
        <v>13.7139758</v>
      </c>
    </row>
    <row r="81" spans="1:11">
      <c r="A81" s="1" t="s">
        <v>166</v>
      </c>
      <c r="B81" s="2" t="s">
        <v>167</v>
      </c>
      <c r="C81" s="3">
        <v>376.4</v>
      </c>
      <c r="D81" s="3">
        <v>0</v>
      </c>
      <c r="E81" s="3">
        <v>9692.9500000000007</v>
      </c>
      <c r="F81" s="3">
        <v>9692.9500000000007</v>
      </c>
      <c r="G81" s="3">
        <v>9692.9500000000007</v>
      </c>
      <c r="H81" s="3">
        <v>9692.9500000000007</v>
      </c>
      <c r="I81" s="44">
        <f t="shared" si="6"/>
        <v>1</v>
      </c>
      <c r="J81">
        <f t="shared" si="7"/>
        <v>9.6929500000000005E-3</v>
      </c>
      <c r="K81">
        <f t="shared" si="8"/>
        <v>9.6929500000000005E-3</v>
      </c>
    </row>
    <row r="82" spans="1:11" hidden="1">
      <c r="A82" s="1" t="s">
        <v>168</v>
      </c>
      <c r="B82" s="2" t="s">
        <v>169</v>
      </c>
      <c r="C82" s="3">
        <v>242.6</v>
      </c>
      <c r="D82" s="3">
        <v>1</v>
      </c>
      <c r="E82" s="3">
        <v>0</v>
      </c>
      <c r="F82" s="3">
        <v>283701.3</v>
      </c>
      <c r="G82" s="3">
        <v>0</v>
      </c>
      <c r="H82" s="3">
        <v>37155361.079999998</v>
      </c>
      <c r="I82" s="3"/>
    </row>
    <row r="83" spans="1:11" hidden="1">
      <c r="A83" s="1" t="s">
        <v>170</v>
      </c>
      <c r="B83" s="2" t="s">
        <v>171</v>
      </c>
      <c r="C83" s="3">
        <v>1230</v>
      </c>
      <c r="D83" s="3">
        <v>0</v>
      </c>
      <c r="E83" s="3">
        <v>8999681.5999999996</v>
      </c>
      <c r="F83" s="3">
        <v>8999681.5999999996</v>
      </c>
      <c r="G83" s="3">
        <v>18041176.210000001</v>
      </c>
      <c r="H83" s="3">
        <v>18041176.210000001</v>
      </c>
      <c r="I83" s="6"/>
    </row>
    <row r="84" spans="1:11" hidden="1">
      <c r="A84" s="1" t="s">
        <v>172</v>
      </c>
      <c r="B84" s="2" t="s">
        <v>173</v>
      </c>
      <c r="C84" s="3">
        <v>135</v>
      </c>
      <c r="D84" s="3">
        <v>1</v>
      </c>
      <c r="E84" s="3">
        <v>0</v>
      </c>
      <c r="F84" s="3">
        <v>2037088.6</v>
      </c>
      <c r="G84" s="3">
        <v>0</v>
      </c>
      <c r="H84" s="3">
        <v>2496390.41</v>
      </c>
      <c r="I84" s="3"/>
    </row>
    <row r="85" spans="1:11" ht="15.75" hidden="1" thickBot="1">
      <c r="A85" s="1" t="s">
        <v>174</v>
      </c>
      <c r="B85" s="2" t="s">
        <v>175</v>
      </c>
      <c r="C85" s="3">
        <v>25334.04</v>
      </c>
      <c r="D85" s="3">
        <v>0.97</v>
      </c>
      <c r="E85" s="3">
        <v>3707093.89</v>
      </c>
      <c r="F85" s="3">
        <v>41992502.93</v>
      </c>
      <c r="G85" s="3">
        <v>4631952.3600000003</v>
      </c>
      <c r="H85" s="3">
        <v>5381241362.6400003</v>
      </c>
      <c r="I85" s="10"/>
    </row>
    <row r="86" spans="1:11">
      <c r="A86" s="1" t="s">
        <v>176</v>
      </c>
      <c r="B86" s="2" t="s">
        <v>177</v>
      </c>
      <c r="C86" s="3">
        <v>452.8</v>
      </c>
      <c r="D86" s="3">
        <v>1</v>
      </c>
      <c r="E86" s="3">
        <v>0</v>
      </c>
      <c r="F86" s="3">
        <v>349499.67</v>
      </c>
      <c r="G86" s="3">
        <v>0</v>
      </c>
      <c r="H86" s="3">
        <v>49648347.450000003</v>
      </c>
      <c r="I86" s="44">
        <f>F86/H86</f>
        <v>7.039502580664444E-3</v>
      </c>
      <c r="J86">
        <f>H86/1000000</f>
        <v>49.648347450000003</v>
      </c>
      <c r="K86">
        <f>F86/1000000</f>
        <v>0.34949966999999998</v>
      </c>
    </row>
    <row r="87" spans="1:11" hidden="1">
      <c r="A87" s="1" t="s">
        <v>178</v>
      </c>
      <c r="B87" s="2" t="s">
        <v>179</v>
      </c>
      <c r="C87" s="3">
        <v>51.8</v>
      </c>
      <c r="D87" s="3">
        <v>1</v>
      </c>
      <c r="E87" s="3">
        <v>0</v>
      </c>
      <c r="F87" s="3">
        <v>267960.88</v>
      </c>
      <c r="G87" s="3">
        <v>0</v>
      </c>
      <c r="H87" s="3">
        <v>39077627.729999997</v>
      </c>
      <c r="I87" s="3"/>
    </row>
    <row r="88" spans="1:11" hidden="1">
      <c r="A88" s="1" t="s">
        <v>180</v>
      </c>
      <c r="B88" s="2" t="s">
        <v>181</v>
      </c>
      <c r="C88" s="3">
        <v>476</v>
      </c>
      <c r="D88" s="3">
        <v>1</v>
      </c>
      <c r="E88" s="3">
        <v>0</v>
      </c>
      <c r="F88" s="3">
        <v>5351670.26</v>
      </c>
      <c r="G88" s="3">
        <v>0</v>
      </c>
      <c r="H88" s="3">
        <v>7098087.0300000003</v>
      </c>
      <c r="I88" s="3"/>
    </row>
    <row r="89" spans="1:11" hidden="1">
      <c r="A89" s="4" t="s">
        <v>182</v>
      </c>
      <c r="B89" s="5" t="s">
        <v>183</v>
      </c>
      <c r="C89" s="6">
        <v>42973.21</v>
      </c>
      <c r="D89" s="6">
        <v>0.45</v>
      </c>
      <c r="E89" s="6">
        <v>224667701</v>
      </c>
      <c r="F89" s="7">
        <v>412318296.95999998</v>
      </c>
      <c r="G89" s="6">
        <v>940792602.13999999</v>
      </c>
      <c r="H89" s="6">
        <v>3619379578.2199998</v>
      </c>
      <c r="I89" s="3"/>
    </row>
    <row r="90" spans="1:11" hidden="1">
      <c r="A90" s="1" t="s">
        <v>184</v>
      </c>
      <c r="B90" s="2" t="s">
        <v>185</v>
      </c>
      <c r="C90" s="3">
        <v>1888</v>
      </c>
      <c r="D90" s="3">
        <v>0</v>
      </c>
      <c r="E90" s="3">
        <v>9625725.5600000005</v>
      </c>
      <c r="F90" s="3">
        <v>9625725.5600000005</v>
      </c>
      <c r="G90" s="3">
        <v>11796035.289999999</v>
      </c>
      <c r="H90" s="3">
        <v>11796035.289999999</v>
      </c>
      <c r="I90" s="3"/>
    </row>
    <row r="91" spans="1:11" hidden="1">
      <c r="A91" s="1" t="s">
        <v>186</v>
      </c>
      <c r="B91" s="2" t="s">
        <v>187</v>
      </c>
      <c r="C91" s="3">
        <v>218.5</v>
      </c>
      <c r="D91" s="3">
        <v>0</v>
      </c>
      <c r="E91" s="3">
        <v>2390883.11</v>
      </c>
      <c r="F91" s="3">
        <v>2390883.11</v>
      </c>
      <c r="G91" s="3">
        <v>2929954.87</v>
      </c>
      <c r="H91" s="3">
        <v>2929954.87</v>
      </c>
      <c r="I91" s="3"/>
    </row>
    <row r="92" spans="1:11" hidden="1">
      <c r="A92" s="1" t="s">
        <v>188</v>
      </c>
      <c r="B92" s="2" t="s">
        <v>189</v>
      </c>
      <c r="C92" s="3">
        <v>5285.2</v>
      </c>
      <c r="D92" s="3">
        <v>0.88</v>
      </c>
      <c r="E92" s="3">
        <v>2516711.41</v>
      </c>
      <c r="F92" s="3">
        <v>40752823.450000003</v>
      </c>
      <c r="G92" s="3">
        <v>3078080.3</v>
      </c>
      <c r="H92" s="3">
        <v>386020786.14999998</v>
      </c>
      <c r="I92" s="3"/>
    </row>
    <row r="93" spans="1:11" hidden="1">
      <c r="A93" s="1" t="s">
        <v>190</v>
      </c>
      <c r="B93" s="2" t="s">
        <v>191</v>
      </c>
      <c r="C93" s="3">
        <v>544.5</v>
      </c>
      <c r="D93" s="3">
        <v>0</v>
      </c>
      <c r="E93" s="3">
        <v>18722.47</v>
      </c>
      <c r="F93" s="3">
        <v>18722.47</v>
      </c>
      <c r="G93" s="3">
        <v>18722.47</v>
      </c>
      <c r="H93" s="3">
        <v>18722.47</v>
      </c>
      <c r="I93" s="3"/>
    </row>
    <row r="94" spans="1:11" hidden="1">
      <c r="A94" s="1" t="s">
        <v>192</v>
      </c>
      <c r="B94" s="2" t="s">
        <v>193</v>
      </c>
      <c r="C94" s="3">
        <v>901.3</v>
      </c>
      <c r="D94" s="3">
        <v>0.46</v>
      </c>
      <c r="E94" s="3">
        <v>656716.81999999995</v>
      </c>
      <c r="F94" s="3">
        <v>1099208.08</v>
      </c>
      <c r="G94" s="3">
        <v>871439.85</v>
      </c>
      <c r="H94" s="3">
        <v>1474740.94</v>
      </c>
      <c r="I94" s="3"/>
    </row>
    <row r="95" spans="1:11" hidden="1">
      <c r="A95" s="1" t="s">
        <v>194</v>
      </c>
      <c r="B95" s="2" t="s">
        <v>195</v>
      </c>
      <c r="C95" s="3">
        <v>120</v>
      </c>
      <c r="D95" s="3">
        <v>0</v>
      </c>
      <c r="E95" s="3">
        <v>7560.52</v>
      </c>
      <c r="F95" s="3">
        <v>7560.52</v>
      </c>
      <c r="G95" s="3">
        <v>7560.52</v>
      </c>
      <c r="H95" s="3">
        <v>7560.52</v>
      </c>
      <c r="I95" s="7"/>
    </row>
    <row r="96" spans="1:11">
      <c r="A96" s="1" t="s">
        <v>196</v>
      </c>
      <c r="B96" s="2" t="s">
        <v>197</v>
      </c>
      <c r="C96" s="3">
        <v>26194.880000000001</v>
      </c>
      <c r="D96" s="3">
        <v>0.81</v>
      </c>
      <c r="E96" s="3">
        <v>16600821.609999999</v>
      </c>
      <c r="F96" s="3">
        <v>63062636.109999999</v>
      </c>
      <c r="G96" s="3">
        <v>745835036.34000003</v>
      </c>
      <c r="H96" s="3">
        <v>7591079192.0299997</v>
      </c>
      <c r="I96" s="45">
        <f>F96/H96</f>
        <v>8.3074665030777855E-3</v>
      </c>
      <c r="J96">
        <f>H96/1000000</f>
        <v>7591.0791920299998</v>
      </c>
      <c r="K96">
        <f>F96/1000000</f>
        <v>63.06263611</v>
      </c>
    </row>
    <row r="97" spans="1:11" hidden="1">
      <c r="A97" s="1" t="s">
        <v>198</v>
      </c>
      <c r="B97" s="2" t="s">
        <v>199</v>
      </c>
      <c r="C97" s="3">
        <v>2454.4</v>
      </c>
      <c r="D97" s="3">
        <v>0.38</v>
      </c>
      <c r="E97" s="3">
        <v>15408195.810000001</v>
      </c>
      <c r="F97" s="3">
        <v>22033081.629999999</v>
      </c>
      <c r="G97" s="3">
        <v>19970345.800000001</v>
      </c>
      <c r="H97" s="3">
        <v>29127159.43</v>
      </c>
      <c r="I97" s="3"/>
    </row>
    <row r="98" spans="1:11" hidden="1">
      <c r="A98" s="1" t="s">
        <v>200</v>
      </c>
      <c r="B98" s="2" t="s">
        <v>201</v>
      </c>
      <c r="C98" s="3">
        <v>352.3</v>
      </c>
      <c r="D98" s="3">
        <v>0.38</v>
      </c>
      <c r="E98" s="3">
        <v>2156568.4900000002</v>
      </c>
      <c r="F98" s="3">
        <v>3502808.11</v>
      </c>
      <c r="G98" s="3">
        <v>3140861.86</v>
      </c>
      <c r="H98" s="3">
        <v>5101547.41</v>
      </c>
      <c r="I98" s="3"/>
    </row>
    <row r="99" spans="1:11" hidden="1">
      <c r="A99" s="1" t="s">
        <v>202</v>
      </c>
      <c r="B99" s="2" t="s">
        <v>203</v>
      </c>
      <c r="C99" s="3">
        <v>11285.94</v>
      </c>
      <c r="D99" s="3">
        <v>0.18</v>
      </c>
      <c r="E99" s="3">
        <v>23941571.190000001</v>
      </c>
      <c r="F99" s="3">
        <v>28163062.550000001</v>
      </c>
      <c r="G99" s="3">
        <v>708973331.50999999</v>
      </c>
      <c r="H99" s="3">
        <v>1321793104.1500001</v>
      </c>
      <c r="I99" s="3"/>
    </row>
    <row r="100" spans="1:11" hidden="1">
      <c r="A100" s="1" t="s">
        <v>204</v>
      </c>
      <c r="B100" s="2" t="s">
        <v>205</v>
      </c>
      <c r="C100" s="3">
        <v>1235</v>
      </c>
      <c r="D100" s="3">
        <v>1</v>
      </c>
      <c r="E100" s="3">
        <v>0</v>
      </c>
      <c r="F100" s="3">
        <v>4397900.8899999997</v>
      </c>
      <c r="G100" s="3">
        <v>0</v>
      </c>
      <c r="H100" s="3">
        <v>590586743.97000003</v>
      </c>
      <c r="I100" s="3"/>
    </row>
    <row r="101" spans="1:11" hidden="1">
      <c r="A101" s="1" t="s">
        <v>206</v>
      </c>
      <c r="B101" s="2" t="s">
        <v>207</v>
      </c>
      <c r="C101" s="3">
        <v>8118.85</v>
      </c>
      <c r="D101" s="3">
        <v>0.77</v>
      </c>
      <c r="E101" s="3">
        <v>1789907.29</v>
      </c>
      <c r="F101" s="3">
        <v>3035403.13</v>
      </c>
      <c r="G101" s="3">
        <v>2232339.6</v>
      </c>
      <c r="H101" s="3">
        <v>3794722.83</v>
      </c>
      <c r="I101" s="3"/>
    </row>
    <row r="102" spans="1:11" hidden="1">
      <c r="A102" s="1" t="s">
        <v>208</v>
      </c>
      <c r="B102" s="2" t="s">
        <v>209</v>
      </c>
      <c r="C102" s="3">
        <v>16982.61</v>
      </c>
      <c r="D102" s="3">
        <v>0.24</v>
      </c>
      <c r="E102" s="3">
        <v>134240896.80000001</v>
      </c>
      <c r="F102" s="3">
        <v>189995745.87</v>
      </c>
      <c r="G102" s="3">
        <v>191093415.88999999</v>
      </c>
      <c r="H102" s="3">
        <v>272383135.38</v>
      </c>
      <c r="I102" s="3"/>
    </row>
    <row r="103" spans="1:11" hidden="1">
      <c r="A103" s="1" t="s">
        <v>210</v>
      </c>
      <c r="B103" s="2" t="s">
        <v>211</v>
      </c>
      <c r="C103" s="3">
        <v>879.71</v>
      </c>
      <c r="D103" s="3">
        <v>1</v>
      </c>
      <c r="E103" s="3">
        <v>0</v>
      </c>
      <c r="F103" s="3">
        <v>1940435.01</v>
      </c>
      <c r="G103" s="3">
        <v>0</v>
      </c>
      <c r="H103" s="3">
        <v>223678842.24000001</v>
      </c>
      <c r="I103" s="3"/>
    </row>
    <row r="104" spans="1:11" hidden="1">
      <c r="A104" s="1" t="s">
        <v>212</v>
      </c>
      <c r="B104" s="2" t="s">
        <v>213</v>
      </c>
      <c r="C104" s="3">
        <v>7984.67</v>
      </c>
      <c r="D104" s="3">
        <v>0.96</v>
      </c>
      <c r="E104" s="3">
        <v>1907165.57</v>
      </c>
      <c r="F104" s="3">
        <v>27247243.359999999</v>
      </c>
      <c r="G104" s="3">
        <v>2720541.7</v>
      </c>
      <c r="H104" s="3">
        <v>85500917.459999993</v>
      </c>
      <c r="I104" s="3"/>
    </row>
    <row r="105" spans="1:11" hidden="1">
      <c r="A105" s="1" t="s">
        <v>214</v>
      </c>
      <c r="B105" s="2" t="s">
        <v>215</v>
      </c>
      <c r="C105" s="3">
        <v>12049.08</v>
      </c>
      <c r="D105" s="3">
        <v>0.97</v>
      </c>
      <c r="E105" s="3">
        <v>1694857.32</v>
      </c>
      <c r="F105" s="3">
        <v>31335300.07</v>
      </c>
      <c r="G105" s="3">
        <v>226204608.06</v>
      </c>
      <c r="H105" s="3">
        <v>5970652959.3100004</v>
      </c>
      <c r="I105" s="3"/>
    </row>
    <row r="106" spans="1:11">
      <c r="A106" s="4" t="s">
        <v>216</v>
      </c>
      <c r="B106" s="5" t="s">
        <v>217</v>
      </c>
      <c r="C106" s="6">
        <v>30588.2</v>
      </c>
      <c r="D106" s="6">
        <v>0.01</v>
      </c>
      <c r="E106" s="6">
        <v>205581402.52000001</v>
      </c>
      <c r="F106" s="6">
        <v>206840700.80000001</v>
      </c>
      <c r="G106" s="7">
        <v>3449278976.6700001</v>
      </c>
      <c r="H106" s="6">
        <v>3549221660.8299999</v>
      </c>
      <c r="I106" s="45">
        <f t="shared" ref="I106:I107" si="9">F106/H106</f>
        <v>5.8277763567922518E-2</v>
      </c>
      <c r="J106">
        <f t="shared" ref="J106:J107" si="10">H106/1000000</f>
        <v>3549.22166083</v>
      </c>
      <c r="K106">
        <f t="shared" ref="K106:K107" si="11">F106/1000000</f>
        <v>206.84070080000001</v>
      </c>
    </row>
    <row r="107" spans="1:11">
      <c r="A107" s="1" t="s">
        <v>218</v>
      </c>
      <c r="B107" s="2" t="s">
        <v>219</v>
      </c>
      <c r="C107" s="3">
        <v>6707.21</v>
      </c>
      <c r="D107" s="3">
        <v>0.78</v>
      </c>
      <c r="E107" s="3">
        <v>10611165.380000001</v>
      </c>
      <c r="F107" s="3">
        <v>32221284.969999999</v>
      </c>
      <c r="G107" s="3">
        <v>13040956.77</v>
      </c>
      <c r="H107" s="3">
        <v>39823464.600000001</v>
      </c>
      <c r="I107" s="44">
        <f t="shared" si="9"/>
        <v>0.80910300732598739</v>
      </c>
      <c r="J107">
        <f t="shared" si="10"/>
        <v>39.823464600000001</v>
      </c>
      <c r="K107">
        <f t="shared" si="11"/>
        <v>32.221284969999999</v>
      </c>
    </row>
    <row r="108" spans="1:11" hidden="1">
      <c r="A108" s="1" t="s">
        <v>220</v>
      </c>
      <c r="B108" s="2" t="s">
        <v>221</v>
      </c>
      <c r="C108" s="3">
        <v>5524.5</v>
      </c>
      <c r="D108" s="3">
        <v>1</v>
      </c>
      <c r="E108" s="3">
        <v>0</v>
      </c>
      <c r="F108" s="3">
        <v>45203399.68</v>
      </c>
      <c r="G108" s="3">
        <v>0</v>
      </c>
      <c r="H108" s="3">
        <v>62478128.670000002</v>
      </c>
      <c r="I108" s="3"/>
    </row>
    <row r="109" spans="1:11" hidden="1">
      <c r="A109" s="1" t="s">
        <v>222</v>
      </c>
      <c r="B109" s="2" t="s">
        <v>223</v>
      </c>
      <c r="C109" s="3">
        <v>10541.5</v>
      </c>
      <c r="D109" s="3">
        <v>1</v>
      </c>
      <c r="E109" s="3">
        <v>0</v>
      </c>
      <c r="F109" s="3">
        <v>37386840.890000001</v>
      </c>
      <c r="G109" s="3">
        <v>0</v>
      </c>
      <c r="H109" s="3">
        <v>1073682421.58</v>
      </c>
      <c r="I109" s="3"/>
    </row>
    <row r="110" spans="1:11" hidden="1">
      <c r="A110" s="1" t="s">
        <v>224</v>
      </c>
      <c r="B110" s="2" t="s">
        <v>225</v>
      </c>
      <c r="C110" s="3">
        <v>2520</v>
      </c>
      <c r="D110" s="3">
        <v>0</v>
      </c>
      <c r="E110" s="3">
        <v>3146862.4</v>
      </c>
      <c r="F110" s="3">
        <v>3146862.4</v>
      </c>
      <c r="G110" s="3">
        <v>477007584.44999999</v>
      </c>
      <c r="H110" s="3">
        <v>477007584.44999999</v>
      </c>
      <c r="I110" s="3"/>
    </row>
    <row r="111" spans="1:11" hidden="1">
      <c r="A111" s="1" t="s">
        <v>226</v>
      </c>
      <c r="B111" s="2" t="s">
        <v>227</v>
      </c>
      <c r="C111" s="3">
        <v>278</v>
      </c>
      <c r="D111" s="3">
        <v>1</v>
      </c>
      <c r="E111" s="3">
        <v>0</v>
      </c>
      <c r="F111" s="3">
        <v>856439.68</v>
      </c>
      <c r="G111" s="3">
        <v>0</v>
      </c>
      <c r="H111" s="3">
        <v>1046964.87</v>
      </c>
      <c r="I111" s="6"/>
    </row>
    <row r="112" spans="1:11">
      <c r="A112" s="1" t="s">
        <v>228</v>
      </c>
      <c r="B112" s="2" t="s">
        <v>229</v>
      </c>
      <c r="C112" s="3">
        <v>12162.75</v>
      </c>
      <c r="D112" s="3">
        <v>0.01</v>
      </c>
      <c r="E112" s="3">
        <v>77961482.700000003</v>
      </c>
      <c r="F112" s="3">
        <v>78125426.680000007</v>
      </c>
      <c r="G112" s="3">
        <v>2006774708.22</v>
      </c>
      <c r="H112" s="3">
        <v>2030683206.3699999</v>
      </c>
      <c r="I112" s="44">
        <f t="shared" ref="I112" si="12">F112/H112</f>
        <v>3.8472483760603471E-2</v>
      </c>
      <c r="J112">
        <f>H112/1000000</f>
        <v>2030.6832063699999</v>
      </c>
      <c r="K112">
        <f>F112/1000000</f>
        <v>78.125426680000004</v>
      </c>
    </row>
    <row r="113" spans="1:11" ht="15.75" hidden="1" thickBot="1">
      <c r="A113" s="4" t="s">
        <v>230</v>
      </c>
      <c r="B113" s="5" t="s">
        <v>231</v>
      </c>
      <c r="C113" s="6">
        <v>198123</v>
      </c>
      <c r="D113" s="6">
        <v>0.09</v>
      </c>
      <c r="E113" s="7">
        <v>1032112016.26</v>
      </c>
      <c r="F113" s="7">
        <v>1171659080.47</v>
      </c>
      <c r="G113" s="7">
        <v>37918425861.510002</v>
      </c>
      <c r="H113" s="7">
        <v>39312825257.970001</v>
      </c>
      <c r="I113" s="10"/>
    </row>
    <row r="114" spans="1:11" hidden="1">
      <c r="A114" s="1" t="s">
        <v>232</v>
      </c>
      <c r="B114" s="2" t="s">
        <v>233</v>
      </c>
      <c r="C114" s="3">
        <v>77.2</v>
      </c>
      <c r="D114" s="3">
        <v>1</v>
      </c>
      <c r="E114" s="3">
        <v>0</v>
      </c>
      <c r="F114" s="3">
        <v>767575.32</v>
      </c>
      <c r="G114" s="3">
        <v>0</v>
      </c>
      <c r="H114" s="3">
        <v>1117909.3400000001</v>
      </c>
      <c r="I114" s="3"/>
    </row>
    <row r="115" spans="1:11" hidden="1">
      <c r="A115" s="1" t="s">
        <v>234</v>
      </c>
      <c r="B115" s="2" t="s">
        <v>235</v>
      </c>
      <c r="C115" s="3">
        <v>64792.38</v>
      </c>
      <c r="D115" s="3">
        <v>0.6</v>
      </c>
      <c r="E115" s="3">
        <v>48294923.82</v>
      </c>
      <c r="F115" s="3">
        <v>75383161.530000001</v>
      </c>
      <c r="G115" s="3">
        <v>65936701.899999999</v>
      </c>
      <c r="H115" s="3">
        <v>359812570.61000001</v>
      </c>
      <c r="I115" s="3"/>
    </row>
    <row r="116" spans="1:11" hidden="1">
      <c r="A116" s="1" t="s">
        <v>236</v>
      </c>
      <c r="B116" s="2" t="s">
        <v>237</v>
      </c>
      <c r="C116" s="3">
        <v>475.4</v>
      </c>
      <c r="D116" s="3">
        <v>0.86</v>
      </c>
      <c r="E116" s="3">
        <v>2914.12</v>
      </c>
      <c r="F116" s="3">
        <v>125017.81</v>
      </c>
      <c r="G116" s="3">
        <v>2914.12</v>
      </c>
      <c r="H116" s="3">
        <v>12168197.210000001</v>
      </c>
      <c r="I116" s="3"/>
    </row>
    <row r="117" spans="1:11" hidden="1">
      <c r="A117" s="1" t="s">
        <v>238</v>
      </c>
      <c r="B117" s="2" t="s">
        <v>239</v>
      </c>
      <c r="C117" s="3">
        <v>4565.5</v>
      </c>
      <c r="D117" s="3">
        <v>0</v>
      </c>
      <c r="E117" s="3">
        <v>12997428.380000001</v>
      </c>
      <c r="F117" s="3">
        <v>12997428.380000001</v>
      </c>
      <c r="G117" s="3">
        <v>2531480618.0700002</v>
      </c>
      <c r="H117" s="3">
        <v>2531480618.0700002</v>
      </c>
      <c r="I117" s="3"/>
    </row>
    <row r="118" spans="1:11" hidden="1">
      <c r="A118" s="1" t="s">
        <v>240</v>
      </c>
      <c r="B118" s="2" t="s">
        <v>241</v>
      </c>
      <c r="C118" s="3">
        <v>12985.88</v>
      </c>
      <c r="D118" s="3">
        <v>1</v>
      </c>
      <c r="E118" s="3">
        <v>0</v>
      </c>
      <c r="F118" s="3">
        <v>24721341.289999999</v>
      </c>
      <c r="G118" s="3">
        <v>0</v>
      </c>
      <c r="H118" s="3">
        <v>2401930767.27</v>
      </c>
      <c r="I118" s="3"/>
    </row>
    <row r="119" spans="1:11" hidden="1">
      <c r="A119" s="1" t="s">
        <v>242</v>
      </c>
      <c r="B119" s="2" t="s">
        <v>243</v>
      </c>
      <c r="C119" s="3">
        <v>60</v>
      </c>
      <c r="D119" s="3">
        <v>1</v>
      </c>
      <c r="E119" s="3">
        <v>0</v>
      </c>
      <c r="F119" s="3">
        <v>173334.95</v>
      </c>
      <c r="G119" s="3">
        <v>0</v>
      </c>
      <c r="H119" s="3">
        <v>25278014.079999998</v>
      </c>
      <c r="I119" s="3"/>
    </row>
    <row r="120" spans="1:11">
      <c r="A120" s="1" t="s">
        <v>244</v>
      </c>
      <c r="B120" s="2" t="s">
        <v>245</v>
      </c>
      <c r="C120" s="3">
        <v>4140.91</v>
      </c>
      <c r="D120" s="3">
        <v>0</v>
      </c>
      <c r="E120" s="3">
        <v>47607036.57</v>
      </c>
      <c r="F120" s="3">
        <v>47607036.57</v>
      </c>
      <c r="G120" s="3">
        <v>125451673.54000001</v>
      </c>
      <c r="H120" s="3">
        <v>125451673.54000001</v>
      </c>
      <c r="I120" s="44">
        <f t="shared" ref="I120:I121" si="13">F120/H120</f>
        <v>0.37948506565614365</v>
      </c>
      <c r="J120">
        <f t="shared" ref="J120:J121" si="14">H120/1000000</f>
        <v>125.45167354</v>
      </c>
      <c r="K120">
        <f t="shared" ref="K120:K121" si="15">F120/1000000</f>
        <v>47.607036569999998</v>
      </c>
    </row>
    <row r="121" spans="1:11">
      <c r="A121" s="1" t="s">
        <v>246</v>
      </c>
      <c r="B121" s="2" t="s">
        <v>247</v>
      </c>
      <c r="C121" s="3">
        <v>1938</v>
      </c>
      <c r="D121" s="3">
        <v>0</v>
      </c>
      <c r="E121" s="3">
        <v>22523114.210000001</v>
      </c>
      <c r="F121" s="3">
        <v>22523114.210000001</v>
      </c>
      <c r="G121" s="3">
        <v>143368590.66999999</v>
      </c>
      <c r="H121" s="3">
        <v>143368590.66999999</v>
      </c>
      <c r="I121" s="44">
        <f t="shared" si="13"/>
        <v>0.15709936259220678</v>
      </c>
      <c r="J121">
        <f t="shared" si="14"/>
        <v>143.36859066999997</v>
      </c>
      <c r="K121">
        <f t="shared" si="15"/>
        <v>22.523114209999999</v>
      </c>
    </row>
    <row r="122" spans="1:11" hidden="1">
      <c r="A122" s="4" t="s">
        <v>248</v>
      </c>
      <c r="B122" s="5" t="s">
        <v>249</v>
      </c>
      <c r="C122" s="6">
        <v>47579.3</v>
      </c>
      <c r="D122" s="6">
        <v>0.18</v>
      </c>
      <c r="E122" s="7">
        <v>316054666.31</v>
      </c>
      <c r="F122" s="6">
        <v>350838120.32999998</v>
      </c>
      <c r="G122" s="6">
        <v>388012759.58999997</v>
      </c>
      <c r="H122" s="6">
        <v>2187960323.23</v>
      </c>
      <c r="I122" s="3"/>
    </row>
    <row r="123" spans="1:11">
      <c r="A123" s="4" t="s">
        <v>250</v>
      </c>
      <c r="B123" s="5" t="s">
        <v>251</v>
      </c>
      <c r="C123" s="6">
        <v>51735.54</v>
      </c>
      <c r="D123" s="6">
        <v>0.55000000000000004</v>
      </c>
      <c r="E123" s="6">
        <v>214854878.08000001</v>
      </c>
      <c r="F123" s="6">
        <v>321553527</v>
      </c>
      <c r="G123" s="7">
        <v>3257080689.9200001</v>
      </c>
      <c r="H123" s="6">
        <v>4047753250.5799999</v>
      </c>
      <c r="I123" s="46">
        <f>F123/H123</f>
        <v>7.9440002167603677E-2</v>
      </c>
      <c r="J123">
        <f>H123/1000000</f>
        <v>4047.75325058</v>
      </c>
      <c r="K123">
        <f>F123/1000000</f>
        <v>321.55352699999997</v>
      </c>
    </row>
    <row r="124" spans="1:11" hidden="1">
      <c r="A124" s="1" t="s">
        <v>252</v>
      </c>
      <c r="B124" s="2" t="s">
        <v>253</v>
      </c>
      <c r="C124" s="3">
        <v>2219.3000000000002</v>
      </c>
      <c r="D124" s="3">
        <v>0.95</v>
      </c>
      <c r="E124" s="3">
        <v>2380.9</v>
      </c>
      <c r="F124" s="3">
        <v>1491990.68</v>
      </c>
      <c r="G124" s="3">
        <v>2380.9</v>
      </c>
      <c r="H124" s="3">
        <v>350156862.68000001</v>
      </c>
      <c r="I124" s="6"/>
    </row>
    <row r="125" spans="1:11" hidden="1">
      <c r="A125" s="1" t="s">
        <v>254</v>
      </c>
      <c r="B125" s="2" t="s">
        <v>255</v>
      </c>
      <c r="C125" s="3">
        <v>2200</v>
      </c>
      <c r="D125" s="3">
        <v>0</v>
      </c>
      <c r="E125" s="3">
        <v>9500295.2699999996</v>
      </c>
      <c r="F125" s="3">
        <v>9500295.2699999996</v>
      </c>
      <c r="G125" s="3">
        <v>13419238.41</v>
      </c>
      <c r="H125" s="3">
        <v>13419238.41</v>
      </c>
      <c r="I125" s="3"/>
    </row>
    <row r="126" spans="1:11">
      <c r="A126" s="1" t="s">
        <v>256</v>
      </c>
      <c r="B126" s="2" t="s">
        <v>257</v>
      </c>
      <c r="C126" s="3">
        <v>14115.77</v>
      </c>
      <c r="D126" s="3">
        <v>0.98</v>
      </c>
      <c r="E126" s="3">
        <v>378909.91</v>
      </c>
      <c r="F126" s="3">
        <v>68701420.579999998</v>
      </c>
      <c r="G126" s="3">
        <v>89680440.599999994</v>
      </c>
      <c r="H126" s="3">
        <v>11408101131.49</v>
      </c>
      <c r="I126" s="44">
        <f>F126/H126</f>
        <v>6.0221609002362496E-3</v>
      </c>
      <c r="J126">
        <f>H126/1000000</f>
        <v>11408.101131490001</v>
      </c>
      <c r="K126">
        <f>F126/1000000</f>
        <v>68.701420580000004</v>
      </c>
    </row>
    <row r="127" spans="1:11" hidden="1">
      <c r="A127" s="1" t="s">
        <v>258</v>
      </c>
      <c r="B127" s="2" t="s">
        <v>259</v>
      </c>
      <c r="C127" s="3">
        <v>3502.9</v>
      </c>
      <c r="D127" s="3">
        <v>0</v>
      </c>
      <c r="E127" s="3">
        <v>57485808.109999999</v>
      </c>
      <c r="F127" s="3">
        <v>57485808.109999999</v>
      </c>
      <c r="G127" s="3">
        <v>1656796993.8</v>
      </c>
      <c r="H127" s="3">
        <v>1656796993.8</v>
      </c>
      <c r="I127" s="3"/>
    </row>
    <row r="128" spans="1:11" hidden="1">
      <c r="A128" s="1" t="s">
        <v>260</v>
      </c>
      <c r="B128" s="2" t="s">
        <v>261</v>
      </c>
      <c r="C128" s="3">
        <v>7703.2</v>
      </c>
      <c r="D128" s="3">
        <v>0.18</v>
      </c>
      <c r="E128" s="3">
        <v>3943419.71</v>
      </c>
      <c r="F128" s="3">
        <v>56334567.32</v>
      </c>
      <c r="G128" s="3">
        <v>5526740.9800000004</v>
      </c>
      <c r="H128" s="3">
        <v>78953442.569999993</v>
      </c>
      <c r="I128" s="3"/>
    </row>
    <row r="129" spans="1:9" hidden="1">
      <c r="A129" s="4" t="s">
        <v>262</v>
      </c>
      <c r="B129" s="5" t="s">
        <v>263</v>
      </c>
      <c r="C129" s="6">
        <v>43452.72</v>
      </c>
      <c r="D129" s="6">
        <v>0.93</v>
      </c>
      <c r="E129" s="6">
        <v>10517357.77</v>
      </c>
      <c r="F129" s="6">
        <v>117146392.38</v>
      </c>
      <c r="G129" s="6">
        <v>358138158.20999998</v>
      </c>
      <c r="H129" s="7">
        <v>12303637559.01</v>
      </c>
      <c r="I129" s="3"/>
    </row>
    <row r="130" spans="1:9" hidden="1">
      <c r="A130" s="1" t="s">
        <v>264</v>
      </c>
      <c r="B130" s="2" t="s">
        <v>265</v>
      </c>
      <c r="C130" s="3">
        <v>822.16</v>
      </c>
      <c r="D130" s="3">
        <v>0.87</v>
      </c>
      <c r="E130" s="3">
        <v>2823.26</v>
      </c>
      <c r="F130" s="3">
        <v>3446283.25</v>
      </c>
      <c r="G130" s="3">
        <v>2823.26</v>
      </c>
      <c r="H130" s="3">
        <v>4305864.95</v>
      </c>
      <c r="I130" s="3"/>
    </row>
    <row r="131" spans="1:9" hidden="1">
      <c r="A131" s="1" t="s">
        <v>266</v>
      </c>
      <c r="B131" s="2" t="s">
        <v>267</v>
      </c>
      <c r="C131" s="3">
        <v>35985.279999999999</v>
      </c>
      <c r="D131" s="3">
        <v>0.54</v>
      </c>
      <c r="E131" s="3">
        <v>100743741.53</v>
      </c>
      <c r="F131" s="3">
        <v>228794954.09</v>
      </c>
      <c r="G131" s="3">
        <v>129418168.63</v>
      </c>
      <c r="H131" s="3">
        <v>297316568.50999999</v>
      </c>
      <c r="I131" s="3"/>
    </row>
    <row r="132" spans="1:9" hidden="1">
      <c r="A132" s="1" t="s">
        <v>268</v>
      </c>
      <c r="B132" s="2" t="s">
        <v>269</v>
      </c>
      <c r="C132" s="3">
        <v>254</v>
      </c>
      <c r="D132" s="3">
        <v>1</v>
      </c>
      <c r="E132" s="3">
        <v>0</v>
      </c>
      <c r="F132" s="3">
        <v>10747.35</v>
      </c>
      <c r="G132" s="3">
        <v>0</v>
      </c>
      <c r="H132" s="3">
        <v>10747.35</v>
      </c>
      <c r="I132" s="3"/>
    </row>
    <row r="133" spans="1:9" hidden="1">
      <c r="A133" s="1" t="s">
        <v>270</v>
      </c>
      <c r="B133" s="2" t="s">
        <v>271</v>
      </c>
      <c r="C133" s="3">
        <v>99.6</v>
      </c>
      <c r="D133" s="3">
        <v>1</v>
      </c>
      <c r="E133" s="3">
        <v>0</v>
      </c>
      <c r="F133" s="3">
        <v>4676.1000000000004</v>
      </c>
      <c r="G133" s="3">
        <v>0</v>
      </c>
      <c r="H133" s="3">
        <v>4676.1000000000004</v>
      </c>
      <c r="I133" s="3"/>
    </row>
    <row r="134" spans="1:9" hidden="1">
      <c r="A134" s="1" t="s">
        <v>272</v>
      </c>
      <c r="B134" s="2" t="s">
        <v>273</v>
      </c>
      <c r="C134" s="3">
        <v>2308.6</v>
      </c>
      <c r="D134" s="3">
        <v>1</v>
      </c>
      <c r="E134" s="3">
        <v>0</v>
      </c>
      <c r="F134" s="3">
        <v>13791046.300000001</v>
      </c>
      <c r="G134" s="3">
        <v>0</v>
      </c>
      <c r="H134" s="3">
        <v>1418768597.5</v>
      </c>
      <c r="I134" s="6"/>
    </row>
    <row r="135" spans="1:9" hidden="1">
      <c r="A135" s="1" t="s">
        <v>274</v>
      </c>
      <c r="B135" s="2" t="s">
        <v>275</v>
      </c>
      <c r="C135" s="3">
        <v>3231</v>
      </c>
      <c r="D135" s="3">
        <v>0.87</v>
      </c>
      <c r="E135" s="3">
        <v>2957834.65</v>
      </c>
      <c r="F135" s="3">
        <v>3948257.29</v>
      </c>
      <c r="G135" s="3">
        <v>4299470.03</v>
      </c>
      <c r="H135" s="3">
        <v>125238277.41</v>
      </c>
      <c r="I135" s="3"/>
    </row>
    <row r="136" spans="1:9" hidden="1">
      <c r="A136" s="1" t="s">
        <v>276</v>
      </c>
      <c r="B136" s="2" t="s">
        <v>277</v>
      </c>
      <c r="C136" s="3">
        <v>40514.379999999997</v>
      </c>
      <c r="D136" s="3">
        <v>0.47</v>
      </c>
      <c r="E136" s="3">
        <v>1017628.41</v>
      </c>
      <c r="F136" s="3">
        <v>254407103.46000001</v>
      </c>
      <c r="G136" s="3">
        <v>3012130.64</v>
      </c>
      <c r="H136" s="3">
        <v>753032660.97000003</v>
      </c>
      <c r="I136" s="3"/>
    </row>
    <row r="137" spans="1:9" hidden="1">
      <c r="A137" s="1" t="s">
        <v>278</v>
      </c>
      <c r="B137" s="2" t="s">
        <v>279</v>
      </c>
      <c r="C137" s="3">
        <v>3112</v>
      </c>
      <c r="D137" s="3">
        <v>0.04</v>
      </c>
      <c r="E137" s="3">
        <v>7201233.1200000001</v>
      </c>
      <c r="F137" s="3">
        <v>7204800.5499999998</v>
      </c>
      <c r="G137" s="3">
        <v>837013947.76999998</v>
      </c>
      <c r="H137" s="3">
        <v>837017515.20000005</v>
      </c>
      <c r="I137" s="3"/>
    </row>
    <row r="138" spans="1:9" hidden="1">
      <c r="A138" s="1" t="s">
        <v>280</v>
      </c>
      <c r="B138" s="2" t="s">
        <v>281</v>
      </c>
      <c r="C138" s="3">
        <v>260</v>
      </c>
      <c r="D138" s="3">
        <v>0</v>
      </c>
      <c r="E138" s="3">
        <v>2879.63</v>
      </c>
      <c r="F138" s="3">
        <v>2879.63</v>
      </c>
      <c r="G138" s="3">
        <v>2879.63</v>
      </c>
      <c r="H138" s="3">
        <v>2879.63</v>
      </c>
      <c r="I138" s="3"/>
    </row>
    <row r="139" spans="1:9" hidden="1">
      <c r="A139" s="4" t="s">
        <v>282</v>
      </c>
      <c r="B139" s="5" t="s">
        <v>283</v>
      </c>
      <c r="C139" s="6">
        <v>48250.71</v>
      </c>
      <c r="D139" s="6">
        <v>0</v>
      </c>
      <c r="E139" s="7">
        <v>259257331.88999999</v>
      </c>
      <c r="F139" s="6">
        <v>259586015.71000001</v>
      </c>
      <c r="G139" s="7">
        <v>9543782803.2099991</v>
      </c>
      <c r="H139" s="6">
        <v>9544261503.7399998</v>
      </c>
      <c r="I139" s="6"/>
    </row>
    <row r="140" spans="1:9" hidden="1">
      <c r="A140" s="1" t="s">
        <v>284</v>
      </c>
      <c r="B140" s="2" t="s">
        <v>285</v>
      </c>
      <c r="C140" s="3">
        <v>34049.1</v>
      </c>
      <c r="D140" s="3">
        <v>0.98</v>
      </c>
      <c r="E140" s="3">
        <v>499326.5</v>
      </c>
      <c r="F140" s="3">
        <v>1314120.73</v>
      </c>
      <c r="G140" s="3">
        <v>621389.49</v>
      </c>
      <c r="H140" s="3">
        <v>1436183.73</v>
      </c>
      <c r="I140" s="3"/>
    </row>
    <row r="141" spans="1:9" hidden="1">
      <c r="A141" s="1" t="s">
        <v>286</v>
      </c>
      <c r="B141" s="2" t="s">
        <v>287</v>
      </c>
      <c r="C141" s="3">
        <v>71294.05</v>
      </c>
      <c r="D141" s="3">
        <v>0.69</v>
      </c>
      <c r="E141" s="3">
        <v>117347079.73</v>
      </c>
      <c r="F141" s="3">
        <v>337485961.85000002</v>
      </c>
      <c r="G141" s="3">
        <v>150581035.63999999</v>
      </c>
      <c r="H141" s="3">
        <v>11057983731.32</v>
      </c>
      <c r="I141"/>
    </row>
    <row r="142" spans="1:9" hidden="1">
      <c r="A142" s="4" t="s">
        <v>288</v>
      </c>
      <c r="B142" s="5" t="s">
        <v>289</v>
      </c>
      <c r="C142" s="6">
        <v>951959.9</v>
      </c>
      <c r="D142" s="6">
        <v>0.19</v>
      </c>
      <c r="E142" s="7">
        <v>4195481864.9200001</v>
      </c>
      <c r="F142" s="7">
        <v>5376401059.1899996</v>
      </c>
      <c r="G142" s="8">
        <v>102386630678.36</v>
      </c>
      <c r="H142" s="8">
        <v>104211517523.89999</v>
      </c>
      <c r="I142"/>
    </row>
    <row r="143" spans="1:9" hidden="1">
      <c r="A143" s="1" t="s">
        <v>290</v>
      </c>
      <c r="B143" s="2" t="s">
        <v>291</v>
      </c>
      <c r="C143" s="3">
        <v>993</v>
      </c>
      <c r="D143" s="3">
        <v>1</v>
      </c>
      <c r="E143" s="3">
        <v>0</v>
      </c>
      <c r="F143" s="3">
        <v>4578354.7</v>
      </c>
      <c r="G143" s="3">
        <v>0</v>
      </c>
      <c r="H143" s="3">
        <v>483791096.16000003</v>
      </c>
      <c r="I143"/>
    </row>
    <row r="144" spans="1:9" hidden="1">
      <c r="A144" s="1" t="s">
        <v>292</v>
      </c>
      <c r="B144" s="2" t="s">
        <v>293</v>
      </c>
      <c r="C144" s="3">
        <v>11256</v>
      </c>
      <c r="D144" s="3">
        <v>0</v>
      </c>
      <c r="E144" s="3">
        <v>85422300.75</v>
      </c>
      <c r="F144" s="3">
        <v>85422300.75</v>
      </c>
      <c r="G144" s="3">
        <v>2305943170.6999998</v>
      </c>
      <c r="H144" s="3">
        <v>2305943170.6999998</v>
      </c>
      <c r="I144"/>
    </row>
    <row r="145" spans="1:9" hidden="1">
      <c r="A145" s="1" t="s">
        <v>294</v>
      </c>
      <c r="B145" s="2" t="s">
        <v>295</v>
      </c>
      <c r="C145" s="3">
        <v>13473.48</v>
      </c>
      <c r="D145" s="3">
        <v>0.74</v>
      </c>
      <c r="E145" s="3">
        <v>26111854.539999999</v>
      </c>
      <c r="F145" s="3">
        <v>94535382.510000005</v>
      </c>
      <c r="G145" s="3">
        <v>36132232.810000002</v>
      </c>
      <c r="H145" s="3">
        <v>1741784673.8199999</v>
      </c>
      <c r="I145"/>
    </row>
    <row r="146" spans="1:9" hidden="1">
      <c r="A146" s="1" t="s">
        <v>296</v>
      </c>
      <c r="B146" s="2" t="s">
        <v>297</v>
      </c>
      <c r="C146" s="3">
        <v>17590.36</v>
      </c>
      <c r="D146" s="3">
        <v>0.65</v>
      </c>
      <c r="E146" s="3">
        <v>14897863.09</v>
      </c>
      <c r="F146" s="3">
        <v>57463701.939999998</v>
      </c>
      <c r="G146" s="3">
        <v>1394247168.46</v>
      </c>
      <c r="H146" s="3">
        <v>3378078177.6599998</v>
      </c>
      <c r="I146"/>
    </row>
    <row r="147" spans="1:9" hidden="1">
      <c r="A147" s="1" t="s">
        <v>298</v>
      </c>
      <c r="B147" s="2" t="s">
        <v>299</v>
      </c>
      <c r="C147" s="3">
        <v>704.25</v>
      </c>
      <c r="D147" s="3">
        <v>0.67</v>
      </c>
      <c r="E147" s="3">
        <v>8969.17</v>
      </c>
      <c r="F147" s="3">
        <v>27463.200000000001</v>
      </c>
      <c r="G147" s="3">
        <v>8969.17</v>
      </c>
      <c r="H147" s="3">
        <v>27463.200000000001</v>
      </c>
      <c r="I147"/>
    </row>
    <row r="148" spans="1:9" hidden="1">
      <c r="A148" s="1" t="s">
        <v>300</v>
      </c>
      <c r="B148" s="2" t="s">
        <v>301</v>
      </c>
      <c r="C148" s="3">
        <v>130</v>
      </c>
      <c r="D148" s="3">
        <v>0</v>
      </c>
      <c r="E148" s="3">
        <v>8190.57</v>
      </c>
      <c r="F148" s="3">
        <v>8190.57</v>
      </c>
      <c r="G148" s="3">
        <v>8190.57</v>
      </c>
      <c r="H148" s="3">
        <v>8190.57</v>
      </c>
      <c r="I148"/>
    </row>
    <row r="149" spans="1:9" hidden="1">
      <c r="A149" s="1" t="s">
        <v>302</v>
      </c>
      <c r="B149" s="2" t="s">
        <v>303</v>
      </c>
      <c r="C149" s="3">
        <v>1130</v>
      </c>
      <c r="D149" s="3">
        <v>0</v>
      </c>
      <c r="E149" s="3">
        <v>17051186.059999999</v>
      </c>
      <c r="F149" s="3">
        <v>17051186.059999999</v>
      </c>
      <c r="G149" s="3">
        <v>20895712.359999999</v>
      </c>
      <c r="H149" s="3">
        <v>20895712.359999999</v>
      </c>
      <c r="I149"/>
    </row>
    <row r="163" spans="1:10">
      <c r="A163" s="62" t="s">
        <v>304</v>
      </c>
      <c r="B163" s="62"/>
      <c r="C163" s="62"/>
      <c r="D163" s="62"/>
      <c r="E163" s="62"/>
      <c r="F163" s="62"/>
      <c r="G163" s="62"/>
      <c r="H163" s="62"/>
      <c r="I163" s="62"/>
      <c r="J163" s="62"/>
    </row>
    <row r="164" spans="1:10">
      <c r="A164" s="62"/>
      <c r="B164" s="62"/>
      <c r="C164" s="62"/>
      <c r="D164" s="62"/>
      <c r="E164" s="62"/>
      <c r="F164" s="62"/>
      <c r="G164" s="62"/>
      <c r="H164" s="62"/>
      <c r="I164" s="62"/>
      <c r="J164" s="62"/>
    </row>
    <row r="165" spans="1:10">
      <c r="A165" s="62"/>
      <c r="B165" s="62"/>
      <c r="C165" s="62"/>
      <c r="D165" s="62"/>
      <c r="E165" s="62"/>
      <c r="F165" s="62"/>
      <c r="G165" s="62"/>
      <c r="H165" s="62"/>
      <c r="I165" s="62"/>
      <c r="J165" s="62"/>
    </row>
    <row r="166" spans="1:10">
      <c r="A166" s="62"/>
      <c r="B166" s="62"/>
      <c r="C166" s="62"/>
      <c r="D166" s="62"/>
      <c r="E166" s="62"/>
      <c r="F166" s="62"/>
      <c r="G166" s="62"/>
      <c r="H166" s="62"/>
      <c r="I166" s="62"/>
      <c r="J166" s="62"/>
    </row>
    <row r="167" spans="1:10">
      <c r="A167" s="62"/>
      <c r="B167" s="62"/>
      <c r="C167" s="62"/>
      <c r="D167" s="62"/>
      <c r="E167" s="62"/>
      <c r="F167" s="62"/>
      <c r="G167" s="62"/>
      <c r="H167" s="62"/>
      <c r="I167" s="62"/>
      <c r="J167" s="62"/>
    </row>
    <row r="168" spans="1:10">
      <c r="A168" s="62"/>
      <c r="B168" s="62"/>
      <c r="C168" s="62"/>
      <c r="D168" s="62"/>
      <c r="E168" s="62"/>
      <c r="F168" s="62"/>
      <c r="G168" s="62"/>
      <c r="H168" s="62"/>
      <c r="I168" s="62"/>
      <c r="J168" s="62"/>
    </row>
    <row r="169" spans="1:10">
      <c r="A169" s="62"/>
      <c r="B169" s="62"/>
      <c r="C169" s="62"/>
      <c r="D169" s="62"/>
      <c r="E169" s="62"/>
      <c r="F169" s="62"/>
      <c r="G169" s="62"/>
      <c r="H169" s="62"/>
      <c r="I169" s="62"/>
      <c r="J169" s="62"/>
    </row>
    <row r="170" spans="1:10">
      <c r="A170" s="62"/>
      <c r="B170" s="62"/>
      <c r="C170" s="62"/>
      <c r="D170" s="62"/>
      <c r="E170" s="62"/>
      <c r="F170" s="62"/>
      <c r="G170" s="62"/>
      <c r="H170" s="62"/>
      <c r="I170" s="62"/>
      <c r="J170" s="62"/>
    </row>
    <row r="171" spans="1:10">
      <c r="A171" s="62"/>
      <c r="B171" s="62"/>
      <c r="C171" s="62"/>
      <c r="D171" s="62"/>
      <c r="E171" s="62"/>
      <c r="F171" s="62"/>
      <c r="G171" s="62"/>
      <c r="H171" s="62"/>
      <c r="I171" s="62"/>
      <c r="J171" s="62"/>
    </row>
    <row r="172" spans="1:10">
      <c r="A172" s="62"/>
      <c r="B172" s="62"/>
      <c r="C172" s="62"/>
      <c r="D172" s="62"/>
      <c r="E172" s="62"/>
      <c r="F172" s="62"/>
      <c r="G172" s="62"/>
      <c r="H172" s="62"/>
      <c r="I172" s="62"/>
      <c r="J172" s="62"/>
    </row>
    <row r="173" spans="1:10">
      <c r="A173" s="62"/>
      <c r="B173" s="62"/>
      <c r="C173" s="62"/>
      <c r="D173" s="62"/>
      <c r="E173" s="62"/>
      <c r="F173" s="62"/>
      <c r="G173" s="62"/>
      <c r="H173" s="62"/>
      <c r="I173" s="62"/>
      <c r="J173" s="62"/>
    </row>
  </sheetData>
  <autoFilter ref="A1:H149" xr:uid="{FBA8F322-CA0C-4FE3-978A-1942953222F6}">
    <filterColumn colId="0">
      <filters>
        <filter val="Austria"/>
        <filter val="Belgium"/>
        <filter val="Bulgaria"/>
        <filter val="Croatia"/>
        <filter val="Cyprus"/>
        <filter val="Czech Republic"/>
        <filter val="Denmark"/>
        <filter val="Estonia"/>
        <filter val="Finland"/>
        <filter val="France"/>
        <filter val="Germany"/>
        <filter val="Greece"/>
        <filter val="Hungary"/>
        <filter val="Ireland"/>
        <filter val="Italy"/>
        <filter val="Latvia"/>
        <filter val="Lithuania"/>
        <filter val="Luxembourg"/>
        <filter val="Malta"/>
        <filter val="Netherlands"/>
        <filter val="Poland"/>
        <filter val="Portugal"/>
        <filter val="Romania"/>
        <filter val="Slovakia"/>
        <filter val="Slovenia"/>
        <filter val="Spain"/>
        <filter val="Sweden"/>
      </filters>
    </filterColumn>
  </autoFilter>
  <mergeCells count="1">
    <mergeCell ref="A163:J17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911B-3851-47D4-A3D3-2D7A80A0F945}">
  <sheetPr>
    <tabColor rgb="FF92D050"/>
  </sheetPr>
  <dimension ref="A1:AA30"/>
  <sheetViews>
    <sheetView tabSelected="1" zoomScale="70" zoomScaleNormal="70" workbookViewId="0">
      <pane xSplit="1" topLeftCell="G1" activePane="topRight" state="frozen"/>
      <selection pane="topRight" activeCell="Q10" sqref="Q10"/>
    </sheetView>
  </sheetViews>
  <sheetFormatPr defaultRowHeight="33" customHeight="1"/>
  <cols>
    <col min="1" max="1" width="14" style="54" bestFit="1" customWidth="1"/>
    <col min="2" max="2" width="14.7109375" customWidth="1"/>
    <col min="3" max="3" width="13.28515625" customWidth="1"/>
    <col min="4" max="4" width="22.28515625" customWidth="1"/>
    <col min="5" max="5" width="15.28515625" customWidth="1"/>
    <col min="6" max="6" width="21.28515625" customWidth="1"/>
    <col min="7" max="7" width="15.5703125" customWidth="1"/>
    <col min="8" max="8" width="18.85546875" customWidth="1"/>
    <col min="9" max="9" width="17.5703125" customWidth="1"/>
    <col min="10" max="10" width="19.7109375" customWidth="1"/>
    <col min="11" max="11" width="15.5703125" customWidth="1"/>
    <col min="12" max="12" width="18.28515625" customWidth="1"/>
    <col min="13" max="13" width="25.7109375" customWidth="1"/>
    <col min="14" max="14" width="21.7109375" customWidth="1"/>
    <col min="15" max="15" width="21" customWidth="1"/>
    <col min="16" max="19" width="21.7109375" customWidth="1"/>
    <col min="20" max="20" width="17.7109375" customWidth="1"/>
    <col min="21" max="21" width="16.7109375" customWidth="1"/>
    <col min="22" max="22" width="16.5703125" hidden="1" customWidth="1"/>
    <col min="23" max="23" width="17" customWidth="1"/>
    <col min="24" max="24" width="13.140625" customWidth="1"/>
    <col min="25" max="25" width="12.28515625" customWidth="1"/>
    <col min="26" max="26" width="15.7109375" customWidth="1"/>
  </cols>
  <sheetData>
    <row r="1" spans="1:27" ht="33" customHeight="1">
      <c r="T1" s="83" t="s">
        <v>1478</v>
      </c>
      <c r="U1" s="83"/>
      <c r="V1" s="83"/>
      <c r="W1" s="83"/>
      <c r="X1" s="83"/>
      <c r="Y1" s="83"/>
      <c r="Z1" s="83"/>
      <c r="AA1" s="83"/>
    </row>
    <row r="2" spans="1:27" s="52" customFormat="1" ht="60">
      <c r="A2" s="51" t="s">
        <v>0</v>
      </c>
      <c r="B2" s="51" t="s">
        <v>1</v>
      </c>
      <c r="C2" s="51" t="s">
        <v>2</v>
      </c>
      <c r="D2" s="51" t="s">
        <v>3</v>
      </c>
      <c r="E2" s="51" t="s">
        <v>4</v>
      </c>
      <c r="F2" s="51" t="s">
        <v>5</v>
      </c>
      <c r="G2" s="51" t="s">
        <v>6</v>
      </c>
      <c r="H2" s="51" t="s">
        <v>7</v>
      </c>
      <c r="I2" s="51" t="s">
        <v>1409</v>
      </c>
      <c r="J2" s="51" t="s">
        <v>1435</v>
      </c>
      <c r="K2" s="51" t="s">
        <v>1412</v>
      </c>
      <c r="L2" s="51" t="s">
        <v>1413</v>
      </c>
      <c r="M2" s="51" t="s">
        <v>1438</v>
      </c>
      <c r="N2" s="51" t="s">
        <v>1439</v>
      </c>
      <c r="O2" s="51" t="s">
        <v>1414</v>
      </c>
      <c r="P2" s="51" t="s">
        <v>1415</v>
      </c>
      <c r="Q2" s="51" t="s">
        <v>1436</v>
      </c>
      <c r="R2" s="51" t="s">
        <v>1437</v>
      </c>
      <c r="S2" s="51"/>
      <c r="T2" s="55" t="s">
        <v>1440</v>
      </c>
      <c r="U2" s="55" t="s">
        <v>1441</v>
      </c>
      <c r="V2" s="55" t="s">
        <v>1442</v>
      </c>
      <c r="W2" s="55" t="s">
        <v>1443</v>
      </c>
      <c r="X2" s="55" t="s">
        <v>1468</v>
      </c>
      <c r="Y2" s="55" t="s">
        <v>1467</v>
      </c>
      <c r="Z2" s="55" t="s">
        <v>1469</v>
      </c>
      <c r="AA2" s="55" t="s">
        <v>1467</v>
      </c>
    </row>
    <row r="3" spans="1:27" ht="33" customHeight="1">
      <c r="A3" s="53" t="s">
        <v>22</v>
      </c>
      <c r="B3" s="49" t="s">
        <v>1445</v>
      </c>
      <c r="C3" s="49">
        <v>7483.4</v>
      </c>
      <c r="D3" s="49">
        <v>0</v>
      </c>
      <c r="E3" s="49">
        <v>23716477.920000002</v>
      </c>
      <c r="F3" s="49">
        <v>23716477.920000002</v>
      </c>
      <c r="G3" s="49">
        <v>1121264299.73</v>
      </c>
      <c r="H3" s="49">
        <v>1121264299.73</v>
      </c>
      <c r="I3" s="49">
        <v>2.115155001876981E-2</v>
      </c>
      <c r="J3" s="50">
        <f>1-I3</f>
        <v>0.97884844998123022</v>
      </c>
      <c r="K3" s="49">
        <v>1121.2642997299999</v>
      </c>
      <c r="L3" s="49">
        <v>23.716477920000003</v>
      </c>
      <c r="M3" s="49">
        <v>71.639258399999989</v>
      </c>
      <c r="N3" s="49">
        <v>67.240763999999999</v>
      </c>
      <c r="O3" s="49" cm="1">
        <f t="array" ref="O3">INDEX(water_abstraction_EU_EEA!$J$55:$J$4515, MATCH(1, (water_abstraction_EU_EEA!$F$55:$F$4515=$A3)*(water_abstraction_EU_EEA!$I$55:$I$4515=2018), 0))</f>
        <v>1171.5999999999999</v>
      </c>
      <c r="P3" s="49" cm="1">
        <f t="array" ref="P3">INDEX(water_abstraction_EU_EEA!$J$55:$J$4515, MATCH(1, (water_abstraction_EU_EEA!$F$55:$F$4515=$A3)*(water_abstraction_EU_EEA!$I$55:$I$4515=2021), 0))</f>
        <v>1495.1</v>
      </c>
      <c r="Q3" s="49">
        <f>O3*$J3</f>
        <v>1146.8188439980092</v>
      </c>
      <c r="R3" s="49">
        <f>P3*$J3</f>
        <v>1463.4763175669373</v>
      </c>
      <c r="S3" s="49">
        <f>P3-R3</f>
        <v>31.62368243306264</v>
      </c>
      <c r="T3" s="49">
        <f>O3/(1000*M3)</f>
        <v>1.6354161477472803E-2</v>
      </c>
      <c r="U3" s="49">
        <f>P3/(1000*N3)</f>
        <v>2.2235023980393797E-2</v>
      </c>
      <c r="V3" s="49">
        <f>Q3/(1000*M3)</f>
        <v>1.6008245612967001E-2</v>
      </c>
      <c r="W3" s="49">
        <f>R3/(1000*N3)</f>
        <v>2.1764718758503953E-2</v>
      </c>
      <c r="X3" s="49" t="str">
        <f>B3&amp;"WPWR"</f>
        <v>ATWPWR</v>
      </c>
      <c r="Y3" s="49">
        <f>ROUND(U3,5)</f>
        <v>2.2239999999999999E-2</v>
      </c>
      <c r="Z3" s="49" t="str">
        <f>B3&amp;"WRUN"</f>
        <v>ATWRUN</v>
      </c>
      <c r="AA3" s="49">
        <f>ROUND(W3,5)</f>
        <v>2.1760000000000002E-2</v>
      </c>
    </row>
    <row r="4" spans="1:27" ht="33" customHeight="1">
      <c r="A4" s="53" t="s">
        <v>36</v>
      </c>
      <c r="B4" s="49" t="s">
        <v>1446</v>
      </c>
      <c r="C4" s="49">
        <v>12111</v>
      </c>
      <c r="D4" s="49">
        <v>0.35</v>
      </c>
      <c r="E4" s="49">
        <v>69115201.609999999</v>
      </c>
      <c r="F4" s="49">
        <v>115585583.45999999</v>
      </c>
      <c r="G4" s="49">
        <v>172683277.81</v>
      </c>
      <c r="H4" s="49">
        <v>246490623.22</v>
      </c>
      <c r="I4" s="49">
        <v>0.46892487004195904</v>
      </c>
      <c r="J4" s="50">
        <f t="shared" ref="J4:J29" si="0">1-I4</f>
        <v>0.53107512995804096</v>
      </c>
      <c r="K4" s="49">
        <v>246.49062322</v>
      </c>
      <c r="L4" s="49">
        <v>115.58558346</v>
      </c>
      <c r="M4" s="49">
        <v>222.36336</v>
      </c>
      <c r="N4" s="49">
        <v>291.61187999999999</v>
      </c>
      <c r="O4" s="49" cm="1">
        <f t="array" ref="O4">INDEX(water_abstraction_EU_EEA!$J$55:$J$4515, MATCH(1, (water_abstraction_EU_EEA!$F$55:$F$4515=$A4)*(water_abstraction_EU_EEA!$I$55:$I$4515=2018), 0))</f>
        <v>2239.6999999999998</v>
      </c>
      <c r="P4" s="49" cm="1">
        <f t="array" ref="P4">INDEX(water_abstraction_EU_EEA!$J$55:$J$4515, MATCH(1, (water_abstraction_EU_EEA!$F$55:$F$4515=$A4)*(water_abstraction_EU_EEA!$I$55:$I$4515=2021), 0))</f>
        <v>2256.5</v>
      </c>
      <c r="Q4" s="49">
        <f t="shared" ref="Q4:Q29" si="1">O4*$J4</f>
        <v>1189.4489685670242</v>
      </c>
      <c r="R4" s="49">
        <f t="shared" ref="R4:R29" si="2">P4*$J4</f>
        <v>1198.3710307503195</v>
      </c>
      <c r="S4" s="49">
        <f t="shared" ref="S4:S29" si="3">P4-R4</f>
        <v>1058.1289692496805</v>
      </c>
      <c r="T4" s="49">
        <f t="shared" ref="T4:T29" si="4">O4/(1000*M4)</f>
        <v>1.0072252910731336E-2</v>
      </c>
      <c r="U4" s="49">
        <f t="shared" ref="U4:U29" si="5">P4/(1000*N4)</f>
        <v>7.7380249391760031E-3</v>
      </c>
      <c r="V4" s="49">
        <f t="shared" ref="V4:V29" si="6">Q4/(1000*M4)</f>
        <v>5.3491230235369006E-3</v>
      </c>
      <c r="W4" s="49">
        <f t="shared" ref="W4:W29" si="7">R4/(1000*N4)</f>
        <v>4.1094726001914585E-3</v>
      </c>
      <c r="X4" s="49" t="str">
        <f>B4&amp;"WPWR"</f>
        <v>BEWPWR</v>
      </c>
      <c r="Y4" s="49">
        <f t="shared" ref="Y4:Y29" si="8">ROUND(U4,5)</f>
        <v>7.7400000000000004E-3</v>
      </c>
      <c r="Z4" s="49" t="str">
        <f>B4&amp;"WRUN"</f>
        <v>BEWRUN</v>
      </c>
      <c r="AA4" s="49">
        <f t="shared" ref="AA4:AA29" si="9">ROUND(W4,5)</f>
        <v>4.1099999999999999E-3</v>
      </c>
    </row>
    <row r="5" spans="1:27" ht="33" customHeight="1">
      <c r="A5" s="53" t="s">
        <v>48</v>
      </c>
      <c r="B5" s="49" t="s">
        <v>1447</v>
      </c>
      <c r="C5" s="49">
        <v>8007.18</v>
      </c>
      <c r="D5" s="49">
        <v>0.03</v>
      </c>
      <c r="E5" s="49">
        <v>58187097.390000001</v>
      </c>
      <c r="F5" s="49">
        <v>59269781.899999999</v>
      </c>
      <c r="G5" s="49">
        <v>2845245482.6999998</v>
      </c>
      <c r="H5" s="49">
        <v>2846822322.2399998</v>
      </c>
      <c r="I5" s="49">
        <v>2.0819628059317745E-2</v>
      </c>
      <c r="J5" s="50">
        <f t="shared" si="0"/>
        <v>0.9791803719406823</v>
      </c>
      <c r="K5" s="49">
        <v>2846.8223222399997</v>
      </c>
      <c r="L5" s="49">
        <v>59.269781899999998</v>
      </c>
      <c r="M5" s="49">
        <v>139.43437200000002</v>
      </c>
      <c r="N5" s="49">
        <v>142.43580360000001</v>
      </c>
      <c r="O5" s="49" cm="1">
        <f t="array" ref="O5">INDEX(water_abstraction_EU_EEA!$J$55:$J$4515, MATCH(1, (water_abstraction_EU_EEA!$F$55:$F$4515=$A5)*(water_abstraction_EU_EEA!$I$55:$I$4515=2018), 0))</f>
        <v>3607.7</v>
      </c>
      <c r="P5" s="49" cm="1">
        <f t="array" ref="P5">INDEX(water_abstraction_EU_EEA!$J$55:$J$4515, MATCH(1, (water_abstraction_EU_EEA!$F$55:$F$4515=$A5)*(water_abstraction_EU_EEA!$I$55:$I$4515=2021), 0))</f>
        <v>3471.7</v>
      </c>
      <c r="Q5" s="49">
        <f t="shared" si="1"/>
        <v>3532.5890278503994</v>
      </c>
      <c r="R5" s="49">
        <f t="shared" si="2"/>
        <v>3399.4204972664666</v>
      </c>
      <c r="S5" s="49">
        <f t="shared" si="3"/>
        <v>72.279502733533263</v>
      </c>
      <c r="T5" s="49">
        <f t="shared" si="4"/>
        <v>2.587382112640059E-2</v>
      </c>
      <c r="U5" s="49">
        <f t="shared" si="5"/>
        <v>2.437378743443969E-2</v>
      </c>
      <c r="V5" s="49">
        <f t="shared" si="6"/>
        <v>2.5335137794075615E-2</v>
      </c>
      <c r="W5" s="49">
        <f t="shared" si="7"/>
        <v>2.3866334245657785E-2</v>
      </c>
      <c r="X5" s="49" t="str">
        <f>B5&amp;"WPWR"</f>
        <v>BGWPWR</v>
      </c>
      <c r="Y5" s="49">
        <f t="shared" si="8"/>
        <v>2.4369999999999999E-2</v>
      </c>
      <c r="Z5" s="49" t="str">
        <f>B5&amp;"WRUN"</f>
        <v>BGWRUN</v>
      </c>
      <c r="AA5" s="49">
        <f t="shared" si="9"/>
        <v>2.3869999999999999E-2</v>
      </c>
    </row>
    <row r="6" spans="1:27" ht="33" customHeight="1">
      <c r="A6" s="53" t="s">
        <v>68</v>
      </c>
      <c r="B6" s="49" t="s">
        <v>1453</v>
      </c>
      <c r="C6" s="49">
        <v>1895.8</v>
      </c>
      <c r="D6" s="49">
        <v>0.34</v>
      </c>
      <c r="E6" s="49">
        <v>499631.38</v>
      </c>
      <c r="F6" s="49">
        <v>1425337.02</v>
      </c>
      <c r="G6" s="49">
        <v>35851621.909999996</v>
      </c>
      <c r="H6" s="49">
        <v>250825123.43000001</v>
      </c>
      <c r="I6" s="49">
        <v>5.6825927184195385E-3</v>
      </c>
      <c r="J6" s="50">
        <f t="shared" si="0"/>
        <v>0.99431740728158047</v>
      </c>
      <c r="K6" s="49">
        <v>250.82512343000002</v>
      </c>
      <c r="L6" s="49">
        <v>1.42533702</v>
      </c>
      <c r="M6" s="49">
        <v>15.9642</v>
      </c>
      <c r="N6" s="49">
        <v>20.452680000000001</v>
      </c>
      <c r="O6" s="49" cm="1">
        <f t="array" ref="O6">INDEX(water_abstraction_EU_EEA!$J$55:$J$4515, MATCH(1, (water_abstraction_EU_EEA!$F$55:$F$4515=$A6)*(water_abstraction_EU_EEA!$I$55:$I$4515=2018), 0))</f>
        <v>165</v>
      </c>
      <c r="P6" s="49" cm="1">
        <f t="array" ref="P6">INDEX(water_abstraction_EU_EEA!$J$55:$J$4515, MATCH(1, (water_abstraction_EU_EEA!$F$55:$F$4515=$A6)*(water_abstraction_EU_EEA!$I$55:$I$4515=2021), 0))</f>
        <v>167.3</v>
      </c>
      <c r="Q6" s="49">
        <f t="shared" si="1"/>
        <v>164.06237220146079</v>
      </c>
      <c r="R6" s="49">
        <f t="shared" si="2"/>
        <v>166.34930223820842</v>
      </c>
      <c r="S6" s="49">
        <f t="shared" si="3"/>
        <v>0.95069776179158794</v>
      </c>
      <c r="T6" s="49">
        <f t="shared" si="4"/>
        <v>1.0335625963092419E-2</v>
      </c>
      <c r="U6" s="49">
        <f t="shared" si="5"/>
        <v>8.1798571140799161E-3</v>
      </c>
      <c r="V6" s="49">
        <f t="shared" si="6"/>
        <v>1.0276892810254243E-2</v>
      </c>
      <c r="W6" s="49">
        <f t="shared" si="7"/>
        <v>8.1333743176057322E-3</v>
      </c>
      <c r="X6" s="49" t="str">
        <f>B6&amp;"WPWR"</f>
        <v>HRWPWR</v>
      </c>
      <c r="Y6" s="49">
        <f t="shared" si="8"/>
        <v>8.1799999999999998E-3</v>
      </c>
      <c r="Z6" s="49" t="str">
        <f>B6&amp;"WRUN"</f>
        <v>HRWRUN</v>
      </c>
      <c r="AA6" s="49">
        <f t="shared" si="9"/>
        <v>8.1300000000000001E-3</v>
      </c>
    </row>
    <row r="7" spans="1:27" ht="33" customHeight="1">
      <c r="A7" s="53" t="s">
        <v>72</v>
      </c>
      <c r="B7" s="49" t="s">
        <v>1448</v>
      </c>
      <c r="C7" s="49">
        <v>1375.3</v>
      </c>
      <c r="D7" s="49">
        <v>1</v>
      </c>
      <c r="E7" s="49">
        <v>0</v>
      </c>
      <c r="F7" s="49">
        <v>1129823.5900000001</v>
      </c>
      <c r="G7" s="49">
        <v>0</v>
      </c>
      <c r="H7" s="49">
        <v>140189075.02000001</v>
      </c>
      <c r="I7" s="49">
        <v>8.0592841477755261E-3</v>
      </c>
      <c r="J7" s="50">
        <f t="shared" si="0"/>
        <v>0.99194071585222443</v>
      </c>
      <c r="K7" s="49">
        <v>140.18907502000002</v>
      </c>
      <c r="L7" s="49">
        <v>1.12982359</v>
      </c>
      <c r="M7" s="49">
        <v>16.704122399999999</v>
      </c>
      <c r="N7" s="49">
        <v>15.856585199999996</v>
      </c>
      <c r="O7" s="49" cm="1">
        <f t="array" ref="O7">INDEX(water_abstraction_EU_EEA!$J$55:$J$4515, MATCH(1, (water_abstraction_EU_EEA!$F$55:$F$4515=$A7)*(water_abstraction_EU_EEA!$I$55:$I$4515=2018), 0))</f>
        <v>0</v>
      </c>
      <c r="P7" s="49" cm="1">
        <f t="array" ref="P7">INDEX(water_abstraction_EU_EEA!$J$55:$J$4515, MATCH(1, (water_abstraction_EU_EEA!$F$55:$F$4515=$A7)*(water_abstraction_EU_EEA!$I$55:$I$4515=2021), 0))</f>
        <v>14.8</v>
      </c>
      <c r="Q7" s="49">
        <f t="shared" si="1"/>
        <v>0</v>
      </c>
      <c r="R7" s="49">
        <f t="shared" si="2"/>
        <v>14.680722594612922</v>
      </c>
      <c r="S7" s="49">
        <f t="shared" si="3"/>
        <v>0.11927740538707887</v>
      </c>
      <c r="T7" s="49">
        <f t="shared" si="4"/>
        <v>0</v>
      </c>
      <c r="U7" s="49">
        <f t="shared" si="5"/>
        <v>9.3336615755074451E-4</v>
      </c>
      <c r="V7" s="49">
        <f t="shared" si="6"/>
        <v>0</v>
      </c>
      <c r="W7" s="49">
        <f t="shared" si="7"/>
        <v>9.2584389447312565E-4</v>
      </c>
      <c r="X7" s="49" t="str">
        <f>B7&amp;"WPWR"</f>
        <v>CYWPWR</v>
      </c>
      <c r="Y7" s="49">
        <f t="shared" si="8"/>
        <v>9.3000000000000005E-4</v>
      </c>
      <c r="Z7" s="49" t="str">
        <f>B7&amp;"WRUN"</f>
        <v>CYWRUN</v>
      </c>
      <c r="AA7" s="49">
        <f t="shared" si="9"/>
        <v>9.3000000000000005E-4</v>
      </c>
    </row>
    <row r="8" spans="1:27" ht="33" customHeight="1">
      <c r="A8" s="53" t="s">
        <v>1430</v>
      </c>
      <c r="B8" s="49" t="s">
        <v>1449</v>
      </c>
      <c r="C8" s="49">
        <v>15424.62</v>
      </c>
      <c r="D8" s="49">
        <v>0</v>
      </c>
      <c r="E8" s="49">
        <v>142138569.18000001</v>
      </c>
      <c r="F8" s="49">
        <v>142138569.18000001</v>
      </c>
      <c r="G8" s="49">
        <v>244942977.31999999</v>
      </c>
      <c r="H8" s="49">
        <v>244942977.31999999</v>
      </c>
      <c r="I8" s="49">
        <v>0.58029248576621328</v>
      </c>
      <c r="J8" s="50">
        <f t="shared" si="0"/>
        <v>0.41970751423378672</v>
      </c>
      <c r="K8" s="49">
        <v>244.94297731999998</v>
      </c>
      <c r="L8" s="49">
        <v>142.13856918000002</v>
      </c>
      <c r="M8" s="49">
        <v>296.13361320000001</v>
      </c>
      <c r="N8" s="49">
        <v>282.26906640000004</v>
      </c>
      <c r="O8" s="49" cm="1">
        <f t="array" ref="O8">INDEX(water_abstraction_EU_EEA!$J$55:$J$4515, MATCH(1, (water_abstraction_EU_EEA!$F$55:$F$4515=$A8)*(water_abstraction_EU_EEA!$I$55:$I$4515=2018), 0))</f>
        <v>408.6</v>
      </c>
      <c r="P8" s="49" cm="1">
        <f t="array" ref="P8">INDEX(water_abstraction_EU_EEA!$J$55:$J$4515, MATCH(1, (water_abstraction_EU_EEA!$F$55:$F$4515=$A8)*(water_abstraction_EU_EEA!$I$55:$I$4515=2021), 0))</f>
        <v>264.5</v>
      </c>
      <c r="Q8" s="49">
        <f t="shared" si="1"/>
        <v>171.49249031592527</v>
      </c>
      <c r="R8" s="49">
        <f t="shared" si="2"/>
        <v>111.01263751483658</v>
      </c>
      <c r="S8" s="49">
        <f t="shared" si="3"/>
        <v>153.48736248516343</v>
      </c>
      <c r="T8" s="49">
        <f t="shared" si="4"/>
        <v>1.3797825771437958E-3</v>
      </c>
      <c r="U8" s="49">
        <f t="shared" si="5"/>
        <v>9.3704918988600852E-4</v>
      </c>
      <c r="V8" s="49">
        <f t="shared" si="6"/>
        <v>5.7910511563611061E-4</v>
      </c>
      <c r="W8" s="49">
        <f t="shared" si="7"/>
        <v>3.9328658620184023E-4</v>
      </c>
      <c r="X8" s="49" t="str">
        <f>B8&amp;"WPWR"</f>
        <v>CZWPWR</v>
      </c>
      <c r="Y8" s="49">
        <f t="shared" si="8"/>
        <v>9.3999999999999997E-4</v>
      </c>
      <c r="Z8" s="49" t="str">
        <f>B8&amp;"WRUN"</f>
        <v>CZWRUN</v>
      </c>
      <c r="AA8" s="49">
        <f t="shared" si="9"/>
        <v>3.8999999999999999E-4</v>
      </c>
    </row>
    <row r="9" spans="1:27" ht="33" customHeight="1">
      <c r="A9" s="53" t="s">
        <v>76</v>
      </c>
      <c r="B9" s="49" t="s">
        <v>681</v>
      </c>
      <c r="C9" s="49">
        <v>6792.79</v>
      </c>
      <c r="D9" s="49">
        <v>0.99</v>
      </c>
      <c r="E9" s="49">
        <v>350.04</v>
      </c>
      <c r="F9" s="49">
        <v>4924215.38</v>
      </c>
      <c r="G9" s="49">
        <v>350.04</v>
      </c>
      <c r="H9" s="49">
        <v>1144283108.8699999</v>
      </c>
      <c r="I9" s="49">
        <v>4.3033191190445441E-3</v>
      </c>
      <c r="J9" s="50">
        <f t="shared" si="0"/>
        <v>0.99569668088095542</v>
      </c>
      <c r="K9" s="49">
        <v>1144.28310887</v>
      </c>
      <c r="L9" s="49">
        <v>4.9242153799999997</v>
      </c>
      <c r="M9" s="49">
        <v>55.799902799999998</v>
      </c>
      <c r="N9" s="49">
        <v>56.415365999999999</v>
      </c>
      <c r="O9" s="49" cm="1">
        <f t="array" ref="O9">INDEX(water_abstraction_EU_EEA!$J$55:$J$4515, MATCH(1, (water_abstraction_EU_EEA!$F$55:$F$4515=$A9)*(water_abstraction_EU_EEA!$I$55:$I$4515=2018), 0))</f>
        <v>2.9</v>
      </c>
      <c r="P9" s="49" cm="1">
        <f t="array" ref="P9">INDEX(water_abstraction_EU_EEA!$J$55:$J$4515, MATCH(1, (water_abstraction_EU_EEA!$F$55:$F$4515=$A9)*(water_abstraction_EU_EEA!$I$55:$I$4515=2021), 0))</f>
        <v>3.5</v>
      </c>
      <c r="Q9" s="49">
        <f t="shared" si="1"/>
        <v>2.8875203745547706</v>
      </c>
      <c r="R9" s="49">
        <f t="shared" si="2"/>
        <v>3.4849383830833438</v>
      </c>
      <c r="S9" s="49">
        <f t="shared" si="3"/>
        <v>1.5061616916656195E-2</v>
      </c>
      <c r="T9" s="49">
        <f t="shared" si="4"/>
        <v>5.1971416695729443E-5</v>
      </c>
      <c r="U9" s="49">
        <f t="shared" si="5"/>
        <v>6.2039835033597044E-5</v>
      </c>
      <c r="V9" s="49">
        <f t="shared" si="6"/>
        <v>5.1747767104618878E-5</v>
      </c>
      <c r="W9" s="49">
        <f t="shared" si="7"/>
        <v>6.1772857825354591E-5</v>
      </c>
      <c r="X9" s="49" t="str">
        <f>B9&amp;"WPWR"</f>
        <v>DKWPWR</v>
      </c>
      <c r="Y9" s="49">
        <f t="shared" si="8"/>
        <v>6.0000000000000002E-5</v>
      </c>
      <c r="Z9" s="49" t="str">
        <f>B9&amp;"WRUN"</f>
        <v>DKWRUN</v>
      </c>
      <c r="AA9" s="49">
        <f t="shared" si="9"/>
        <v>6.0000000000000002E-5</v>
      </c>
    </row>
    <row r="10" spans="1:27" ht="33" customHeight="1">
      <c r="A10" s="53" t="s">
        <v>90</v>
      </c>
      <c r="B10" s="49" t="s">
        <v>1451</v>
      </c>
      <c r="C10" s="49">
        <v>3170</v>
      </c>
      <c r="D10" s="49">
        <v>0.92</v>
      </c>
      <c r="E10" s="49">
        <v>5767.74</v>
      </c>
      <c r="F10" s="49">
        <v>9138249.1600000001</v>
      </c>
      <c r="G10" s="49">
        <v>5767.74</v>
      </c>
      <c r="H10" s="49">
        <v>1330856956.75</v>
      </c>
      <c r="I10" s="49">
        <v>6.8664397880264525E-3</v>
      </c>
      <c r="J10" s="50">
        <f t="shared" si="0"/>
        <v>0.99313356021197352</v>
      </c>
      <c r="K10" s="49">
        <v>1330.8569567500001</v>
      </c>
      <c r="L10" s="49">
        <v>9.1382491600000009</v>
      </c>
      <c r="M10" s="49">
        <v>42.056528399999998</v>
      </c>
      <c r="N10" s="49">
        <v>21.941240399999998</v>
      </c>
      <c r="O10" s="49" cm="1">
        <f t="array" ref="O10">INDEX(water_abstraction_EU_EEA!$J$55:$J$4515, MATCH(1, (water_abstraction_EU_EEA!$F$55:$F$4515=$A10)*(water_abstraction_EU_EEA!$I$55:$I$4515=2018), 0))</f>
        <v>1306.5999999999999</v>
      </c>
      <c r="P10" s="49" cm="1">
        <f t="array" ref="P10">INDEX(water_abstraction_EU_EEA!$J$55:$J$4515, MATCH(1, (water_abstraction_EU_EEA!$F$55:$F$4515=$A10)*(water_abstraction_EU_EEA!$I$55:$I$4515=2021), 0))</f>
        <v>681.7</v>
      </c>
      <c r="Q10" s="49">
        <f t="shared" si="1"/>
        <v>1297.6283097729645</v>
      </c>
      <c r="R10" s="49">
        <f t="shared" si="2"/>
        <v>677.0191479965024</v>
      </c>
      <c r="S10" s="49">
        <f t="shared" si="3"/>
        <v>4.6808520034976482</v>
      </c>
      <c r="T10" s="49">
        <f t="shared" si="4"/>
        <v>3.1067709335704467E-2</v>
      </c>
      <c r="U10" s="49">
        <f t="shared" si="5"/>
        <v>3.1069346471405513E-2</v>
      </c>
      <c r="V10" s="49">
        <f t="shared" si="6"/>
        <v>3.0854384780198942E-2</v>
      </c>
      <c r="W10" s="49">
        <f t="shared" si="7"/>
        <v>3.0856010674606273E-2</v>
      </c>
      <c r="X10" s="49" t="str">
        <f>B10&amp;"WPWR"</f>
        <v>EEWPWR</v>
      </c>
      <c r="Y10" s="49">
        <f t="shared" si="8"/>
        <v>3.107E-2</v>
      </c>
      <c r="Z10" s="49" t="str">
        <f>B10&amp;"WRUN"</f>
        <v>EEWRUN</v>
      </c>
      <c r="AA10" s="49">
        <f t="shared" si="9"/>
        <v>3.0859999999999999E-2</v>
      </c>
    </row>
    <row r="11" spans="1:27" ht="33" customHeight="1">
      <c r="A11" s="53" t="s">
        <v>92</v>
      </c>
      <c r="B11" s="49" t="s">
        <v>683</v>
      </c>
      <c r="C11" s="49">
        <v>8975.6</v>
      </c>
      <c r="D11" s="49">
        <v>0.82</v>
      </c>
      <c r="E11" s="49">
        <v>2561794.35</v>
      </c>
      <c r="F11" s="49">
        <v>35049677.549999997</v>
      </c>
      <c r="G11" s="49">
        <v>521489469.41000003</v>
      </c>
      <c r="H11" s="49">
        <v>6333295405.1199999</v>
      </c>
      <c r="I11" s="49">
        <v>5.5341927555858095E-3</v>
      </c>
      <c r="J11" s="50">
        <f t="shared" si="0"/>
        <v>0.99446580724441414</v>
      </c>
      <c r="K11" s="49">
        <v>6333.2954051199995</v>
      </c>
      <c r="L11" s="49">
        <v>35.049677549999998</v>
      </c>
      <c r="M11" s="49">
        <v>182.7072</v>
      </c>
      <c r="N11" s="49">
        <v>170.172</v>
      </c>
      <c r="O11" s="49" cm="1">
        <f t="array" ref="O11">INDEX(water_abstraction_EU_EEA!$J$55:$J$4515, MATCH(1, (water_abstraction_EU_EEA!$F$55:$F$4515=$A11)*(water_abstraction_EU_EEA!$I$55:$I$4515=2018), 0))</f>
        <v>472.3</v>
      </c>
      <c r="P11" s="49" cm="1">
        <f t="array" ref="P11">INDEX(water_abstraction_EU_EEA!$J$55:$J$4515, MATCH(1, (water_abstraction_EU_EEA!$F$55:$F$4515=$A11)*(water_abstraction_EU_EEA!$I$55:$I$4515=2021), 0))</f>
        <v>405.4</v>
      </c>
      <c r="Q11" s="49">
        <f t="shared" si="1"/>
        <v>469.68620076153678</v>
      </c>
      <c r="R11" s="49">
        <f t="shared" si="2"/>
        <v>403.15643825688545</v>
      </c>
      <c r="S11" s="49">
        <f t="shared" si="3"/>
        <v>2.2435617431145261</v>
      </c>
      <c r="T11" s="49">
        <f t="shared" si="4"/>
        <v>2.5850103334734481E-3</v>
      </c>
      <c r="U11" s="49">
        <f t="shared" si="5"/>
        <v>2.3822955597865686E-3</v>
      </c>
      <c r="V11" s="49">
        <f t="shared" si="6"/>
        <v>2.5707043880128246E-3</v>
      </c>
      <c r="W11" s="49">
        <f t="shared" si="7"/>
        <v>2.3691114769579334E-3</v>
      </c>
      <c r="X11" s="49" t="str">
        <f>B11&amp;"WPWR"</f>
        <v>FIWPWR</v>
      </c>
      <c r="Y11" s="49">
        <f t="shared" si="8"/>
        <v>2.3800000000000002E-3</v>
      </c>
      <c r="Z11" s="49" t="str">
        <f>B11&amp;"WRUN"</f>
        <v>FIWRUN</v>
      </c>
      <c r="AA11" s="49">
        <f t="shared" si="9"/>
        <v>2.3700000000000001E-3</v>
      </c>
    </row>
    <row r="12" spans="1:27" ht="33" customHeight="1">
      <c r="A12" s="53" t="s">
        <v>94</v>
      </c>
      <c r="B12" s="49" t="s">
        <v>689</v>
      </c>
      <c r="C12" s="49">
        <v>87125.9</v>
      </c>
      <c r="D12" s="49">
        <v>0.32</v>
      </c>
      <c r="E12" s="49">
        <v>698452340.37</v>
      </c>
      <c r="F12" s="49">
        <v>1066969285.77</v>
      </c>
      <c r="G12" s="49">
        <v>11090787082.92</v>
      </c>
      <c r="H12" s="49">
        <v>11876136481.51</v>
      </c>
      <c r="I12" s="49">
        <v>8.9841446958037932E-2</v>
      </c>
      <c r="J12" s="50">
        <f t="shared" si="0"/>
        <v>0.91015855304196203</v>
      </c>
      <c r="K12" s="49">
        <v>11876.136481510001</v>
      </c>
      <c r="L12" s="49">
        <v>1066.9692857699999</v>
      </c>
      <c r="M12" s="49">
        <v>1693.8876708</v>
      </c>
      <c r="N12" s="49">
        <v>1575.1114668</v>
      </c>
      <c r="O12" s="49" cm="1">
        <f t="array" ref="O12">INDEX(water_abstraction_EU_EEA!$J$55:$J$4515, MATCH(1, (water_abstraction_EU_EEA!$F$55:$F$4515=$A12)*(water_abstraction_EU_EEA!$I$55:$I$4515=2018), 0))</f>
        <v>16045.3</v>
      </c>
      <c r="P12" s="49" cm="1">
        <f t="array" ref="P12">INDEX(water_abstraction_EU_EEA!$J$55:$J$4515, MATCH(1, (water_abstraction_EU_EEA!$F$55:$F$4515=$A12)*(water_abstraction_EU_EEA!$I$55:$I$4515=2021), 0))</f>
        <v>14368.4</v>
      </c>
      <c r="Q12" s="49">
        <f t="shared" si="1"/>
        <v>14603.767031124193</v>
      </c>
      <c r="R12" s="49">
        <f t="shared" si="2"/>
        <v>13077.522153528127</v>
      </c>
      <c r="S12" s="49">
        <f t="shared" si="3"/>
        <v>1290.8778464718725</v>
      </c>
      <c r="T12" s="49">
        <f t="shared" si="4"/>
        <v>9.4724699143845965E-3</v>
      </c>
      <c r="U12" s="49">
        <f t="shared" si="5"/>
        <v>9.1221480529189939E-3</v>
      </c>
      <c r="V12" s="49">
        <f t="shared" si="6"/>
        <v>8.621449511009802E-3</v>
      </c>
      <c r="W12" s="49">
        <f t="shared" si="7"/>
        <v>8.3026010724793018E-3</v>
      </c>
      <c r="X12" s="49" t="str">
        <f>B12&amp;"WPWR"</f>
        <v>FRWPWR</v>
      </c>
      <c r="Y12" s="49">
        <f t="shared" si="8"/>
        <v>9.1199999999999996E-3</v>
      </c>
      <c r="Z12" s="49" t="str">
        <f>B12&amp;"WRUN"</f>
        <v>FRWRUN</v>
      </c>
      <c r="AA12" s="49">
        <f t="shared" si="9"/>
        <v>8.3000000000000001E-3</v>
      </c>
    </row>
    <row r="13" spans="1:27" ht="33" customHeight="1">
      <c r="A13" s="53" t="s">
        <v>100</v>
      </c>
      <c r="B13" s="49" t="s">
        <v>695</v>
      </c>
      <c r="C13" s="49">
        <v>95461.91</v>
      </c>
      <c r="D13" s="49">
        <v>0.06</v>
      </c>
      <c r="E13" s="49">
        <v>667581745.88</v>
      </c>
      <c r="F13" s="49">
        <v>725674857.73000002</v>
      </c>
      <c r="G13" s="49">
        <v>2960391467.3099999</v>
      </c>
      <c r="H13" s="49">
        <v>3044324894.2399998</v>
      </c>
      <c r="I13" s="49">
        <v>0.23836971510596969</v>
      </c>
      <c r="J13" s="50">
        <f t="shared" si="0"/>
        <v>0.76163028489403028</v>
      </c>
      <c r="K13" s="49">
        <v>3044.3248942399996</v>
      </c>
      <c r="L13" s="49">
        <v>725.67485772999999</v>
      </c>
      <c r="M13" s="49">
        <v>1661.22</v>
      </c>
      <c r="N13" s="49">
        <v>1444.7455199999999</v>
      </c>
      <c r="O13" s="49" cm="1">
        <f t="array" ref="O13">INDEX(water_abstraction_EU_EEA!$J$55:$J$4515, MATCH(1, (water_abstraction_EU_EEA!$F$55:$F$4515=$A13)*(water_abstraction_EU_EEA!$I$55:$I$4515=2018), 0))</f>
        <v>9285.7999999999993</v>
      </c>
      <c r="P13" s="49" cm="1">
        <f t="array" ref="P13">INDEX(water_abstraction_EU_EEA!$J$55:$J$4515, MATCH(1, (water_abstraction_EU_EEA!$F$55:$F$4515=$A13)*(water_abstraction_EU_EEA!$I$55:$I$4515=2021), 0))</f>
        <v>13321.6</v>
      </c>
      <c r="Q13" s="49">
        <f t="shared" si="1"/>
        <v>7072.3464994689857</v>
      </c>
      <c r="R13" s="49">
        <f t="shared" si="2"/>
        <v>10146.134003244315</v>
      </c>
      <c r="S13" s="49">
        <f t="shared" si="3"/>
        <v>3175.4659967556854</v>
      </c>
      <c r="T13" s="49">
        <f t="shared" si="4"/>
        <v>5.5897472941573052E-3</v>
      </c>
      <c r="U13" s="49">
        <f t="shared" si="5"/>
        <v>9.2207242144623502E-3</v>
      </c>
      <c r="V13" s="49">
        <f t="shared" si="6"/>
        <v>4.2573208241346635E-3</v>
      </c>
      <c r="W13" s="49">
        <f t="shared" si="7"/>
        <v>7.0227828103902445E-3</v>
      </c>
      <c r="X13" s="49" t="str">
        <f>B13&amp;"WPWR"</f>
        <v>DEWPWR</v>
      </c>
      <c r="Y13" s="49">
        <f t="shared" si="8"/>
        <v>9.2200000000000008E-3</v>
      </c>
      <c r="Z13" s="49" t="str">
        <f>B13&amp;"WRUN"</f>
        <v>DEWRUN</v>
      </c>
      <c r="AA13" s="49">
        <f t="shared" si="9"/>
        <v>7.0200000000000002E-3</v>
      </c>
    </row>
    <row r="14" spans="1:27" ht="33" customHeight="1">
      <c r="A14" s="53" t="s">
        <v>104</v>
      </c>
      <c r="B14" s="49" t="s">
        <v>1466</v>
      </c>
      <c r="C14" s="49">
        <v>12787.98</v>
      </c>
      <c r="D14" s="49">
        <v>0.53</v>
      </c>
      <c r="E14" s="49">
        <v>39192582.450000003</v>
      </c>
      <c r="F14" s="49">
        <v>46116851.770000003</v>
      </c>
      <c r="G14" s="49">
        <v>48026877</v>
      </c>
      <c r="H14" s="49">
        <v>652387886.24000001</v>
      </c>
      <c r="I14" s="49">
        <v>7.0689313432522202E-2</v>
      </c>
      <c r="J14" s="50">
        <f t="shared" si="0"/>
        <v>0.92931068656747784</v>
      </c>
      <c r="K14" s="49">
        <v>652.38788624000006</v>
      </c>
      <c r="L14" s="49">
        <v>46.116851770000004</v>
      </c>
      <c r="M14" s="49">
        <v>134.6831028</v>
      </c>
      <c r="N14" s="49">
        <v>118.87103159999999</v>
      </c>
      <c r="O14" s="49" cm="1">
        <f t="array" ref="O14">INDEX(water_abstraction_EU_EEA!$J$55:$J$4515, MATCH(1, (water_abstraction_EU_EEA!$F$55:$F$4515=$A14)*(water_abstraction_EU_EEA!$I$55:$I$4515=2018), 0))</f>
        <v>0</v>
      </c>
      <c r="P14" s="49" cm="1">
        <f t="array" ref="P14">INDEX(water_abstraction_EU_EEA!$J$55:$J$4515, MATCH(1, (water_abstraction_EU_EEA!$F$55:$F$4515=$A14)*(water_abstraction_EU_EEA!$I$55:$I$4515=2021), 0))</f>
        <v>0</v>
      </c>
      <c r="Q14" s="49">
        <f t="shared" si="1"/>
        <v>0</v>
      </c>
      <c r="R14" s="49">
        <f t="shared" si="2"/>
        <v>0</v>
      </c>
      <c r="S14" s="49">
        <f t="shared" si="3"/>
        <v>0</v>
      </c>
      <c r="T14" s="49">
        <f t="shared" si="4"/>
        <v>0</v>
      </c>
      <c r="U14" s="56">
        <v>9.705834E-3</v>
      </c>
      <c r="V14" s="49">
        <f t="shared" si="6"/>
        <v>0</v>
      </c>
      <c r="W14" s="49">
        <v>8.7073800000000007E-3</v>
      </c>
      <c r="X14" s="49" t="str">
        <f>B14&amp;"WPWR"</f>
        <v>GRWPWR</v>
      </c>
      <c r="Y14" s="56">
        <f t="shared" si="8"/>
        <v>9.7099999999999999E-3</v>
      </c>
      <c r="Z14" s="49" t="str">
        <f>B14&amp;"WRUN"</f>
        <v>GRWRUN</v>
      </c>
      <c r="AA14" s="56">
        <f t="shared" si="9"/>
        <v>8.7100000000000007E-3</v>
      </c>
    </row>
    <row r="15" spans="1:27" ht="33" customHeight="1">
      <c r="A15" s="53" t="s">
        <v>116</v>
      </c>
      <c r="B15" s="49" t="s">
        <v>1454</v>
      </c>
      <c r="C15" s="49">
        <v>4122.3</v>
      </c>
      <c r="D15" s="49">
        <v>0</v>
      </c>
      <c r="E15" s="49">
        <v>20737927.469999999</v>
      </c>
      <c r="F15" s="49">
        <v>20737927.469999999</v>
      </c>
      <c r="G15" s="49">
        <v>293699817.06</v>
      </c>
      <c r="H15" s="49">
        <v>293699817.06</v>
      </c>
      <c r="I15" s="49">
        <v>7.0609262469385342E-2</v>
      </c>
      <c r="J15" s="50">
        <f t="shared" si="0"/>
        <v>0.92939073753061463</v>
      </c>
      <c r="K15" s="49">
        <v>293.69981705999999</v>
      </c>
      <c r="L15" s="49">
        <v>20.737927469999999</v>
      </c>
      <c r="M15" s="49">
        <v>109.64879999999999</v>
      </c>
      <c r="N15" s="49">
        <v>112.64868</v>
      </c>
      <c r="O15" s="49" cm="1">
        <f t="array" ref="O15">INDEX(water_abstraction_EU_EEA!$J$55:$J$4515, MATCH(1, (water_abstraction_EU_EEA!$F$55:$F$4515=$A15)*(water_abstraction_EU_EEA!$I$55:$I$4515=2018), 0))</f>
        <v>3352.6</v>
      </c>
      <c r="P15" s="49" cm="1">
        <f t="array" ref="P15">INDEX(water_abstraction_EU_EEA!$J$55:$J$4515, MATCH(1, (water_abstraction_EU_EEA!$F$55:$F$4515=$A15)*(water_abstraction_EU_EEA!$I$55:$I$4515=2021), 0))</f>
        <v>3586.7</v>
      </c>
      <c r="Q15" s="49">
        <f t="shared" si="1"/>
        <v>3115.8753866451384</v>
      </c>
      <c r="R15" s="49">
        <f t="shared" si="2"/>
        <v>3333.4457583010553</v>
      </c>
      <c r="S15" s="49">
        <f t="shared" si="3"/>
        <v>253.2542416989445</v>
      </c>
      <c r="T15" s="49">
        <f t="shared" si="4"/>
        <v>3.0575802015161135E-2</v>
      </c>
      <c r="U15" s="49">
        <f t="shared" si="5"/>
        <v>3.1839698432329609E-2</v>
      </c>
      <c r="V15" s="49">
        <f t="shared" si="6"/>
        <v>2.8416867185460659E-2</v>
      </c>
      <c r="W15" s="49">
        <f t="shared" si="7"/>
        <v>2.9591520808775171E-2</v>
      </c>
      <c r="X15" s="49" t="str">
        <f>B15&amp;"WPWR"</f>
        <v>HUWPWR</v>
      </c>
      <c r="Y15" s="49">
        <f t="shared" si="8"/>
        <v>3.184E-2</v>
      </c>
      <c r="Z15" s="49" t="str">
        <f>B15&amp;"WRUN"</f>
        <v>HUWRUN</v>
      </c>
      <c r="AA15" s="49">
        <f t="shared" si="9"/>
        <v>2.9590000000000002E-2</v>
      </c>
    </row>
    <row r="16" spans="1:27" ht="33" customHeight="1">
      <c r="A16" s="53" t="s">
        <v>126</v>
      </c>
      <c r="B16" s="49" t="s">
        <v>1455</v>
      </c>
      <c r="C16" s="49">
        <v>6160</v>
      </c>
      <c r="D16" s="49">
        <v>0.9</v>
      </c>
      <c r="E16" s="49">
        <v>225237.29</v>
      </c>
      <c r="F16" s="49">
        <v>3338917.86</v>
      </c>
      <c r="G16" s="49">
        <v>312402.17</v>
      </c>
      <c r="H16" s="49">
        <v>601438711.00999999</v>
      </c>
      <c r="I16" s="49">
        <v>5.5515513033621219E-3</v>
      </c>
      <c r="J16" s="50">
        <f t="shared" si="0"/>
        <v>0.99444844869663784</v>
      </c>
      <c r="K16" s="49">
        <v>601.43871101000002</v>
      </c>
      <c r="L16" s="49">
        <v>3.33891786</v>
      </c>
      <c r="M16" s="49">
        <v>77.564537999999999</v>
      </c>
      <c r="N16" s="49">
        <v>75.485066399999994</v>
      </c>
      <c r="O16" s="49" cm="1">
        <f t="array" ref="O16">INDEX(water_abstraction_EU_EEA!$J$55:$J$4515, MATCH(1, (water_abstraction_EU_EEA!$F$55:$F$4515=$A16)*(water_abstraction_EU_EEA!$I$55:$I$4515=2018), 0))</f>
        <v>359.2</v>
      </c>
      <c r="P16" s="49" cm="1">
        <f t="array" ref="P16">INDEX(water_abstraction_EU_EEA!$J$55:$J$4515, MATCH(1, (water_abstraction_EU_EEA!$F$55:$F$4515=$A16)*(water_abstraction_EU_EEA!$I$55:$I$4515=2021), 0))</f>
        <v>359.2</v>
      </c>
      <c r="Q16" s="49">
        <f t="shared" si="1"/>
        <v>357.20588277183231</v>
      </c>
      <c r="R16" s="49">
        <f t="shared" si="2"/>
        <v>357.20588277183231</v>
      </c>
      <c r="S16" s="49">
        <f t="shared" si="3"/>
        <v>1.9941172281676813</v>
      </c>
      <c r="T16" s="49">
        <f t="shared" si="4"/>
        <v>4.6309822666641808E-3</v>
      </c>
      <c r="U16" s="49">
        <f t="shared" si="5"/>
        <v>4.7585571177294478E-3</v>
      </c>
      <c r="V16" s="49">
        <f t="shared" si="6"/>
        <v>4.6052731310258343E-3</v>
      </c>
      <c r="W16" s="49">
        <f t="shared" si="7"/>
        <v>4.7321397437603942E-3</v>
      </c>
      <c r="X16" s="49" t="str">
        <f>B16&amp;"WPWR"</f>
        <v>IEWPWR</v>
      </c>
      <c r="Y16" s="49">
        <f t="shared" si="8"/>
        <v>4.7600000000000003E-3</v>
      </c>
      <c r="Z16" s="49" t="str">
        <f>B16&amp;"WRUN"</f>
        <v>IEWRUN</v>
      </c>
      <c r="AA16" s="49">
        <f t="shared" si="9"/>
        <v>4.7299999999999998E-3</v>
      </c>
    </row>
    <row r="17" spans="1:27" ht="33" customHeight="1">
      <c r="A17" s="53" t="s">
        <v>132</v>
      </c>
      <c r="B17" s="49" t="s">
        <v>704</v>
      </c>
      <c r="C17" s="49">
        <v>77799.100000000006</v>
      </c>
      <c r="D17" s="49">
        <v>0.63</v>
      </c>
      <c r="E17" s="49">
        <v>24310219.600000001</v>
      </c>
      <c r="F17" s="49">
        <v>55811990.82</v>
      </c>
      <c r="G17" s="49">
        <v>1447433634.05</v>
      </c>
      <c r="H17" s="49">
        <v>3672470694.6999998</v>
      </c>
      <c r="I17" s="49">
        <v>1.519739582961035E-2</v>
      </c>
      <c r="J17" s="50">
        <f t="shared" si="0"/>
        <v>0.98480260417038967</v>
      </c>
      <c r="K17" s="49">
        <v>3672.4706947</v>
      </c>
      <c r="L17" s="49">
        <v>55.811990819999998</v>
      </c>
      <c r="M17" s="49">
        <v>691.6637664000001</v>
      </c>
      <c r="N17" s="49">
        <v>680.87606399999993</v>
      </c>
      <c r="O17" s="49" cm="1">
        <f t="array" ref="O17">INDEX(water_abstraction_EU_EEA!$J$55:$J$4515, MATCH(1, (water_abstraction_EU_EEA!$F$55:$F$4515=$A17)*(water_abstraction_EU_EEA!$I$55:$I$4515=2018), 0))</f>
        <v>0</v>
      </c>
      <c r="P17" s="49" cm="1">
        <f t="array" ref="P17">INDEX(water_abstraction_EU_EEA!$J$55:$J$4515, MATCH(1, (water_abstraction_EU_EEA!$F$55:$F$4515=$A17)*(water_abstraction_EU_EEA!$I$55:$I$4515=2021), 0))</f>
        <v>4594.2</v>
      </c>
      <c r="Q17" s="49">
        <f t="shared" si="1"/>
        <v>0</v>
      </c>
      <c r="R17" s="49">
        <f t="shared" si="2"/>
        <v>4524.3801240796038</v>
      </c>
      <c r="S17" s="49">
        <f t="shared" si="3"/>
        <v>69.819875920396044</v>
      </c>
      <c r="T17" s="49">
        <f t="shared" si="4"/>
        <v>0</v>
      </c>
      <c r="U17" s="49">
        <f t="shared" si="5"/>
        <v>6.7474834891537629E-3</v>
      </c>
      <c r="V17" s="49">
        <f t="shared" si="6"/>
        <v>0</v>
      </c>
      <c r="W17" s="49">
        <f t="shared" si="7"/>
        <v>6.6449393117153322E-3</v>
      </c>
      <c r="X17" s="49" t="str">
        <f>B17&amp;"WPWR"</f>
        <v>ITWPWR</v>
      </c>
      <c r="Y17" s="49">
        <f t="shared" si="8"/>
        <v>6.7499999999999999E-3</v>
      </c>
      <c r="Z17" s="49" t="str">
        <f>B17&amp;"WRUN"</f>
        <v>ITWRUN</v>
      </c>
      <c r="AA17" s="49">
        <f t="shared" si="9"/>
        <v>6.6400000000000001E-3</v>
      </c>
    </row>
    <row r="18" spans="1:27" ht="33" customHeight="1">
      <c r="A18" s="53" t="s">
        <v>156</v>
      </c>
      <c r="B18" s="49" t="s">
        <v>799</v>
      </c>
      <c r="C18" s="49">
        <v>894</v>
      </c>
      <c r="D18" s="49">
        <v>1</v>
      </c>
      <c r="E18" s="49">
        <v>0</v>
      </c>
      <c r="F18" s="49">
        <v>4140867.92</v>
      </c>
      <c r="G18" s="49">
        <v>0</v>
      </c>
      <c r="H18" s="49">
        <v>5818241.96</v>
      </c>
      <c r="I18" s="49">
        <v>0.71170431695143865</v>
      </c>
      <c r="J18" s="50">
        <f t="shared" si="0"/>
        <v>0.28829568304856135</v>
      </c>
      <c r="K18" s="49">
        <v>5.8182419599999999</v>
      </c>
      <c r="L18" s="49">
        <v>4.1408679199999998</v>
      </c>
      <c r="M18" s="49">
        <v>15.011982</v>
      </c>
      <c r="N18" s="49">
        <v>10.7646912</v>
      </c>
      <c r="O18" s="49" cm="1">
        <f t="array" ref="O18">INDEX(water_abstraction_EU_EEA!$J$55:$J$4515, MATCH(1, (water_abstraction_EU_EEA!$F$55:$F$4515=$A18)*(water_abstraction_EU_EEA!$I$55:$I$4515=2018), 0))</f>
        <v>2.5</v>
      </c>
      <c r="P18" s="49" cm="1">
        <f t="array" ref="P18">INDEX(water_abstraction_EU_EEA!$J$55:$J$4515, MATCH(1, (water_abstraction_EU_EEA!$F$55:$F$4515=$A18)*(water_abstraction_EU_EEA!$I$55:$I$4515=2021), 0))</f>
        <v>2.6</v>
      </c>
      <c r="Q18" s="49">
        <f t="shared" si="1"/>
        <v>0.72073920762140342</v>
      </c>
      <c r="R18" s="49">
        <f t="shared" si="2"/>
        <v>0.74956877592625948</v>
      </c>
      <c r="S18" s="49">
        <f t="shared" si="3"/>
        <v>1.8504312240737406</v>
      </c>
      <c r="T18" s="49">
        <f t="shared" si="4"/>
        <v>1.6653363959535789E-4</v>
      </c>
      <c r="U18" s="49">
        <f t="shared" si="5"/>
        <v>2.4153038407641458E-4</v>
      </c>
      <c r="V18" s="49">
        <f t="shared" si="6"/>
        <v>4.8010929377706652E-5</v>
      </c>
      <c r="W18" s="49">
        <f t="shared" si="7"/>
        <v>6.9632167054291299E-5</v>
      </c>
      <c r="X18" s="49" t="str">
        <f>B18&amp;"WPWR"</f>
        <v>LAWPWR</v>
      </c>
      <c r="Y18" s="49">
        <f t="shared" si="8"/>
        <v>2.4000000000000001E-4</v>
      </c>
      <c r="Z18" s="49" t="str">
        <f>B18&amp;"WRUN"</f>
        <v>LAWRUN</v>
      </c>
      <c r="AA18" s="49">
        <f t="shared" si="9"/>
        <v>6.9999999999999994E-5</v>
      </c>
    </row>
    <row r="19" spans="1:27" ht="33" customHeight="1">
      <c r="A19" s="53" t="s">
        <v>164</v>
      </c>
      <c r="B19" s="49" t="s">
        <v>1456</v>
      </c>
      <c r="C19" s="49">
        <v>3063</v>
      </c>
      <c r="D19" s="49">
        <v>0.06</v>
      </c>
      <c r="E19" s="49">
        <v>12094163.800000001</v>
      </c>
      <c r="F19" s="49">
        <v>13713975.800000001</v>
      </c>
      <c r="G19" s="49">
        <v>796056670.27999997</v>
      </c>
      <c r="H19" s="49">
        <v>798415791.13999999</v>
      </c>
      <c r="I19" s="49">
        <v>1.7176483672021077E-2</v>
      </c>
      <c r="J19" s="50">
        <f t="shared" si="0"/>
        <v>0.98282351632797893</v>
      </c>
      <c r="K19" s="49">
        <v>798.41579114000001</v>
      </c>
      <c r="L19" s="49">
        <v>13.7139758</v>
      </c>
      <c r="M19" s="49">
        <v>3.9211200000000002</v>
      </c>
      <c r="N19" s="49">
        <v>8.0629200000000019</v>
      </c>
      <c r="O19" s="49" cm="1">
        <f t="array" ref="O19">INDEX(water_abstraction_EU_EEA!$J$55:$J$4515, MATCH(1, (water_abstraction_EU_EEA!$F$55:$F$4515=$A19)*(water_abstraction_EU_EEA!$I$55:$I$4515=2018), 0))</f>
        <v>15.4</v>
      </c>
      <c r="P19" s="49" cm="1">
        <f t="array" ref="P19">INDEX(water_abstraction_EU_EEA!$J$55:$J$4515, MATCH(1, (water_abstraction_EU_EEA!$F$55:$F$4515=$A19)*(water_abstraction_EU_EEA!$I$55:$I$4515=2021), 0))</f>
        <v>87.5</v>
      </c>
      <c r="Q19" s="49">
        <f t="shared" si="1"/>
        <v>15.135482151450876</v>
      </c>
      <c r="R19" s="49">
        <f t="shared" si="2"/>
        <v>85.997057678698155</v>
      </c>
      <c r="S19" s="49">
        <f t="shared" si="3"/>
        <v>1.5029423213018447</v>
      </c>
      <c r="T19" s="49">
        <f t="shared" si="4"/>
        <v>3.9274493001999426E-3</v>
      </c>
      <c r="U19" s="49">
        <f t="shared" si="5"/>
        <v>1.0852147857103875E-2</v>
      </c>
      <c r="V19" s="49">
        <f t="shared" si="6"/>
        <v>3.8599895314223678E-3</v>
      </c>
      <c r="W19" s="49">
        <f t="shared" si="7"/>
        <v>1.0665746116629972E-2</v>
      </c>
      <c r="X19" s="49" t="str">
        <f>B19&amp;"WPWR"</f>
        <v>LTWPWR</v>
      </c>
      <c r="Y19" s="49">
        <f t="shared" si="8"/>
        <v>1.085E-2</v>
      </c>
      <c r="Z19" s="49" t="str">
        <f>B19&amp;"WRUN"</f>
        <v>LTWRUN</v>
      </c>
      <c r="AA19" s="49">
        <f t="shared" si="9"/>
        <v>1.0670000000000001E-2</v>
      </c>
    </row>
    <row r="20" spans="1:27" ht="33" customHeight="1">
      <c r="A20" s="53" t="s">
        <v>166</v>
      </c>
      <c r="B20" s="49" t="s">
        <v>1457</v>
      </c>
      <c r="C20" s="49">
        <v>376.4</v>
      </c>
      <c r="D20" s="49">
        <v>0</v>
      </c>
      <c r="E20" s="49">
        <v>9692.9500000000007</v>
      </c>
      <c r="F20" s="49">
        <v>9692.9500000000007</v>
      </c>
      <c r="G20" s="49">
        <v>9692.9500000000007</v>
      </c>
      <c r="H20" s="49">
        <v>9692.9500000000007</v>
      </c>
      <c r="I20" s="49">
        <v>1</v>
      </c>
      <c r="J20" s="50">
        <f t="shared" si="0"/>
        <v>0</v>
      </c>
      <c r="K20" s="49">
        <v>9.6929500000000005E-3</v>
      </c>
      <c r="L20" s="49">
        <v>9.6929500000000005E-3</v>
      </c>
      <c r="M20" s="49">
        <v>1.7626499999999996</v>
      </c>
      <c r="N20" s="49">
        <v>2.2741775999999998</v>
      </c>
      <c r="O20" s="49" cm="1">
        <f t="array" ref="O20">INDEX(water_abstraction_EU_EEA!$J$55:$J$4515, MATCH(1, (water_abstraction_EU_EEA!$F$55:$F$4515=$A20)*(water_abstraction_EU_EEA!$I$55:$I$4515=2018), 0))</f>
        <v>0</v>
      </c>
      <c r="P20" s="49" cm="1">
        <f t="array" ref="P20">INDEX(water_abstraction_EU_EEA!$J$55:$J$4515, MATCH(1, (water_abstraction_EU_EEA!$F$55:$F$4515=$A20)*(water_abstraction_EU_EEA!$I$55:$I$4515=2021), 0))</f>
        <v>0</v>
      </c>
      <c r="Q20" s="49">
        <f t="shared" si="1"/>
        <v>0</v>
      </c>
      <c r="R20" s="49">
        <f t="shared" si="2"/>
        <v>0</v>
      </c>
      <c r="S20" s="49">
        <f t="shared" si="3"/>
        <v>0</v>
      </c>
      <c r="T20" s="49">
        <f t="shared" si="4"/>
        <v>0</v>
      </c>
      <c r="U20" s="56">
        <v>9.705834E-3</v>
      </c>
      <c r="V20" s="49">
        <f t="shared" si="6"/>
        <v>0</v>
      </c>
      <c r="W20" s="49">
        <v>8.7073800000000007E-3</v>
      </c>
      <c r="X20" s="49" t="str">
        <f>B20&amp;"WPWR"</f>
        <v>LUWPWR</v>
      </c>
      <c r="Y20" s="56">
        <f t="shared" si="8"/>
        <v>9.7099999999999999E-3</v>
      </c>
      <c r="Z20" s="49" t="str">
        <f>B20&amp;"WRUN"</f>
        <v>LUWRUN</v>
      </c>
      <c r="AA20" s="56">
        <f t="shared" si="9"/>
        <v>8.7100000000000007E-3</v>
      </c>
    </row>
    <row r="21" spans="1:27" ht="33" customHeight="1">
      <c r="A21" s="53" t="s">
        <v>176</v>
      </c>
      <c r="B21" s="49" t="s">
        <v>1459</v>
      </c>
      <c r="C21" s="49">
        <v>452.8</v>
      </c>
      <c r="D21" s="49">
        <v>1</v>
      </c>
      <c r="E21" s="49">
        <v>0</v>
      </c>
      <c r="F21" s="49">
        <v>349499.67</v>
      </c>
      <c r="G21" s="49">
        <v>0</v>
      </c>
      <c r="H21" s="49">
        <v>49648347.450000003</v>
      </c>
      <c r="I21" s="49">
        <v>7.039502580664444E-3</v>
      </c>
      <c r="J21" s="50">
        <f t="shared" si="0"/>
        <v>0.99296049741933556</v>
      </c>
      <c r="K21" s="49">
        <v>49.648347450000003</v>
      </c>
      <c r="L21" s="49">
        <v>0.34949966999999998</v>
      </c>
      <c r="M21" s="49">
        <v>6.3807875999999997</v>
      </c>
      <c r="N21" s="49">
        <v>7.0525835999999993</v>
      </c>
      <c r="O21" s="49" cm="1">
        <f t="array" ref="O21">INDEX(water_abstraction_EU_EEA!$J$55:$J$4515, MATCH(1, (water_abstraction_EU_EEA!$F$55:$F$4515=$A21)*(water_abstraction_EU_EEA!$I$55:$I$4515=2018), 0))</f>
        <v>0</v>
      </c>
      <c r="P21" s="49" cm="1">
        <f t="array" ref="P21">INDEX(water_abstraction_EU_EEA!$J$55:$J$4515, MATCH(1, (water_abstraction_EU_EEA!$F$55:$F$4515=$A21)*(water_abstraction_EU_EEA!$I$55:$I$4515=2021), 0))</f>
        <v>0</v>
      </c>
      <c r="Q21" s="49">
        <f t="shared" si="1"/>
        <v>0</v>
      </c>
      <c r="R21" s="49">
        <f t="shared" si="2"/>
        <v>0</v>
      </c>
      <c r="S21" s="49">
        <f t="shared" si="3"/>
        <v>0</v>
      </c>
      <c r="T21" s="49">
        <f t="shared" si="4"/>
        <v>0</v>
      </c>
      <c r="U21" s="56">
        <v>9.705834E-3</v>
      </c>
      <c r="V21" s="49">
        <f t="shared" si="6"/>
        <v>0</v>
      </c>
      <c r="W21" s="49">
        <v>8.7073800000000007E-3</v>
      </c>
      <c r="X21" s="49" t="str">
        <f>B21&amp;"WPWR"</f>
        <v>MTWPWR</v>
      </c>
      <c r="Y21" s="56">
        <f t="shared" si="8"/>
        <v>9.7099999999999999E-3</v>
      </c>
      <c r="Z21" s="49" t="str">
        <f>B21&amp;"WRUN"</f>
        <v>MTWRUN</v>
      </c>
      <c r="AA21" s="56">
        <f t="shared" si="9"/>
        <v>8.7100000000000007E-3</v>
      </c>
    </row>
    <row r="22" spans="1:27" ht="33" customHeight="1">
      <c r="A22" s="53" t="s">
        <v>196</v>
      </c>
      <c r="B22" s="49" t="s">
        <v>1460</v>
      </c>
      <c r="C22" s="49">
        <v>26194.880000000001</v>
      </c>
      <c r="D22" s="49">
        <v>0.81</v>
      </c>
      <c r="E22" s="49">
        <v>16600821.609999999</v>
      </c>
      <c r="F22" s="49">
        <v>63062636.109999999</v>
      </c>
      <c r="G22" s="49">
        <v>745835036.34000003</v>
      </c>
      <c r="H22" s="49">
        <v>7591079192.0299997</v>
      </c>
      <c r="I22" s="49">
        <v>8.3074665030777855E-3</v>
      </c>
      <c r="J22" s="50">
        <f t="shared" si="0"/>
        <v>0.99169253349692221</v>
      </c>
      <c r="K22" s="49">
        <v>7591.0791920299998</v>
      </c>
      <c r="L22" s="49">
        <v>63.06263611</v>
      </c>
      <c r="M22" s="49">
        <v>358.12729439999993</v>
      </c>
      <c r="N22" s="49">
        <v>331.67911680000003</v>
      </c>
      <c r="O22" s="49" cm="1">
        <f t="array" ref="O22">INDEX(water_abstraction_EU_EEA!$J$55:$J$4515, MATCH(1, (water_abstraction_EU_EEA!$F$55:$F$4515=$A22)*(water_abstraction_EU_EEA!$I$55:$I$4515=2018), 0))</f>
        <v>3369.9</v>
      </c>
      <c r="P22" s="49" cm="1">
        <f t="array" ref="P22">INDEX(water_abstraction_EU_EEA!$J$55:$J$4515, MATCH(1, (water_abstraction_EU_EEA!$F$55:$F$4515=$A22)*(water_abstraction_EU_EEA!$I$55:$I$4515=2021), 0))</f>
        <v>3183.3</v>
      </c>
      <c r="Q22" s="49">
        <f t="shared" si="1"/>
        <v>3341.9046686312781</v>
      </c>
      <c r="R22" s="49">
        <f t="shared" si="2"/>
        <v>3156.8548418807527</v>
      </c>
      <c r="S22" s="49">
        <f t="shared" si="3"/>
        <v>26.44515811924748</v>
      </c>
      <c r="T22" s="49">
        <f t="shared" si="4"/>
        <v>9.4097826462679161E-3</v>
      </c>
      <c r="U22" s="49">
        <f t="shared" si="5"/>
        <v>9.5975291743179165E-3</v>
      </c>
      <c r="V22" s="49">
        <f t="shared" si="6"/>
        <v>9.3316111921328028E-3</v>
      </c>
      <c r="W22" s="49">
        <f t="shared" si="7"/>
        <v>9.5177980221899591E-3</v>
      </c>
      <c r="X22" s="49" t="str">
        <f>B22&amp;"WPWR"</f>
        <v>NLWPWR</v>
      </c>
      <c r="Y22" s="49">
        <f t="shared" si="8"/>
        <v>9.5999999999999992E-3</v>
      </c>
      <c r="Z22" s="49" t="str">
        <f>B22&amp;"WRUN"</f>
        <v>NLWRUN</v>
      </c>
      <c r="AA22" s="49">
        <f t="shared" si="9"/>
        <v>9.5200000000000007E-3</v>
      </c>
    </row>
    <row r="23" spans="1:27" ht="33" customHeight="1">
      <c r="A23" s="53" t="s">
        <v>216</v>
      </c>
      <c r="B23" s="49" t="s">
        <v>686</v>
      </c>
      <c r="C23" s="49">
        <v>30588.2</v>
      </c>
      <c r="D23" s="49">
        <v>0.01</v>
      </c>
      <c r="E23" s="49">
        <v>205581402.52000001</v>
      </c>
      <c r="F23" s="49">
        <v>206840700.80000001</v>
      </c>
      <c r="G23" s="49">
        <v>3449278976.6700001</v>
      </c>
      <c r="H23" s="49">
        <v>3549221660.8299999</v>
      </c>
      <c r="I23" s="49">
        <v>5.8277763567922518E-2</v>
      </c>
      <c r="J23" s="50">
        <f t="shared" si="0"/>
        <v>0.94172223643207753</v>
      </c>
      <c r="K23" s="49">
        <v>3549.22166083</v>
      </c>
      <c r="L23" s="49">
        <v>206.84070080000001</v>
      </c>
      <c r="M23" s="49">
        <v>555.94044359999987</v>
      </c>
      <c r="N23" s="49">
        <v>562.60272240000018</v>
      </c>
      <c r="O23" s="49" cm="1">
        <f t="array" ref="O23">INDEX(water_abstraction_EU_EEA!$J$55:$J$4515, MATCH(1, (water_abstraction_EU_EEA!$F$55:$F$4515=$A23)*(water_abstraction_EU_EEA!$I$55:$I$4515=2018), 0))</f>
        <v>5741.1</v>
      </c>
      <c r="P23" s="49" cm="1">
        <f t="array" ref="P23">INDEX(water_abstraction_EU_EEA!$J$55:$J$4515, MATCH(1, (water_abstraction_EU_EEA!$F$55:$F$4515=$A23)*(water_abstraction_EU_EEA!$I$55:$I$4515=2021), 0))</f>
        <v>5216</v>
      </c>
      <c r="Q23" s="49">
        <f t="shared" si="1"/>
        <v>5406.5215315802006</v>
      </c>
      <c r="R23" s="49">
        <f t="shared" si="2"/>
        <v>4912.0231852297165</v>
      </c>
      <c r="S23" s="49">
        <f t="shared" si="3"/>
        <v>303.97681477028345</v>
      </c>
      <c r="T23" s="49">
        <f t="shared" si="4"/>
        <v>1.0326825590927383E-2</v>
      </c>
      <c r="U23" s="49">
        <f t="shared" si="5"/>
        <v>9.2711958053617802E-3</v>
      </c>
      <c r="V23" s="49">
        <f t="shared" si="6"/>
        <v>9.7250012907321454E-3</v>
      </c>
      <c r="W23" s="49">
        <f t="shared" si="7"/>
        <v>8.7308912482249919E-3</v>
      </c>
      <c r="X23" s="49" t="str">
        <f>B23&amp;"WPWR"</f>
        <v>PLWPWR</v>
      </c>
      <c r="Y23" s="49">
        <f t="shared" si="8"/>
        <v>9.2700000000000005E-3</v>
      </c>
      <c r="Z23" s="49" t="str">
        <f>B23&amp;"WRUN"</f>
        <v>PLWRUN</v>
      </c>
      <c r="AA23" s="49">
        <f t="shared" si="9"/>
        <v>8.7299999999999999E-3</v>
      </c>
    </row>
    <row r="24" spans="1:27" ht="33" customHeight="1">
      <c r="A24" s="53" t="s">
        <v>218</v>
      </c>
      <c r="B24" s="49" t="s">
        <v>1461</v>
      </c>
      <c r="C24" s="49">
        <v>6707.21</v>
      </c>
      <c r="D24" s="49">
        <v>0.78</v>
      </c>
      <c r="E24" s="49">
        <v>10611165.380000001</v>
      </c>
      <c r="F24" s="49">
        <v>32221284.969999999</v>
      </c>
      <c r="G24" s="49">
        <v>13040956.77</v>
      </c>
      <c r="H24" s="49">
        <v>39823464.600000001</v>
      </c>
      <c r="I24" s="49">
        <v>0.80910300732598739</v>
      </c>
      <c r="J24" s="50">
        <f t="shared" si="0"/>
        <v>0.19089699267401261</v>
      </c>
      <c r="K24" s="49">
        <v>39.823464600000001</v>
      </c>
      <c r="L24" s="49">
        <v>32.221284969999999</v>
      </c>
      <c r="M24" s="49">
        <v>115.75783799999998</v>
      </c>
      <c r="N24" s="49">
        <v>78.816978000000006</v>
      </c>
      <c r="O24" s="49" cm="1">
        <f t="array" ref="O24">INDEX(water_abstraction_EU_EEA!$J$55:$J$4515, MATCH(1, (water_abstraction_EU_EEA!$F$55:$F$4515=$A24)*(water_abstraction_EU_EEA!$I$55:$I$4515=2018), 0))</f>
        <v>835.8</v>
      </c>
      <c r="P24" s="49" cm="1">
        <f t="array" ref="P24">INDEX(water_abstraction_EU_EEA!$J$55:$J$4515, MATCH(1, (water_abstraction_EU_EEA!$F$55:$F$4515=$A24)*(water_abstraction_EU_EEA!$I$55:$I$4515=2021), 0))</f>
        <v>786.9</v>
      </c>
      <c r="Q24" s="49">
        <f t="shared" si="1"/>
        <v>159.55170647693973</v>
      </c>
      <c r="R24" s="49">
        <f t="shared" si="2"/>
        <v>150.21684353518052</v>
      </c>
      <c r="S24" s="49">
        <f t="shared" si="3"/>
        <v>636.68315646481949</v>
      </c>
      <c r="T24" s="49">
        <f t="shared" si="4"/>
        <v>7.2202454230356318E-3</v>
      </c>
      <c r="U24" s="49">
        <f t="shared" si="5"/>
        <v>9.9838895117242369E-3</v>
      </c>
      <c r="V24" s="49">
        <f t="shared" si="6"/>
        <v>1.378323137625806E-3</v>
      </c>
      <c r="W24" s="49">
        <f t="shared" si="7"/>
        <v>1.905894482977773E-3</v>
      </c>
      <c r="X24" s="49" t="str">
        <f>B24&amp;"WPWR"</f>
        <v>PTWPWR</v>
      </c>
      <c r="Y24" s="49">
        <f t="shared" si="8"/>
        <v>9.9799999999999993E-3</v>
      </c>
      <c r="Z24" s="49" t="str">
        <f>B24&amp;"WRUN"</f>
        <v>PTWRUN</v>
      </c>
      <c r="AA24" s="49">
        <f t="shared" si="9"/>
        <v>1.91E-3</v>
      </c>
    </row>
    <row r="25" spans="1:27" ht="33" customHeight="1">
      <c r="A25" s="53" t="s">
        <v>228</v>
      </c>
      <c r="B25" s="49" t="s">
        <v>1462</v>
      </c>
      <c r="C25" s="49">
        <v>12162.75</v>
      </c>
      <c r="D25" s="49">
        <v>0.01</v>
      </c>
      <c r="E25" s="49">
        <v>77961482.700000003</v>
      </c>
      <c r="F25" s="49">
        <v>78125426.680000007</v>
      </c>
      <c r="G25" s="49">
        <v>2006774708.22</v>
      </c>
      <c r="H25" s="49">
        <v>2030683206.3699999</v>
      </c>
      <c r="I25" s="49">
        <v>3.8472483760603471E-2</v>
      </c>
      <c r="J25" s="50">
        <f t="shared" si="0"/>
        <v>0.96152751623939658</v>
      </c>
      <c r="K25" s="49">
        <v>2030.6832063699999</v>
      </c>
      <c r="L25" s="49">
        <v>78.125426680000004</v>
      </c>
      <c r="M25" s="49">
        <v>139.26928319999999</v>
      </c>
      <c r="N25" s="49">
        <v>120.40688159999999</v>
      </c>
      <c r="O25" s="49" cm="1">
        <f t="array" ref="O25">INDEX(water_abstraction_EU_EEA!$J$55:$J$4515, MATCH(1, (water_abstraction_EU_EEA!$F$55:$F$4515=$A25)*(water_abstraction_EU_EEA!$I$55:$I$4515=2018), 0))</f>
        <v>681.3</v>
      </c>
      <c r="P25" s="49" cm="1">
        <f t="array" ref="P25">INDEX(water_abstraction_EU_EEA!$J$55:$J$4515, MATCH(1, (water_abstraction_EU_EEA!$F$55:$F$4515=$A25)*(water_abstraction_EU_EEA!$I$55:$I$4515=2021), 0))</f>
        <v>566</v>
      </c>
      <c r="Q25" s="49">
        <f t="shared" si="1"/>
        <v>655.08869681390081</v>
      </c>
      <c r="R25" s="49">
        <f t="shared" si="2"/>
        <v>544.2245741914985</v>
      </c>
      <c r="S25" s="49">
        <f t="shared" si="3"/>
        <v>21.775425808501495</v>
      </c>
      <c r="T25" s="49">
        <f t="shared" si="4"/>
        <v>4.8919617043020735E-3</v>
      </c>
      <c r="U25" s="49">
        <f t="shared" si="5"/>
        <v>4.7007280022440178E-3</v>
      </c>
      <c r="V25" s="49">
        <f t="shared" si="6"/>
        <v>4.7037557870758173E-3</v>
      </c>
      <c r="W25" s="49">
        <f t="shared" si="7"/>
        <v>4.5198793205146722E-3</v>
      </c>
      <c r="X25" s="49" t="str">
        <f>B25&amp;"WPWR"</f>
        <v>ROWPWR</v>
      </c>
      <c r="Y25" s="49">
        <f t="shared" si="8"/>
        <v>4.7000000000000002E-3</v>
      </c>
      <c r="Z25" s="49" t="str">
        <f>B25&amp;"WRUN"</f>
        <v>ROWRUN</v>
      </c>
      <c r="AA25" s="49">
        <f t="shared" si="9"/>
        <v>4.5199999999999997E-3</v>
      </c>
    </row>
    <row r="26" spans="1:27" ht="33" customHeight="1">
      <c r="A26" s="53" t="s">
        <v>244</v>
      </c>
      <c r="B26" s="49" t="s">
        <v>1463</v>
      </c>
      <c r="C26" s="49">
        <v>4140.91</v>
      </c>
      <c r="D26" s="49">
        <v>0</v>
      </c>
      <c r="E26" s="49">
        <v>47607036.57</v>
      </c>
      <c r="F26" s="49">
        <v>47607036.57</v>
      </c>
      <c r="G26" s="49">
        <v>125451673.54000001</v>
      </c>
      <c r="H26" s="49">
        <v>125451673.54000001</v>
      </c>
      <c r="I26" s="49">
        <v>0.37948506565614365</v>
      </c>
      <c r="J26" s="50">
        <f t="shared" si="0"/>
        <v>0.62051493434385629</v>
      </c>
      <c r="K26" s="49">
        <v>125.45167354</v>
      </c>
      <c r="L26" s="49">
        <v>47.607036569999998</v>
      </c>
      <c r="M26" s="49">
        <v>80.585999999999999</v>
      </c>
      <c r="N26" s="49">
        <v>89.0244</v>
      </c>
      <c r="O26" s="49" cm="1">
        <f t="array" ref="O26">INDEX(water_abstraction_EU_EEA!$J$55:$J$4515, MATCH(1, (water_abstraction_EU_EEA!$F$55:$F$4515=$A26)*(water_abstraction_EU_EEA!$I$55:$I$4515=2018), 0))</f>
        <v>57.2</v>
      </c>
      <c r="P26" s="49" cm="1">
        <f t="array" ref="P26">INDEX(water_abstraction_EU_EEA!$J$55:$J$4515, MATCH(1, (water_abstraction_EU_EEA!$F$55:$F$4515=$A26)*(water_abstraction_EU_EEA!$I$55:$I$4515=2021), 0))</f>
        <v>50.4</v>
      </c>
      <c r="Q26" s="49">
        <f t="shared" si="1"/>
        <v>35.49345424446858</v>
      </c>
      <c r="R26" s="49">
        <f t="shared" si="2"/>
        <v>31.273952690930358</v>
      </c>
      <c r="S26" s="49">
        <f t="shared" si="3"/>
        <v>19.126047309069641</v>
      </c>
      <c r="T26" s="49">
        <f t="shared" si="4"/>
        <v>7.0980070980070987E-4</v>
      </c>
      <c r="U26" s="49">
        <f t="shared" si="5"/>
        <v>5.6613692425896717E-4</v>
      </c>
      <c r="V26" s="49">
        <f t="shared" si="6"/>
        <v>4.4044194083921005E-4</v>
      </c>
      <c r="W26" s="49">
        <f t="shared" si="7"/>
        <v>3.512964163861858E-4</v>
      </c>
      <c r="X26" s="49" t="str">
        <f>B26&amp;"WPWR"</f>
        <v>SKWPWR</v>
      </c>
      <c r="Y26" s="49">
        <f t="shared" si="8"/>
        <v>5.6999999999999998E-4</v>
      </c>
      <c r="Z26" s="49" t="str">
        <f>B26&amp;"WRUN"</f>
        <v>SKWRUN</v>
      </c>
      <c r="AA26" s="49">
        <f t="shared" si="9"/>
        <v>3.5E-4</v>
      </c>
    </row>
    <row r="27" spans="1:27" ht="33" customHeight="1">
      <c r="A27" s="53" t="s">
        <v>246</v>
      </c>
      <c r="B27" s="49" t="s">
        <v>1464</v>
      </c>
      <c r="C27" s="49">
        <v>1938</v>
      </c>
      <c r="D27" s="49">
        <v>0</v>
      </c>
      <c r="E27" s="49">
        <v>22523114.210000001</v>
      </c>
      <c r="F27" s="49">
        <v>22523114.210000001</v>
      </c>
      <c r="G27" s="49">
        <v>143368590.66999999</v>
      </c>
      <c r="H27" s="49">
        <v>143368590.66999999</v>
      </c>
      <c r="I27" s="49">
        <v>0.15709936259220678</v>
      </c>
      <c r="J27" s="50">
        <f t="shared" si="0"/>
        <v>0.8429006374077932</v>
      </c>
      <c r="K27" s="49">
        <v>143.36859066999997</v>
      </c>
      <c r="L27" s="49">
        <v>22.523114209999999</v>
      </c>
      <c r="M27" s="49">
        <v>40.222655999999994</v>
      </c>
      <c r="N27" s="49">
        <v>37.516136399999994</v>
      </c>
      <c r="O27" s="49" cm="1">
        <f t="array" ref="O27">INDEX(water_abstraction_EU_EEA!$J$55:$J$4515, MATCH(1, (water_abstraction_EU_EEA!$F$55:$F$4515=$A27)*(water_abstraction_EU_EEA!$I$55:$I$4515=2018), 0))</f>
        <v>742.3</v>
      </c>
      <c r="P27" s="49" cm="1">
        <f t="array" ref="P27">INDEX(water_abstraction_EU_EEA!$J$55:$J$4515, MATCH(1, (water_abstraction_EU_EEA!$F$55:$F$4515=$A27)*(water_abstraction_EU_EEA!$I$55:$I$4515=2021), 0))</f>
        <v>717.1</v>
      </c>
      <c r="Q27" s="49">
        <f t="shared" si="1"/>
        <v>625.68514314780487</v>
      </c>
      <c r="R27" s="49">
        <f t="shared" si="2"/>
        <v>604.44404708512855</v>
      </c>
      <c r="S27" s="49">
        <f t="shared" si="3"/>
        <v>112.65595291487148</v>
      </c>
      <c r="T27" s="49">
        <f t="shared" si="4"/>
        <v>1.8454773349626641E-2</v>
      </c>
      <c r="U27" s="49">
        <f t="shared" si="5"/>
        <v>1.9114441645968643E-2</v>
      </c>
      <c r="V27" s="49">
        <f t="shared" si="6"/>
        <v>1.5555540219616649E-2</v>
      </c>
      <c r="W27" s="49">
        <f t="shared" si="7"/>
        <v>1.6111575047081036E-2</v>
      </c>
      <c r="X27" s="49" t="str">
        <f>B27&amp;"WPWR"</f>
        <v>SIWPWR</v>
      </c>
      <c r="Y27" s="49">
        <f t="shared" si="8"/>
        <v>1.9109999999999999E-2</v>
      </c>
      <c r="Z27" s="49" t="str">
        <f>B27&amp;"WRUN"</f>
        <v>SIWRUN</v>
      </c>
      <c r="AA27" s="49">
        <f t="shared" si="9"/>
        <v>1.6109999999999999E-2</v>
      </c>
    </row>
    <row r="28" spans="1:27" ht="33" customHeight="1">
      <c r="A28" s="53" t="s">
        <v>250</v>
      </c>
      <c r="B28" s="49" t="s">
        <v>1450</v>
      </c>
      <c r="C28" s="49">
        <v>51735.54</v>
      </c>
      <c r="D28" s="49">
        <v>0.55000000000000004</v>
      </c>
      <c r="E28" s="49">
        <v>214854878.08000001</v>
      </c>
      <c r="F28" s="49">
        <v>321553527</v>
      </c>
      <c r="G28" s="49">
        <v>3257080689.9200001</v>
      </c>
      <c r="H28" s="49">
        <v>4047753250.5799999</v>
      </c>
      <c r="I28" s="49">
        <v>7.9440002167603677E-2</v>
      </c>
      <c r="J28" s="50">
        <f t="shared" si="0"/>
        <v>0.92055999783239628</v>
      </c>
      <c r="K28" s="49">
        <v>4047.75325058</v>
      </c>
      <c r="L28" s="49">
        <v>321.55352699999997</v>
      </c>
      <c r="M28" s="49">
        <v>626.09399999999994</v>
      </c>
      <c r="N28" s="49">
        <v>547.22519999999997</v>
      </c>
      <c r="O28" s="49" cm="1">
        <f t="array" ref="O28">INDEX(water_abstraction_EU_EEA!$J$55:$J$4515, MATCH(1, (water_abstraction_EU_EEA!$F$55:$F$4515=$A28)*(water_abstraction_EU_EEA!$I$55:$I$4515=2018), 0))</f>
        <v>5450</v>
      </c>
      <c r="P28" s="49" cm="1">
        <f t="array" ref="P28">INDEX(water_abstraction_EU_EEA!$J$55:$J$4515, MATCH(1, (water_abstraction_EU_EEA!$F$55:$F$4515=$A28)*(water_abstraction_EU_EEA!$I$55:$I$4515=2021), 0))</f>
        <v>4682.7</v>
      </c>
      <c r="Q28" s="49">
        <f t="shared" si="1"/>
        <v>5017.0519881865594</v>
      </c>
      <c r="R28" s="49">
        <f t="shared" si="2"/>
        <v>4310.706301849762</v>
      </c>
      <c r="S28" s="49">
        <f t="shared" si="3"/>
        <v>371.99369815023783</v>
      </c>
      <c r="T28" s="49">
        <f t="shared" si="4"/>
        <v>8.7047631825253099E-3</v>
      </c>
      <c r="U28" s="49">
        <f t="shared" si="5"/>
        <v>8.557171709197604E-3</v>
      </c>
      <c r="V28" s="49">
        <f t="shared" si="6"/>
        <v>8.0132567764370204E-3</v>
      </c>
      <c r="W28" s="49">
        <f t="shared" si="7"/>
        <v>7.8773899700703889E-3</v>
      </c>
      <c r="X28" s="49" t="str">
        <f>B28&amp;"WPWR"</f>
        <v>ESWPWR</v>
      </c>
      <c r="Y28" s="49">
        <f t="shared" si="8"/>
        <v>8.5599999999999999E-3</v>
      </c>
      <c r="Z28" s="49" t="str">
        <f>B28&amp;"WRUN"</f>
        <v>ESWRUN</v>
      </c>
      <c r="AA28" s="49">
        <f t="shared" si="9"/>
        <v>7.8799999999999999E-3</v>
      </c>
    </row>
    <row r="29" spans="1:27" ht="33" customHeight="1">
      <c r="A29" s="53" t="s">
        <v>256</v>
      </c>
      <c r="B29" s="49" t="s">
        <v>682</v>
      </c>
      <c r="C29" s="49">
        <v>14115.77</v>
      </c>
      <c r="D29" s="49">
        <v>0.98</v>
      </c>
      <c r="E29" s="49">
        <v>378909.91</v>
      </c>
      <c r="F29" s="49">
        <v>68701420.579999998</v>
      </c>
      <c r="G29" s="49">
        <v>89680440.599999994</v>
      </c>
      <c r="H29" s="49">
        <v>11408101131.49</v>
      </c>
      <c r="I29" s="49">
        <v>6.0221609002362496E-3</v>
      </c>
      <c r="J29" s="50">
        <f t="shared" si="0"/>
        <v>0.99397783909976378</v>
      </c>
      <c r="K29" s="49">
        <v>11408.101131490001</v>
      </c>
      <c r="L29" s="49">
        <v>68.701420580000004</v>
      </c>
      <c r="M29" s="49">
        <v>302.83199999999999</v>
      </c>
      <c r="N29" s="49">
        <v>248.7672</v>
      </c>
      <c r="O29" s="49" cm="1">
        <f t="array" ref="O29">INDEX(water_abstraction_EU_EEA!$J$55:$J$4515, MATCH(1, (water_abstraction_EU_EEA!$F$55:$F$4515=$A29)*(water_abstraction_EU_EEA!$I$55:$I$4515=2018), 0))</f>
        <v>81.8</v>
      </c>
      <c r="P29" s="49" cm="1">
        <f t="array" ref="P29">INDEX(water_abstraction_EU_EEA!$J$55:$J$4515, MATCH(1, (water_abstraction_EU_EEA!$F$55:$F$4515=$A29)*(water_abstraction_EU_EEA!$I$55:$I$4515=2021), 0))</f>
        <v>113.4</v>
      </c>
      <c r="Q29" s="49">
        <f t="shared" si="1"/>
        <v>81.307387238360675</v>
      </c>
      <c r="R29" s="49">
        <f t="shared" si="2"/>
        <v>112.71708695391322</v>
      </c>
      <c r="S29" s="49">
        <f t="shared" si="3"/>
        <v>0.68291304608678161</v>
      </c>
      <c r="T29" s="49">
        <f t="shared" si="4"/>
        <v>2.7011676441063032E-4</v>
      </c>
      <c r="U29" s="49">
        <f t="shared" si="5"/>
        <v>4.5584787705131547E-4</v>
      </c>
      <c r="V29" s="49">
        <f t="shared" si="6"/>
        <v>2.6849007779349829E-4</v>
      </c>
      <c r="W29" s="49">
        <f t="shared" si="7"/>
        <v>4.5310268778968137E-4</v>
      </c>
      <c r="X29" s="49" t="str">
        <f>B29&amp;"WPWR"</f>
        <v>SEWPWR</v>
      </c>
      <c r="Y29" s="49">
        <f t="shared" si="8"/>
        <v>4.6000000000000001E-4</v>
      </c>
      <c r="Z29" s="49" t="str">
        <f>B29&amp;"WRUN"</f>
        <v>SEWRUN</v>
      </c>
      <c r="AA29" s="49">
        <f t="shared" si="9"/>
        <v>4.4999999999999999E-4</v>
      </c>
    </row>
    <row r="30" spans="1:27" ht="33" customHeight="1">
      <c r="C30" s="81"/>
      <c r="D30" s="81"/>
    </row>
  </sheetData>
  <mergeCells count="1">
    <mergeCell ref="T1:AA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26EC7-DD5E-4C05-9D77-EF61E95B7010}">
  <dimension ref="A1:F28"/>
  <sheetViews>
    <sheetView workbookViewId="0">
      <selection activeCell="F2" sqref="F2"/>
    </sheetView>
  </sheetViews>
  <sheetFormatPr defaultRowHeight="15"/>
  <cols>
    <col min="1" max="1" width="12" bestFit="1" customWidth="1"/>
    <col min="2" max="2" width="23.28515625" bestFit="1" customWidth="1"/>
    <col min="3" max="3" width="23.7109375" bestFit="1" customWidth="1"/>
    <col min="4" max="5" width="23.7109375" customWidth="1"/>
  </cols>
  <sheetData>
    <row r="1" spans="1:6">
      <c r="A1" s="57" t="s">
        <v>0</v>
      </c>
      <c r="B1" s="57" t="s">
        <v>1474</v>
      </c>
      <c r="C1" s="57" t="s">
        <v>1470</v>
      </c>
      <c r="D1" t="s">
        <v>1473</v>
      </c>
      <c r="E1" t="s">
        <v>1472</v>
      </c>
      <c r="F1" t="s">
        <v>1471</v>
      </c>
    </row>
    <row r="2" spans="1:6">
      <c r="A2" s="57" t="s">
        <v>22</v>
      </c>
      <c r="B2" s="57">
        <v>67.240763999999999</v>
      </c>
      <c r="C2" s="57">
        <v>1495.1</v>
      </c>
      <c r="E2" t="str">
        <f>A2</f>
        <v>Austria</v>
      </c>
      <c r="F2">
        <f>C2/B2</f>
        <v>22.235023980393798</v>
      </c>
    </row>
    <row r="3" spans="1:6">
      <c r="A3" s="57" t="s">
        <v>36</v>
      </c>
      <c r="B3" s="57">
        <v>291.61187999999999</v>
      </c>
      <c r="C3" s="57">
        <v>2256.5</v>
      </c>
      <c r="E3" t="str">
        <f t="shared" ref="E3:E28" si="0">A3</f>
        <v>Belgium</v>
      </c>
      <c r="F3">
        <f t="shared" ref="F3:F28" si="1">C3/B3</f>
        <v>7.7380249391760039</v>
      </c>
    </row>
    <row r="4" spans="1:6">
      <c r="A4" s="57" t="s">
        <v>48</v>
      </c>
      <c r="B4" s="57">
        <v>142.43580360000001</v>
      </c>
      <c r="C4" s="57">
        <v>3471.7</v>
      </c>
      <c r="E4" t="str">
        <f t="shared" si="0"/>
        <v>Bulgaria</v>
      </c>
      <c r="F4">
        <f t="shared" si="1"/>
        <v>24.373787434439688</v>
      </c>
    </row>
    <row r="5" spans="1:6">
      <c r="A5" s="57" t="s">
        <v>68</v>
      </c>
      <c r="B5" s="57">
        <v>20.452680000000001</v>
      </c>
      <c r="C5" s="57">
        <v>167.3</v>
      </c>
      <c r="E5" t="str">
        <f t="shared" si="0"/>
        <v>Croatia</v>
      </c>
      <c r="F5">
        <f t="shared" si="1"/>
        <v>8.1798571140799154</v>
      </c>
    </row>
    <row r="6" spans="1:6">
      <c r="A6" s="57" t="s">
        <v>72</v>
      </c>
      <c r="B6" s="57">
        <v>15.856585199999996</v>
      </c>
      <c r="C6" s="57">
        <v>14.8</v>
      </c>
      <c r="E6" t="str">
        <f t="shared" si="0"/>
        <v>Cyprus</v>
      </c>
      <c r="F6">
        <f t="shared" si="1"/>
        <v>0.93336615755074459</v>
      </c>
    </row>
    <row r="7" spans="1:6">
      <c r="A7" s="57" t="s">
        <v>1430</v>
      </c>
      <c r="B7" s="57">
        <v>282.26906640000004</v>
      </c>
      <c r="C7" s="57">
        <v>264.5</v>
      </c>
      <c r="E7" t="str">
        <f t="shared" si="0"/>
        <v>Czechia</v>
      </c>
      <c r="F7">
        <f t="shared" si="1"/>
        <v>0.9370491898860086</v>
      </c>
    </row>
    <row r="8" spans="1:6">
      <c r="A8" s="57" t="s">
        <v>76</v>
      </c>
      <c r="B8" s="57">
        <v>56.415365999999999</v>
      </c>
      <c r="C8" s="57">
        <v>3.5</v>
      </c>
      <c r="E8" t="str">
        <f t="shared" si="0"/>
        <v>Denmark</v>
      </c>
      <c r="F8">
        <f t="shared" si="1"/>
        <v>6.203983503359705E-2</v>
      </c>
    </row>
    <row r="9" spans="1:6">
      <c r="A9" s="57" t="s">
        <v>90</v>
      </c>
      <c r="B9" s="57">
        <v>21.941240399999998</v>
      </c>
      <c r="C9" s="57">
        <v>681.7</v>
      </c>
      <c r="E9" t="str">
        <f t="shared" si="0"/>
        <v>Estonia</v>
      </c>
      <c r="F9">
        <f t="shared" si="1"/>
        <v>31.069346471405513</v>
      </c>
    </row>
    <row r="10" spans="1:6">
      <c r="A10" s="57" t="s">
        <v>92</v>
      </c>
      <c r="B10" s="57">
        <v>170.172</v>
      </c>
      <c r="C10" s="57">
        <v>405.4</v>
      </c>
      <c r="E10" t="str">
        <f t="shared" si="0"/>
        <v>Finland</v>
      </c>
      <c r="F10">
        <f t="shared" si="1"/>
        <v>2.3822955597865687</v>
      </c>
    </row>
    <row r="11" spans="1:6">
      <c r="A11" s="57" t="s">
        <v>94</v>
      </c>
      <c r="B11" s="57">
        <v>1575.1114668</v>
      </c>
      <c r="C11" s="57">
        <v>14368.4</v>
      </c>
      <c r="E11" t="str">
        <f t="shared" si="0"/>
        <v>France</v>
      </c>
      <c r="F11">
        <f t="shared" si="1"/>
        <v>9.1221480529189929</v>
      </c>
    </row>
    <row r="12" spans="1:6">
      <c r="A12" s="57" t="s">
        <v>100</v>
      </c>
      <c r="B12" s="57">
        <v>1444.7455199999999</v>
      </c>
      <c r="C12" s="57">
        <v>13321.6</v>
      </c>
      <c r="E12" t="str">
        <f t="shared" si="0"/>
        <v>Germany</v>
      </c>
      <c r="F12">
        <f t="shared" si="1"/>
        <v>9.2207242144623507</v>
      </c>
    </row>
    <row r="13" spans="1:6">
      <c r="A13" s="57" t="s">
        <v>104</v>
      </c>
      <c r="B13" s="57">
        <v>118.87103159999999</v>
      </c>
      <c r="C13" s="57">
        <v>0</v>
      </c>
      <c r="E13" t="str">
        <f t="shared" si="0"/>
        <v>Greece</v>
      </c>
      <c r="F13">
        <f t="shared" si="1"/>
        <v>0</v>
      </c>
    </row>
    <row r="14" spans="1:6">
      <c r="A14" s="57" t="s">
        <v>116</v>
      </c>
      <c r="B14" s="57">
        <v>112.64868</v>
      </c>
      <c r="C14" s="57">
        <v>3586.7</v>
      </c>
      <c r="E14" t="str">
        <f t="shared" si="0"/>
        <v>Hungary</v>
      </c>
      <c r="F14">
        <f t="shared" si="1"/>
        <v>31.839698432329609</v>
      </c>
    </row>
    <row r="15" spans="1:6">
      <c r="A15" s="57" t="s">
        <v>126</v>
      </c>
      <c r="B15" s="57">
        <v>75.485066399999994</v>
      </c>
      <c r="C15" s="57">
        <v>359.2</v>
      </c>
      <c r="E15" t="str">
        <f t="shared" si="0"/>
        <v>Ireland</v>
      </c>
      <c r="F15">
        <f t="shared" si="1"/>
        <v>4.7585571177294481</v>
      </c>
    </row>
    <row r="16" spans="1:6">
      <c r="A16" s="57" t="s">
        <v>132</v>
      </c>
      <c r="B16" s="57">
        <v>680.87606399999993</v>
      </c>
      <c r="C16" s="57">
        <v>4594.2</v>
      </c>
      <c r="E16" t="str">
        <f t="shared" si="0"/>
        <v>Italy</v>
      </c>
      <c r="F16">
        <f t="shared" si="1"/>
        <v>6.7474834891537618</v>
      </c>
    </row>
    <row r="17" spans="1:6">
      <c r="A17" s="57" t="s">
        <v>156</v>
      </c>
      <c r="B17" s="57">
        <v>10.7646912</v>
      </c>
      <c r="C17" s="57">
        <v>2.6</v>
      </c>
      <c r="E17" t="str">
        <f t="shared" si="0"/>
        <v>Latvia</v>
      </c>
      <c r="F17">
        <f t="shared" si="1"/>
        <v>0.24153038407641458</v>
      </c>
    </row>
    <row r="18" spans="1:6">
      <c r="A18" s="57" t="s">
        <v>164</v>
      </c>
      <c r="B18" s="57">
        <v>8.0629200000000019</v>
      </c>
      <c r="C18" s="57">
        <v>87.5</v>
      </c>
      <c r="E18" t="str">
        <f t="shared" si="0"/>
        <v>Lithuania</v>
      </c>
      <c r="F18">
        <f t="shared" si="1"/>
        <v>10.852147857103876</v>
      </c>
    </row>
    <row r="19" spans="1:6">
      <c r="A19" s="57" t="s">
        <v>166</v>
      </c>
      <c r="B19" s="57">
        <v>2.2741775999999998</v>
      </c>
      <c r="C19" s="57">
        <v>0</v>
      </c>
      <c r="E19" t="str">
        <f t="shared" si="0"/>
        <v>Luxembourg</v>
      </c>
      <c r="F19">
        <f t="shared" si="1"/>
        <v>0</v>
      </c>
    </row>
    <row r="20" spans="1:6">
      <c r="A20" s="57" t="s">
        <v>176</v>
      </c>
      <c r="B20" s="57">
        <v>7.0525835999999993</v>
      </c>
      <c r="C20" s="57">
        <v>0</v>
      </c>
      <c r="E20" t="str">
        <f t="shared" si="0"/>
        <v>Malta</v>
      </c>
      <c r="F20">
        <f t="shared" si="1"/>
        <v>0</v>
      </c>
    </row>
    <row r="21" spans="1:6">
      <c r="A21" s="57" t="s">
        <v>196</v>
      </c>
      <c r="B21" s="57">
        <v>331.67911680000003</v>
      </c>
      <c r="C21" s="57">
        <v>3183.3</v>
      </c>
      <c r="E21" t="str">
        <f t="shared" si="0"/>
        <v>Netherlands</v>
      </c>
      <c r="F21">
        <f t="shared" si="1"/>
        <v>9.5975291743179163</v>
      </c>
    </row>
    <row r="22" spans="1:6">
      <c r="A22" s="57" t="s">
        <v>216</v>
      </c>
      <c r="B22" s="57">
        <v>562.60272240000018</v>
      </c>
      <c r="C22" s="57">
        <v>5216</v>
      </c>
      <c r="E22" t="str">
        <f t="shared" si="0"/>
        <v>Poland</v>
      </c>
      <c r="F22">
        <f t="shared" si="1"/>
        <v>9.2711958053617813</v>
      </c>
    </row>
    <row r="23" spans="1:6">
      <c r="A23" s="57" t="s">
        <v>218</v>
      </c>
      <c r="B23" s="57">
        <v>78.816978000000006</v>
      </c>
      <c r="C23" s="57">
        <v>786.9</v>
      </c>
      <c r="E23" t="str">
        <f t="shared" si="0"/>
        <v>Portugal</v>
      </c>
      <c r="F23">
        <f t="shared" si="1"/>
        <v>9.9838895117242377</v>
      </c>
    </row>
    <row r="24" spans="1:6">
      <c r="A24" s="57" t="s">
        <v>228</v>
      </c>
      <c r="B24" s="57">
        <v>120.40688159999999</v>
      </c>
      <c r="C24" s="57">
        <v>566</v>
      </c>
      <c r="E24" t="str">
        <f t="shared" si="0"/>
        <v>Romania</v>
      </c>
      <c r="F24">
        <f t="shared" si="1"/>
        <v>4.7007280022440181</v>
      </c>
    </row>
    <row r="25" spans="1:6">
      <c r="A25" s="57" t="s">
        <v>244</v>
      </c>
      <c r="B25" s="57">
        <v>89.0244</v>
      </c>
      <c r="C25" s="57">
        <v>50.4</v>
      </c>
      <c r="E25" t="str">
        <f t="shared" si="0"/>
        <v>Slovakia</v>
      </c>
      <c r="F25">
        <f t="shared" si="1"/>
        <v>0.56613692425896722</v>
      </c>
    </row>
    <row r="26" spans="1:6">
      <c r="A26" s="57" t="s">
        <v>246</v>
      </c>
      <c r="B26" s="57">
        <v>37.516136399999994</v>
      </c>
      <c r="C26" s="57">
        <v>717.1</v>
      </c>
      <c r="E26" t="str">
        <f t="shared" si="0"/>
        <v>Slovenia</v>
      </c>
      <c r="F26">
        <f t="shared" si="1"/>
        <v>19.114441645968643</v>
      </c>
    </row>
    <row r="27" spans="1:6">
      <c r="A27" s="57" t="s">
        <v>250</v>
      </c>
      <c r="B27" s="57">
        <v>547.22519999999997</v>
      </c>
      <c r="C27" s="57">
        <v>4682.7</v>
      </c>
      <c r="E27" t="str">
        <f t="shared" si="0"/>
        <v>Spain</v>
      </c>
      <c r="F27">
        <f t="shared" si="1"/>
        <v>8.5571717091976023</v>
      </c>
    </row>
    <row r="28" spans="1:6">
      <c r="A28" s="57" t="s">
        <v>256</v>
      </c>
      <c r="B28" s="57">
        <v>248.7672</v>
      </c>
      <c r="C28" s="57">
        <v>113.4</v>
      </c>
      <c r="E28" t="str">
        <f t="shared" si="0"/>
        <v>Sweden</v>
      </c>
      <c r="F28">
        <f t="shared" si="1"/>
        <v>0.45584787705131546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1802-66F4-4CC3-AE29-8D7D2F1246DF}">
  <dimension ref="A1:B29"/>
  <sheetViews>
    <sheetView workbookViewId="0">
      <selection activeCell="J23" sqref="J23"/>
    </sheetView>
  </sheetViews>
  <sheetFormatPr defaultRowHeight="15"/>
  <sheetData>
    <row r="1" spans="1:2">
      <c r="A1" t="s">
        <v>0</v>
      </c>
      <c r="B1" t="s">
        <v>1444</v>
      </c>
    </row>
    <row r="2" spans="1:2">
      <c r="A2" t="s">
        <v>22</v>
      </c>
      <c r="B2" t="s">
        <v>1445</v>
      </c>
    </row>
    <row r="3" spans="1:2">
      <c r="A3" t="s">
        <v>36</v>
      </c>
      <c r="B3" t="s">
        <v>1446</v>
      </c>
    </row>
    <row r="4" spans="1:2">
      <c r="A4" t="s">
        <v>48</v>
      </c>
      <c r="B4" t="s">
        <v>1447</v>
      </c>
    </row>
    <row r="5" spans="1:2">
      <c r="A5" t="s">
        <v>72</v>
      </c>
      <c r="B5" t="s">
        <v>1448</v>
      </c>
    </row>
    <row r="6" spans="1:2">
      <c r="A6" t="s">
        <v>1430</v>
      </c>
      <c r="B6" t="s">
        <v>1449</v>
      </c>
    </row>
    <row r="7" spans="1:2">
      <c r="A7" t="s">
        <v>100</v>
      </c>
      <c r="B7" t="s">
        <v>695</v>
      </c>
    </row>
    <row r="8" spans="1:2">
      <c r="A8" t="s">
        <v>76</v>
      </c>
      <c r="B8" t="s">
        <v>681</v>
      </c>
    </row>
    <row r="9" spans="1:2">
      <c r="A9" t="s">
        <v>250</v>
      </c>
      <c r="B9" t="s">
        <v>1450</v>
      </c>
    </row>
    <row r="10" spans="1:2">
      <c r="A10" t="s">
        <v>90</v>
      </c>
      <c r="B10" t="s">
        <v>1451</v>
      </c>
    </row>
    <row r="11" spans="1:2">
      <c r="A11" t="s">
        <v>92</v>
      </c>
      <c r="B11" t="s">
        <v>683</v>
      </c>
    </row>
    <row r="12" spans="1:2">
      <c r="A12" t="s">
        <v>94</v>
      </c>
      <c r="B12" t="s">
        <v>689</v>
      </c>
    </row>
    <row r="13" spans="1:2">
      <c r="A13" t="s">
        <v>104</v>
      </c>
      <c r="B13" t="s">
        <v>1452</v>
      </c>
    </row>
    <row r="14" spans="1:2">
      <c r="A14" t="s">
        <v>68</v>
      </c>
      <c r="B14" t="s">
        <v>1453</v>
      </c>
    </row>
    <row r="15" spans="1:2">
      <c r="A15" t="s">
        <v>116</v>
      </c>
      <c r="B15" t="s">
        <v>1454</v>
      </c>
    </row>
    <row r="16" spans="1:2">
      <c r="A16" t="s">
        <v>126</v>
      </c>
      <c r="B16" t="s">
        <v>1455</v>
      </c>
    </row>
    <row r="17" spans="1:2">
      <c r="A17" t="s">
        <v>132</v>
      </c>
      <c r="B17" t="s">
        <v>704</v>
      </c>
    </row>
    <row r="18" spans="1:2">
      <c r="A18" t="s">
        <v>164</v>
      </c>
      <c r="B18" t="s">
        <v>1456</v>
      </c>
    </row>
    <row r="19" spans="1:2">
      <c r="A19" t="s">
        <v>166</v>
      </c>
      <c r="B19" t="s">
        <v>1457</v>
      </c>
    </row>
    <row r="20" spans="1:2">
      <c r="A20" t="s">
        <v>156</v>
      </c>
      <c r="B20" t="s">
        <v>1458</v>
      </c>
    </row>
    <row r="21" spans="1:2">
      <c r="A21" t="s">
        <v>176</v>
      </c>
      <c r="B21" t="s">
        <v>1459</v>
      </c>
    </row>
    <row r="22" spans="1:2">
      <c r="A22" t="s">
        <v>196</v>
      </c>
      <c r="B22" t="s">
        <v>1460</v>
      </c>
    </row>
    <row r="23" spans="1:2">
      <c r="A23" t="s">
        <v>216</v>
      </c>
      <c r="B23" t="s">
        <v>686</v>
      </c>
    </row>
    <row r="24" spans="1:2">
      <c r="A24" t="s">
        <v>218</v>
      </c>
      <c r="B24" t="s">
        <v>1461</v>
      </c>
    </row>
    <row r="25" spans="1:2">
      <c r="A25" t="s">
        <v>228</v>
      </c>
      <c r="B25" t="s">
        <v>1462</v>
      </c>
    </row>
    <row r="26" spans="1:2">
      <c r="A26" t="s">
        <v>244</v>
      </c>
      <c r="B26" t="s">
        <v>1463</v>
      </c>
    </row>
    <row r="27" spans="1:2">
      <c r="A27" t="s">
        <v>246</v>
      </c>
      <c r="B27" t="s">
        <v>1464</v>
      </c>
    </row>
    <row r="28" spans="1:2">
      <c r="A28" t="s">
        <v>256</v>
      </c>
      <c r="B28" t="s">
        <v>682</v>
      </c>
    </row>
    <row r="29" spans="1:2">
      <c r="A29" t="s">
        <v>308</v>
      </c>
      <c r="B29" t="s">
        <v>1465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37908-9A85-4B38-B30A-418E263E1615}">
  <sheetPr>
    <tabColor theme="9" tint="0.59999389629810485"/>
  </sheetPr>
  <dimension ref="A1:L353"/>
  <sheetViews>
    <sheetView workbookViewId="0">
      <selection activeCell="H16" sqref="H16"/>
    </sheetView>
  </sheetViews>
  <sheetFormatPr defaultRowHeight="15"/>
  <cols>
    <col min="1" max="1" width="27.7109375" customWidth="1"/>
    <col min="2" max="4" width="18.7109375" customWidth="1"/>
    <col min="5" max="12" width="15.7109375" customWidth="1"/>
  </cols>
  <sheetData>
    <row r="1" spans="1:12" ht="18" thickBot="1">
      <c r="A1" s="63" t="s">
        <v>671</v>
      </c>
      <c r="B1" s="65" t="s">
        <v>670</v>
      </c>
      <c r="C1" s="63" t="s">
        <v>669</v>
      </c>
      <c r="D1" s="63" t="s">
        <v>668</v>
      </c>
      <c r="E1" s="66" t="s">
        <v>667</v>
      </c>
      <c r="F1" s="66"/>
      <c r="G1" s="66"/>
      <c r="H1" s="66"/>
      <c r="I1" s="66"/>
      <c r="J1" s="66"/>
      <c r="K1" s="66"/>
      <c r="L1" s="66"/>
    </row>
    <row r="2" spans="1:12" ht="15.75" thickBot="1">
      <c r="A2" s="64"/>
      <c r="B2" s="60"/>
      <c r="C2" s="64"/>
      <c r="D2" s="64"/>
      <c r="E2" s="17">
        <v>2015</v>
      </c>
      <c r="F2" s="18">
        <v>2020</v>
      </c>
      <c r="G2" s="18">
        <v>2025</v>
      </c>
      <c r="H2" s="18">
        <v>2030</v>
      </c>
      <c r="I2" s="18">
        <v>2035</v>
      </c>
      <c r="J2" s="18">
        <v>2040</v>
      </c>
      <c r="K2" s="18">
        <v>2045</v>
      </c>
      <c r="L2" s="18">
        <v>2050</v>
      </c>
    </row>
    <row r="3" spans="1:12">
      <c r="A3" s="15" t="s">
        <v>666</v>
      </c>
      <c r="B3" s="14" t="s">
        <v>288</v>
      </c>
      <c r="C3" s="14" t="s">
        <v>319</v>
      </c>
      <c r="D3" s="14" t="s">
        <v>324</v>
      </c>
      <c r="E3" s="13">
        <v>28085161</v>
      </c>
      <c r="F3" s="13">
        <v>6542770</v>
      </c>
      <c r="G3" s="13">
        <v>2050368</v>
      </c>
      <c r="H3" s="13">
        <v>1415845</v>
      </c>
      <c r="I3" s="13">
        <v>473460</v>
      </c>
      <c r="J3" s="13">
        <v>0</v>
      </c>
      <c r="K3" s="13">
        <v>0</v>
      </c>
      <c r="L3" s="13">
        <v>0</v>
      </c>
    </row>
    <row r="4" spans="1:12">
      <c r="A4" s="1" t="s">
        <v>665</v>
      </c>
      <c r="B4" s="11" t="s">
        <v>309</v>
      </c>
      <c r="C4" s="11" t="s">
        <v>314</v>
      </c>
      <c r="D4" s="11" t="s">
        <v>308</v>
      </c>
      <c r="E4" s="3">
        <v>59688</v>
      </c>
      <c r="F4" s="3">
        <v>0</v>
      </c>
      <c r="G4" s="3">
        <v>0</v>
      </c>
      <c r="H4" s="3">
        <v>0</v>
      </c>
      <c r="I4" s="3">
        <v>0</v>
      </c>
      <c r="J4" s="3">
        <v>0</v>
      </c>
      <c r="K4" s="3">
        <v>0</v>
      </c>
      <c r="L4" s="3">
        <v>0</v>
      </c>
    </row>
    <row r="5" spans="1:12">
      <c r="A5" s="1" t="s">
        <v>664</v>
      </c>
      <c r="B5" s="11" t="s">
        <v>288</v>
      </c>
      <c r="C5" s="11" t="s">
        <v>319</v>
      </c>
      <c r="D5" s="11" t="s">
        <v>324</v>
      </c>
      <c r="E5" s="3">
        <v>6365046</v>
      </c>
      <c r="F5" s="3">
        <v>7452612</v>
      </c>
      <c r="G5" s="3">
        <v>4006870</v>
      </c>
      <c r="H5" s="3">
        <v>2600404</v>
      </c>
      <c r="I5" s="3">
        <v>1003172</v>
      </c>
      <c r="J5" s="3">
        <v>0</v>
      </c>
      <c r="K5" s="3">
        <v>0</v>
      </c>
      <c r="L5" s="3">
        <v>0</v>
      </c>
    </row>
    <row r="6" spans="1:12">
      <c r="A6" s="1" t="s">
        <v>663</v>
      </c>
      <c r="B6" s="11" t="s">
        <v>94</v>
      </c>
      <c r="C6" s="11" t="s">
        <v>319</v>
      </c>
      <c r="D6" s="11" t="s">
        <v>308</v>
      </c>
      <c r="E6" s="3">
        <v>3788</v>
      </c>
      <c r="F6" s="3">
        <v>13</v>
      </c>
      <c r="G6" s="3">
        <v>694</v>
      </c>
      <c r="H6" s="3">
        <v>4166</v>
      </c>
      <c r="I6" s="3">
        <v>4991</v>
      </c>
      <c r="J6" s="3">
        <v>4998</v>
      </c>
      <c r="K6" s="3">
        <v>0</v>
      </c>
      <c r="L6" s="3">
        <v>0</v>
      </c>
    </row>
    <row r="7" spans="1:12">
      <c r="A7" s="1" t="s">
        <v>662</v>
      </c>
      <c r="B7" s="11" t="s">
        <v>288</v>
      </c>
      <c r="C7" s="11" t="s">
        <v>319</v>
      </c>
      <c r="D7" s="11" t="s">
        <v>324</v>
      </c>
      <c r="E7" s="3">
        <v>37237091</v>
      </c>
      <c r="F7" s="3">
        <v>0</v>
      </c>
      <c r="G7" s="3">
        <v>0</v>
      </c>
      <c r="H7" s="3">
        <v>0</v>
      </c>
      <c r="I7" s="3">
        <v>0</v>
      </c>
      <c r="J7" s="3">
        <v>0</v>
      </c>
      <c r="K7" s="3">
        <v>0</v>
      </c>
      <c r="L7" s="3">
        <v>0</v>
      </c>
    </row>
    <row r="8" spans="1:12">
      <c r="A8" s="1" t="s">
        <v>661</v>
      </c>
      <c r="B8" s="11" t="s">
        <v>44</v>
      </c>
      <c r="C8" s="11" t="s">
        <v>319</v>
      </c>
      <c r="D8" s="11" t="s">
        <v>324</v>
      </c>
      <c r="E8" s="3">
        <v>2875449</v>
      </c>
      <c r="F8" s="3">
        <v>0</v>
      </c>
      <c r="G8" s="3">
        <v>0</v>
      </c>
      <c r="H8" s="3">
        <v>0</v>
      </c>
      <c r="I8" s="3">
        <v>0</v>
      </c>
      <c r="J8" s="3">
        <v>0</v>
      </c>
      <c r="K8" s="3">
        <v>0</v>
      </c>
      <c r="L8" s="3">
        <v>0</v>
      </c>
    </row>
    <row r="9" spans="1:12">
      <c r="A9" s="1" t="s">
        <v>660</v>
      </c>
      <c r="B9" s="11" t="s">
        <v>292</v>
      </c>
      <c r="C9" s="11" t="s">
        <v>311</v>
      </c>
      <c r="D9" s="11" t="s">
        <v>305</v>
      </c>
      <c r="E9" s="3">
        <v>9997466</v>
      </c>
      <c r="F9" s="3">
        <v>0</v>
      </c>
      <c r="G9" s="3">
        <v>0</v>
      </c>
      <c r="H9" s="3">
        <v>0</v>
      </c>
      <c r="I9" s="3">
        <v>0</v>
      </c>
      <c r="J9" s="3">
        <v>0</v>
      </c>
      <c r="K9" s="3">
        <v>0</v>
      </c>
      <c r="L9" s="3">
        <v>0</v>
      </c>
    </row>
    <row r="10" spans="1:12">
      <c r="A10" s="1" t="s">
        <v>659</v>
      </c>
      <c r="B10" s="11" t="s">
        <v>309</v>
      </c>
      <c r="C10" s="11" t="s">
        <v>306</v>
      </c>
      <c r="D10" s="11" t="s">
        <v>308</v>
      </c>
      <c r="E10" s="3">
        <v>8033484</v>
      </c>
      <c r="F10" s="3">
        <v>5543220</v>
      </c>
      <c r="G10" s="3">
        <v>0</v>
      </c>
      <c r="H10" s="3">
        <v>0</v>
      </c>
      <c r="I10" s="3">
        <v>0</v>
      </c>
      <c r="J10" s="3">
        <v>0</v>
      </c>
      <c r="K10" s="3">
        <v>0</v>
      </c>
      <c r="L10" s="3">
        <v>0</v>
      </c>
    </row>
    <row r="11" spans="1:12">
      <c r="A11" s="1" t="s">
        <v>658</v>
      </c>
      <c r="B11" s="11" t="s">
        <v>309</v>
      </c>
      <c r="C11" s="11" t="s">
        <v>314</v>
      </c>
      <c r="D11" s="11" t="s">
        <v>308</v>
      </c>
      <c r="E11" s="3">
        <v>15009186</v>
      </c>
      <c r="F11" s="3">
        <v>5446431</v>
      </c>
      <c r="G11" s="3">
        <v>93143</v>
      </c>
      <c r="H11" s="3">
        <v>12032</v>
      </c>
      <c r="I11" s="3">
        <v>18482</v>
      </c>
      <c r="J11" s="3">
        <v>30579</v>
      </c>
      <c r="K11" s="3">
        <v>28900</v>
      </c>
      <c r="L11" s="3">
        <v>0</v>
      </c>
    </row>
    <row r="12" spans="1:12">
      <c r="A12" s="1" t="s">
        <v>657</v>
      </c>
      <c r="B12" s="11" t="s">
        <v>288</v>
      </c>
      <c r="C12" s="11" t="s">
        <v>319</v>
      </c>
      <c r="D12" s="11" t="s">
        <v>324</v>
      </c>
      <c r="E12" s="3">
        <v>77779377</v>
      </c>
      <c r="F12" s="3">
        <v>33568191</v>
      </c>
      <c r="G12" s="3">
        <v>439753</v>
      </c>
      <c r="H12" s="3">
        <v>488064</v>
      </c>
      <c r="I12" s="3">
        <v>472961</v>
      </c>
      <c r="J12" s="3">
        <v>240826</v>
      </c>
      <c r="K12" s="3">
        <v>523384</v>
      </c>
      <c r="L12" s="3">
        <v>0</v>
      </c>
    </row>
    <row r="13" spans="1:12">
      <c r="A13" s="1" t="s">
        <v>656</v>
      </c>
      <c r="B13" s="11" t="s">
        <v>54</v>
      </c>
      <c r="C13" s="11" t="s">
        <v>314</v>
      </c>
      <c r="D13" s="11" t="s">
        <v>324</v>
      </c>
      <c r="E13" s="3">
        <v>2899138</v>
      </c>
      <c r="F13" s="3">
        <v>263807</v>
      </c>
      <c r="G13" s="3">
        <v>293064</v>
      </c>
      <c r="H13" s="3">
        <v>288409</v>
      </c>
      <c r="I13" s="3">
        <v>292369</v>
      </c>
      <c r="J13" s="3">
        <v>0</v>
      </c>
      <c r="K13" s="3">
        <v>0</v>
      </c>
      <c r="L13" s="3">
        <v>0</v>
      </c>
    </row>
    <row r="14" spans="1:12">
      <c r="A14" s="1" t="s">
        <v>655</v>
      </c>
      <c r="B14" s="11" t="s">
        <v>54</v>
      </c>
      <c r="C14" s="11" t="s">
        <v>314</v>
      </c>
      <c r="D14" s="11" t="s">
        <v>324</v>
      </c>
      <c r="E14" s="3">
        <v>2867106</v>
      </c>
      <c r="F14" s="3">
        <v>481499</v>
      </c>
      <c r="G14" s="3">
        <v>534898</v>
      </c>
      <c r="H14" s="3">
        <v>526403</v>
      </c>
      <c r="I14" s="3">
        <v>374121</v>
      </c>
      <c r="J14" s="3">
        <v>61688</v>
      </c>
      <c r="K14" s="3">
        <v>0</v>
      </c>
      <c r="L14" s="3">
        <v>0</v>
      </c>
    </row>
    <row r="15" spans="1:12">
      <c r="A15" s="1" t="s">
        <v>654</v>
      </c>
      <c r="B15" s="11" t="s">
        <v>122</v>
      </c>
      <c r="C15" s="11" t="s">
        <v>311</v>
      </c>
      <c r="D15" s="11" t="s">
        <v>305</v>
      </c>
      <c r="E15" s="3">
        <v>43036</v>
      </c>
      <c r="F15" s="3">
        <v>37667</v>
      </c>
      <c r="G15" s="3">
        <v>10138</v>
      </c>
      <c r="H15" s="3">
        <v>4232</v>
      </c>
      <c r="I15" s="3">
        <v>1931</v>
      </c>
      <c r="J15" s="3">
        <v>0</v>
      </c>
      <c r="K15" s="3">
        <v>0</v>
      </c>
      <c r="L15" s="3">
        <v>0</v>
      </c>
    </row>
    <row r="16" spans="1:12">
      <c r="A16" s="1" t="s">
        <v>653</v>
      </c>
      <c r="B16" s="11" t="s">
        <v>192</v>
      </c>
      <c r="C16" s="11" t="s">
        <v>328</v>
      </c>
      <c r="D16" s="11" t="s">
        <v>305</v>
      </c>
      <c r="E16" s="3">
        <v>136445</v>
      </c>
      <c r="F16" s="3">
        <v>0</v>
      </c>
      <c r="G16" s="3">
        <v>0</v>
      </c>
      <c r="H16" s="3">
        <v>0</v>
      </c>
      <c r="I16" s="3">
        <v>0</v>
      </c>
      <c r="J16" s="3">
        <v>0</v>
      </c>
      <c r="K16" s="3">
        <v>0</v>
      </c>
      <c r="L16" s="3">
        <v>0</v>
      </c>
    </row>
    <row r="17" spans="1:12">
      <c r="A17" s="1" t="s">
        <v>652</v>
      </c>
      <c r="B17" s="11" t="s">
        <v>182</v>
      </c>
      <c r="C17" s="11" t="s">
        <v>306</v>
      </c>
      <c r="D17" s="11" t="s">
        <v>324</v>
      </c>
      <c r="E17" s="3">
        <v>44571056</v>
      </c>
      <c r="F17" s="3">
        <v>44327630</v>
      </c>
      <c r="G17" s="3">
        <v>35358350</v>
      </c>
      <c r="H17" s="3">
        <v>11282644</v>
      </c>
      <c r="I17" s="3">
        <v>284355</v>
      </c>
      <c r="J17" s="3">
        <v>0</v>
      </c>
      <c r="K17" s="3">
        <v>0</v>
      </c>
      <c r="L17" s="3">
        <v>0</v>
      </c>
    </row>
    <row r="18" spans="1:12">
      <c r="A18" s="1" t="s">
        <v>651</v>
      </c>
      <c r="B18" s="11" t="s">
        <v>288</v>
      </c>
      <c r="C18" s="11" t="s">
        <v>319</v>
      </c>
      <c r="D18" s="11" t="s">
        <v>324</v>
      </c>
      <c r="E18" s="3">
        <v>1227337</v>
      </c>
      <c r="F18" s="3">
        <v>351487</v>
      </c>
      <c r="G18" s="3">
        <v>79443</v>
      </c>
      <c r="H18" s="3">
        <v>102679</v>
      </c>
      <c r="I18" s="3">
        <v>125847</v>
      </c>
      <c r="J18" s="3">
        <v>0</v>
      </c>
      <c r="K18" s="3">
        <v>0</v>
      </c>
      <c r="L18" s="3">
        <v>0</v>
      </c>
    </row>
    <row r="19" spans="1:12">
      <c r="A19" s="1" t="s">
        <v>650</v>
      </c>
      <c r="B19" s="11" t="s">
        <v>54</v>
      </c>
      <c r="C19" s="11" t="s">
        <v>319</v>
      </c>
      <c r="D19" s="11" t="s">
        <v>324</v>
      </c>
      <c r="E19" s="3">
        <v>315420</v>
      </c>
      <c r="F19" s="3">
        <v>63290</v>
      </c>
      <c r="G19" s="3">
        <v>70309</v>
      </c>
      <c r="H19" s="3">
        <v>69193</v>
      </c>
      <c r="I19" s="3">
        <v>0</v>
      </c>
      <c r="J19" s="3">
        <v>0</v>
      </c>
      <c r="K19" s="3">
        <v>0</v>
      </c>
      <c r="L19" s="3">
        <v>0</v>
      </c>
    </row>
    <row r="20" spans="1:12">
      <c r="A20" s="1" t="s">
        <v>649</v>
      </c>
      <c r="B20" s="11" t="s">
        <v>60</v>
      </c>
      <c r="C20" s="11" t="s">
        <v>306</v>
      </c>
      <c r="D20" s="11" t="s">
        <v>305</v>
      </c>
      <c r="E20" s="3">
        <v>13776942</v>
      </c>
      <c r="F20" s="3">
        <v>15679719</v>
      </c>
      <c r="G20" s="3">
        <v>8444601</v>
      </c>
      <c r="H20" s="3">
        <v>637813</v>
      </c>
      <c r="I20" s="3">
        <v>39041</v>
      </c>
      <c r="J20" s="3">
        <v>43523</v>
      </c>
      <c r="K20" s="3">
        <v>17778</v>
      </c>
      <c r="L20" s="3">
        <v>0</v>
      </c>
    </row>
    <row r="21" spans="1:12">
      <c r="A21" s="1" t="s">
        <v>648</v>
      </c>
      <c r="B21" s="11" t="s">
        <v>309</v>
      </c>
      <c r="C21" s="11" t="s">
        <v>311</v>
      </c>
      <c r="D21" s="11" t="s">
        <v>308</v>
      </c>
      <c r="E21" s="3">
        <v>24121766</v>
      </c>
      <c r="F21" s="3">
        <v>0</v>
      </c>
      <c r="G21" s="3">
        <v>0</v>
      </c>
      <c r="H21" s="3">
        <v>0</v>
      </c>
      <c r="I21" s="3">
        <v>0</v>
      </c>
      <c r="J21" s="3">
        <v>0</v>
      </c>
      <c r="K21" s="3">
        <v>0</v>
      </c>
      <c r="L21" s="3">
        <v>0</v>
      </c>
    </row>
    <row r="22" spans="1:12">
      <c r="A22" s="1" t="s">
        <v>647</v>
      </c>
      <c r="B22" s="11" t="s">
        <v>118</v>
      </c>
      <c r="C22" s="11" t="s">
        <v>328</v>
      </c>
      <c r="D22" s="11" t="s">
        <v>305</v>
      </c>
      <c r="E22" s="3">
        <v>18504846</v>
      </c>
      <c r="F22" s="3">
        <v>24038510</v>
      </c>
      <c r="G22" s="3">
        <v>14266490</v>
      </c>
      <c r="H22" s="3">
        <v>6036552</v>
      </c>
      <c r="I22" s="3">
        <v>2014391</v>
      </c>
      <c r="J22" s="3">
        <v>707511</v>
      </c>
      <c r="K22" s="3">
        <v>111602</v>
      </c>
      <c r="L22" s="3">
        <v>0</v>
      </c>
    </row>
    <row r="23" spans="1:12">
      <c r="A23" s="1" t="s">
        <v>646</v>
      </c>
      <c r="B23" s="11" t="s">
        <v>118</v>
      </c>
      <c r="C23" s="11" t="s">
        <v>328</v>
      </c>
      <c r="D23" s="11" t="s">
        <v>305</v>
      </c>
      <c r="E23" s="3">
        <v>27382594</v>
      </c>
      <c r="F23" s="3">
        <v>26708495</v>
      </c>
      <c r="G23" s="3">
        <v>15217513</v>
      </c>
      <c r="H23" s="3">
        <v>5915007</v>
      </c>
      <c r="I23" s="3">
        <v>1837352</v>
      </c>
      <c r="J23" s="3">
        <v>472539</v>
      </c>
      <c r="K23" s="3">
        <v>24580</v>
      </c>
      <c r="L23" s="3">
        <v>0</v>
      </c>
    </row>
    <row r="24" spans="1:12">
      <c r="A24" s="1" t="s">
        <v>645</v>
      </c>
      <c r="B24" s="11" t="s">
        <v>288</v>
      </c>
      <c r="C24" s="11" t="s">
        <v>319</v>
      </c>
      <c r="D24" s="11" t="s">
        <v>324</v>
      </c>
      <c r="E24" s="3">
        <v>1010761</v>
      </c>
      <c r="F24" s="3">
        <v>1488999</v>
      </c>
      <c r="G24" s="3">
        <v>3359</v>
      </c>
      <c r="H24" s="3">
        <v>243</v>
      </c>
      <c r="I24" s="3">
        <v>0</v>
      </c>
      <c r="J24" s="3">
        <v>0</v>
      </c>
      <c r="K24" s="3">
        <v>32</v>
      </c>
      <c r="L24" s="3">
        <v>0</v>
      </c>
    </row>
    <row r="25" spans="1:12">
      <c r="A25" s="1" t="s">
        <v>644</v>
      </c>
      <c r="B25" s="11" t="s">
        <v>58</v>
      </c>
      <c r="C25" s="11" t="s">
        <v>306</v>
      </c>
      <c r="D25" s="11" t="s">
        <v>324</v>
      </c>
      <c r="E25" s="3">
        <v>194485</v>
      </c>
      <c r="F25" s="3">
        <v>52691</v>
      </c>
      <c r="G25" s="3">
        <v>5270</v>
      </c>
      <c r="H25" s="3">
        <v>0</v>
      </c>
      <c r="I25" s="3">
        <v>0</v>
      </c>
      <c r="J25" s="3">
        <v>0</v>
      </c>
      <c r="K25" s="3">
        <v>0</v>
      </c>
      <c r="L25" s="3">
        <v>0</v>
      </c>
    </row>
    <row r="26" spans="1:12">
      <c r="A26" s="1" t="s">
        <v>643</v>
      </c>
      <c r="B26" s="11" t="s">
        <v>309</v>
      </c>
      <c r="C26" s="11" t="s">
        <v>314</v>
      </c>
      <c r="D26" s="11" t="s">
        <v>308</v>
      </c>
      <c r="E26" s="3">
        <v>883883</v>
      </c>
      <c r="F26" s="3">
        <v>1068460</v>
      </c>
      <c r="G26" s="3">
        <v>26648</v>
      </c>
      <c r="H26" s="3">
        <v>3690</v>
      </c>
      <c r="I26" s="3">
        <v>0</v>
      </c>
      <c r="J26" s="3">
        <v>0</v>
      </c>
      <c r="K26" s="3">
        <v>0</v>
      </c>
      <c r="L26" s="3">
        <v>0</v>
      </c>
    </row>
    <row r="27" spans="1:12">
      <c r="A27" s="1" t="s">
        <v>642</v>
      </c>
      <c r="B27" s="11" t="s">
        <v>288</v>
      </c>
      <c r="C27" s="11" t="s">
        <v>319</v>
      </c>
      <c r="D27" s="11" t="s">
        <v>324</v>
      </c>
      <c r="E27" s="3">
        <v>14851289</v>
      </c>
      <c r="F27" s="3">
        <v>25652227</v>
      </c>
      <c r="G27" s="3">
        <v>0</v>
      </c>
      <c r="H27" s="3">
        <v>0</v>
      </c>
      <c r="I27" s="3">
        <v>0</v>
      </c>
      <c r="J27" s="3">
        <v>0</v>
      </c>
      <c r="K27" s="3">
        <v>0</v>
      </c>
      <c r="L27" s="3">
        <v>0</v>
      </c>
    </row>
    <row r="28" spans="1:12">
      <c r="A28" s="1" t="s">
        <v>641</v>
      </c>
      <c r="B28" s="11" t="s">
        <v>254</v>
      </c>
      <c r="C28" s="11" t="s">
        <v>319</v>
      </c>
      <c r="D28" s="11" t="s">
        <v>345</v>
      </c>
      <c r="E28" s="3">
        <v>1498799</v>
      </c>
      <c r="F28" s="3">
        <v>0</v>
      </c>
      <c r="G28" s="3">
        <v>0</v>
      </c>
      <c r="H28" s="3">
        <v>0</v>
      </c>
      <c r="I28" s="3">
        <v>0</v>
      </c>
      <c r="J28" s="3">
        <v>0</v>
      </c>
      <c r="K28" s="3">
        <v>0</v>
      </c>
      <c r="L28" s="3">
        <v>0</v>
      </c>
    </row>
    <row r="29" spans="1:12">
      <c r="A29" s="1" t="s">
        <v>640</v>
      </c>
      <c r="B29" s="11" t="s">
        <v>118</v>
      </c>
      <c r="C29" s="11" t="s">
        <v>328</v>
      </c>
      <c r="D29" s="11" t="s">
        <v>305</v>
      </c>
      <c r="E29" s="3">
        <v>67202733</v>
      </c>
      <c r="F29" s="3">
        <v>49808204</v>
      </c>
      <c r="G29" s="3">
        <v>44081808</v>
      </c>
      <c r="H29" s="3">
        <v>18794082</v>
      </c>
      <c r="I29" s="3">
        <v>2669651</v>
      </c>
      <c r="J29" s="3">
        <v>2160327</v>
      </c>
      <c r="K29" s="3">
        <v>238318</v>
      </c>
      <c r="L29" s="3">
        <v>0</v>
      </c>
    </row>
    <row r="30" spans="1:12">
      <c r="A30" s="1" t="s">
        <v>639</v>
      </c>
      <c r="B30" s="11" t="s">
        <v>30</v>
      </c>
      <c r="C30" s="11" t="s">
        <v>328</v>
      </c>
      <c r="D30" s="11" t="s">
        <v>305</v>
      </c>
      <c r="E30" s="3">
        <v>1844027</v>
      </c>
      <c r="F30" s="3">
        <v>628527</v>
      </c>
      <c r="G30" s="3">
        <v>317097</v>
      </c>
      <c r="H30" s="3">
        <v>177817</v>
      </c>
      <c r="I30" s="3">
        <v>1261</v>
      </c>
      <c r="J30" s="3">
        <v>747</v>
      </c>
      <c r="K30" s="3">
        <v>947</v>
      </c>
      <c r="L30" s="3">
        <v>0</v>
      </c>
    </row>
    <row r="31" spans="1:12">
      <c r="A31" s="1" t="s">
        <v>638</v>
      </c>
      <c r="B31" s="11" t="s">
        <v>16</v>
      </c>
      <c r="C31" s="11" t="s">
        <v>319</v>
      </c>
      <c r="D31" s="11" t="s">
        <v>324</v>
      </c>
      <c r="E31" s="3">
        <v>3055</v>
      </c>
      <c r="F31" s="3">
        <v>0</v>
      </c>
      <c r="G31" s="3">
        <v>0</v>
      </c>
      <c r="H31" s="3">
        <v>0</v>
      </c>
      <c r="I31" s="3">
        <v>0</v>
      </c>
      <c r="J31" s="3">
        <v>0</v>
      </c>
      <c r="K31" s="3">
        <v>0</v>
      </c>
      <c r="L31" s="3">
        <v>0</v>
      </c>
    </row>
    <row r="32" spans="1:12">
      <c r="A32" s="4" t="s">
        <v>637</v>
      </c>
      <c r="B32" s="12" t="s">
        <v>288</v>
      </c>
      <c r="C32" s="12" t="s">
        <v>319</v>
      </c>
      <c r="D32" s="12" t="s">
        <v>324</v>
      </c>
      <c r="E32" s="6">
        <v>86344322</v>
      </c>
      <c r="F32" s="6">
        <v>52764761</v>
      </c>
      <c r="G32" s="6">
        <v>30096202</v>
      </c>
      <c r="H32" s="6">
        <v>15302706</v>
      </c>
      <c r="I32" s="6">
        <v>4095388</v>
      </c>
      <c r="J32" s="6">
        <v>2086511</v>
      </c>
      <c r="K32" s="7">
        <v>1785247</v>
      </c>
      <c r="L32" s="6">
        <v>0</v>
      </c>
    </row>
    <row r="33" spans="1:12">
      <c r="A33" s="1" t="s">
        <v>636</v>
      </c>
      <c r="B33" s="11" t="s">
        <v>288</v>
      </c>
      <c r="C33" s="11" t="s">
        <v>319</v>
      </c>
      <c r="D33" s="11" t="s">
        <v>324</v>
      </c>
      <c r="E33" s="3">
        <v>31601589</v>
      </c>
      <c r="F33" s="3">
        <v>29833315</v>
      </c>
      <c r="G33" s="3">
        <v>9634047</v>
      </c>
      <c r="H33" s="3">
        <v>6342132</v>
      </c>
      <c r="I33" s="3">
        <v>4758356</v>
      </c>
      <c r="J33" s="3">
        <v>2319448</v>
      </c>
      <c r="K33" s="3">
        <v>390430</v>
      </c>
      <c r="L33" s="3">
        <v>0</v>
      </c>
    </row>
    <row r="34" spans="1:12">
      <c r="A34" s="1" t="s">
        <v>635</v>
      </c>
      <c r="B34" s="11" t="s">
        <v>288</v>
      </c>
      <c r="C34" s="11" t="s">
        <v>319</v>
      </c>
      <c r="D34" s="11" t="s">
        <v>324</v>
      </c>
      <c r="E34" s="3">
        <v>4828808</v>
      </c>
      <c r="F34" s="3">
        <v>436108</v>
      </c>
      <c r="G34" s="3">
        <v>94401</v>
      </c>
      <c r="H34" s="3">
        <v>82293</v>
      </c>
      <c r="I34" s="3">
        <v>0</v>
      </c>
      <c r="J34" s="3">
        <v>0</v>
      </c>
      <c r="K34" s="3">
        <v>0</v>
      </c>
      <c r="L34" s="3">
        <v>0</v>
      </c>
    </row>
    <row r="35" spans="1:12">
      <c r="A35" s="1" t="s">
        <v>634</v>
      </c>
      <c r="B35" s="11" t="s">
        <v>288</v>
      </c>
      <c r="C35" s="11" t="s">
        <v>319</v>
      </c>
      <c r="D35" s="11" t="s">
        <v>324</v>
      </c>
      <c r="E35" s="3">
        <v>2653887</v>
      </c>
      <c r="F35" s="3">
        <v>2704950</v>
      </c>
      <c r="G35" s="3">
        <v>691169</v>
      </c>
      <c r="H35" s="3">
        <v>546805</v>
      </c>
      <c r="I35" s="3">
        <v>351552</v>
      </c>
      <c r="J35" s="3">
        <v>285880</v>
      </c>
      <c r="K35" s="3">
        <v>804855</v>
      </c>
      <c r="L35" s="3">
        <v>0</v>
      </c>
    </row>
    <row r="36" spans="1:12">
      <c r="A36" s="1" t="s">
        <v>633</v>
      </c>
      <c r="B36" s="11" t="s">
        <v>16</v>
      </c>
      <c r="C36" s="11" t="s">
        <v>319</v>
      </c>
      <c r="D36" s="11" t="s">
        <v>324</v>
      </c>
      <c r="E36" s="3">
        <v>2206344</v>
      </c>
      <c r="F36" s="3">
        <v>301818</v>
      </c>
      <c r="G36" s="3">
        <v>68994</v>
      </c>
      <c r="H36" s="3">
        <v>68630</v>
      </c>
      <c r="I36" s="3">
        <v>67817</v>
      </c>
      <c r="J36" s="3">
        <v>65234</v>
      </c>
      <c r="K36" s="3">
        <v>0</v>
      </c>
      <c r="L36" s="3">
        <v>0</v>
      </c>
    </row>
    <row r="37" spans="1:12">
      <c r="A37" s="1" t="s">
        <v>632</v>
      </c>
      <c r="B37" s="11" t="s">
        <v>62</v>
      </c>
      <c r="C37" s="11" t="s">
        <v>319</v>
      </c>
      <c r="D37" s="11" t="s">
        <v>324</v>
      </c>
      <c r="E37" s="3">
        <v>1200950</v>
      </c>
      <c r="F37" s="3">
        <v>308151</v>
      </c>
      <c r="G37" s="3">
        <v>316152</v>
      </c>
      <c r="H37" s="3">
        <v>328803</v>
      </c>
      <c r="I37" s="3">
        <v>0</v>
      </c>
      <c r="J37" s="3">
        <v>0</v>
      </c>
      <c r="K37" s="3">
        <v>0</v>
      </c>
      <c r="L37" s="3">
        <v>0</v>
      </c>
    </row>
    <row r="38" spans="1:12">
      <c r="A38" s="1" t="s">
        <v>631</v>
      </c>
      <c r="B38" s="11" t="s">
        <v>118</v>
      </c>
      <c r="C38" s="11" t="s">
        <v>328</v>
      </c>
      <c r="D38" s="11" t="s">
        <v>305</v>
      </c>
      <c r="E38" s="3">
        <v>46695464</v>
      </c>
      <c r="F38" s="3">
        <v>46568607</v>
      </c>
      <c r="G38" s="3">
        <v>31668051</v>
      </c>
      <c r="H38" s="3">
        <v>6299484</v>
      </c>
      <c r="I38" s="3">
        <v>1544829</v>
      </c>
      <c r="J38" s="3">
        <v>1073697</v>
      </c>
      <c r="K38" s="3">
        <v>202016</v>
      </c>
      <c r="L38" s="3">
        <v>0</v>
      </c>
    </row>
    <row r="39" spans="1:12">
      <c r="A39" s="1" t="s">
        <v>630</v>
      </c>
      <c r="B39" s="11" t="s">
        <v>288</v>
      </c>
      <c r="C39" s="11" t="s">
        <v>319</v>
      </c>
      <c r="D39" s="11" t="s">
        <v>324</v>
      </c>
      <c r="E39" s="3">
        <v>15210076</v>
      </c>
      <c r="F39" s="3">
        <v>1525357</v>
      </c>
      <c r="G39" s="3">
        <v>870708</v>
      </c>
      <c r="H39" s="3">
        <v>521514</v>
      </c>
      <c r="I39" s="3">
        <v>386360</v>
      </c>
      <c r="J39" s="3">
        <v>0</v>
      </c>
      <c r="K39" s="3">
        <v>0</v>
      </c>
      <c r="L39" s="3">
        <v>0</v>
      </c>
    </row>
    <row r="40" spans="1:12">
      <c r="A40" s="1" t="s">
        <v>629</v>
      </c>
      <c r="B40" s="11" t="s">
        <v>276</v>
      </c>
      <c r="C40" s="11" t="s">
        <v>319</v>
      </c>
      <c r="D40" s="11" t="s">
        <v>308</v>
      </c>
      <c r="E40" s="3">
        <v>36525502</v>
      </c>
      <c r="F40" s="3">
        <v>42810363</v>
      </c>
      <c r="G40" s="3">
        <v>19927068</v>
      </c>
      <c r="H40" s="3">
        <v>8464528</v>
      </c>
      <c r="I40" s="3">
        <v>5495417</v>
      </c>
      <c r="J40" s="3">
        <v>862247</v>
      </c>
      <c r="K40" s="3">
        <v>63330</v>
      </c>
      <c r="L40" s="3">
        <v>0</v>
      </c>
    </row>
    <row r="41" spans="1:12">
      <c r="A41" s="4" t="s">
        <v>628</v>
      </c>
      <c r="B41" s="12" t="s">
        <v>118</v>
      </c>
      <c r="C41" s="12" t="s">
        <v>328</v>
      </c>
      <c r="D41" s="12" t="s">
        <v>305</v>
      </c>
      <c r="E41" s="6">
        <v>48425382</v>
      </c>
      <c r="F41" s="6">
        <v>55626340</v>
      </c>
      <c r="G41" s="6">
        <v>39687451</v>
      </c>
      <c r="H41" s="7">
        <v>31397599</v>
      </c>
      <c r="I41" s="7">
        <v>30821293</v>
      </c>
      <c r="J41" s="7">
        <v>15494508</v>
      </c>
      <c r="K41" s="7">
        <v>15315921</v>
      </c>
      <c r="L41" s="6">
        <v>0</v>
      </c>
    </row>
    <row r="42" spans="1:12">
      <c r="A42" s="1" t="s">
        <v>627</v>
      </c>
      <c r="B42" s="11" t="s">
        <v>266</v>
      </c>
      <c r="C42" s="11" t="s">
        <v>306</v>
      </c>
      <c r="D42" s="11" t="s">
        <v>305</v>
      </c>
      <c r="E42" s="3">
        <v>9895527</v>
      </c>
      <c r="F42" s="3">
        <v>10266784</v>
      </c>
      <c r="G42" s="3">
        <v>5677749</v>
      </c>
      <c r="H42" s="3">
        <v>2217552</v>
      </c>
      <c r="I42" s="3">
        <v>336347</v>
      </c>
      <c r="J42" s="3">
        <v>509271</v>
      </c>
      <c r="K42" s="3">
        <v>100215</v>
      </c>
      <c r="L42" s="3">
        <v>0</v>
      </c>
    </row>
    <row r="43" spans="1:12">
      <c r="A43" s="4" t="s">
        <v>626</v>
      </c>
      <c r="B43" s="12" t="s">
        <v>288</v>
      </c>
      <c r="C43" s="12" t="s">
        <v>319</v>
      </c>
      <c r="D43" s="12" t="s">
        <v>324</v>
      </c>
      <c r="E43" s="6">
        <v>78168562</v>
      </c>
      <c r="F43" s="6">
        <v>34459332</v>
      </c>
      <c r="G43" s="6">
        <v>6286820</v>
      </c>
      <c r="H43" s="6">
        <v>4454496</v>
      </c>
      <c r="I43" s="6">
        <v>2467894</v>
      </c>
      <c r="J43" s="6">
        <v>1087009</v>
      </c>
      <c r="K43" s="7">
        <v>2486409</v>
      </c>
      <c r="L43" s="6">
        <v>0</v>
      </c>
    </row>
    <row r="44" spans="1:12">
      <c r="A44" s="1" t="s">
        <v>625</v>
      </c>
      <c r="B44" s="11" t="s">
        <v>309</v>
      </c>
      <c r="C44" s="11" t="s">
        <v>314</v>
      </c>
      <c r="D44" s="11" t="s">
        <v>308</v>
      </c>
      <c r="E44" s="3">
        <v>3688537</v>
      </c>
      <c r="F44" s="3">
        <v>0</v>
      </c>
      <c r="G44" s="3">
        <v>0</v>
      </c>
      <c r="H44" s="3">
        <v>0</v>
      </c>
      <c r="I44" s="3">
        <v>0</v>
      </c>
      <c r="J44" s="3">
        <v>0</v>
      </c>
      <c r="K44" s="3">
        <v>0</v>
      </c>
      <c r="L44" s="3">
        <v>0</v>
      </c>
    </row>
    <row r="45" spans="1:12">
      <c r="A45" s="1" t="s">
        <v>624</v>
      </c>
      <c r="B45" s="11" t="s">
        <v>288</v>
      </c>
      <c r="C45" s="11" t="s">
        <v>306</v>
      </c>
      <c r="D45" s="11" t="s">
        <v>324</v>
      </c>
      <c r="E45" s="3">
        <v>423703</v>
      </c>
      <c r="F45" s="3">
        <v>45761</v>
      </c>
      <c r="G45" s="3">
        <v>42770</v>
      </c>
      <c r="H45" s="3">
        <v>44688</v>
      </c>
      <c r="I45" s="3">
        <v>51996</v>
      </c>
      <c r="J45" s="3">
        <v>59564</v>
      </c>
      <c r="K45" s="3">
        <v>0</v>
      </c>
      <c r="L45" s="3">
        <v>0</v>
      </c>
    </row>
    <row r="46" spans="1:12">
      <c r="A46" s="1" t="s">
        <v>623</v>
      </c>
      <c r="B46" s="11" t="s">
        <v>294</v>
      </c>
      <c r="C46" s="11" t="s">
        <v>319</v>
      </c>
      <c r="D46" s="11" t="s">
        <v>324</v>
      </c>
      <c r="E46" s="3">
        <v>1895034</v>
      </c>
      <c r="F46" s="3">
        <v>1759535</v>
      </c>
      <c r="G46" s="3">
        <v>918212</v>
      </c>
      <c r="H46" s="3">
        <v>95237</v>
      </c>
      <c r="I46" s="3">
        <v>100617</v>
      </c>
      <c r="J46" s="3">
        <v>0</v>
      </c>
      <c r="K46" s="3">
        <v>0</v>
      </c>
      <c r="L46" s="3">
        <v>0</v>
      </c>
    </row>
    <row r="47" spans="1:12">
      <c r="A47" s="1" t="s">
        <v>622</v>
      </c>
      <c r="B47" s="11" t="s">
        <v>288</v>
      </c>
      <c r="C47" s="11" t="s">
        <v>306</v>
      </c>
      <c r="D47" s="11" t="s">
        <v>324</v>
      </c>
      <c r="E47" s="3">
        <v>3036563</v>
      </c>
      <c r="F47" s="3">
        <v>434315</v>
      </c>
      <c r="G47" s="3">
        <v>345622</v>
      </c>
      <c r="H47" s="3">
        <v>337899</v>
      </c>
      <c r="I47" s="3">
        <v>168096</v>
      </c>
      <c r="J47" s="3">
        <v>173225</v>
      </c>
      <c r="K47" s="3">
        <v>0</v>
      </c>
      <c r="L47" s="3">
        <v>0</v>
      </c>
    </row>
    <row r="48" spans="1:12">
      <c r="A48" s="1" t="s">
        <v>621</v>
      </c>
      <c r="B48" s="11" t="s">
        <v>288</v>
      </c>
      <c r="C48" s="11" t="s">
        <v>306</v>
      </c>
      <c r="D48" s="11" t="s">
        <v>324</v>
      </c>
      <c r="E48" s="3">
        <v>29762530</v>
      </c>
      <c r="F48" s="3">
        <v>21543640</v>
      </c>
      <c r="G48" s="3">
        <v>538199</v>
      </c>
      <c r="H48" s="3">
        <v>467662</v>
      </c>
      <c r="I48" s="3">
        <v>410529</v>
      </c>
      <c r="J48" s="3">
        <v>404254</v>
      </c>
      <c r="K48" s="3">
        <v>461054</v>
      </c>
      <c r="L48" s="3">
        <v>0</v>
      </c>
    </row>
    <row r="49" spans="1:12">
      <c r="A49" s="1" t="s">
        <v>620</v>
      </c>
      <c r="B49" s="11" t="s">
        <v>288</v>
      </c>
      <c r="C49" s="11" t="s">
        <v>319</v>
      </c>
      <c r="D49" s="11" t="s">
        <v>324</v>
      </c>
      <c r="E49" s="3">
        <v>29362822</v>
      </c>
      <c r="F49" s="3">
        <v>38116293</v>
      </c>
      <c r="G49" s="3">
        <v>21290834</v>
      </c>
      <c r="H49" s="3">
        <v>14079896</v>
      </c>
      <c r="I49" s="3">
        <v>7341687</v>
      </c>
      <c r="J49" s="3">
        <v>3395395</v>
      </c>
      <c r="K49" s="3">
        <v>571542</v>
      </c>
      <c r="L49" s="3">
        <v>0</v>
      </c>
    </row>
    <row r="50" spans="1:12">
      <c r="A50" s="1" t="s">
        <v>619</v>
      </c>
      <c r="B50" s="11" t="s">
        <v>288</v>
      </c>
      <c r="C50" s="11" t="s">
        <v>319</v>
      </c>
      <c r="D50" s="11" t="s">
        <v>324</v>
      </c>
      <c r="E50" s="3">
        <v>5287928</v>
      </c>
      <c r="F50" s="3">
        <v>2523271</v>
      </c>
      <c r="G50" s="3">
        <v>823577</v>
      </c>
      <c r="H50" s="3">
        <v>485065</v>
      </c>
      <c r="I50" s="3">
        <v>303764</v>
      </c>
      <c r="J50" s="3">
        <v>138625</v>
      </c>
      <c r="K50" s="3">
        <v>0</v>
      </c>
      <c r="L50" s="3">
        <v>0</v>
      </c>
    </row>
    <row r="51" spans="1:12">
      <c r="A51" s="4" t="s">
        <v>618</v>
      </c>
      <c r="B51" s="12" t="s">
        <v>288</v>
      </c>
      <c r="C51" s="12" t="s">
        <v>319</v>
      </c>
      <c r="D51" s="12" t="s">
        <v>324</v>
      </c>
      <c r="E51" s="6">
        <v>55563278</v>
      </c>
      <c r="F51" s="6">
        <v>75102321</v>
      </c>
      <c r="G51" s="6">
        <v>42214742</v>
      </c>
      <c r="H51" s="7">
        <v>27720005</v>
      </c>
      <c r="I51" s="7">
        <v>14487242</v>
      </c>
      <c r="J51" s="7">
        <v>6790790</v>
      </c>
      <c r="K51" s="6">
        <v>1143085</v>
      </c>
      <c r="L51" s="6">
        <v>0</v>
      </c>
    </row>
    <row r="52" spans="1:12">
      <c r="A52" s="1" t="s">
        <v>617</v>
      </c>
      <c r="B52" s="11" t="s">
        <v>58</v>
      </c>
      <c r="C52" s="11" t="s">
        <v>306</v>
      </c>
      <c r="D52" s="11" t="s">
        <v>324</v>
      </c>
      <c r="E52" s="3">
        <v>1178</v>
      </c>
      <c r="F52" s="3">
        <v>0</v>
      </c>
      <c r="G52" s="3">
        <v>0</v>
      </c>
      <c r="H52" s="3">
        <v>0</v>
      </c>
      <c r="I52" s="3">
        <v>0</v>
      </c>
      <c r="J52" s="3">
        <v>0</v>
      </c>
      <c r="K52" s="3">
        <v>0</v>
      </c>
      <c r="L52" s="3">
        <v>0</v>
      </c>
    </row>
    <row r="53" spans="1:12">
      <c r="A53" s="1" t="s">
        <v>616</v>
      </c>
      <c r="B53" s="11" t="s">
        <v>44</v>
      </c>
      <c r="C53" s="11" t="s">
        <v>319</v>
      </c>
      <c r="D53" s="11" t="s">
        <v>324</v>
      </c>
      <c r="E53" s="3">
        <v>10241502</v>
      </c>
      <c r="F53" s="3">
        <v>2682007</v>
      </c>
      <c r="G53" s="3">
        <v>1888853</v>
      </c>
      <c r="H53" s="3">
        <v>1897251</v>
      </c>
      <c r="I53" s="3">
        <v>67817</v>
      </c>
      <c r="J53" s="3">
        <v>65234</v>
      </c>
      <c r="K53" s="3">
        <v>0</v>
      </c>
      <c r="L53" s="3">
        <v>0</v>
      </c>
    </row>
    <row r="54" spans="1:12">
      <c r="A54" s="1" t="s">
        <v>615</v>
      </c>
      <c r="B54" s="11" t="s">
        <v>288</v>
      </c>
      <c r="C54" s="11" t="s">
        <v>319</v>
      </c>
      <c r="D54" s="11" t="s">
        <v>324</v>
      </c>
      <c r="E54" s="3">
        <v>12243709</v>
      </c>
      <c r="F54" s="3">
        <v>617235</v>
      </c>
      <c r="G54" s="3">
        <v>202980</v>
      </c>
      <c r="H54" s="3">
        <v>171702</v>
      </c>
      <c r="I54" s="3">
        <v>0</v>
      </c>
      <c r="J54" s="3">
        <v>0</v>
      </c>
      <c r="K54" s="3">
        <v>0</v>
      </c>
      <c r="L54" s="3">
        <v>0</v>
      </c>
    </row>
    <row r="55" spans="1:12">
      <c r="A55" s="1" t="s">
        <v>614</v>
      </c>
      <c r="B55" s="11" t="s">
        <v>60</v>
      </c>
      <c r="C55" s="11" t="s">
        <v>306</v>
      </c>
      <c r="D55" s="11" t="s">
        <v>305</v>
      </c>
      <c r="E55" s="3">
        <v>40864</v>
      </c>
      <c r="F55" s="3">
        <v>67456</v>
      </c>
      <c r="G55" s="3">
        <v>20356</v>
      </c>
      <c r="H55" s="3">
        <v>6171</v>
      </c>
      <c r="I55" s="3">
        <v>1687</v>
      </c>
      <c r="J55" s="3">
        <v>1194</v>
      </c>
      <c r="K55" s="3">
        <v>630</v>
      </c>
      <c r="L55" s="3">
        <v>0</v>
      </c>
    </row>
    <row r="56" spans="1:12">
      <c r="A56" s="1" t="s">
        <v>613</v>
      </c>
      <c r="B56" s="11" t="s">
        <v>84</v>
      </c>
      <c r="C56" s="11" t="s">
        <v>319</v>
      </c>
      <c r="D56" s="11" t="s">
        <v>345</v>
      </c>
      <c r="E56" s="3">
        <v>20097434</v>
      </c>
      <c r="F56" s="3">
        <v>15901412</v>
      </c>
      <c r="G56" s="3">
        <v>2496620</v>
      </c>
      <c r="H56" s="3">
        <v>408281</v>
      </c>
      <c r="I56" s="3">
        <v>345854</v>
      </c>
      <c r="J56" s="3">
        <v>120058</v>
      </c>
      <c r="K56" s="3">
        <v>0</v>
      </c>
      <c r="L56" s="3">
        <v>0</v>
      </c>
    </row>
    <row r="57" spans="1:12">
      <c r="A57" s="4" t="s">
        <v>612</v>
      </c>
      <c r="B57" s="12" t="s">
        <v>100</v>
      </c>
      <c r="C57" s="12" t="s">
        <v>319</v>
      </c>
      <c r="D57" s="12" t="s">
        <v>308</v>
      </c>
      <c r="E57" s="6">
        <v>121035811</v>
      </c>
      <c r="F57" s="6">
        <v>90978416</v>
      </c>
      <c r="G57" s="6">
        <v>31035919</v>
      </c>
      <c r="H57" s="6">
        <v>21833493</v>
      </c>
      <c r="I57" s="6">
        <v>12377475</v>
      </c>
      <c r="J57" s="7">
        <v>7818584</v>
      </c>
      <c r="K57" s="7">
        <v>4928351</v>
      </c>
      <c r="L57" s="6">
        <v>0</v>
      </c>
    </row>
    <row r="58" spans="1:12">
      <c r="A58" s="1" t="s">
        <v>611</v>
      </c>
      <c r="B58" s="11" t="s">
        <v>309</v>
      </c>
      <c r="C58" s="11" t="s">
        <v>319</v>
      </c>
      <c r="D58" s="11" t="s">
        <v>308</v>
      </c>
      <c r="E58" s="3">
        <v>10736741</v>
      </c>
      <c r="F58" s="3">
        <v>1338705</v>
      </c>
      <c r="G58" s="3">
        <v>622859</v>
      </c>
      <c r="H58" s="3">
        <v>445615</v>
      </c>
      <c r="I58" s="3">
        <v>307249</v>
      </c>
      <c r="J58" s="3">
        <v>239707</v>
      </c>
      <c r="K58" s="3">
        <v>260653</v>
      </c>
      <c r="L58" s="3">
        <v>0</v>
      </c>
    </row>
    <row r="59" spans="1:12">
      <c r="A59" s="1" t="s">
        <v>610</v>
      </c>
      <c r="B59" s="11" t="s">
        <v>288</v>
      </c>
      <c r="C59" s="11" t="s">
        <v>319</v>
      </c>
      <c r="D59" s="11" t="s">
        <v>324</v>
      </c>
      <c r="E59" s="3">
        <v>10508570</v>
      </c>
      <c r="F59" s="3">
        <v>5516612</v>
      </c>
      <c r="G59" s="3">
        <v>2298883</v>
      </c>
      <c r="H59" s="3">
        <v>1009903</v>
      </c>
      <c r="I59" s="3">
        <v>417863</v>
      </c>
      <c r="J59" s="3">
        <v>0</v>
      </c>
      <c r="K59" s="3">
        <v>0</v>
      </c>
      <c r="L59" s="3">
        <v>0</v>
      </c>
    </row>
    <row r="60" spans="1:12">
      <c r="A60" s="1" t="s">
        <v>609</v>
      </c>
      <c r="B60" s="11" t="s">
        <v>288</v>
      </c>
      <c r="C60" s="11" t="s">
        <v>319</v>
      </c>
      <c r="D60" s="11" t="s">
        <v>324</v>
      </c>
      <c r="E60" s="3">
        <v>8043121</v>
      </c>
      <c r="F60" s="3">
        <v>11019529</v>
      </c>
      <c r="G60" s="3">
        <v>21156</v>
      </c>
      <c r="H60" s="3">
        <v>21256</v>
      </c>
      <c r="I60" s="3">
        <v>62474</v>
      </c>
      <c r="J60" s="3">
        <v>0</v>
      </c>
      <c r="K60" s="3">
        <v>0</v>
      </c>
      <c r="L60" s="3">
        <v>0</v>
      </c>
    </row>
    <row r="61" spans="1:12">
      <c r="A61" s="1" t="s">
        <v>608</v>
      </c>
      <c r="B61" s="11" t="s">
        <v>282</v>
      </c>
      <c r="C61" s="11" t="s">
        <v>319</v>
      </c>
      <c r="D61" s="11" t="s">
        <v>308</v>
      </c>
      <c r="E61" s="3">
        <v>3723138</v>
      </c>
      <c r="F61" s="3">
        <v>0</v>
      </c>
      <c r="G61" s="3">
        <v>0</v>
      </c>
      <c r="H61" s="3">
        <v>0</v>
      </c>
      <c r="I61" s="3">
        <v>0</v>
      </c>
      <c r="J61" s="3">
        <v>0</v>
      </c>
      <c r="K61" s="3">
        <v>0</v>
      </c>
      <c r="L61" s="3">
        <v>0</v>
      </c>
    </row>
    <row r="62" spans="1:12">
      <c r="A62" s="1" t="s">
        <v>607</v>
      </c>
      <c r="B62" s="11" t="s">
        <v>606</v>
      </c>
      <c r="C62" s="11" t="s">
        <v>319</v>
      </c>
      <c r="D62" s="11" t="s">
        <v>308</v>
      </c>
      <c r="E62" s="3">
        <v>5395523</v>
      </c>
      <c r="F62" s="3">
        <v>0</v>
      </c>
      <c r="G62" s="3">
        <v>0</v>
      </c>
      <c r="H62" s="3">
        <v>0</v>
      </c>
      <c r="I62" s="3">
        <v>0</v>
      </c>
      <c r="J62" s="3">
        <v>0</v>
      </c>
      <c r="K62" s="3">
        <v>0</v>
      </c>
      <c r="L62" s="3">
        <v>0</v>
      </c>
    </row>
    <row r="63" spans="1:12">
      <c r="A63" s="4" t="s">
        <v>605</v>
      </c>
      <c r="B63" s="12" t="s">
        <v>282</v>
      </c>
      <c r="C63" s="12" t="s">
        <v>319</v>
      </c>
      <c r="D63" s="12" t="s">
        <v>308</v>
      </c>
      <c r="E63" s="6">
        <v>96441214</v>
      </c>
      <c r="F63" s="6">
        <v>98247991</v>
      </c>
      <c r="G63" s="7">
        <v>65489694</v>
      </c>
      <c r="H63" s="6">
        <v>16448736</v>
      </c>
      <c r="I63" s="7">
        <v>16333881</v>
      </c>
      <c r="J63" s="6">
        <v>0</v>
      </c>
      <c r="K63" s="6">
        <v>0</v>
      </c>
      <c r="L63" s="6">
        <v>0</v>
      </c>
    </row>
    <row r="64" spans="1:12">
      <c r="A64" s="1" t="s">
        <v>604</v>
      </c>
      <c r="B64" s="11" t="s">
        <v>44</v>
      </c>
      <c r="C64" s="11" t="s">
        <v>319</v>
      </c>
      <c r="D64" s="11" t="s">
        <v>324</v>
      </c>
      <c r="E64" s="3">
        <v>11729</v>
      </c>
      <c r="F64" s="3">
        <v>5374</v>
      </c>
      <c r="G64" s="3">
        <v>5363</v>
      </c>
      <c r="H64" s="3">
        <v>5378</v>
      </c>
      <c r="I64" s="3">
        <v>5346</v>
      </c>
      <c r="J64" s="3">
        <v>4170</v>
      </c>
      <c r="K64" s="3">
        <v>0</v>
      </c>
      <c r="L64" s="3">
        <v>0</v>
      </c>
    </row>
    <row r="65" spans="1:12">
      <c r="A65" s="4" t="s">
        <v>603</v>
      </c>
      <c r="B65" s="12" t="s">
        <v>309</v>
      </c>
      <c r="C65" s="12" t="s">
        <v>319</v>
      </c>
      <c r="D65" s="12" t="s">
        <v>308</v>
      </c>
      <c r="E65" s="6">
        <v>74033423</v>
      </c>
      <c r="F65" s="6">
        <v>54255924</v>
      </c>
      <c r="G65" s="6">
        <v>36026715</v>
      </c>
      <c r="H65" s="7">
        <v>36051735</v>
      </c>
      <c r="I65" s="7">
        <v>36047223</v>
      </c>
      <c r="J65" s="7">
        <v>36038825</v>
      </c>
      <c r="K65" s="7">
        <v>18034729</v>
      </c>
      <c r="L65" s="6">
        <v>0</v>
      </c>
    </row>
    <row r="66" spans="1:12">
      <c r="A66" s="1" t="s">
        <v>602</v>
      </c>
      <c r="B66" s="11" t="s">
        <v>282</v>
      </c>
      <c r="C66" s="11" t="s">
        <v>319</v>
      </c>
      <c r="D66" s="11" t="s">
        <v>308</v>
      </c>
      <c r="E66" s="3">
        <v>19617584</v>
      </c>
      <c r="F66" s="3">
        <v>89328</v>
      </c>
      <c r="G66" s="3">
        <v>12601</v>
      </c>
      <c r="H66" s="3">
        <v>20764</v>
      </c>
      <c r="I66" s="3">
        <v>19292</v>
      </c>
      <c r="J66" s="3">
        <v>0</v>
      </c>
      <c r="K66" s="3">
        <v>0</v>
      </c>
      <c r="L66" s="3">
        <v>0</v>
      </c>
    </row>
    <row r="67" spans="1:12">
      <c r="A67" s="1" t="s">
        <v>601</v>
      </c>
      <c r="B67" s="11" t="s">
        <v>60</v>
      </c>
      <c r="C67" s="11" t="s">
        <v>306</v>
      </c>
      <c r="D67" s="11" t="s">
        <v>305</v>
      </c>
      <c r="E67" s="3">
        <v>14273703</v>
      </c>
      <c r="F67" s="3">
        <v>15496544</v>
      </c>
      <c r="G67" s="3">
        <v>8350001</v>
      </c>
      <c r="H67" s="3">
        <v>1956297</v>
      </c>
      <c r="I67" s="3">
        <v>798980</v>
      </c>
      <c r="J67" s="3">
        <v>43009</v>
      </c>
      <c r="K67" s="3">
        <v>38296</v>
      </c>
      <c r="L67" s="3">
        <v>0</v>
      </c>
    </row>
    <row r="68" spans="1:12">
      <c r="A68" s="1" t="s">
        <v>600</v>
      </c>
      <c r="B68" s="11" t="s">
        <v>288</v>
      </c>
      <c r="C68" s="11" t="s">
        <v>319</v>
      </c>
      <c r="D68" s="11" t="s">
        <v>324</v>
      </c>
      <c r="E68" s="3">
        <v>5635558</v>
      </c>
      <c r="F68" s="3">
        <v>1172707</v>
      </c>
      <c r="G68" s="3">
        <v>314631</v>
      </c>
      <c r="H68" s="3">
        <v>267951</v>
      </c>
      <c r="I68" s="3">
        <v>594536</v>
      </c>
      <c r="J68" s="3">
        <v>951384</v>
      </c>
      <c r="K68" s="3">
        <v>1230722</v>
      </c>
      <c r="L68" s="3">
        <v>0</v>
      </c>
    </row>
    <row r="69" spans="1:12">
      <c r="A69" s="1" t="s">
        <v>599</v>
      </c>
      <c r="B69" s="11" t="s">
        <v>94</v>
      </c>
      <c r="C69" s="11" t="s">
        <v>319</v>
      </c>
      <c r="D69" s="11" t="s">
        <v>308</v>
      </c>
      <c r="E69" s="3">
        <v>39248</v>
      </c>
      <c r="F69" s="3">
        <v>0</v>
      </c>
      <c r="G69" s="3">
        <v>0</v>
      </c>
      <c r="H69" s="3">
        <v>0</v>
      </c>
      <c r="I69" s="3">
        <v>0</v>
      </c>
      <c r="J69" s="3">
        <v>0</v>
      </c>
      <c r="K69" s="3">
        <v>0</v>
      </c>
      <c r="L69" s="3">
        <v>0</v>
      </c>
    </row>
    <row r="70" spans="1:12">
      <c r="A70" s="1" t="s">
        <v>598</v>
      </c>
      <c r="B70" s="11" t="s">
        <v>22</v>
      </c>
      <c r="C70" s="11" t="s">
        <v>319</v>
      </c>
      <c r="D70" s="11" t="s">
        <v>308</v>
      </c>
      <c r="E70" s="3">
        <v>3427</v>
      </c>
      <c r="F70" s="3">
        <v>0</v>
      </c>
      <c r="G70" s="3">
        <v>0</v>
      </c>
      <c r="H70" s="3">
        <v>0</v>
      </c>
      <c r="I70" s="3">
        <v>0</v>
      </c>
      <c r="J70" s="3">
        <v>0</v>
      </c>
      <c r="K70" s="3">
        <v>0</v>
      </c>
      <c r="L70" s="3">
        <v>0</v>
      </c>
    </row>
    <row r="71" spans="1:12">
      <c r="A71" s="1" t="s">
        <v>597</v>
      </c>
      <c r="B71" s="11" t="s">
        <v>218</v>
      </c>
      <c r="C71" s="11" t="s">
        <v>319</v>
      </c>
      <c r="D71" s="11" t="s">
        <v>308</v>
      </c>
      <c r="E71" s="3">
        <v>1463066</v>
      </c>
      <c r="F71" s="3">
        <v>887279</v>
      </c>
      <c r="G71" s="3">
        <v>887731</v>
      </c>
      <c r="H71" s="3">
        <v>898248</v>
      </c>
      <c r="I71" s="3">
        <v>230705</v>
      </c>
      <c r="J71" s="3">
        <v>255575</v>
      </c>
      <c r="K71" s="3">
        <v>404982</v>
      </c>
      <c r="L71" s="3">
        <v>0</v>
      </c>
    </row>
    <row r="72" spans="1:12">
      <c r="A72" s="1" t="s">
        <v>596</v>
      </c>
      <c r="B72" s="11" t="s">
        <v>250</v>
      </c>
      <c r="C72" s="11" t="s">
        <v>319</v>
      </c>
      <c r="D72" s="11" t="s">
        <v>308</v>
      </c>
      <c r="E72" s="3">
        <v>44874811</v>
      </c>
      <c r="F72" s="3">
        <v>40118783</v>
      </c>
      <c r="G72" s="3">
        <v>20876761</v>
      </c>
      <c r="H72" s="3">
        <v>2087459</v>
      </c>
      <c r="I72" s="3">
        <v>1882506</v>
      </c>
      <c r="J72" s="3">
        <v>839284</v>
      </c>
      <c r="K72" s="3">
        <v>0</v>
      </c>
      <c r="L72" s="3">
        <v>0</v>
      </c>
    </row>
    <row r="73" spans="1:12">
      <c r="A73" s="1" t="s">
        <v>595</v>
      </c>
      <c r="B73" s="11" t="s">
        <v>74</v>
      </c>
      <c r="C73" s="11" t="s">
        <v>319</v>
      </c>
      <c r="D73" s="11" t="s">
        <v>308</v>
      </c>
      <c r="E73" s="3">
        <v>14613100</v>
      </c>
      <c r="F73" s="3">
        <v>3570472</v>
      </c>
      <c r="G73" s="3">
        <v>1301186</v>
      </c>
      <c r="H73" s="3">
        <v>1045361</v>
      </c>
      <c r="I73" s="3">
        <v>103695</v>
      </c>
      <c r="J73" s="3">
        <v>130598</v>
      </c>
      <c r="K73" s="3">
        <v>0</v>
      </c>
      <c r="L73" s="3">
        <v>0</v>
      </c>
    </row>
    <row r="74" spans="1:12">
      <c r="A74" s="1" t="s">
        <v>594</v>
      </c>
      <c r="B74" s="11" t="s">
        <v>100</v>
      </c>
      <c r="C74" s="11" t="s">
        <v>319</v>
      </c>
      <c r="D74" s="11" t="s">
        <v>308</v>
      </c>
      <c r="E74" s="3">
        <v>29847260</v>
      </c>
      <c r="F74" s="3">
        <v>25970371</v>
      </c>
      <c r="G74" s="3">
        <v>549157</v>
      </c>
      <c r="H74" s="3">
        <v>553381</v>
      </c>
      <c r="I74" s="3">
        <v>590264</v>
      </c>
      <c r="J74" s="3">
        <v>743405</v>
      </c>
      <c r="K74" s="3">
        <v>0</v>
      </c>
      <c r="L74" s="3">
        <v>0</v>
      </c>
    </row>
    <row r="75" spans="1:12">
      <c r="A75" s="1" t="s">
        <v>593</v>
      </c>
      <c r="B75" s="11" t="s">
        <v>124</v>
      </c>
      <c r="C75" s="11" t="s">
        <v>328</v>
      </c>
      <c r="D75" s="11" t="s">
        <v>305</v>
      </c>
      <c r="E75" s="3">
        <v>10580068</v>
      </c>
      <c r="F75" s="3">
        <v>10484</v>
      </c>
      <c r="G75" s="3">
        <v>6112</v>
      </c>
      <c r="H75" s="3">
        <v>1887</v>
      </c>
      <c r="I75" s="3">
        <v>852</v>
      </c>
      <c r="J75" s="3">
        <v>526</v>
      </c>
      <c r="K75" s="3">
        <v>0</v>
      </c>
      <c r="L75" s="3">
        <v>0</v>
      </c>
    </row>
    <row r="76" spans="1:12">
      <c r="A76" s="1" t="s">
        <v>592</v>
      </c>
      <c r="B76" s="11" t="s">
        <v>48</v>
      </c>
      <c r="C76" s="11" t="s">
        <v>319</v>
      </c>
      <c r="D76" s="11" t="s">
        <v>308</v>
      </c>
      <c r="E76" s="3">
        <v>1563045</v>
      </c>
      <c r="F76" s="3">
        <v>252627</v>
      </c>
      <c r="G76" s="3">
        <v>22176</v>
      </c>
      <c r="H76" s="3">
        <v>9120</v>
      </c>
      <c r="I76" s="3">
        <v>4880</v>
      </c>
      <c r="J76" s="3">
        <v>9693</v>
      </c>
      <c r="K76" s="3">
        <v>0</v>
      </c>
      <c r="L76" s="3">
        <v>0</v>
      </c>
    </row>
    <row r="77" spans="1:12">
      <c r="A77" s="1" t="s">
        <v>591</v>
      </c>
      <c r="B77" s="11" t="s">
        <v>288</v>
      </c>
      <c r="C77" s="11" t="s">
        <v>306</v>
      </c>
      <c r="D77" s="11" t="s">
        <v>324</v>
      </c>
      <c r="E77" s="3">
        <v>94556</v>
      </c>
      <c r="F77" s="3">
        <v>64117</v>
      </c>
      <c r="G77" s="3">
        <v>1142</v>
      </c>
      <c r="H77" s="3">
        <v>1345</v>
      </c>
      <c r="I77" s="3">
        <v>0</v>
      </c>
      <c r="J77" s="3">
        <v>0</v>
      </c>
      <c r="K77" s="3">
        <v>0</v>
      </c>
      <c r="L77" s="3">
        <v>0</v>
      </c>
    </row>
    <row r="78" spans="1:12">
      <c r="A78" s="1" t="s">
        <v>590</v>
      </c>
      <c r="B78" s="11" t="s">
        <v>60</v>
      </c>
      <c r="C78" s="11" t="s">
        <v>306</v>
      </c>
      <c r="D78" s="11" t="s">
        <v>305</v>
      </c>
      <c r="E78" s="3">
        <v>36066223</v>
      </c>
      <c r="F78" s="3">
        <v>5972665</v>
      </c>
      <c r="G78" s="3">
        <v>534189</v>
      </c>
      <c r="H78" s="3">
        <v>288988</v>
      </c>
      <c r="I78" s="3">
        <v>87159</v>
      </c>
      <c r="J78" s="3">
        <v>33801</v>
      </c>
      <c r="K78" s="3">
        <v>688</v>
      </c>
      <c r="L78" s="3">
        <v>0</v>
      </c>
    </row>
    <row r="79" spans="1:12">
      <c r="A79" s="1" t="s">
        <v>589</v>
      </c>
      <c r="B79" s="11" t="s">
        <v>288</v>
      </c>
      <c r="C79" s="11" t="s">
        <v>319</v>
      </c>
      <c r="D79" s="11" t="s">
        <v>324</v>
      </c>
      <c r="E79" s="3">
        <v>2413010</v>
      </c>
      <c r="F79" s="3">
        <v>252646</v>
      </c>
      <c r="G79" s="3">
        <v>26497</v>
      </c>
      <c r="H79" s="3">
        <v>26663</v>
      </c>
      <c r="I79" s="3">
        <v>77722</v>
      </c>
      <c r="J79" s="3">
        <v>0</v>
      </c>
      <c r="K79" s="3">
        <v>0</v>
      </c>
      <c r="L79" s="3">
        <v>0</v>
      </c>
    </row>
    <row r="80" spans="1:12">
      <c r="A80" s="1" t="s">
        <v>588</v>
      </c>
      <c r="B80" s="11" t="s">
        <v>54</v>
      </c>
      <c r="C80" s="11" t="s">
        <v>306</v>
      </c>
      <c r="D80" s="11" t="s">
        <v>324</v>
      </c>
      <c r="E80" s="3">
        <v>4930257</v>
      </c>
      <c r="F80" s="3">
        <v>0</v>
      </c>
      <c r="G80" s="3">
        <v>0</v>
      </c>
      <c r="H80" s="3">
        <v>0</v>
      </c>
      <c r="I80" s="3">
        <v>0</v>
      </c>
      <c r="J80" s="3">
        <v>0</v>
      </c>
      <c r="K80" s="3">
        <v>0</v>
      </c>
      <c r="L80" s="3">
        <v>0</v>
      </c>
    </row>
    <row r="81" spans="1:12">
      <c r="A81" s="1" t="s">
        <v>587</v>
      </c>
      <c r="B81" s="11" t="s">
        <v>60</v>
      </c>
      <c r="C81" s="11" t="s">
        <v>306</v>
      </c>
      <c r="D81" s="11" t="s">
        <v>305</v>
      </c>
      <c r="E81" s="3">
        <v>3346979</v>
      </c>
      <c r="F81" s="3">
        <v>3618191</v>
      </c>
      <c r="G81" s="3">
        <v>1018130</v>
      </c>
      <c r="H81" s="3">
        <v>596535</v>
      </c>
      <c r="I81" s="3">
        <v>347828</v>
      </c>
      <c r="J81" s="3">
        <v>240141</v>
      </c>
      <c r="K81" s="3">
        <v>0</v>
      </c>
      <c r="L81" s="3">
        <v>0</v>
      </c>
    </row>
    <row r="82" spans="1:12">
      <c r="A82" s="4" t="s">
        <v>586</v>
      </c>
      <c r="B82" s="12" t="s">
        <v>60</v>
      </c>
      <c r="C82" s="12" t="s">
        <v>306</v>
      </c>
      <c r="D82" s="12" t="s">
        <v>305</v>
      </c>
      <c r="E82" s="7">
        <v>140413452</v>
      </c>
      <c r="F82" s="7">
        <v>174131760</v>
      </c>
      <c r="G82" s="7">
        <v>73038036</v>
      </c>
      <c r="H82" s="6">
        <v>23171025</v>
      </c>
      <c r="I82" s="6">
        <v>2123096</v>
      </c>
      <c r="J82" s="6">
        <v>789908</v>
      </c>
      <c r="K82" s="6">
        <v>153359</v>
      </c>
      <c r="L82" s="6">
        <v>0</v>
      </c>
    </row>
    <row r="83" spans="1:12">
      <c r="A83" s="4" t="s">
        <v>585</v>
      </c>
      <c r="B83" s="12" t="s">
        <v>118</v>
      </c>
      <c r="C83" s="12" t="s">
        <v>328</v>
      </c>
      <c r="D83" s="12" t="s">
        <v>305</v>
      </c>
      <c r="E83" s="6">
        <v>92005155</v>
      </c>
      <c r="F83" s="6">
        <v>94375217</v>
      </c>
      <c r="G83" s="7">
        <v>60152246</v>
      </c>
      <c r="H83" s="6">
        <v>22118280</v>
      </c>
      <c r="I83" s="6">
        <v>2091454</v>
      </c>
      <c r="J83" s="6">
        <v>777347</v>
      </c>
      <c r="K83" s="6">
        <v>151878</v>
      </c>
      <c r="L83" s="6">
        <v>0</v>
      </c>
    </row>
    <row r="84" spans="1:12">
      <c r="A84" s="1" t="s">
        <v>584</v>
      </c>
      <c r="B84" s="11" t="s">
        <v>60</v>
      </c>
      <c r="C84" s="11" t="s">
        <v>306</v>
      </c>
      <c r="D84" s="11" t="s">
        <v>305</v>
      </c>
      <c r="E84" s="3">
        <v>6598246</v>
      </c>
      <c r="F84" s="3">
        <v>10871138</v>
      </c>
      <c r="G84" s="3">
        <v>1756385</v>
      </c>
      <c r="H84" s="3">
        <v>143493</v>
      </c>
      <c r="I84" s="3">
        <v>4313</v>
      </c>
      <c r="J84" s="3">
        <v>1924</v>
      </c>
      <c r="K84" s="3">
        <v>242</v>
      </c>
      <c r="L84" s="3">
        <v>0</v>
      </c>
    </row>
    <row r="85" spans="1:12">
      <c r="A85" s="4" t="s">
        <v>583</v>
      </c>
      <c r="B85" s="12" t="s">
        <v>94</v>
      </c>
      <c r="C85" s="12" t="s">
        <v>319</v>
      </c>
      <c r="D85" s="12" t="s">
        <v>308</v>
      </c>
      <c r="E85" s="6">
        <v>46064325</v>
      </c>
      <c r="F85" s="6">
        <v>49625686</v>
      </c>
      <c r="G85" s="6">
        <v>49625686</v>
      </c>
      <c r="H85" s="7">
        <v>49625686</v>
      </c>
      <c r="I85" s="6">
        <v>0</v>
      </c>
      <c r="J85" s="6">
        <v>0</v>
      </c>
      <c r="K85" s="6">
        <v>0</v>
      </c>
      <c r="L85" s="6">
        <v>0</v>
      </c>
    </row>
    <row r="86" spans="1:12">
      <c r="A86" s="1" t="s">
        <v>582</v>
      </c>
      <c r="B86" s="11" t="s">
        <v>54</v>
      </c>
      <c r="C86" s="11" t="s">
        <v>319</v>
      </c>
      <c r="D86" s="11" t="s">
        <v>324</v>
      </c>
      <c r="E86" s="3">
        <v>100608</v>
      </c>
      <c r="F86" s="3">
        <v>14353</v>
      </c>
      <c r="G86" s="3">
        <v>31100</v>
      </c>
      <c r="H86" s="3">
        <v>32656</v>
      </c>
      <c r="I86" s="3">
        <v>38741</v>
      </c>
      <c r="J86" s="3">
        <v>0</v>
      </c>
      <c r="K86" s="3">
        <v>0</v>
      </c>
      <c r="L86" s="3">
        <v>0</v>
      </c>
    </row>
    <row r="87" spans="1:12">
      <c r="A87" s="1" t="s">
        <v>581</v>
      </c>
      <c r="B87" s="11" t="s">
        <v>118</v>
      </c>
      <c r="C87" s="11" t="s">
        <v>328</v>
      </c>
      <c r="D87" s="11" t="s">
        <v>305</v>
      </c>
      <c r="E87" s="3">
        <v>4766390</v>
      </c>
      <c r="F87" s="3">
        <v>6290894</v>
      </c>
      <c r="G87" s="3">
        <v>4189256</v>
      </c>
      <c r="H87" s="3">
        <v>539258</v>
      </c>
      <c r="I87" s="3">
        <v>156637</v>
      </c>
      <c r="J87" s="3">
        <v>0</v>
      </c>
      <c r="K87" s="3">
        <v>0</v>
      </c>
      <c r="L87" s="3">
        <v>0</v>
      </c>
    </row>
    <row r="88" spans="1:12">
      <c r="A88" s="1" t="s">
        <v>580</v>
      </c>
      <c r="B88" s="11" t="s">
        <v>288</v>
      </c>
      <c r="C88" s="11" t="s">
        <v>306</v>
      </c>
      <c r="D88" s="11" t="s">
        <v>324</v>
      </c>
      <c r="E88" s="3">
        <v>8359983</v>
      </c>
      <c r="F88" s="3">
        <v>1947663</v>
      </c>
      <c r="G88" s="3">
        <v>1607676</v>
      </c>
      <c r="H88" s="3">
        <v>1649751</v>
      </c>
      <c r="I88" s="3">
        <v>1696057</v>
      </c>
      <c r="J88" s="3">
        <v>0</v>
      </c>
      <c r="K88" s="3">
        <v>0</v>
      </c>
      <c r="L88" s="3">
        <v>0</v>
      </c>
    </row>
    <row r="89" spans="1:12">
      <c r="A89" s="1" t="s">
        <v>579</v>
      </c>
      <c r="B89" s="11" t="s">
        <v>118</v>
      </c>
      <c r="C89" s="11" t="s">
        <v>328</v>
      </c>
      <c r="D89" s="11" t="s">
        <v>305</v>
      </c>
      <c r="E89" s="3">
        <v>53510901</v>
      </c>
      <c r="F89" s="3">
        <v>46622163</v>
      </c>
      <c r="G89" s="3">
        <v>23145090</v>
      </c>
      <c r="H89" s="3">
        <v>3295350</v>
      </c>
      <c r="I89" s="3">
        <v>1487377</v>
      </c>
      <c r="J89" s="3">
        <v>643068</v>
      </c>
      <c r="K89" s="3">
        <v>580</v>
      </c>
      <c r="L89" s="3">
        <v>0</v>
      </c>
    </row>
    <row r="90" spans="1:12">
      <c r="A90" s="1" t="s">
        <v>578</v>
      </c>
      <c r="B90" s="11" t="s">
        <v>288</v>
      </c>
      <c r="C90" s="11" t="s">
        <v>319</v>
      </c>
      <c r="D90" s="11" t="s">
        <v>324</v>
      </c>
      <c r="E90" s="3">
        <v>19701292</v>
      </c>
      <c r="F90" s="3">
        <v>3680922</v>
      </c>
      <c r="G90" s="3">
        <v>1154459</v>
      </c>
      <c r="H90" s="3">
        <v>805687</v>
      </c>
      <c r="I90" s="3">
        <v>1016264</v>
      </c>
      <c r="J90" s="3">
        <v>1095691</v>
      </c>
      <c r="K90" s="3">
        <v>983864</v>
      </c>
      <c r="L90" s="3">
        <v>0</v>
      </c>
    </row>
    <row r="91" spans="1:12">
      <c r="A91" s="1" t="s">
        <v>577</v>
      </c>
      <c r="B91" s="11" t="s">
        <v>288</v>
      </c>
      <c r="C91" s="11" t="s">
        <v>319</v>
      </c>
      <c r="D91" s="11" t="s">
        <v>324</v>
      </c>
      <c r="E91" s="3">
        <v>5009347</v>
      </c>
      <c r="F91" s="3">
        <v>4889891</v>
      </c>
      <c r="G91" s="3">
        <v>2202596</v>
      </c>
      <c r="H91" s="3">
        <v>1041296</v>
      </c>
      <c r="I91" s="3">
        <v>669470</v>
      </c>
      <c r="J91" s="3">
        <v>544409</v>
      </c>
      <c r="K91" s="3">
        <v>0</v>
      </c>
      <c r="L91" s="3">
        <v>0</v>
      </c>
    </row>
    <row r="92" spans="1:12">
      <c r="A92" s="1" t="s">
        <v>576</v>
      </c>
      <c r="B92" s="11" t="s">
        <v>182</v>
      </c>
      <c r="C92" s="11" t="s">
        <v>319</v>
      </c>
      <c r="D92" s="11" t="s">
        <v>324</v>
      </c>
      <c r="E92" s="3">
        <v>7340408</v>
      </c>
      <c r="F92" s="3">
        <v>6570322</v>
      </c>
      <c r="G92" s="3">
        <v>1531511</v>
      </c>
      <c r="H92" s="3">
        <v>284120</v>
      </c>
      <c r="I92" s="3">
        <v>287347</v>
      </c>
      <c r="J92" s="3">
        <v>295062</v>
      </c>
      <c r="K92" s="3">
        <v>346407</v>
      </c>
      <c r="L92" s="3">
        <v>0</v>
      </c>
    </row>
    <row r="93" spans="1:12">
      <c r="A93" s="1" t="s">
        <v>575</v>
      </c>
      <c r="B93" s="11" t="s">
        <v>294</v>
      </c>
      <c r="C93" s="11" t="s">
        <v>319</v>
      </c>
      <c r="D93" s="11" t="s">
        <v>324</v>
      </c>
      <c r="E93" s="3">
        <v>1171630</v>
      </c>
      <c r="F93" s="3">
        <v>1087856</v>
      </c>
      <c r="G93" s="3">
        <v>567697</v>
      </c>
      <c r="H93" s="3">
        <v>58882</v>
      </c>
      <c r="I93" s="3">
        <v>62208</v>
      </c>
      <c r="J93" s="3">
        <v>0</v>
      </c>
      <c r="K93" s="3">
        <v>0</v>
      </c>
      <c r="L93" s="3">
        <v>0</v>
      </c>
    </row>
    <row r="94" spans="1:12">
      <c r="A94" s="1" t="s">
        <v>574</v>
      </c>
      <c r="B94" s="11" t="s">
        <v>60</v>
      </c>
      <c r="C94" s="11" t="s">
        <v>306</v>
      </c>
      <c r="D94" s="11" t="s">
        <v>305</v>
      </c>
      <c r="E94" s="3">
        <v>31628687</v>
      </c>
      <c r="F94" s="3">
        <v>5135018</v>
      </c>
      <c r="G94" s="3">
        <v>473602</v>
      </c>
      <c r="H94" s="3">
        <v>252164</v>
      </c>
      <c r="I94" s="3">
        <v>71052</v>
      </c>
      <c r="J94" s="3">
        <v>25139</v>
      </c>
      <c r="K94" s="3">
        <v>598</v>
      </c>
      <c r="L94" s="3">
        <v>0</v>
      </c>
    </row>
    <row r="95" spans="1:12">
      <c r="A95" s="1" t="s">
        <v>573</v>
      </c>
      <c r="B95" s="11" t="s">
        <v>60</v>
      </c>
      <c r="C95" s="11" t="s">
        <v>306</v>
      </c>
      <c r="D95" s="11" t="s">
        <v>305</v>
      </c>
      <c r="E95" s="3">
        <v>4325083</v>
      </c>
      <c r="F95" s="3">
        <v>599634</v>
      </c>
      <c r="G95" s="3">
        <v>53631</v>
      </c>
      <c r="H95" s="3">
        <v>29013</v>
      </c>
      <c r="I95" s="3">
        <v>7968</v>
      </c>
      <c r="J95" s="3">
        <v>3621</v>
      </c>
      <c r="K95" s="3">
        <v>91</v>
      </c>
      <c r="L95" s="3">
        <v>0</v>
      </c>
    </row>
    <row r="96" spans="1:12">
      <c r="A96" s="1" t="s">
        <v>572</v>
      </c>
      <c r="B96" s="11" t="s">
        <v>490</v>
      </c>
      <c r="C96" s="11" t="s">
        <v>306</v>
      </c>
      <c r="D96" s="11" t="s">
        <v>305</v>
      </c>
      <c r="E96" s="3">
        <v>16968785</v>
      </c>
      <c r="F96" s="3">
        <v>5925297</v>
      </c>
      <c r="G96" s="3">
        <v>2267261</v>
      </c>
      <c r="H96" s="3">
        <v>700639</v>
      </c>
      <c r="I96" s="3">
        <v>115374</v>
      </c>
      <c r="J96" s="3">
        <v>198588</v>
      </c>
      <c r="K96" s="3">
        <v>0</v>
      </c>
      <c r="L96" s="3">
        <v>0</v>
      </c>
    </row>
    <row r="97" spans="1:12">
      <c r="A97" s="1" t="s">
        <v>571</v>
      </c>
      <c r="B97" s="11" t="s">
        <v>60</v>
      </c>
      <c r="C97" s="11" t="s">
        <v>306</v>
      </c>
      <c r="D97" s="11" t="s">
        <v>305</v>
      </c>
      <c r="E97" s="3">
        <v>31136972</v>
      </c>
      <c r="F97" s="3">
        <v>48285804</v>
      </c>
      <c r="G97" s="3">
        <v>8304335</v>
      </c>
      <c r="H97" s="3">
        <v>1252183</v>
      </c>
      <c r="I97" s="3">
        <v>663125</v>
      </c>
      <c r="J97" s="3">
        <v>528885</v>
      </c>
      <c r="K97" s="3">
        <v>372</v>
      </c>
      <c r="L97" s="3">
        <v>0</v>
      </c>
    </row>
    <row r="98" spans="1:12">
      <c r="A98" s="1" t="s">
        <v>570</v>
      </c>
      <c r="B98" s="11" t="s">
        <v>288</v>
      </c>
      <c r="C98" s="11" t="s">
        <v>319</v>
      </c>
      <c r="D98" s="11" t="s">
        <v>324</v>
      </c>
      <c r="E98" s="3">
        <v>3027734</v>
      </c>
      <c r="F98" s="3">
        <v>4250302</v>
      </c>
      <c r="G98" s="3">
        <v>1513154</v>
      </c>
      <c r="H98" s="3">
        <v>1197103</v>
      </c>
      <c r="I98" s="3">
        <v>0</v>
      </c>
      <c r="J98" s="3">
        <v>0</v>
      </c>
      <c r="K98" s="3">
        <v>0</v>
      </c>
      <c r="L98" s="3">
        <v>0</v>
      </c>
    </row>
    <row r="99" spans="1:12">
      <c r="A99" s="4" t="s">
        <v>569</v>
      </c>
      <c r="B99" s="12" t="s">
        <v>288</v>
      </c>
      <c r="C99" s="12" t="s">
        <v>319</v>
      </c>
      <c r="D99" s="12" t="s">
        <v>324</v>
      </c>
      <c r="E99" s="6">
        <v>1895959</v>
      </c>
      <c r="F99" s="6">
        <v>1372649</v>
      </c>
      <c r="G99" s="6">
        <v>451400</v>
      </c>
      <c r="H99" s="6">
        <v>381843</v>
      </c>
      <c r="I99" s="6">
        <v>257180</v>
      </c>
      <c r="J99" s="6">
        <v>632416</v>
      </c>
      <c r="K99" s="7">
        <v>1668699</v>
      </c>
      <c r="L99" s="6">
        <v>0</v>
      </c>
    </row>
    <row r="100" spans="1:12">
      <c r="A100" s="1" t="s">
        <v>568</v>
      </c>
      <c r="B100" s="11" t="s">
        <v>60</v>
      </c>
      <c r="C100" s="11" t="s">
        <v>306</v>
      </c>
      <c r="D100" s="11" t="s">
        <v>305</v>
      </c>
      <c r="E100" s="3">
        <v>5175874</v>
      </c>
      <c r="F100" s="3">
        <v>5890731</v>
      </c>
      <c r="G100" s="3">
        <v>3172561</v>
      </c>
      <c r="H100" s="3">
        <v>147716</v>
      </c>
      <c r="I100" s="3">
        <v>9042</v>
      </c>
      <c r="J100" s="3">
        <v>4588</v>
      </c>
      <c r="K100" s="3">
        <v>0</v>
      </c>
      <c r="L100" s="3">
        <v>0</v>
      </c>
    </row>
    <row r="101" spans="1:12">
      <c r="A101" s="4" t="s">
        <v>567</v>
      </c>
      <c r="B101" s="12" t="s">
        <v>60</v>
      </c>
      <c r="C101" s="12" t="s">
        <v>306</v>
      </c>
      <c r="D101" s="12" t="s">
        <v>305</v>
      </c>
      <c r="E101" s="6">
        <v>80548060</v>
      </c>
      <c r="F101" s="7">
        <v>136424829</v>
      </c>
      <c r="G101" s="7">
        <v>61387087</v>
      </c>
      <c r="H101" s="7">
        <v>24661585</v>
      </c>
      <c r="I101" s="6">
        <v>7916314</v>
      </c>
      <c r="J101" s="7">
        <v>4127870</v>
      </c>
      <c r="K101" s="7">
        <v>3120249</v>
      </c>
      <c r="L101" s="6">
        <v>0</v>
      </c>
    </row>
    <row r="102" spans="1:12">
      <c r="A102" s="1" t="s">
        <v>566</v>
      </c>
      <c r="B102" s="11" t="s">
        <v>288</v>
      </c>
      <c r="C102" s="11" t="s">
        <v>319</v>
      </c>
      <c r="D102" s="11" t="s">
        <v>324</v>
      </c>
      <c r="E102" s="3">
        <v>25126331</v>
      </c>
      <c r="F102" s="3">
        <v>4716960</v>
      </c>
      <c r="G102" s="3">
        <v>1652749</v>
      </c>
      <c r="H102" s="3">
        <v>649386</v>
      </c>
      <c r="I102" s="3">
        <v>658793</v>
      </c>
      <c r="J102" s="3">
        <v>129682</v>
      </c>
      <c r="K102" s="3">
        <v>0</v>
      </c>
      <c r="L102" s="3">
        <v>0</v>
      </c>
    </row>
    <row r="103" spans="1:12">
      <c r="A103" s="1" t="s">
        <v>565</v>
      </c>
      <c r="B103" s="11" t="s">
        <v>288</v>
      </c>
      <c r="C103" s="11" t="s">
        <v>311</v>
      </c>
      <c r="D103" s="11" t="s">
        <v>324</v>
      </c>
      <c r="E103" s="3">
        <v>6674344</v>
      </c>
      <c r="F103" s="3">
        <v>9832284</v>
      </c>
      <c r="G103" s="3">
        <v>7025</v>
      </c>
      <c r="H103" s="3">
        <v>507</v>
      </c>
      <c r="I103" s="3">
        <v>0</v>
      </c>
      <c r="J103" s="3">
        <v>0</v>
      </c>
      <c r="K103" s="3">
        <v>68</v>
      </c>
      <c r="L103" s="3">
        <v>0</v>
      </c>
    </row>
    <row r="104" spans="1:12">
      <c r="A104" s="1" t="s">
        <v>564</v>
      </c>
      <c r="B104" s="11" t="s">
        <v>228</v>
      </c>
      <c r="C104" s="11" t="s">
        <v>319</v>
      </c>
      <c r="D104" s="11" t="s">
        <v>308</v>
      </c>
      <c r="E104" s="3">
        <v>3017909</v>
      </c>
      <c r="F104" s="3">
        <v>2989735</v>
      </c>
      <c r="G104" s="3">
        <v>0</v>
      </c>
      <c r="H104" s="3">
        <v>0</v>
      </c>
      <c r="I104" s="3">
        <v>0</v>
      </c>
      <c r="J104" s="3">
        <v>0</v>
      </c>
      <c r="K104" s="3">
        <v>0</v>
      </c>
      <c r="L104" s="3">
        <v>0</v>
      </c>
    </row>
    <row r="105" spans="1:12">
      <c r="A105" s="1" t="s">
        <v>563</v>
      </c>
      <c r="B105" s="11" t="s">
        <v>196</v>
      </c>
      <c r="C105" s="11" t="s">
        <v>319</v>
      </c>
      <c r="D105" s="11" t="s">
        <v>308</v>
      </c>
      <c r="E105" s="3">
        <v>69916</v>
      </c>
      <c r="F105" s="3">
        <v>52568</v>
      </c>
      <c r="G105" s="3">
        <v>25929</v>
      </c>
      <c r="H105" s="3">
        <v>0</v>
      </c>
      <c r="I105" s="3">
        <v>0</v>
      </c>
      <c r="J105" s="3">
        <v>0</v>
      </c>
      <c r="K105" s="3">
        <v>0</v>
      </c>
      <c r="L105" s="3">
        <v>0</v>
      </c>
    </row>
    <row r="106" spans="1:12">
      <c r="A106" s="1" t="s">
        <v>562</v>
      </c>
      <c r="B106" s="11" t="s">
        <v>288</v>
      </c>
      <c r="C106" s="11" t="s">
        <v>319</v>
      </c>
      <c r="D106" s="11" t="s">
        <v>324</v>
      </c>
      <c r="E106" s="3">
        <v>138050319</v>
      </c>
      <c r="F106" s="3">
        <v>79666013</v>
      </c>
      <c r="G106" s="3">
        <v>40108744</v>
      </c>
      <c r="H106" s="3">
        <v>48048</v>
      </c>
      <c r="I106" s="3">
        <v>123603</v>
      </c>
      <c r="J106" s="3">
        <v>0</v>
      </c>
      <c r="K106" s="3">
        <v>0</v>
      </c>
      <c r="L106" s="3">
        <v>0</v>
      </c>
    </row>
    <row r="107" spans="1:12">
      <c r="A107" s="1" t="s">
        <v>561</v>
      </c>
      <c r="B107" s="11" t="s">
        <v>120</v>
      </c>
      <c r="C107" s="11" t="s">
        <v>328</v>
      </c>
      <c r="D107" s="11" t="s">
        <v>305</v>
      </c>
      <c r="E107" s="3">
        <v>3017909</v>
      </c>
      <c r="F107" s="3">
        <v>3017831</v>
      </c>
      <c r="G107" s="3">
        <v>25057</v>
      </c>
      <c r="H107" s="3">
        <v>82</v>
      </c>
      <c r="I107" s="3">
        <v>39</v>
      </c>
      <c r="J107" s="3">
        <v>0</v>
      </c>
      <c r="K107" s="3">
        <v>0</v>
      </c>
      <c r="L107" s="3">
        <v>0</v>
      </c>
    </row>
    <row r="108" spans="1:12">
      <c r="A108" s="1" t="s">
        <v>560</v>
      </c>
      <c r="B108" s="11" t="s">
        <v>208</v>
      </c>
      <c r="C108" s="11" t="s">
        <v>328</v>
      </c>
      <c r="D108" s="11" t="s">
        <v>305</v>
      </c>
      <c r="E108" s="3">
        <v>40968122</v>
      </c>
      <c r="F108" s="3">
        <v>15350217</v>
      </c>
      <c r="G108" s="3">
        <v>4607082</v>
      </c>
      <c r="H108" s="3">
        <v>3291380</v>
      </c>
      <c r="I108" s="3">
        <v>0</v>
      </c>
      <c r="J108" s="3">
        <v>0</v>
      </c>
      <c r="K108" s="3">
        <v>0</v>
      </c>
      <c r="L108" s="3">
        <v>0</v>
      </c>
    </row>
    <row r="109" spans="1:12">
      <c r="A109" s="1" t="s">
        <v>559</v>
      </c>
      <c r="B109" s="11" t="s">
        <v>309</v>
      </c>
      <c r="C109" s="11" t="s">
        <v>306</v>
      </c>
      <c r="D109" s="11" t="s">
        <v>308</v>
      </c>
      <c r="E109" s="3">
        <v>1287738</v>
      </c>
      <c r="F109" s="3">
        <v>0</v>
      </c>
      <c r="G109" s="3">
        <v>0</v>
      </c>
      <c r="H109" s="3">
        <v>0</v>
      </c>
      <c r="I109" s="3">
        <v>0</v>
      </c>
      <c r="J109" s="3">
        <v>0</v>
      </c>
      <c r="K109" s="3">
        <v>0</v>
      </c>
      <c r="L109" s="3">
        <v>0</v>
      </c>
    </row>
    <row r="110" spans="1:12">
      <c r="A110" s="1" t="s">
        <v>558</v>
      </c>
      <c r="B110" s="11" t="s">
        <v>100</v>
      </c>
      <c r="C110" s="11" t="s">
        <v>319</v>
      </c>
      <c r="D110" s="11" t="s">
        <v>308</v>
      </c>
      <c r="E110" s="3">
        <v>657368</v>
      </c>
      <c r="F110" s="3">
        <v>434315</v>
      </c>
      <c r="G110" s="3">
        <v>299014</v>
      </c>
      <c r="H110" s="3">
        <v>301314</v>
      </c>
      <c r="I110" s="3">
        <v>0</v>
      </c>
      <c r="J110" s="3">
        <v>0</v>
      </c>
      <c r="K110" s="3">
        <v>0</v>
      </c>
      <c r="L110" s="3">
        <v>0</v>
      </c>
    </row>
    <row r="111" spans="1:12">
      <c r="A111" s="1" t="s">
        <v>557</v>
      </c>
      <c r="B111" s="11" t="s">
        <v>192</v>
      </c>
      <c r="C111" s="11" t="s">
        <v>328</v>
      </c>
      <c r="D111" s="11" t="s">
        <v>305</v>
      </c>
      <c r="E111" s="3">
        <v>287977</v>
      </c>
      <c r="F111" s="3">
        <v>0</v>
      </c>
      <c r="G111" s="3">
        <v>258</v>
      </c>
      <c r="H111" s="3">
        <v>44077</v>
      </c>
      <c r="I111" s="3">
        <v>0</v>
      </c>
      <c r="J111" s="3">
        <v>0</v>
      </c>
      <c r="K111" s="3">
        <v>0</v>
      </c>
      <c r="L111" s="3">
        <v>0</v>
      </c>
    </row>
    <row r="112" spans="1:12">
      <c r="A112" s="1" t="s">
        <v>556</v>
      </c>
      <c r="B112" s="11" t="s">
        <v>309</v>
      </c>
      <c r="C112" s="11" t="s">
        <v>314</v>
      </c>
      <c r="D112" s="11" t="s">
        <v>308</v>
      </c>
      <c r="E112" s="3">
        <v>17426555</v>
      </c>
      <c r="F112" s="3">
        <v>2384146</v>
      </c>
      <c r="G112" s="3">
        <v>308565</v>
      </c>
      <c r="H112" s="3">
        <v>106536</v>
      </c>
      <c r="I112" s="3">
        <v>89298</v>
      </c>
      <c r="J112" s="3">
        <v>89417</v>
      </c>
      <c r="K112" s="3">
        <v>4616</v>
      </c>
      <c r="L112" s="3">
        <v>0</v>
      </c>
    </row>
    <row r="113" spans="1:12">
      <c r="A113" s="1" t="s">
        <v>555</v>
      </c>
      <c r="B113" s="11" t="s">
        <v>138</v>
      </c>
      <c r="C113" s="11" t="s">
        <v>306</v>
      </c>
      <c r="D113" s="11" t="s">
        <v>305</v>
      </c>
      <c r="E113" s="3">
        <v>5377808</v>
      </c>
      <c r="F113" s="3">
        <v>2960843</v>
      </c>
      <c r="G113" s="3">
        <v>0</v>
      </c>
      <c r="H113" s="3">
        <v>0</v>
      </c>
      <c r="I113" s="3">
        <v>0</v>
      </c>
      <c r="J113" s="3">
        <v>0</v>
      </c>
      <c r="K113" s="3">
        <v>0</v>
      </c>
      <c r="L113" s="3">
        <v>0</v>
      </c>
    </row>
    <row r="114" spans="1:12">
      <c r="A114" s="1" t="s">
        <v>554</v>
      </c>
      <c r="B114" s="11" t="s">
        <v>142</v>
      </c>
      <c r="C114" s="11" t="s">
        <v>314</v>
      </c>
      <c r="D114" s="11" t="s">
        <v>305</v>
      </c>
      <c r="E114" s="3">
        <v>40606594</v>
      </c>
      <c r="F114" s="3">
        <v>0</v>
      </c>
      <c r="G114" s="3">
        <v>0</v>
      </c>
      <c r="H114" s="3">
        <v>0</v>
      </c>
      <c r="I114" s="3">
        <v>0</v>
      </c>
      <c r="J114" s="3">
        <v>0</v>
      </c>
      <c r="K114" s="3">
        <v>0</v>
      </c>
      <c r="L114" s="3">
        <v>0</v>
      </c>
    </row>
    <row r="115" spans="1:12">
      <c r="A115" s="1" t="s">
        <v>553</v>
      </c>
      <c r="B115" s="11" t="s">
        <v>288</v>
      </c>
      <c r="C115" s="11" t="s">
        <v>319</v>
      </c>
      <c r="D115" s="11" t="s">
        <v>324</v>
      </c>
      <c r="E115" s="3">
        <v>1028067</v>
      </c>
      <c r="F115" s="3">
        <v>1493673</v>
      </c>
      <c r="G115" s="3">
        <v>852622</v>
      </c>
      <c r="H115" s="3">
        <v>510681</v>
      </c>
      <c r="I115" s="3">
        <v>378335</v>
      </c>
      <c r="J115" s="3">
        <v>170111</v>
      </c>
      <c r="K115" s="3">
        <v>1020</v>
      </c>
      <c r="L115" s="3">
        <v>0</v>
      </c>
    </row>
    <row r="116" spans="1:12">
      <c r="A116" s="1" t="s">
        <v>552</v>
      </c>
      <c r="B116" s="11" t="s">
        <v>288</v>
      </c>
      <c r="C116" s="11" t="s">
        <v>319</v>
      </c>
      <c r="D116" s="11" t="s">
        <v>324</v>
      </c>
      <c r="E116" s="3">
        <v>11538177</v>
      </c>
      <c r="F116" s="3">
        <v>13885604</v>
      </c>
      <c r="G116" s="3">
        <v>4832302</v>
      </c>
      <c r="H116" s="3">
        <v>2271789</v>
      </c>
      <c r="I116" s="3">
        <v>358480</v>
      </c>
      <c r="J116" s="3">
        <v>262970</v>
      </c>
      <c r="K116" s="3">
        <v>0</v>
      </c>
      <c r="L116" s="3">
        <v>0</v>
      </c>
    </row>
    <row r="117" spans="1:12">
      <c r="A117" s="1" t="s">
        <v>551</v>
      </c>
      <c r="B117" s="11" t="s">
        <v>118</v>
      </c>
      <c r="C117" s="11" t="s">
        <v>328</v>
      </c>
      <c r="D117" s="11" t="s">
        <v>305</v>
      </c>
      <c r="E117" s="3">
        <v>1367311</v>
      </c>
      <c r="F117" s="3">
        <v>870</v>
      </c>
      <c r="G117" s="3">
        <v>0</v>
      </c>
      <c r="H117" s="3">
        <v>0</v>
      </c>
      <c r="I117" s="3">
        <v>0</v>
      </c>
      <c r="J117" s="3">
        <v>0</v>
      </c>
      <c r="K117" s="3">
        <v>0</v>
      </c>
      <c r="L117" s="3">
        <v>0</v>
      </c>
    </row>
    <row r="118" spans="1:12">
      <c r="A118" s="1" t="s">
        <v>550</v>
      </c>
      <c r="B118" s="11" t="s">
        <v>60</v>
      </c>
      <c r="C118" s="11" t="s">
        <v>306</v>
      </c>
      <c r="D118" s="11" t="s">
        <v>305</v>
      </c>
      <c r="E118" s="3">
        <v>8802662</v>
      </c>
      <c r="F118" s="3">
        <v>9055222</v>
      </c>
      <c r="G118" s="3">
        <v>1464069</v>
      </c>
      <c r="H118" s="3">
        <v>123703</v>
      </c>
      <c r="I118" s="3">
        <v>4094</v>
      </c>
      <c r="J118" s="3">
        <v>1912</v>
      </c>
      <c r="K118" s="3">
        <v>352</v>
      </c>
      <c r="L118" s="3">
        <v>0</v>
      </c>
    </row>
    <row r="119" spans="1:12">
      <c r="A119" s="1" t="s">
        <v>549</v>
      </c>
      <c r="B119" s="11" t="s">
        <v>60</v>
      </c>
      <c r="C119" s="11" t="s">
        <v>306</v>
      </c>
      <c r="D119" s="11" t="s">
        <v>305</v>
      </c>
      <c r="E119" s="3">
        <v>44521681</v>
      </c>
      <c r="F119" s="3">
        <v>23085</v>
      </c>
      <c r="G119" s="3">
        <v>18138</v>
      </c>
      <c r="H119" s="3">
        <v>56553</v>
      </c>
      <c r="I119" s="3">
        <v>6760</v>
      </c>
      <c r="J119" s="3">
        <v>3882</v>
      </c>
      <c r="K119" s="3">
        <v>1474</v>
      </c>
      <c r="L119" s="3">
        <v>0</v>
      </c>
    </row>
    <row r="120" spans="1:12">
      <c r="A120" s="1" t="s">
        <v>548</v>
      </c>
      <c r="B120" s="11" t="s">
        <v>60</v>
      </c>
      <c r="C120" s="11" t="s">
        <v>306</v>
      </c>
      <c r="D120" s="11" t="s">
        <v>305</v>
      </c>
      <c r="E120" s="3">
        <v>4341741</v>
      </c>
      <c r="F120" s="3">
        <v>7692254</v>
      </c>
      <c r="G120" s="3">
        <v>3561696</v>
      </c>
      <c r="H120" s="3">
        <v>1685070</v>
      </c>
      <c r="I120" s="3">
        <v>540904</v>
      </c>
      <c r="J120" s="3">
        <v>326692</v>
      </c>
      <c r="K120" s="3">
        <v>246946</v>
      </c>
      <c r="L120" s="3">
        <v>0</v>
      </c>
    </row>
    <row r="121" spans="1:12">
      <c r="A121" s="1" t="s">
        <v>140</v>
      </c>
      <c r="B121" s="11" t="s">
        <v>130</v>
      </c>
      <c r="C121" s="11" t="s">
        <v>311</v>
      </c>
      <c r="D121" s="11" t="s">
        <v>305</v>
      </c>
      <c r="E121" s="3">
        <v>17827</v>
      </c>
      <c r="F121" s="3">
        <v>0</v>
      </c>
      <c r="G121" s="3">
        <v>0</v>
      </c>
      <c r="H121" s="3">
        <v>0</v>
      </c>
      <c r="I121" s="3">
        <v>0</v>
      </c>
      <c r="J121" s="3">
        <v>0</v>
      </c>
      <c r="K121" s="3">
        <v>0</v>
      </c>
      <c r="L121" s="3">
        <v>0</v>
      </c>
    </row>
    <row r="122" spans="1:12">
      <c r="A122" s="1" t="s">
        <v>547</v>
      </c>
      <c r="B122" s="11" t="s">
        <v>300</v>
      </c>
      <c r="C122" s="11" t="s">
        <v>328</v>
      </c>
      <c r="D122" s="11" t="s">
        <v>345</v>
      </c>
      <c r="E122" s="3">
        <v>5040</v>
      </c>
      <c r="F122" s="3">
        <v>0</v>
      </c>
      <c r="G122" s="3">
        <v>0</v>
      </c>
      <c r="H122" s="3">
        <v>0</v>
      </c>
      <c r="I122" s="3">
        <v>0</v>
      </c>
      <c r="J122" s="3">
        <v>0</v>
      </c>
      <c r="K122" s="3">
        <v>0</v>
      </c>
      <c r="L122" s="3">
        <v>0</v>
      </c>
    </row>
    <row r="123" spans="1:12">
      <c r="A123" s="1" t="s">
        <v>546</v>
      </c>
      <c r="B123" s="11" t="s">
        <v>309</v>
      </c>
      <c r="C123" s="11" t="s">
        <v>311</v>
      </c>
      <c r="D123" s="11" t="s">
        <v>308</v>
      </c>
      <c r="E123" s="3">
        <v>38308061</v>
      </c>
      <c r="F123" s="3">
        <v>6985450</v>
      </c>
      <c r="G123" s="3">
        <v>54955</v>
      </c>
      <c r="H123" s="3">
        <v>52077</v>
      </c>
      <c r="I123" s="3">
        <v>48102</v>
      </c>
      <c r="J123" s="3">
        <v>39444</v>
      </c>
      <c r="K123" s="3">
        <v>25437</v>
      </c>
      <c r="L123" s="3">
        <v>0</v>
      </c>
    </row>
    <row r="124" spans="1:12">
      <c r="A124" s="1" t="s">
        <v>545</v>
      </c>
      <c r="B124" s="11" t="s">
        <v>288</v>
      </c>
      <c r="C124" s="11" t="s">
        <v>319</v>
      </c>
      <c r="D124" s="11" t="s">
        <v>324</v>
      </c>
      <c r="E124" s="3">
        <v>28763672</v>
      </c>
      <c r="F124" s="3">
        <v>0</v>
      </c>
      <c r="G124" s="3">
        <v>0</v>
      </c>
      <c r="H124" s="3">
        <v>0</v>
      </c>
      <c r="I124" s="3">
        <v>0</v>
      </c>
      <c r="J124" s="3">
        <v>0</v>
      </c>
      <c r="K124" s="3">
        <v>0</v>
      </c>
      <c r="L124" s="3">
        <v>0</v>
      </c>
    </row>
    <row r="125" spans="1:12">
      <c r="A125" s="1" t="s">
        <v>544</v>
      </c>
      <c r="B125" s="11" t="s">
        <v>288</v>
      </c>
      <c r="C125" s="11" t="s">
        <v>319</v>
      </c>
      <c r="D125" s="11" t="s">
        <v>324</v>
      </c>
      <c r="E125" s="3">
        <v>18744320</v>
      </c>
      <c r="F125" s="3">
        <v>12779201</v>
      </c>
      <c r="G125" s="3">
        <v>3647327</v>
      </c>
      <c r="H125" s="3">
        <v>0</v>
      </c>
      <c r="I125" s="3">
        <v>0</v>
      </c>
      <c r="J125" s="3">
        <v>0</v>
      </c>
      <c r="K125" s="3">
        <v>0</v>
      </c>
      <c r="L125" s="3">
        <v>0</v>
      </c>
    </row>
    <row r="126" spans="1:12">
      <c r="A126" s="1" t="s">
        <v>543</v>
      </c>
      <c r="B126" s="11" t="s">
        <v>288</v>
      </c>
      <c r="C126" s="11" t="s">
        <v>319</v>
      </c>
      <c r="D126" s="11" t="s">
        <v>324</v>
      </c>
      <c r="E126" s="3">
        <v>30439667</v>
      </c>
      <c r="F126" s="3">
        <v>14883484</v>
      </c>
      <c r="G126" s="3">
        <v>4860</v>
      </c>
      <c r="H126" s="3">
        <v>5673</v>
      </c>
      <c r="I126" s="3">
        <v>8278</v>
      </c>
      <c r="J126" s="3">
        <v>0</v>
      </c>
      <c r="K126" s="3">
        <v>0</v>
      </c>
      <c r="L126" s="3">
        <v>0</v>
      </c>
    </row>
    <row r="127" spans="1:12">
      <c r="A127" s="1" t="s">
        <v>542</v>
      </c>
      <c r="B127" s="11" t="s">
        <v>124</v>
      </c>
      <c r="C127" s="11" t="s">
        <v>328</v>
      </c>
      <c r="D127" s="11" t="s">
        <v>305</v>
      </c>
      <c r="E127" s="3">
        <v>17689976</v>
      </c>
      <c r="F127" s="3">
        <v>7048637</v>
      </c>
      <c r="G127" s="3">
        <v>1900919</v>
      </c>
      <c r="H127" s="3">
        <v>791462</v>
      </c>
      <c r="I127" s="3">
        <v>361169</v>
      </c>
      <c r="J127" s="3">
        <v>273256</v>
      </c>
      <c r="K127" s="3">
        <v>0</v>
      </c>
      <c r="L127" s="3">
        <v>0</v>
      </c>
    </row>
    <row r="128" spans="1:12">
      <c r="A128" s="1" t="s">
        <v>541</v>
      </c>
      <c r="B128" s="11" t="s">
        <v>30</v>
      </c>
      <c r="C128" s="11" t="s">
        <v>328</v>
      </c>
      <c r="D128" s="11" t="s">
        <v>305</v>
      </c>
      <c r="E128" s="3">
        <v>16225255</v>
      </c>
      <c r="F128" s="3">
        <v>11818352</v>
      </c>
      <c r="G128" s="3">
        <v>5962463</v>
      </c>
      <c r="H128" s="3">
        <v>1671765</v>
      </c>
      <c r="I128" s="3">
        <v>0</v>
      </c>
      <c r="J128" s="3">
        <v>0</v>
      </c>
      <c r="K128" s="3">
        <v>0</v>
      </c>
      <c r="L128" s="3">
        <v>0</v>
      </c>
    </row>
    <row r="129" spans="1:12">
      <c r="A129" s="1" t="s">
        <v>540</v>
      </c>
      <c r="B129" s="11" t="s">
        <v>288</v>
      </c>
      <c r="C129" s="11" t="s">
        <v>319</v>
      </c>
      <c r="D129" s="11" t="s">
        <v>324</v>
      </c>
      <c r="E129" s="3">
        <v>27982232</v>
      </c>
      <c r="F129" s="3">
        <v>200101</v>
      </c>
      <c r="G129" s="3">
        <v>20987</v>
      </c>
      <c r="H129" s="3">
        <v>21118</v>
      </c>
      <c r="I129" s="3">
        <v>61998</v>
      </c>
      <c r="J129" s="3">
        <v>0</v>
      </c>
      <c r="K129" s="3">
        <v>0</v>
      </c>
      <c r="L129" s="3">
        <v>0</v>
      </c>
    </row>
    <row r="130" spans="1:12">
      <c r="A130" s="1" t="s">
        <v>539</v>
      </c>
      <c r="B130" s="11" t="s">
        <v>309</v>
      </c>
      <c r="C130" s="11" t="s">
        <v>314</v>
      </c>
      <c r="D130" s="11" t="s">
        <v>308</v>
      </c>
      <c r="E130" s="3">
        <v>883883</v>
      </c>
      <c r="F130" s="3">
        <v>1068460</v>
      </c>
      <c r="G130" s="3">
        <v>26648</v>
      </c>
      <c r="H130" s="3">
        <v>3690</v>
      </c>
      <c r="I130" s="3">
        <v>0</v>
      </c>
      <c r="J130" s="3">
        <v>0</v>
      </c>
      <c r="K130" s="3">
        <v>0</v>
      </c>
      <c r="L130" s="3">
        <v>0</v>
      </c>
    </row>
    <row r="131" spans="1:12">
      <c r="A131" s="1" t="s">
        <v>538</v>
      </c>
      <c r="B131" s="11" t="s">
        <v>288</v>
      </c>
      <c r="C131" s="11" t="s">
        <v>319</v>
      </c>
      <c r="D131" s="11" t="s">
        <v>324</v>
      </c>
      <c r="E131" s="3">
        <v>13655430</v>
      </c>
      <c r="F131" s="3">
        <v>6179093</v>
      </c>
      <c r="G131" s="3">
        <v>2032016</v>
      </c>
      <c r="H131" s="3">
        <v>837730</v>
      </c>
      <c r="I131" s="3">
        <v>1118</v>
      </c>
      <c r="J131" s="3">
        <v>1374</v>
      </c>
      <c r="K131" s="3">
        <v>0</v>
      </c>
      <c r="L131" s="3">
        <v>0</v>
      </c>
    </row>
    <row r="132" spans="1:12">
      <c r="A132" s="1" t="s">
        <v>537</v>
      </c>
      <c r="B132" s="11" t="s">
        <v>276</v>
      </c>
      <c r="C132" s="11" t="s">
        <v>319</v>
      </c>
      <c r="D132" s="11" t="s">
        <v>308</v>
      </c>
      <c r="E132" s="3">
        <v>423180</v>
      </c>
      <c r="F132" s="3">
        <v>4988</v>
      </c>
      <c r="G132" s="3">
        <v>0</v>
      </c>
      <c r="H132" s="3">
        <v>0</v>
      </c>
      <c r="I132" s="3">
        <v>0</v>
      </c>
      <c r="J132" s="3">
        <v>0</v>
      </c>
      <c r="K132" s="3">
        <v>0</v>
      </c>
      <c r="L132" s="3">
        <v>0</v>
      </c>
    </row>
    <row r="133" spans="1:12">
      <c r="A133" s="1" t="s">
        <v>536</v>
      </c>
      <c r="B133" s="11" t="s">
        <v>288</v>
      </c>
      <c r="C133" s="11" t="s">
        <v>306</v>
      </c>
      <c r="D133" s="11" t="s">
        <v>324</v>
      </c>
      <c r="E133" s="3">
        <v>3074074</v>
      </c>
      <c r="F133" s="3">
        <v>332010</v>
      </c>
      <c r="G133" s="3">
        <v>310306</v>
      </c>
      <c r="H133" s="3">
        <v>324224</v>
      </c>
      <c r="I133" s="3">
        <v>168065</v>
      </c>
      <c r="J133" s="3">
        <v>0</v>
      </c>
      <c r="K133" s="3">
        <v>0</v>
      </c>
      <c r="L133" s="3">
        <v>0</v>
      </c>
    </row>
    <row r="134" spans="1:12">
      <c r="A134" s="1" t="s">
        <v>535</v>
      </c>
      <c r="B134" s="11" t="s">
        <v>256</v>
      </c>
      <c r="C134" s="11" t="s">
        <v>319</v>
      </c>
      <c r="D134" s="11" t="s">
        <v>308</v>
      </c>
      <c r="E134" s="3">
        <v>12256</v>
      </c>
      <c r="F134" s="3">
        <v>0</v>
      </c>
      <c r="G134" s="3">
        <v>0</v>
      </c>
      <c r="H134" s="3">
        <v>0</v>
      </c>
      <c r="I134" s="3">
        <v>0</v>
      </c>
      <c r="J134" s="3">
        <v>0</v>
      </c>
      <c r="K134" s="3">
        <v>0</v>
      </c>
      <c r="L134" s="3">
        <v>0</v>
      </c>
    </row>
    <row r="135" spans="1:12">
      <c r="A135" s="1" t="s">
        <v>534</v>
      </c>
      <c r="B135" s="11" t="s">
        <v>309</v>
      </c>
      <c r="C135" s="11" t="s">
        <v>314</v>
      </c>
      <c r="D135" s="11" t="s">
        <v>308</v>
      </c>
      <c r="E135" s="3">
        <v>24929872</v>
      </c>
      <c r="F135" s="3">
        <v>12464936</v>
      </c>
      <c r="G135" s="3">
        <v>0</v>
      </c>
      <c r="H135" s="3">
        <v>0</v>
      </c>
      <c r="I135" s="3">
        <v>0</v>
      </c>
      <c r="J135" s="3">
        <v>0</v>
      </c>
      <c r="K135" s="3">
        <v>0</v>
      </c>
      <c r="L135" s="3">
        <v>0</v>
      </c>
    </row>
    <row r="136" spans="1:12">
      <c r="A136" s="1" t="s">
        <v>533</v>
      </c>
      <c r="B136" s="11" t="s">
        <v>118</v>
      </c>
      <c r="C136" s="11" t="s">
        <v>328</v>
      </c>
      <c r="D136" s="11" t="s">
        <v>305</v>
      </c>
      <c r="E136" s="3">
        <v>2399</v>
      </c>
      <c r="F136" s="3">
        <v>1014</v>
      </c>
      <c r="G136" s="3">
        <v>991</v>
      </c>
      <c r="H136" s="3">
        <v>187</v>
      </c>
      <c r="I136" s="3">
        <v>190</v>
      </c>
      <c r="J136" s="3">
        <v>0</v>
      </c>
      <c r="K136" s="3">
        <v>0</v>
      </c>
      <c r="L136" s="3">
        <v>0</v>
      </c>
    </row>
    <row r="137" spans="1:12">
      <c r="A137" s="1" t="s">
        <v>532</v>
      </c>
      <c r="B137" s="11" t="s">
        <v>309</v>
      </c>
      <c r="C137" s="11" t="s">
        <v>314</v>
      </c>
      <c r="D137" s="11" t="s">
        <v>308</v>
      </c>
      <c r="E137" s="3">
        <v>3030201</v>
      </c>
      <c r="F137" s="3">
        <v>713265</v>
      </c>
      <c r="G137" s="3">
        <v>38654</v>
      </c>
      <c r="H137" s="3">
        <v>36630</v>
      </c>
      <c r="I137" s="3">
        <v>33834</v>
      </c>
      <c r="J137" s="3">
        <v>27744</v>
      </c>
      <c r="K137" s="3">
        <v>35784</v>
      </c>
      <c r="L137" s="3">
        <v>0</v>
      </c>
    </row>
    <row r="138" spans="1:12">
      <c r="A138" s="1" t="s">
        <v>531</v>
      </c>
      <c r="B138" s="11" t="s">
        <v>118</v>
      </c>
      <c r="C138" s="11" t="s">
        <v>328</v>
      </c>
      <c r="D138" s="11" t="s">
        <v>305</v>
      </c>
      <c r="E138" s="3">
        <v>55956877</v>
      </c>
      <c r="F138" s="3">
        <v>48459026</v>
      </c>
      <c r="G138" s="3">
        <v>29393983</v>
      </c>
      <c r="H138" s="3">
        <v>10228797</v>
      </c>
      <c r="I138" s="3">
        <v>2930928</v>
      </c>
      <c r="J138" s="3">
        <v>998973</v>
      </c>
      <c r="K138" s="3">
        <v>68957</v>
      </c>
      <c r="L138" s="3">
        <v>0</v>
      </c>
    </row>
    <row r="139" spans="1:12">
      <c r="A139" s="1" t="s">
        <v>530</v>
      </c>
      <c r="B139" s="11" t="s">
        <v>309</v>
      </c>
      <c r="C139" s="11" t="s">
        <v>319</v>
      </c>
      <c r="D139" s="11" t="s">
        <v>308</v>
      </c>
      <c r="E139" s="3">
        <v>19299834</v>
      </c>
      <c r="F139" s="3">
        <v>1202269</v>
      </c>
      <c r="G139" s="3">
        <v>141483</v>
      </c>
      <c r="H139" s="3">
        <v>147915</v>
      </c>
      <c r="I139" s="3">
        <v>148990</v>
      </c>
      <c r="J139" s="3">
        <v>105300</v>
      </c>
      <c r="K139" s="3">
        <v>0</v>
      </c>
      <c r="L139" s="3">
        <v>0</v>
      </c>
    </row>
    <row r="140" spans="1:12">
      <c r="A140" s="1" t="s">
        <v>529</v>
      </c>
      <c r="B140" s="11" t="s">
        <v>196</v>
      </c>
      <c r="C140" s="11" t="s">
        <v>319</v>
      </c>
      <c r="D140" s="11" t="s">
        <v>308</v>
      </c>
      <c r="E140" s="3">
        <v>6429158</v>
      </c>
      <c r="F140" s="3">
        <v>5312444</v>
      </c>
      <c r="G140" s="3">
        <v>1731843</v>
      </c>
      <c r="H140" s="3">
        <v>519833</v>
      </c>
      <c r="I140" s="3">
        <v>564357</v>
      </c>
      <c r="J140" s="3">
        <v>19970</v>
      </c>
      <c r="K140" s="3">
        <v>0</v>
      </c>
      <c r="L140" s="3">
        <v>0</v>
      </c>
    </row>
    <row r="141" spans="1:12">
      <c r="A141" s="1" t="s">
        <v>528</v>
      </c>
      <c r="B141" s="11" t="s">
        <v>182</v>
      </c>
      <c r="C141" s="11" t="s">
        <v>306</v>
      </c>
      <c r="D141" s="11" t="s">
        <v>324</v>
      </c>
      <c r="E141" s="3">
        <v>5935482</v>
      </c>
      <c r="F141" s="3">
        <v>0</v>
      </c>
      <c r="G141" s="3">
        <v>0</v>
      </c>
      <c r="H141" s="3">
        <v>0</v>
      </c>
      <c r="I141" s="3">
        <v>0</v>
      </c>
      <c r="J141" s="3">
        <v>0</v>
      </c>
      <c r="K141" s="3">
        <v>0</v>
      </c>
      <c r="L141" s="3">
        <v>0</v>
      </c>
    </row>
    <row r="142" spans="1:12">
      <c r="A142" s="1" t="s">
        <v>527</v>
      </c>
      <c r="B142" s="11" t="s">
        <v>60</v>
      </c>
      <c r="C142" s="11" t="s">
        <v>306</v>
      </c>
      <c r="D142" s="11" t="s">
        <v>305</v>
      </c>
      <c r="E142" s="3">
        <v>29360927</v>
      </c>
      <c r="F142" s="3">
        <v>48466819</v>
      </c>
      <c r="G142" s="3">
        <v>14625512</v>
      </c>
      <c r="H142" s="3">
        <v>4434100</v>
      </c>
      <c r="I142" s="3">
        <v>808221</v>
      </c>
      <c r="J142" s="3">
        <v>285942</v>
      </c>
      <c r="K142" s="3">
        <v>150921</v>
      </c>
      <c r="L142" s="3">
        <v>0</v>
      </c>
    </row>
    <row r="143" spans="1:12">
      <c r="A143" s="1" t="s">
        <v>526</v>
      </c>
      <c r="B143" s="11" t="s">
        <v>16</v>
      </c>
      <c r="C143" s="11" t="s">
        <v>319</v>
      </c>
      <c r="D143" s="11" t="s">
        <v>324</v>
      </c>
      <c r="E143" s="3">
        <v>2008458</v>
      </c>
      <c r="F143" s="3">
        <v>32839</v>
      </c>
      <c r="G143" s="3">
        <v>33757</v>
      </c>
      <c r="H143" s="3">
        <v>0</v>
      </c>
      <c r="I143" s="3">
        <v>0</v>
      </c>
      <c r="J143" s="3">
        <v>0</v>
      </c>
      <c r="K143" s="3">
        <v>0</v>
      </c>
      <c r="L143" s="3">
        <v>0</v>
      </c>
    </row>
    <row r="144" spans="1:12">
      <c r="A144" s="1" t="s">
        <v>525</v>
      </c>
      <c r="B144" s="11" t="s">
        <v>60</v>
      </c>
      <c r="C144" s="11" t="s">
        <v>306</v>
      </c>
      <c r="D144" s="11" t="s">
        <v>305</v>
      </c>
      <c r="E144" s="3">
        <v>1030282</v>
      </c>
      <c r="F144" s="3">
        <v>1172578</v>
      </c>
      <c r="G144" s="3">
        <v>631513</v>
      </c>
      <c r="H144" s="3">
        <v>47698</v>
      </c>
      <c r="I144" s="3">
        <v>2920</v>
      </c>
      <c r="J144" s="3">
        <v>3255</v>
      </c>
      <c r="K144" s="3">
        <v>0</v>
      </c>
      <c r="L144" s="3">
        <v>0</v>
      </c>
    </row>
    <row r="145" spans="1:12">
      <c r="A145" s="4" t="s">
        <v>524</v>
      </c>
      <c r="B145" s="12" t="s">
        <v>94</v>
      </c>
      <c r="C145" s="12" t="s">
        <v>319</v>
      </c>
      <c r="D145" s="12" t="s">
        <v>308</v>
      </c>
      <c r="E145" s="7">
        <v>204476372</v>
      </c>
      <c r="F145" s="7">
        <v>203427429</v>
      </c>
      <c r="G145" s="7">
        <v>83909079</v>
      </c>
      <c r="H145" s="6">
        <v>0</v>
      </c>
      <c r="I145" s="6">
        <v>0</v>
      </c>
      <c r="J145" s="6">
        <v>0</v>
      </c>
      <c r="K145" s="6">
        <v>0</v>
      </c>
      <c r="L145" s="6">
        <v>0</v>
      </c>
    </row>
    <row r="146" spans="1:12">
      <c r="A146" s="1" t="s">
        <v>523</v>
      </c>
      <c r="B146" s="11" t="s">
        <v>60</v>
      </c>
      <c r="C146" s="11" t="s">
        <v>306</v>
      </c>
      <c r="D146" s="11" t="s">
        <v>305</v>
      </c>
      <c r="E146" s="3">
        <v>2859510</v>
      </c>
      <c r="F146" s="3">
        <v>237474</v>
      </c>
      <c r="G146" s="3">
        <v>21239</v>
      </c>
      <c r="H146" s="3">
        <v>11490</v>
      </c>
      <c r="I146" s="3">
        <v>1967</v>
      </c>
      <c r="J146" s="3">
        <v>0</v>
      </c>
      <c r="K146" s="3">
        <v>0</v>
      </c>
      <c r="L146" s="3">
        <v>0</v>
      </c>
    </row>
    <row r="147" spans="1:12">
      <c r="A147" s="1" t="s">
        <v>522</v>
      </c>
      <c r="B147" s="11" t="s">
        <v>44</v>
      </c>
      <c r="C147" s="11" t="s">
        <v>319</v>
      </c>
      <c r="D147" s="11" t="s">
        <v>324</v>
      </c>
      <c r="E147" s="3">
        <v>807468</v>
      </c>
      <c r="F147" s="3">
        <v>0</v>
      </c>
      <c r="G147" s="3">
        <v>0</v>
      </c>
      <c r="H147" s="3">
        <v>0</v>
      </c>
      <c r="I147" s="3">
        <v>0</v>
      </c>
      <c r="J147" s="3">
        <v>0</v>
      </c>
      <c r="K147" s="3">
        <v>0</v>
      </c>
      <c r="L147" s="3">
        <v>0</v>
      </c>
    </row>
    <row r="148" spans="1:12">
      <c r="A148" s="1" t="s">
        <v>521</v>
      </c>
      <c r="B148" s="11" t="s">
        <v>266</v>
      </c>
      <c r="C148" s="11" t="s">
        <v>306</v>
      </c>
      <c r="D148" s="11" t="s">
        <v>305</v>
      </c>
      <c r="E148" s="3">
        <v>34535831</v>
      </c>
      <c r="F148" s="3">
        <v>38092450</v>
      </c>
      <c r="G148" s="3">
        <v>21065933</v>
      </c>
      <c r="H148" s="3">
        <v>9235746</v>
      </c>
      <c r="I148" s="3">
        <v>517712</v>
      </c>
      <c r="J148" s="3">
        <v>306975</v>
      </c>
      <c r="K148" s="3">
        <v>0</v>
      </c>
      <c r="L148" s="3">
        <v>0</v>
      </c>
    </row>
    <row r="149" spans="1:12">
      <c r="A149" s="1" t="s">
        <v>520</v>
      </c>
      <c r="B149" s="11" t="s">
        <v>62</v>
      </c>
      <c r="C149" s="11" t="s">
        <v>319</v>
      </c>
      <c r="D149" s="11" t="s">
        <v>324</v>
      </c>
      <c r="E149" s="3">
        <v>4954326</v>
      </c>
      <c r="F149" s="3">
        <v>889187</v>
      </c>
      <c r="G149" s="3">
        <v>912276</v>
      </c>
      <c r="H149" s="3">
        <v>877106</v>
      </c>
      <c r="I149" s="3">
        <v>215620</v>
      </c>
      <c r="J149" s="3">
        <v>306960</v>
      </c>
      <c r="K149" s="3">
        <v>0</v>
      </c>
      <c r="L149" s="3">
        <v>0</v>
      </c>
    </row>
    <row r="150" spans="1:12">
      <c r="A150" s="1" t="s">
        <v>519</v>
      </c>
      <c r="B150" s="11" t="s">
        <v>120</v>
      </c>
      <c r="C150" s="11" t="s">
        <v>328</v>
      </c>
      <c r="D150" s="11" t="s">
        <v>305</v>
      </c>
      <c r="E150" s="3">
        <v>497676</v>
      </c>
      <c r="F150" s="3">
        <v>483148</v>
      </c>
      <c r="G150" s="3">
        <v>53953</v>
      </c>
      <c r="H150" s="3">
        <v>38676</v>
      </c>
      <c r="I150" s="3">
        <v>19405</v>
      </c>
      <c r="J150" s="3">
        <v>0</v>
      </c>
      <c r="K150" s="3">
        <v>0</v>
      </c>
      <c r="L150" s="3">
        <v>0</v>
      </c>
    </row>
    <row r="151" spans="1:12">
      <c r="A151" s="1" t="s">
        <v>518</v>
      </c>
      <c r="B151" s="11" t="s">
        <v>118</v>
      </c>
      <c r="C151" s="11" t="s">
        <v>328</v>
      </c>
      <c r="D151" s="11" t="s">
        <v>305</v>
      </c>
      <c r="E151" s="3">
        <v>22151820</v>
      </c>
      <c r="F151" s="3">
        <v>21844836</v>
      </c>
      <c r="G151" s="3">
        <v>17640175</v>
      </c>
      <c r="H151" s="3">
        <v>6968705</v>
      </c>
      <c r="I151" s="3">
        <v>2020860</v>
      </c>
      <c r="J151" s="3">
        <v>675654</v>
      </c>
      <c r="K151" s="3">
        <v>39982</v>
      </c>
      <c r="L151" s="3">
        <v>0</v>
      </c>
    </row>
    <row r="152" spans="1:12">
      <c r="A152" s="1" t="s">
        <v>517</v>
      </c>
      <c r="B152" s="11" t="s">
        <v>118</v>
      </c>
      <c r="C152" s="11" t="s">
        <v>328</v>
      </c>
      <c r="D152" s="11" t="s">
        <v>305</v>
      </c>
      <c r="E152" s="3">
        <v>17178415</v>
      </c>
      <c r="F152" s="3">
        <v>21001189</v>
      </c>
      <c r="G152" s="3">
        <v>8548750</v>
      </c>
      <c r="H152" s="3">
        <v>595156</v>
      </c>
      <c r="I152" s="3">
        <v>270399</v>
      </c>
      <c r="J152" s="3">
        <v>0</v>
      </c>
      <c r="K152" s="3">
        <v>0</v>
      </c>
      <c r="L152" s="3">
        <v>0</v>
      </c>
    </row>
    <row r="153" spans="1:12">
      <c r="A153" s="1" t="s">
        <v>516</v>
      </c>
      <c r="B153" s="11" t="s">
        <v>100</v>
      </c>
      <c r="C153" s="11" t="s">
        <v>319</v>
      </c>
      <c r="D153" s="11" t="s">
        <v>308</v>
      </c>
      <c r="E153" s="3">
        <v>35218697</v>
      </c>
      <c r="F153" s="3">
        <v>27573218</v>
      </c>
      <c r="G153" s="3">
        <v>3488606</v>
      </c>
      <c r="H153" s="3">
        <v>3078389</v>
      </c>
      <c r="I153" s="3">
        <v>47340</v>
      </c>
      <c r="J153" s="3">
        <v>0</v>
      </c>
      <c r="K153" s="3">
        <v>0</v>
      </c>
      <c r="L153" s="3">
        <v>0</v>
      </c>
    </row>
    <row r="154" spans="1:12">
      <c r="A154" s="1" t="s">
        <v>515</v>
      </c>
      <c r="B154" s="11" t="s">
        <v>309</v>
      </c>
      <c r="C154" s="11" t="s">
        <v>314</v>
      </c>
      <c r="D154" s="11" t="s">
        <v>308</v>
      </c>
      <c r="E154" s="3">
        <v>1796510</v>
      </c>
      <c r="F154" s="3">
        <v>730340</v>
      </c>
      <c r="G154" s="3">
        <v>0</v>
      </c>
      <c r="H154" s="3">
        <v>0</v>
      </c>
      <c r="I154" s="3">
        <v>0</v>
      </c>
      <c r="J154" s="3">
        <v>0</v>
      </c>
      <c r="K154" s="3">
        <v>0</v>
      </c>
      <c r="L154" s="3">
        <v>0</v>
      </c>
    </row>
    <row r="155" spans="1:12">
      <c r="A155" s="1" t="s">
        <v>514</v>
      </c>
      <c r="B155" s="11" t="s">
        <v>288</v>
      </c>
      <c r="C155" s="11" t="s">
        <v>319</v>
      </c>
      <c r="D155" s="11" t="s">
        <v>324</v>
      </c>
      <c r="E155" s="3">
        <v>3181346</v>
      </c>
      <c r="F155" s="3">
        <v>29074</v>
      </c>
      <c r="G155" s="3">
        <v>1639</v>
      </c>
      <c r="H155" s="3">
        <v>1913</v>
      </c>
      <c r="I155" s="3">
        <v>2791</v>
      </c>
      <c r="J155" s="3">
        <v>0</v>
      </c>
      <c r="K155" s="3">
        <v>0</v>
      </c>
      <c r="L155" s="3">
        <v>0</v>
      </c>
    </row>
    <row r="156" spans="1:12">
      <c r="A156" s="1" t="s">
        <v>513</v>
      </c>
      <c r="B156" s="11" t="s">
        <v>94</v>
      </c>
      <c r="C156" s="11" t="s">
        <v>319</v>
      </c>
      <c r="D156" s="11" t="s">
        <v>308</v>
      </c>
      <c r="E156" s="3">
        <v>2107142</v>
      </c>
      <c r="F156" s="3">
        <v>3654</v>
      </c>
      <c r="G156" s="3">
        <v>201106</v>
      </c>
      <c r="H156" s="3">
        <v>1209193</v>
      </c>
      <c r="I156" s="3">
        <v>815824</v>
      </c>
      <c r="J156" s="3">
        <v>815878</v>
      </c>
      <c r="K156" s="3">
        <v>0</v>
      </c>
      <c r="L156" s="3">
        <v>0</v>
      </c>
    </row>
    <row r="157" spans="1:12">
      <c r="A157" s="1" t="s">
        <v>512</v>
      </c>
      <c r="B157" s="11" t="s">
        <v>30</v>
      </c>
      <c r="C157" s="11" t="s">
        <v>328</v>
      </c>
      <c r="D157" s="11" t="s">
        <v>305</v>
      </c>
      <c r="E157" s="3">
        <v>11042827</v>
      </c>
      <c r="F157" s="3">
        <v>5770594</v>
      </c>
      <c r="G157" s="3">
        <v>1673862</v>
      </c>
      <c r="H157" s="3">
        <v>938640</v>
      </c>
      <c r="I157" s="3">
        <v>272894</v>
      </c>
      <c r="J157" s="3">
        <v>233201</v>
      </c>
      <c r="K157" s="3">
        <v>244837</v>
      </c>
      <c r="L157" s="3">
        <v>0</v>
      </c>
    </row>
    <row r="158" spans="1:12">
      <c r="A158" s="1" t="s">
        <v>511</v>
      </c>
      <c r="B158" s="11" t="s">
        <v>296</v>
      </c>
      <c r="C158" s="11" t="s">
        <v>306</v>
      </c>
      <c r="D158" s="11" t="s">
        <v>305</v>
      </c>
      <c r="E158" s="3">
        <v>193056</v>
      </c>
      <c r="F158" s="3">
        <v>8969</v>
      </c>
      <c r="G158" s="3">
        <v>1002</v>
      </c>
      <c r="H158" s="3">
        <v>600</v>
      </c>
      <c r="I158" s="3">
        <v>0</v>
      </c>
      <c r="J158" s="3">
        <v>0</v>
      </c>
      <c r="K158" s="3">
        <v>0</v>
      </c>
      <c r="L158" s="3">
        <v>0</v>
      </c>
    </row>
    <row r="159" spans="1:12">
      <c r="A159" s="1" t="s">
        <v>510</v>
      </c>
      <c r="B159" s="11" t="s">
        <v>288</v>
      </c>
      <c r="C159" s="11" t="s">
        <v>319</v>
      </c>
      <c r="D159" s="11" t="s">
        <v>324</v>
      </c>
      <c r="E159" s="3">
        <v>28966901</v>
      </c>
      <c r="F159" s="3">
        <v>25396982</v>
      </c>
      <c r="G159" s="3">
        <v>24230032</v>
      </c>
      <c r="H159" s="3">
        <v>386356</v>
      </c>
      <c r="I159" s="3">
        <v>391953</v>
      </c>
      <c r="J159" s="3">
        <v>0</v>
      </c>
      <c r="K159" s="3">
        <v>0</v>
      </c>
      <c r="L159" s="3">
        <v>0</v>
      </c>
    </row>
    <row r="160" spans="1:12">
      <c r="A160" s="4" t="s">
        <v>509</v>
      </c>
      <c r="B160" s="12" t="s">
        <v>94</v>
      </c>
      <c r="C160" s="12" t="s">
        <v>319</v>
      </c>
      <c r="D160" s="12" t="s">
        <v>308</v>
      </c>
      <c r="E160" s="6">
        <v>117410174</v>
      </c>
      <c r="F160" s="7">
        <v>102643348</v>
      </c>
      <c r="G160" s="6">
        <v>59791826</v>
      </c>
      <c r="H160" s="7">
        <v>59359440</v>
      </c>
      <c r="I160" s="7">
        <v>58455385</v>
      </c>
      <c r="J160" s="6">
        <v>2059975</v>
      </c>
      <c r="K160" s="7">
        <v>2095850</v>
      </c>
      <c r="L160" s="6">
        <v>0</v>
      </c>
    </row>
    <row r="161" spans="1:12">
      <c r="A161" s="1" t="s">
        <v>508</v>
      </c>
      <c r="B161" s="11" t="s">
        <v>132</v>
      </c>
      <c r="C161" s="11" t="s">
        <v>319</v>
      </c>
      <c r="D161" s="11" t="s">
        <v>308</v>
      </c>
      <c r="E161" s="3">
        <v>399426</v>
      </c>
      <c r="F161" s="3">
        <v>8503</v>
      </c>
      <c r="G161" s="3">
        <v>4576</v>
      </c>
      <c r="H161" s="3">
        <v>3960</v>
      </c>
      <c r="I161" s="3">
        <v>4155</v>
      </c>
      <c r="J161" s="3">
        <v>0</v>
      </c>
      <c r="K161" s="3">
        <v>0</v>
      </c>
      <c r="L161" s="3">
        <v>0</v>
      </c>
    </row>
    <row r="162" spans="1:12">
      <c r="A162" s="1" t="s">
        <v>507</v>
      </c>
      <c r="B162" s="11" t="s">
        <v>288</v>
      </c>
      <c r="C162" s="11" t="s">
        <v>319</v>
      </c>
      <c r="D162" s="11" t="s">
        <v>324</v>
      </c>
      <c r="E162" s="3">
        <v>9073879</v>
      </c>
      <c r="F162" s="3">
        <v>229953</v>
      </c>
      <c r="G162" s="3">
        <v>24117</v>
      </c>
      <c r="H162" s="3">
        <v>24268</v>
      </c>
      <c r="I162" s="3">
        <v>71326</v>
      </c>
      <c r="J162" s="3">
        <v>44415</v>
      </c>
      <c r="K162" s="3">
        <v>0</v>
      </c>
      <c r="L162" s="3">
        <v>0</v>
      </c>
    </row>
    <row r="163" spans="1:12">
      <c r="A163" s="1" t="s">
        <v>506</v>
      </c>
      <c r="B163" s="11" t="s">
        <v>54</v>
      </c>
      <c r="C163" s="11" t="s">
        <v>319</v>
      </c>
      <c r="D163" s="11" t="s">
        <v>324</v>
      </c>
      <c r="E163" s="3">
        <v>221165</v>
      </c>
      <c r="F163" s="3">
        <v>0</v>
      </c>
      <c r="G163" s="3">
        <v>0</v>
      </c>
      <c r="H163" s="3">
        <v>0</v>
      </c>
      <c r="I163" s="3">
        <v>0</v>
      </c>
      <c r="J163" s="3">
        <v>0</v>
      </c>
      <c r="K163" s="3">
        <v>0</v>
      </c>
      <c r="L163" s="3">
        <v>0</v>
      </c>
    </row>
    <row r="164" spans="1:12">
      <c r="A164" s="4" t="s">
        <v>505</v>
      </c>
      <c r="B164" s="12" t="s">
        <v>288</v>
      </c>
      <c r="C164" s="12" t="s">
        <v>319</v>
      </c>
      <c r="D164" s="12" t="s">
        <v>324</v>
      </c>
      <c r="E164" s="7">
        <v>273199359</v>
      </c>
      <c r="F164" s="7">
        <v>138963846</v>
      </c>
      <c r="G164" s="6">
        <v>34858543</v>
      </c>
      <c r="H164" s="6">
        <v>6406324</v>
      </c>
      <c r="I164" s="6">
        <v>4566821</v>
      </c>
      <c r="J164" s="6">
        <v>1458736</v>
      </c>
      <c r="K164" s="6">
        <v>9547</v>
      </c>
      <c r="L164" s="6">
        <v>0</v>
      </c>
    </row>
    <row r="165" spans="1:12">
      <c r="A165" s="1" t="s">
        <v>504</v>
      </c>
      <c r="B165" s="11" t="s">
        <v>288</v>
      </c>
      <c r="C165" s="11" t="s">
        <v>319</v>
      </c>
      <c r="D165" s="11" t="s">
        <v>324</v>
      </c>
      <c r="E165" s="3">
        <v>107369145</v>
      </c>
      <c r="F165" s="3">
        <v>55479069</v>
      </c>
      <c r="G165" s="3">
        <v>14670339</v>
      </c>
      <c r="H165" s="3">
        <v>8704062</v>
      </c>
      <c r="I165" s="3">
        <v>5898647</v>
      </c>
      <c r="J165" s="3">
        <v>2178091</v>
      </c>
      <c r="K165" s="3">
        <v>31894</v>
      </c>
      <c r="L165" s="3">
        <v>0</v>
      </c>
    </row>
    <row r="166" spans="1:12">
      <c r="A166" s="1" t="s">
        <v>503</v>
      </c>
      <c r="B166" s="11" t="s">
        <v>182</v>
      </c>
      <c r="C166" s="11" t="s">
        <v>319</v>
      </c>
      <c r="D166" s="11" t="s">
        <v>324</v>
      </c>
      <c r="E166" s="3">
        <v>46809147</v>
      </c>
      <c r="F166" s="3">
        <v>6266304</v>
      </c>
      <c r="G166" s="3">
        <v>2458200</v>
      </c>
      <c r="H166" s="3">
        <v>108700</v>
      </c>
      <c r="I166" s="3">
        <v>108777</v>
      </c>
      <c r="J166" s="3">
        <v>110958</v>
      </c>
      <c r="K166" s="3">
        <v>0</v>
      </c>
      <c r="L166" s="3">
        <v>0</v>
      </c>
    </row>
    <row r="167" spans="1:12">
      <c r="A167" s="1" t="s">
        <v>502</v>
      </c>
      <c r="B167" s="11" t="s">
        <v>138</v>
      </c>
      <c r="C167" s="11" t="s">
        <v>306</v>
      </c>
      <c r="D167" s="11" t="s">
        <v>305</v>
      </c>
      <c r="E167" s="3">
        <v>7696027</v>
      </c>
      <c r="F167" s="3">
        <v>0</v>
      </c>
      <c r="G167" s="3">
        <v>0</v>
      </c>
      <c r="H167" s="3">
        <v>0</v>
      </c>
      <c r="I167" s="3">
        <v>0</v>
      </c>
      <c r="J167" s="3">
        <v>0</v>
      </c>
      <c r="K167" s="3">
        <v>0</v>
      </c>
      <c r="L167" s="3">
        <v>0</v>
      </c>
    </row>
    <row r="168" spans="1:12">
      <c r="A168" s="1" t="s">
        <v>501</v>
      </c>
      <c r="B168" s="11" t="s">
        <v>288</v>
      </c>
      <c r="C168" s="11" t="s">
        <v>319</v>
      </c>
      <c r="D168" s="11" t="s">
        <v>324</v>
      </c>
      <c r="E168" s="3">
        <v>37535791</v>
      </c>
      <c r="F168" s="3">
        <v>17204097</v>
      </c>
      <c r="G168" s="3">
        <v>11335542</v>
      </c>
      <c r="H168" s="3">
        <v>7312713</v>
      </c>
      <c r="I168" s="3">
        <v>4898655</v>
      </c>
      <c r="J168" s="3">
        <v>2056630</v>
      </c>
      <c r="K168" s="3">
        <v>853440</v>
      </c>
      <c r="L168" s="3">
        <v>0</v>
      </c>
    </row>
    <row r="169" spans="1:12">
      <c r="A169" s="1" t="s">
        <v>500</v>
      </c>
      <c r="B169" s="11" t="s">
        <v>74</v>
      </c>
      <c r="C169" s="11" t="s">
        <v>319</v>
      </c>
      <c r="D169" s="11" t="s">
        <v>308</v>
      </c>
      <c r="E169" s="3">
        <v>866590</v>
      </c>
      <c r="F169" s="3">
        <v>0</v>
      </c>
      <c r="G169" s="3">
        <v>0</v>
      </c>
      <c r="H169" s="3">
        <v>0</v>
      </c>
      <c r="I169" s="3">
        <v>0</v>
      </c>
      <c r="J169" s="3">
        <v>0</v>
      </c>
      <c r="K169" s="3">
        <v>0</v>
      </c>
      <c r="L169" s="3">
        <v>0</v>
      </c>
    </row>
    <row r="170" spans="1:12">
      <c r="A170" s="4" t="s">
        <v>499</v>
      </c>
      <c r="B170" s="12" t="s">
        <v>94</v>
      </c>
      <c r="C170" s="12" t="s">
        <v>319</v>
      </c>
      <c r="D170" s="12" t="s">
        <v>308</v>
      </c>
      <c r="E170" s="6">
        <v>96080991</v>
      </c>
      <c r="F170" s="6">
        <v>98495468</v>
      </c>
      <c r="G170" s="7">
        <v>98589534</v>
      </c>
      <c r="H170" s="7">
        <v>49821963</v>
      </c>
      <c r="I170" s="6">
        <v>556888</v>
      </c>
      <c r="J170" s="6">
        <v>557664</v>
      </c>
      <c r="K170" s="6">
        <v>5460</v>
      </c>
      <c r="L170" s="6">
        <v>0</v>
      </c>
    </row>
    <row r="171" spans="1:12">
      <c r="A171" s="1" t="s">
        <v>498</v>
      </c>
      <c r="B171" s="11" t="s">
        <v>309</v>
      </c>
      <c r="C171" s="11" t="s">
        <v>311</v>
      </c>
      <c r="D171" s="11" t="s">
        <v>308</v>
      </c>
      <c r="E171" s="3">
        <v>70145955</v>
      </c>
      <c r="F171" s="3">
        <v>6367757</v>
      </c>
      <c r="G171" s="3">
        <v>394451</v>
      </c>
      <c r="H171" s="3">
        <v>649980</v>
      </c>
      <c r="I171" s="3">
        <v>389089</v>
      </c>
      <c r="J171" s="3">
        <v>280216</v>
      </c>
      <c r="K171" s="3">
        <v>117764</v>
      </c>
      <c r="L171" s="3">
        <v>0</v>
      </c>
    </row>
    <row r="172" spans="1:12">
      <c r="A172" s="1" t="s">
        <v>497</v>
      </c>
      <c r="B172" s="11" t="s">
        <v>256</v>
      </c>
      <c r="C172" s="11" t="s">
        <v>319</v>
      </c>
      <c r="D172" s="11" t="s">
        <v>308</v>
      </c>
      <c r="E172" s="3">
        <v>366654</v>
      </c>
      <c r="F172" s="3">
        <v>0</v>
      </c>
      <c r="G172" s="3">
        <v>0</v>
      </c>
      <c r="H172" s="3">
        <v>0</v>
      </c>
      <c r="I172" s="3">
        <v>0</v>
      </c>
      <c r="J172" s="3">
        <v>0</v>
      </c>
      <c r="K172" s="3">
        <v>0</v>
      </c>
      <c r="L172" s="3">
        <v>0</v>
      </c>
    </row>
    <row r="173" spans="1:12">
      <c r="A173" s="1" t="s">
        <v>496</v>
      </c>
      <c r="B173" s="11" t="s">
        <v>24</v>
      </c>
      <c r="C173" s="11" t="s">
        <v>311</v>
      </c>
      <c r="D173" s="11" t="s">
        <v>305</v>
      </c>
      <c r="E173" s="3">
        <v>15916016</v>
      </c>
      <c r="F173" s="3">
        <v>4348311</v>
      </c>
      <c r="G173" s="3">
        <v>289148</v>
      </c>
      <c r="H173" s="3">
        <v>198149</v>
      </c>
      <c r="I173" s="3">
        <v>222397</v>
      </c>
      <c r="J173" s="3">
        <v>84030</v>
      </c>
      <c r="K173" s="3">
        <v>174801</v>
      </c>
      <c r="L173" s="3">
        <v>0</v>
      </c>
    </row>
    <row r="174" spans="1:12">
      <c r="A174" s="1" t="s">
        <v>495</v>
      </c>
      <c r="B174" s="11" t="s">
        <v>68</v>
      </c>
      <c r="C174" s="11" t="s">
        <v>319</v>
      </c>
      <c r="D174" s="11" t="s">
        <v>308</v>
      </c>
      <c r="E174" s="3">
        <v>13603772</v>
      </c>
      <c r="F174" s="3">
        <v>835573</v>
      </c>
      <c r="G174" s="3">
        <v>199455</v>
      </c>
      <c r="H174" s="3">
        <v>50694</v>
      </c>
      <c r="I174" s="3">
        <v>49247</v>
      </c>
      <c r="J174" s="3">
        <v>57054</v>
      </c>
      <c r="K174" s="3">
        <v>0</v>
      </c>
      <c r="L174" s="3">
        <v>0</v>
      </c>
    </row>
    <row r="175" spans="1:12">
      <c r="A175" s="1" t="s">
        <v>494</v>
      </c>
      <c r="B175" s="11" t="s">
        <v>228</v>
      </c>
      <c r="C175" s="11" t="s">
        <v>319</v>
      </c>
      <c r="D175" s="11" t="s">
        <v>308</v>
      </c>
      <c r="E175" s="3">
        <v>12544202</v>
      </c>
      <c r="F175" s="3">
        <v>433904</v>
      </c>
      <c r="G175" s="3">
        <v>151609</v>
      </c>
      <c r="H175" s="3">
        <v>2874</v>
      </c>
      <c r="I175" s="3">
        <v>0</v>
      </c>
      <c r="J175" s="3">
        <v>0</v>
      </c>
      <c r="K175" s="3">
        <v>0</v>
      </c>
      <c r="L175" s="3">
        <v>0</v>
      </c>
    </row>
    <row r="176" spans="1:12">
      <c r="A176" s="1" t="s">
        <v>493</v>
      </c>
      <c r="B176" s="11" t="s">
        <v>118</v>
      </c>
      <c r="C176" s="11" t="s">
        <v>328</v>
      </c>
      <c r="D176" s="11" t="s">
        <v>305</v>
      </c>
      <c r="E176" s="3">
        <v>1143061</v>
      </c>
      <c r="F176" s="3">
        <v>908440</v>
      </c>
      <c r="G176" s="3">
        <v>145238</v>
      </c>
      <c r="H176" s="3">
        <v>95757</v>
      </c>
      <c r="I176" s="3">
        <v>96089</v>
      </c>
      <c r="J176" s="3">
        <v>47391</v>
      </c>
      <c r="K176" s="3">
        <v>0</v>
      </c>
      <c r="L176" s="3">
        <v>0</v>
      </c>
    </row>
    <row r="177" spans="1:12">
      <c r="A177" s="1" t="s">
        <v>492</v>
      </c>
      <c r="B177" s="11" t="s">
        <v>288</v>
      </c>
      <c r="C177" s="11" t="s">
        <v>319</v>
      </c>
      <c r="D177" s="11" t="s">
        <v>324</v>
      </c>
      <c r="E177" s="3">
        <v>32563935</v>
      </c>
      <c r="F177" s="3">
        <v>7199704</v>
      </c>
      <c r="G177" s="3">
        <v>3208722</v>
      </c>
      <c r="H177" s="3">
        <v>1833843</v>
      </c>
      <c r="I177" s="3">
        <v>1389990</v>
      </c>
      <c r="J177" s="3">
        <v>249798</v>
      </c>
      <c r="K177" s="3">
        <v>953163</v>
      </c>
      <c r="L177" s="3">
        <v>0</v>
      </c>
    </row>
    <row r="178" spans="1:12">
      <c r="A178" s="1" t="s">
        <v>491</v>
      </c>
      <c r="B178" s="11" t="s">
        <v>490</v>
      </c>
      <c r="C178" s="11" t="s">
        <v>306</v>
      </c>
      <c r="D178" s="11" t="s">
        <v>305</v>
      </c>
      <c r="E178" s="3">
        <v>10012093</v>
      </c>
      <c r="F178" s="3">
        <v>5982628</v>
      </c>
      <c r="G178" s="3">
        <v>2292902</v>
      </c>
      <c r="H178" s="3">
        <v>1835971</v>
      </c>
      <c r="I178" s="3">
        <v>240407</v>
      </c>
      <c r="J178" s="3">
        <v>97655</v>
      </c>
      <c r="K178" s="3">
        <v>434326</v>
      </c>
      <c r="L178" s="3">
        <v>0</v>
      </c>
    </row>
    <row r="179" spans="1:12">
      <c r="A179" s="1" t="s">
        <v>489</v>
      </c>
      <c r="B179" s="11" t="s">
        <v>288</v>
      </c>
      <c r="C179" s="11" t="s">
        <v>319</v>
      </c>
      <c r="D179" s="11" t="s">
        <v>324</v>
      </c>
      <c r="E179" s="3">
        <v>5768732</v>
      </c>
      <c r="F179" s="3">
        <v>89947</v>
      </c>
      <c r="G179" s="3">
        <v>9434</v>
      </c>
      <c r="H179" s="3">
        <v>9492</v>
      </c>
      <c r="I179" s="3">
        <v>0</v>
      </c>
      <c r="J179" s="3">
        <v>0</v>
      </c>
      <c r="K179" s="3">
        <v>0</v>
      </c>
      <c r="L179" s="3">
        <v>0</v>
      </c>
    </row>
    <row r="180" spans="1:12">
      <c r="A180" s="1" t="s">
        <v>488</v>
      </c>
      <c r="B180" s="11" t="s">
        <v>60</v>
      </c>
      <c r="C180" s="11" t="s">
        <v>306</v>
      </c>
      <c r="D180" s="11" t="s">
        <v>305</v>
      </c>
      <c r="E180" s="3">
        <v>12280830</v>
      </c>
      <c r="F180" s="3">
        <v>13976975</v>
      </c>
      <c r="G180" s="3">
        <v>7527556</v>
      </c>
      <c r="H180" s="3">
        <v>568549</v>
      </c>
      <c r="I180" s="3">
        <v>34801</v>
      </c>
      <c r="J180" s="3">
        <v>38797</v>
      </c>
      <c r="K180" s="3">
        <v>34546</v>
      </c>
      <c r="L180" s="3">
        <v>0</v>
      </c>
    </row>
    <row r="181" spans="1:12">
      <c r="A181" s="1" t="s">
        <v>487</v>
      </c>
      <c r="B181" s="11" t="s">
        <v>82</v>
      </c>
      <c r="C181" s="11" t="s">
        <v>319</v>
      </c>
      <c r="D181" s="11" t="s">
        <v>324</v>
      </c>
      <c r="E181" s="3">
        <v>2659</v>
      </c>
      <c r="F181" s="3">
        <v>0</v>
      </c>
      <c r="G181" s="3">
        <v>0</v>
      </c>
      <c r="H181" s="3">
        <v>0</v>
      </c>
      <c r="I181" s="3">
        <v>0</v>
      </c>
      <c r="J181" s="3">
        <v>0</v>
      </c>
      <c r="K181" s="3">
        <v>0</v>
      </c>
      <c r="L181" s="3">
        <v>0</v>
      </c>
    </row>
    <row r="182" spans="1:12">
      <c r="A182" s="1" t="s">
        <v>486</v>
      </c>
      <c r="B182" s="11" t="s">
        <v>118</v>
      </c>
      <c r="C182" s="11" t="s">
        <v>328</v>
      </c>
      <c r="D182" s="11" t="s">
        <v>305</v>
      </c>
      <c r="E182" s="3">
        <v>1330310</v>
      </c>
      <c r="F182" s="3">
        <v>424260</v>
      </c>
      <c r="G182" s="3">
        <v>192122</v>
      </c>
      <c r="H182" s="3">
        <v>0</v>
      </c>
      <c r="I182" s="3">
        <v>0</v>
      </c>
      <c r="J182" s="3">
        <v>0</v>
      </c>
      <c r="K182" s="3">
        <v>0</v>
      </c>
      <c r="L182" s="3">
        <v>0</v>
      </c>
    </row>
    <row r="183" spans="1:12">
      <c r="A183" s="1" t="s">
        <v>485</v>
      </c>
      <c r="B183" s="11" t="s">
        <v>90</v>
      </c>
      <c r="C183" s="11" t="s">
        <v>319</v>
      </c>
      <c r="D183" s="11" t="s">
        <v>308</v>
      </c>
      <c r="E183" s="3">
        <v>12647722</v>
      </c>
      <c r="F183" s="3">
        <v>0</v>
      </c>
      <c r="G183" s="3">
        <v>0</v>
      </c>
      <c r="H183" s="3">
        <v>0</v>
      </c>
      <c r="I183" s="3">
        <v>0</v>
      </c>
      <c r="J183" s="3">
        <v>0</v>
      </c>
      <c r="K183" s="3">
        <v>0</v>
      </c>
      <c r="L183" s="3">
        <v>0</v>
      </c>
    </row>
    <row r="184" spans="1:12">
      <c r="A184" s="1" t="s">
        <v>484</v>
      </c>
      <c r="B184" s="11" t="s">
        <v>44</v>
      </c>
      <c r="C184" s="11" t="s">
        <v>319</v>
      </c>
      <c r="D184" s="11" t="s">
        <v>324</v>
      </c>
      <c r="E184" s="3">
        <v>3010431</v>
      </c>
      <c r="F184" s="3">
        <v>2157</v>
      </c>
      <c r="G184" s="3">
        <v>2218</v>
      </c>
      <c r="H184" s="3">
        <v>0</v>
      </c>
      <c r="I184" s="3">
        <v>0</v>
      </c>
      <c r="J184" s="3">
        <v>0</v>
      </c>
      <c r="K184" s="3">
        <v>0</v>
      </c>
      <c r="L184" s="3">
        <v>0</v>
      </c>
    </row>
    <row r="185" spans="1:12">
      <c r="A185" s="1" t="s">
        <v>483</v>
      </c>
      <c r="B185" s="11" t="s">
        <v>309</v>
      </c>
      <c r="C185" s="11" t="s">
        <v>319</v>
      </c>
      <c r="D185" s="11" t="s">
        <v>308</v>
      </c>
      <c r="E185" s="3">
        <v>157378</v>
      </c>
      <c r="F185" s="3">
        <v>498363</v>
      </c>
      <c r="G185" s="3">
        <v>59650</v>
      </c>
      <c r="H185" s="3">
        <v>53260</v>
      </c>
      <c r="I185" s="3">
        <v>0</v>
      </c>
      <c r="J185" s="3">
        <v>0</v>
      </c>
      <c r="K185" s="3">
        <v>0</v>
      </c>
      <c r="L185" s="3">
        <v>0</v>
      </c>
    </row>
    <row r="186" spans="1:12">
      <c r="A186" s="1" t="s">
        <v>482</v>
      </c>
      <c r="B186" s="11" t="s">
        <v>60</v>
      </c>
      <c r="C186" s="11" t="s">
        <v>306</v>
      </c>
      <c r="D186" s="11" t="s">
        <v>305</v>
      </c>
      <c r="E186" s="3">
        <v>4143885</v>
      </c>
      <c r="F186" s="3">
        <v>6840415</v>
      </c>
      <c r="G186" s="3">
        <v>1489141</v>
      </c>
      <c r="H186" s="3">
        <v>277131</v>
      </c>
      <c r="I186" s="3">
        <v>75771</v>
      </c>
      <c r="J186" s="3">
        <v>0</v>
      </c>
      <c r="K186" s="3">
        <v>0</v>
      </c>
      <c r="L186" s="3">
        <v>0</v>
      </c>
    </row>
    <row r="187" spans="1:12">
      <c r="A187" s="1" t="s">
        <v>481</v>
      </c>
      <c r="B187" s="11" t="s">
        <v>164</v>
      </c>
      <c r="C187" s="11" t="s">
        <v>319</v>
      </c>
      <c r="D187" s="11" t="s">
        <v>308</v>
      </c>
      <c r="E187" s="3">
        <v>4078115</v>
      </c>
      <c r="F187" s="3">
        <v>870403</v>
      </c>
      <c r="G187" s="3">
        <v>404972</v>
      </c>
      <c r="H187" s="3">
        <v>289731</v>
      </c>
      <c r="I187" s="3">
        <v>199768</v>
      </c>
      <c r="J187" s="3">
        <v>0</v>
      </c>
      <c r="K187" s="3">
        <v>0</v>
      </c>
      <c r="L187" s="3">
        <v>0</v>
      </c>
    </row>
    <row r="188" spans="1:12">
      <c r="A188" s="1" t="s">
        <v>480</v>
      </c>
      <c r="B188" s="11" t="s">
        <v>16</v>
      </c>
      <c r="C188" s="11" t="s">
        <v>319</v>
      </c>
      <c r="D188" s="11" t="s">
        <v>324</v>
      </c>
      <c r="E188" s="3">
        <v>2320922</v>
      </c>
      <c r="F188" s="3">
        <v>37948</v>
      </c>
      <c r="G188" s="3">
        <v>39009</v>
      </c>
      <c r="H188" s="3">
        <v>0</v>
      </c>
      <c r="I188" s="3">
        <v>0</v>
      </c>
      <c r="J188" s="3">
        <v>0</v>
      </c>
      <c r="K188" s="3">
        <v>0</v>
      </c>
      <c r="L188" s="3">
        <v>0</v>
      </c>
    </row>
    <row r="189" spans="1:12">
      <c r="A189" s="1" t="s">
        <v>479</v>
      </c>
      <c r="B189" s="11" t="s">
        <v>288</v>
      </c>
      <c r="C189" s="11" t="s">
        <v>319</v>
      </c>
      <c r="D189" s="11" t="s">
        <v>324</v>
      </c>
      <c r="E189" s="3">
        <v>695556</v>
      </c>
      <c r="F189" s="3">
        <v>0</v>
      </c>
      <c r="G189" s="3">
        <v>0</v>
      </c>
      <c r="H189" s="3">
        <v>0</v>
      </c>
      <c r="I189" s="3">
        <v>0</v>
      </c>
      <c r="J189" s="3">
        <v>0</v>
      </c>
      <c r="K189" s="3">
        <v>0</v>
      </c>
      <c r="L189" s="3">
        <v>0</v>
      </c>
    </row>
    <row r="190" spans="1:12">
      <c r="A190" s="1" t="s">
        <v>478</v>
      </c>
      <c r="B190" s="11" t="s">
        <v>309</v>
      </c>
      <c r="C190" s="11" t="s">
        <v>319</v>
      </c>
      <c r="D190" s="11" t="s">
        <v>308</v>
      </c>
      <c r="E190" s="3">
        <v>37486689</v>
      </c>
      <c r="F190" s="3">
        <v>6914204</v>
      </c>
      <c r="G190" s="3">
        <v>58070</v>
      </c>
      <c r="H190" s="3">
        <v>72739</v>
      </c>
      <c r="I190" s="3">
        <v>82418</v>
      </c>
      <c r="J190" s="3">
        <v>152951</v>
      </c>
      <c r="K190" s="3">
        <v>73186</v>
      </c>
      <c r="L190" s="3">
        <v>0</v>
      </c>
    </row>
    <row r="191" spans="1:12">
      <c r="A191" s="1" t="s">
        <v>477</v>
      </c>
      <c r="B191" s="11" t="s">
        <v>202</v>
      </c>
      <c r="C191" s="11" t="s">
        <v>319</v>
      </c>
      <c r="D191" s="11" t="s">
        <v>345</v>
      </c>
      <c r="E191" s="3">
        <v>8712639</v>
      </c>
      <c r="F191" s="3">
        <v>6706701</v>
      </c>
      <c r="G191" s="3">
        <v>3504094</v>
      </c>
      <c r="H191" s="3">
        <v>1154675</v>
      </c>
      <c r="I191" s="3">
        <v>195216</v>
      </c>
      <c r="J191" s="3">
        <v>131146</v>
      </c>
      <c r="K191" s="3">
        <v>378795</v>
      </c>
      <c r="L191" s="3">
        <v>0</v>
      </c>
    </row>
    <row r="192" spans="1:12">
      <c r="A192" s="1" t="s">
        <v>476</v>
      </c>
      <c r="B192" s="11" t="s">
        <v>84</v>
      </c>
      <c r="C192" s="11" t="s">
        <v>319</v>
      </c>
      <c r="D192" s="11" t="s">
        <v>345</v>
      </c>
      <c r="E192" s="3">
        <v>43926591</v>
      </c>
      <c r="F192" s="3">
        <v>23940652</v>
      </c>
      <c r="G192" s="3">
        <v>3495594</v>
      </c>
      <c r="H192" s="3">
        <v>1215439</v>
      </c>
      <c r="I192" s="3">
        <v>707341</v>
      </c>
      <c r="J192" s="3">
        <v>416012</v>
      </c>
      <c r="K192" s="3">
        <v>0</v>
      </c>
      <c r="L192" s="3">
        <v>0</v>
      </c>
    </row>
    <row r="193" spans="1:12">
      <c r="A193" s="1" t="s">
        <v>475</v>
      </c>
      <c r="B193" s="11" t="s">
        <v>288</v>
      </c>
      <c r="C193" s="11" t="s">
        <v>319</v>
      </c>
      <c r="D193" s="11" t="s">
        <v>324</v>
      </c>
      <c r="E193" s="3">
        <v>7134734</v>
      </c>
      <c r="F193" s="3">
        <v>0</v>
      </c>
      <c r="G193" s="3">
        <v>0</v>
      </c>
      <c r="H193" s="3">
        <v>0</v>
      </c>
      <c r="I193" s="3">
        <v>0</v>
      </c>
      <c r="J193" s="3">
        <v>0</v>
      </c>
      <c r="K193" s="3">
        <v>0</v>
      </c>
      <c r="L193" s="3">
        <v>0</v>
      </c>
    </row>
    <row r="194" spans="1:12">
      <c r="A194" s="1" t="s">
        <v>474</v>
      </c>
      <c r="B194" s="11" t="s">
        <v>54</v>
      </c>
      <c r="C194" s="11" t="s">
        <v>314</v>
      </c>
      <c r="D194" s="11" t="s">
        <v>324</v>
      </c>
      <c r="E194" s="3">
        <v>27824904</v>
      </c>
      <c r="F194" s="3">
        <v>9623088</v>
      </c>
      <c r="G194" s="3">
        <v>306500</v>
      </c>
      <c r="H194" s="3">
        <v>301532</v>
      </c>
      <c r="I194" s="3">
        <v>271622</v>
      </c>
      <c r="J194" s="3">
        <v>282071</v>
      </c>
      <c r="K194" s="3">
        <v>132159</v>
      </c>
      <c r="L194" s="3">
        <v>0</v>
      </c>
    </row>
    <row r="195" spans="1:12">
      <c r="A195" s="1" t="s">
        <v>473</v>
      </c>
      <c r="B195" s="11" t="s">
        <v>309</v>
      </c>
      <c r="C195" s="11" t="s">
        <v>314</v>
      </c>
      <c r="D195" s="11" t="s">
        <v>308</v>
      </c>
      <c r="E195" s="3">
        <v>33848070</v>
      </c>
      <c r="F195" s="3">
        <v>20503236</v>
      </c>
      <c r="G195" s="3">
        <v>549333</v>
      </c>
      <c r="H195" s="3">
        <v>187433</v>
      </c>
      <c r="I195" s="3">
        <v>105596</v>
      </c>
      <c r="J195" s="3">
        <v>149217</v>
      </c>
      <c r="K195" s="3">
        <v>0</v>
      </c>
      <c r="L195" s="3">
        <v>0</v>
      </c>
    </row>
    <row r="196" spans="1:12">
      <c r="A196" s="1" t="s">
        <v>472</v>
      </c>
      <c r="B196" s="11" t="s">
        <v>288</v>
      </c>
      <c r="C196" s="11" t="s">
        <v>319</v>
      </c>
      <c r="D196" s="11" t="s">
        <v>324</v>
      </c>
      <c r="E196" s="3">
        <v>3613991</v>
      </c>
      <c r="F196" s="3">
        <v>19831</v>
      </c>
      <c r="G196" s="3">
        <v>7232</v>
      </c>
      <c r="H196" s="3">
        <v>5124</v>
      </c>
      <c r="I196" s="3">
        <v>0</v>
      </c>
      <c r="J196" s="3">
        <v>0</v>
      </c>
      <c r="K196" s="3">
        <v>0</v>
      </c>
      <c r="L196" s="3">
        <v>0</v>
      </c>
    </row>
    <row r="197" spans="1:12">
      <c r="A197" s="1" t="s">
        <v>471</v>
      </c>
      <c r="B197" s="11" t="s">
        <v>216</v>
      </c>
      <c r="C197" s="11" t="s">
        <v>319</v>
      </c>
      <c r="D197" s="11" t="s">
        <v>308</v>
      </c>
      <c r="E197" s="3">
        <v>26395332</v>
      </c>
      <c r="F197" s="3">
        <v>14192313</v>
      </c>
      <c r="G197" s="3">
        <v>6228673</v>
      </c>
      <c r="H197" s="3">
        <v>740109</v>
      </c>
      <c r="I197" s="3">
        <v>97381</v>
      </c>
      <c r="J197" s="3">
        <v>0</v>
      </c>
      <c r="K197" s="3">
        <v>0</v>
      </c>
      <c r="L197" s="3">
        <v>0</v>
      </c>
    </row>
    <row r="198" spans="1:12">
      <c r="A198" s="1" t="s">
        <v>470</v>
      </c>
      <c r="B198" s="11" t="s">
        <v>132</v>
      </c>
      <c r="C198" s="11" t="s">
        <v>319</v>
      </c>
      <c r="D198" s="11" t="s">
        <v>308</v>
      </c>
      <c r="E198" s="3">
        <v>151634</v>
      </c>
      <c r="F198" s="3">
        <v>111744</v>
      </c>
      <c r="G198" s="3">
        <v>60137</v>
      </c>
      <c r="H198" s="3">
        <v>52032</v>
      </c>
      <c r="I198" s="3">
        <v>0</v>
      </c>
      <c r="J198" s="3">
        <v>0</v>
      </c>
      <c r="K198" s="3">
        <v>0</v>
      </c>
      <c r="L198" s="3">
        <v>0</v>
      </c>
    </row>
    <row r="199" spans="1:12">
      <c r="A199" s="4" t="s">
        <v>469</v>
      </c>
      <c r="B199" s="12" t="s">
        <v>288</v>
      </c>
      <c r="C199" s="12" t="s">
        <v>319</v>
      </c>
      <c r="D199" s="12" t="s">
        <v>324</v>
      </c>
      <c r="E199" s="8">
        <v>320068043</v>
      </c>
      <c r="F199" s="7">
        <v>178213290</v>
      </c>
      <c r="G199" s="7">
        <v>71781326</v>
      </c>
      <c r="H199" s="6">
        <v>23385349</v>
      </c>
      <c r="I199" s="6">
        <v>9063172</v>
      </c>
      <c r="J199" s="6">
        <v>3350464</v>
      </c>
      <c r="K199" s="6">
        <v>33511</v>
      </c>
      <c r="L199" s="6">
        <v>0</v>
      </c>
    </row>
    <row r="200" spans="1:12">
      <c r="A200" s="1" t="s">
        <v>468</v>
      </c>
      <c r="B200" s="11" t="s">
        <v>309</v>
      </c>
      <c r="C200" s="11" t="s">
        <v>311</v>
      </c>
      <c r="D200" s="11" t="s">
        <v>308</v>
      </c>
      <c r="E200" s="3">
        <v>32721348</v>
      </c>
      <c r="F200" s="3">
        <v>9518324</v>
      </c>
      <c r="G200" s="3">
        <v>2174041</v>
      </c>
      <c r="H200" s="3">
        <v>1278138</v>
      </c>
      <c r="I200" s="3">
        <v>725245</v>
      </c>
      <c r="J200" s="3">
        <v>469937</v>
      </c>
      <c r="K200" s="3">
        <v>156126</v>
      </c>
      <c r="L200" s="3">
        <v>0</v>
      </c>
    </row>
    <row r="201" spans="1:12">
      <c r="A201" s="1" t="s">
        <v>467</v>
      </c>
      <c r="B201" s="11" t="s">
        <v>228</v>
      </c>
      <c r="C201" s="11" t="s">
        <v>319</v>
      </c>
      <c r="D201" s="11" t="s">
        <v>308</v>
      </c>
      <c r="E201" s="3">
        <v>1517202</v>
      </c>
      <c r="F201" s="3">
        <v>867807</v>
      </c>
      <c r="G201" s="3">
        <v>303218</v>
      </c>
      <c r="H201" s="3">
        <v>0</v>
      </c>
      <c r="I201" s="3">
        <v>0</v>
      </c>
      <c r="J201" s="3">
        <v>0</v>
      </c>
      <c r="K201" s="3">
        <v>0</v>
      </c>
      <c r="L201" s="3">
        <v>0</v>
      </c>
    </row>
    <row r="202" spans="1:12">
      <c r="A202" s="1" t="s">
        <v>466</v>
      </c>
      <c r="B202" s="11" t="s">
        <v>309</v>
      </c>
      <c r="C202" s="11" t="s">
        <v>306</v>
      </c>
      <c r="D202" s="11" t="s">
        <v>308</v>
      </c>
      <c r="E202" s="3">
        <v>6489630</v>
      </c>
      <c r="F202" s="3">
        <v>12214106</v>
      </c>
      <c r="G202" s="3">
        <v>422209</v>
      </c>
      <c r="H202" s="3">
        <v>256347</v>
      </c>
      <c r="I202" s="3">
        <v>264503</v>
      </c>
      <c r="J202" s="3">
        <v>437630</v>
      </c>
      <c r="K202" s="3">
        <v>211501</v>
      </c>
      <c r="L202" s="3">
        <v>0</v>
      </c>
    </row>
    <row r="203" spans="1:12">
      <c r="A203" s="1" t="s">
        <v>465</v>
      </c>
      <c r="B203" s="11" t="s">
        <v>294</v>
      </c>
      <c r="C203" s="11" t="s">
        <v>319</v>
      </c>
      <c r="D203" s="11" t="s">
        <v>324</v>
      </c>
      <c r="E203" s="3">
        <v>969897</v>
      </c>
      <c r="F203" s="3">
        <v>900547</v>
      </c>
      <c r="G203" s="3">
        <v>469950</v>
      </c>
      <c r="H203" s="3">
        <v>48743</v>
      </c>
      <c r="I203" s="3">
        <v>51497</v>
      </c>
      <c r="J203" s="3">
        <v>51982</v>
      </c>
      <c r="K203" s="3">
        <v>53795</v>
      </c>
      <c r="L203" s="3">
        <v>0</v>
      </c>
    </row>
    <row r="204" spans="1:12">
      <c r="A204" s="1" t="s">
        <v>464</v>
      </c>
      <c r="B204" s="11" t="s">
        <v>288</v>
      </c>
      <c r="C204" s="11" t="s">
        <v>319</v>
      </c>
      <c r="D204" s="11" t="s">
        <v>324</v>
      </c>
      <c r="E204" s="3">
        <v>51412</v>
      </c>
      <c r="F204" s="3">
        <v>0</v>
      </c>
      <c r="G204" s="3">
        <v>0</v>
      </c>
      <c r="H204" s="3">
        <v>0</v>
      </c>
      <c r="I204" s="3">
        <v>0</v>
      </c>
      <c r="J204" s="3">
        <v>0</v>
      </c>
      <c r="K204" s="3">
        <v>0</v>
      </c>
      <c r="L204" s="3">
        <v>0</v>
      </c>
    </row>
    <row r="205" spans="1:12">
      <c r="A205" s="1" t="s">
        <v>463</v>
      </c>
      <c r="B205" s="11" t="s">
        <v>288</v>
      </c>
      <c r="C205" s="11" t="s">
        <v>319</v>
      </c>
      <c r="D205" s="11" t="s">
        <v>324</v>
      </c>
      <c r="E205" s="3">
        <v>7722537</v>
      </c>
      <c r="F205" s="3">
        <v>7368651</v>
      </c>
      <c r="G205" s="3">
        <v>2549315</v>
      </c>
      <c r="H205" s="3">
        <v>43755</v>
      </c>
      <c r="I205" s="3">
        <v>0</v>
      </c>
      <c r="J205" s="3">
        <v>0</v>
      </c>
      <c r="K205" s="3">
        <v>0</v>
      </c>
      <c r="L205" s="3">
        <v>0</v>
      </c>
    </row>
    <row r="206" spans="1:12">
      <c r="A206" s="1" t="s">
        <v>462</v>
      </c>
      <c r="B206" s="11" t="s">
        <v>54</v>
      </c>
      <c r="C206" s="11" t="s">
        <v>319</v>
      </c>
      <c r="D206" s="11" t="s">
        <v>324</v>
      </c>
      <c r="E206" s="3">
        <v>100608</v>
      </c>
      <c r="F206" s="3">
        <v>14353</v>
      </c>
      <c r="G206" s="3">
        <v>31100</v>
      </c>
      <c r="H206" s="3">
        <v>32656</v>
      </c>
      <c r="I206" s="3">
        <v>38741</v>
      </c>
      <c r="J206" s="3">
        <v>0</v>
      </c>
      <c r="K206" s="3">
        <v>0</v>
      </c>
      <c r="L206" s="3">
        <v>0</v>
      </c>
    </row>
    <row r="207" spans="1:12">
      <c r="A207" s="1" t="s">
        <v>461</v>
      </c>
      <c r="B207" s="11" t="s">
        <v>188</v>
      </c>
      <c r="C207" s="11" t="s">
        <v>319</v>
      </c>
      <c r="D207" s="11" t="s">
        <v>345</v>
      </c>
      <c r="E207" s="3">
        <v>1037622</v>
      </c>
      <c r="F207" s="3">
        <v>15160</v>
      </c>
      <c r="G207" s="3">
        <v>0</v>
      </c>
      <c r="H207" s="3">
        <v>0</v>
      </c>
      <c r="I207" s="3">
        <v>0</v>
      </c>
      <c r="J207" s="3">
        <v>0</v>
      </c>
      <c r="K207" s="3">
        <v>0</v>
      </c>
      <c r="L207" s="3">
        <v>0</v>
      </c>
    </row>
    <row r="208" spans="1:12">
      <c r="A208" s="1" t="s">
        <v>460</v>
      </c>
      <c r="B208" s="11" t="s">
        <v>92</v>
      </c>
      <c r="C208" s="11" t="s">
        <v>319</v>
      </c>
      <c r="D208" s="11" t="s">
        <v>308</v>
      </c>
      <c r="E208" s="3">
        <v>545471</v>
      </c>
      <c r="F208" s="3">
        <v>0</v>
      </c>
      <c r="G208" s="3">
        <v>0</v>
      </c>
      <c r="H208" s="3">
        <v>0</v>
      </c>
      <c r="I208" s="3">
        <v>0</v>
      </c>
      <c r="J208" s="3">
        <v>0</v>
      </c>
      <c r="K208" s="3">
        <v>0</v>
      </c>
      <c r="L208" s="3">
        <v>0</v>
      </c>
    </row>
    <row r="209" spans="1:12">
      <c r="A209" s="1" t="s">
        <v>459</v>
      </c>
      <c r="B209" s="11" t="s">
        <v>44</v>
      </c>
      <c r="C209" s="11" t="s">
        <v>319</v>
      </c>
      <c r="D209" s="11" t="s">
        <v>324</v>
      </c>
      <c r="E209" s="3">
        <v>4184384</v>
      </c>
      <c r="F209" s="3">
        <v>1917208</v>
      </c>
      <c r="G209" s="3">
        <v>1910491</v>
      </c>
      <c r="H209" s="3">
        <v>1915896</v>
      </c>
      <c r="I209" s="3">
        <v>3562</v>
      </c>
      <c r="J209" s="3">
        <v>0</v>
      </c>
      <c r="K209" s="3">
        <v>0</v>
      </c>
      <c r="L209" s="3">
        <v>0</v>
      </c>
    </row>
    <row r="210" spans="1:12">
      <c r="A210" s="1" t="s">
        <v>458</v>
      </c>
      <c r="B210" s="11" t="s">
        <v>44</v>
      </c>
      <c r="C210" s="11" t="s">
        <v>319</v>
      </c>
      <c r="D210" s="11" t="s">
        <v>324</v>
      </c>
      <c r="E210" s="3">
        <v>1656061</v>
      </c>
      <c r="F210" s="3">
        <v>1308927</v>
      </c>
      <c r="G210" s="3">
        <v>1309979</v>
      </c>
      <c r="H210" s="3">
        <v>1311846</v>
      </c>
      <c r="I210" s="3">
        <v>1295533</v>
      </c>
      <c r="J210" s="3">
        <v>1535574</v>
      </c>
      <c r="K210" s="3">
        <v>0</v>
      </c>
      <c r="L210" s="3">
        <v>0</v>
      </c>
    </row>
    <row r="211" spans="1:12">
      <c r="A211" s="1" t="s">
        <v>457</v>
      </c>
      <c r="B211" s="11" t="s">
        <v>118</v>
      </c>
      <c r="C211" s="11" t="s">
        <v>328</v>
      </c>
      <c r="D211" s="11" t="s">
        <v>305</v>
      </c>
      <c r="E211" s="3">
        <v>35625731</v>
      </c>
      <c r="F211" s="3">
        <v>34155517</v>
      </c>
      <c r="G211" s="3">
        <v>20710343</v>
      </c>
      <c r="H211" s="3">
        <v>2976248</v>
      </c>
      <c r="I211" s="3">
        <v>1047895</v>
      </c>
      <c r="J211" s="3">
        <v>901470</v>
      </c>
      <c r="K211" s="3">
        <v>140951</v>
      </c>
      <c r="L211" s="3">
        <v>0</v>
      </c>
    </row>
    <row r="212" spans="1:12">
      <c r="A212" s="4" t="s">
        <v>456</v>
      </c>
      <c r="B212" s="12" t="s">
        <v>44</v>
      </c>
      <c r="C212" s="12" t="s">
        <v>319</v>
      </c>
      <c r="D212" s="12" t="s">
        <v>324</v>
      </c>
      <c r="E212" s="6">
        <v>6307806</v>
      </c>
      <c r="F212" s="6">
        <v>3612475</v>
      </c>
      <c r="G212" s="6">
        <v>3749964</v>
      </c>
      <c r="H212" s="6">
        <v>3701308</v>
      </c>
      <c r="I212" s="6">
        <v>3708021</v>
      </c>
      <c r="J212" s="7">
        <v>3634988</v>
      </c>
      <c r="K212" s="6">
        <v>1311453</v>
      </c>
      <c r="L212" s="6">
        <v>0</v>
      </c>
    </row>
    <row r="213" spans="1:12">
      <c r="A213" s="1" t="s">
        <v>455</v>
      </c>
      <c r="B213" s="11" t="s">
        <v>198</v>
      </c>
      <c r="C213" s="11" t="s">
        <v>306</v>
      </c>
      <c r="D213" s="11" t="s">
        <v>305</v>
      </c>
      <c r="E213" s="3">
        <v>5194677</v>
      </c>
      <c r="F213" s="3">
        <v>1712734</v>
      </c>
      <c r="G213" s="3">
        <v>1218263</v>
      </c>
      <c r="H213" s="3">
        <v>127478</v>
      </c>
      <c r="I213" s="3">
        <v>84729</v>
      </c>
      <c r="J213" s="3">
        <v>79254</v>
      </c>
      <c r="K213" s="3">
        <v>0</v>
      </c>
      <c r="L213" s="3">
        <v>0</v>
      </c>
    </row>
    <row r="214" spans="1:12">
      <c r="A214" s="1" t="s">
        <v>454</v>
      </c>
      <c r="B214" s="11" t="s">
        <v>54</v>
      </c>
      <c r="C214" s="11" t="s">
        <v>314</v>
      </c>
      <c r="D214" s="11" t="s">
        <v>324</v>
      </c>
      <c r="E214" s="3">
        <v>191003</v>
      </c>
      <c r="F214" s="3">
        <v>38326</v>
      </c>
      <c r="G214" s="3">
        <v>42576</v>
      </c>
      <c r="H214" s="3">
        <v>0</v>
      </c>
      <c r="I214" s="3">
        <v>0</v>
      </c>
      <c r="J214" s="3">
        <v>0</v>
      </c>
      <c r="K214" s="3">
        <v>0</v>
      </c>
      <c r="L214" s="3">
        <v>0</v>
      </c>
    </row>
    <row r="215" spans="1:12">
      <c r="A215" s="1" t="s">
        <v>453</v>
      </c>
      <c r="B215" s="11" t="s">
        <v>60</v>
      </c>
      <c r="C215" s="11" t="s">
        <v>306</v>
      </c>
      <c r="D215" s="11" t="s">
        <v>305</v>
      </c>
      <c r="E215" s="3">
        <v>2061950</v>
      </c>
      <c r="F215" s="3">
        <v>567017</v>
      </c>
      <c r="G215" s="3">
        <v>128158</v>
      </c>
      <c r="H215" s="3">
        <v>165642</v>
      </c>
      <c r="I215" s="3">
        <v>0</v>
      </c>
      <c r="J215" s="3">
        <v>0</v>
      </c>
      <c r="K215" s="3">
        <v>0</v>
      </c>
      <c r="L215" s="3">
        <v>0</v>
      </c>
    </row>
    <row r="216" spans="1:12">
      <c r="A216" s="1" t="s">
        <v>452</v>
      </c>
      <c r="B216" s="11" t="s">
        <v>309</v>
      </c>
      <c r="C216" s="11" t="s">
        <v>314</v>
      </c>
      <c r="D216" s="11" t="s">
        <v>308</v>
      </c>
      <c r="E216" s="3">
        <v>9290796</v>
      </c>
      <c r="F216" s="3">
        <v>2773190</v>
      </c>
      <c r="G216" s="3">
        <v>0</v>
      </c>
      <c r="H216" s="3">
        <v>0</v>
      </c>
      <c r="I216" s="3">
        <v>0</v>
      </c>
      <c r="J216" s="3">
        <v>0</v>
      </c>
      <c r="K216" s="3">
        <v>0</v>
      </c>
      <c r="L216" s="3">
        <v>0</v>
      </c>
    </row>
    <row r="217" spans="1:12">
      <c r="A217" s="1" t="s">
        <v>451</v>
      </c>
      <c r="B217" s="11" t="s">
        <v>118</v>
      </c>
      <c r="C217" s="11" t="s">
        <v>328</v>
      </c>
      <c r="D217" s="11" t="s">
        <v>305</v>
      </c>
      <c r="E217" s="3">
        <v>16598500</v>
      </c>
      <c r="F217" s="3">
        <v>16598500</v>
      </c>
      <c r="G217" s="3">
        <v>10730297</v>
      </c>
      <c r="H217" s="3">
        <v>4819635</v>
      </c>
      <c r="I217" s="3">
        <v>1343440</v>
      </c>
      <c r="J217" s="3">
        <v>630052</v>
      </c>
      <c r="K217" s="3">
        <v>55715</v>
      </c>
      <c r="L217" s="3">
        <v>0</v>
      </c>
    </row>
    <row r="218" spans="1:12">
      <c r="A218" s="1" t="s">
        <v>450</v>
      </c>
      <c r="B218" s="11" t="s">
        <v>266</v>
      </c>
      <c r="C218" s="11" t="s">
        <v>306</v>
      </c>
      <c r="D218" s="11" t="s">
        <v>305</v>
      </c>
      <c r="E218" s="3">
        <v>2404430</v>
      </c>
      <c r="F218" s="3">
        <v>2652047</v>
      </c>
      <c r="G218" s="3">
        <v>733319</v>
      </c>
      <c r="H218" s="3">
        <v>0</v>
      </c>
      <c r="I218" s="3">
        <v>0</v>
      </c>
      <c r="J218" s="3">
        <v>0</v>
      </c>
      <c r="K218" s="3">
        <v>0</v>
      </c>
      <c r="L218" s="3">
        <v>0</v>
      </c>
    </row>
    <row r="219" spans="1:12">
      <c r="A219" s="1" t="s">
        <v>449</v>
      </c>
      <c r="B219" s="11" t="s">
        <v>288</v>
      </c>
      <c r="C219" s="11" t="s">
        <v>319</v>
      </c>
      <c r="D219" s="11" t="s">
        <v>324</v>
      </c>
      <c r="E219" s="3">
        <v>30474974</v>
      </c>
      <c r="F219" s="3">
        <v>12375936</v>
      </c>
      <c r="G219" s="3">
        <v>1097391</v>
      </c>
      <c r="H219" s="3">
        <v>741494</v>
      </c>
      <c r="I219" s="3">
        <v>441774</v>
      </c>
      <c r="J219" s="3">
        <v>289305</v>
      </c>
      <c r="K219" s="3">
        <v>337</v>
      </c>
      <c r="L219" s="3">
        <v>0</v>
      </c>
    </row>
    <row r="220" spans="1:12">
      <c r="A220" s="1" t="s">
        <v>448</v>
      </c>
      <c r="B220" s="11" t="s">
        <v>132</v>
      </c>
      <c r="C220" s="11" t="s">
        <v>319</v>
      </c>
      <c r="D220" s="11" t="s">
        <v>308</v>
      </c>
      <c r="E220" s="3">
        <v>14863153</v>
      </c>
      <c r="F220" s="3">
        <v>8411065</v>
      </c>
      <c r="G220" s="3">
        <v>4315811</v>
      </c>
      <c r="H220" s="3">
        <v>3193956</v>
      </c>
      <c r="I220" s="3">
        <v>2764107</v>
      </c>
      <c r="J220" s="3">
        <v>871015</v>
      </c>
      <c r="K220" s="3">
        <v>0</v>
      </c>
      <c r="L220" s="3">
        <v>0</v>
      </c>
    </row>
    <row r="221" spans="1:12">
      <c r="A221" s="1" t="s">
        <v>447</v>
      </c>
      <c r="B221" s="11" t="s">
        <v>288</v>
      </c>
      <c r="C221" s="11" t="s">
        <v>319</v>
      </c>
      <c r="D221" s="11" t="s">
        <v>324</v>
      </c>
      <c r="E221" s="3">
        <v>2039725</v>
      </c>
      <c r="F221" s="3">
        <v>1142397</v>
      </c>
      <c r="G221" s="3">
        <v>476230</v>
      </c>
      <c r="H221" s="3">
        <v>0</v>
      </c>
      <c r="I221" s="3">
        <v>0</v>
      </c>
      <c r="J221" s="3">
        <v>0</v>
      </c>
      <c r="K221" s="3">
        <v>0</v>
      </c>
      <c r="L221" s="3">
        <v>0</v>
      </c>
    </row>
    <row r="222" spans="1:12">
      <c r="A222" s="1" t="s">
        <v>446</v>
      </c>
      <c r="B222" s="11" t="s">
        <v>34</v>
      </c>
      <c r="C222" s="11" t="s">
        <v>319</v>
      </c>
      <c r="D222" s="11" t="s">
        <v>308</v>
      </c>
      <c r="E222" s="3">
        <v>2441563</v>
      </c>
      <c r="F222" s="3">
        <v>0</v>
      </c>
      <c r="G222" s="3">
        <v>0</v>
      </c>
      <c r="H222" s="3">
        <v>0</v>
      </c>
      <c r="I222" s="3">
        <v>0</v>
      </c>
      <c r="J222" s="3">
        <v>0</v>
      </c>
      <c r="K222" s="3">
        <v>0</v>
      </c>
      <c r="L222" s="3">
        <v>0</v>
      </c>
    </row>
    <row r="223" spans="1:12">
      <c r="A223" s="1" t="s">
        <v>445</v>
      </c>
      <c r="B223" s="11" t="s">
        <v>309</v>
      </c>
      <c r="C223" s="11" t="s">
        <v>314</v>
      </c>
      <c r="D223" s="11" t="s">
        <v>308</v>
      </c>
      <c r="E223" s="3">
        <v>978889</v>
      </c>
      <c r="F223" s="3">
        <v>720274</v>
      </c>
      <c r="G223" s="3">
        <v>6049</v>
      </c>
      <c r="H223" s="3">
        <v>7577</v>
      </c>
      <c r="I223" s="3">
        <v>8586</v>
      </c>
      <c r="J223" s="3">
        <v>19148</v>
      </c>
      <c r="K223" s="3">
        <v>29558</v>
      </c>
      <c r="L223" s="3">
        <v>0</v>
      </c>
    </row>
    <row r="224" spans="1:12">
      <c r="A224" s="1" t="s">
        <v>444</v>
      </c>
      <c r="B224" s="11" t="s">
        <v>60</v>
      </c>
      <c r="C224" s="11" t="s">
        <v>306</v>
      </c>
      <c r="D224" s="11" t="s">
        <v>305</v>
      </c>
      <c r="E224" s="3">
        <v>65755152</v>
      </c>
      <c r="F224" s="3">
        <v>72365711</v>
      </c>
      <c r="G224" s="3">
        <v>11400828</v>
      </c>
      <c r="H224" s="3">
        <v>1097088</v>
      </c>
      <c r="I224" s="3">
        <v>93931</v>
      </c>
      <c r="J224" s="3">
        <v>42467</v>
      </c>
      <c r="K224" s="3">
        <v>1385</v>
      </c>
      <c r="L224" s="3">
        <v>0</v>
      </c>
    </row>
    <row r="225" spans="1:12">
      <c r="A225" s="1" t="s">
        <v>443</v>
      </c>
      <c r="B225" s="11" t="s">
        <v>60</v>
      </c>
      <c r="C225" s="11" t="s">
        <v>306</v>
      </c>
      <c r="D225" s="11" t="s">
        <v>305</v>
      </c>
      <c r="E225" s="3">
        <v>47159200</v>
      </c>
      <c r="F225" s="3">
        <v>68569603</v>
      </c>
      <c r="G225" s="3">
        <v>10347022</v>
      </c>
      <c r="H225" s="3">
        <v>784586</v>
      </c>
      <c r="I225" s="3">
        <v>23582</v>
      </c>
      <c r="J225" s="3">
        <v>10522</v>
      </c>
      <c r="K225" s="3">
        <v>1326</v>
      </c>
      <c r="L225" s="3">
        <v>0</v>
      </c>
    </row>
    <row r="226" spans="1:12">
      <c r="A226" s="1" t="s">
        <v>442</v>
      </c>
      <c r="B226" s="11" t="s">
        <v>208</v>
      </c>
      <c r="C226" s="11" t="s">
        <v>328</v>
      </c>
      <c r="D226" s="11" t="s">
        <v>305</v>
      </c>
      <c r="E226" s="3">
        <v>2884280</v>
      </c>
      <c r="F226" s="3">
        <v>2487173</v>
      </c>
      <c r="G226" s="3">
        <v>1239019</v>
      </c>
      <c r="H226" s="3">
        <v>248577</v>
      </c>
      <c r="I226" s="3">
        <v>68810</v>
      </c>
      <c r="J226" s="3">
        <v>78725</v>
      </c>
      <c r="K226" s="3">
        <v>0</v>
      </c>
      <c r="L226" s="3">
        <v>0</v>
      </c>
    </row>
    <row r="227" spans="1:12">
      <c r="A227" s="1" t="s">
        <v>441</v>
      </c>
      <c r="B227" s="11" t="s">
        <v>54</v>
      </c>
      <c r="C227" s="11" t="s">
        <v>314</v>
      </c>
      <c r="D227" s="11" t="s">
        <v>324</v>
      </c>
      <c r="E227" s="3">
        <v>210103</v>
      </c>
      <c r="F227" s="3">
        <v>0</v>
      </c>
      <c r="G227" s="3">
        <v>0</v>
      </c>
      <c r="H227" s="3">
        <v>0</v>
      </c>
      <c r="I227" s="3">
        <v>0</v>
      </c>
      <c r="J227" s="3">
        <v>0</v>
      </c>
      <c r="K227" s="3">
        <v>0</v>
      </c>
      <c r="L227" s="3">
        <v>0</v>
      </c>
    </row>
    <row r="228" spans="1:12">
      <c r="A228" s="1" t="s">
        <v>440</v>
      </c>
      <c r="B228" s="11" t="s">
        <v>288</v>
      </c>
      <c r="C228" s="11" t="s">
        <v>319</v>
      </c>
      <c r="D228" s="11" t="s">
        <v>324</v>
      </c>
      <c r="E228" s="3">
        <v>18554310</v>
      </c>
      <c r="F228" s="3">
        <v>21668357</v>
      </c>
      <c r="G228" s="3">
        <v>7333723</v>
      </c>
      <c r="H228" s="3">
        <v>4893861</v>
      </c>
      <c r="I228" s="3">
        <v>3351374</v>
      </c>
      <c r="J228" s="3">
        <v>1497871</v>
      </c>
      <c r="K228" s="3">
        <v>8980</v>
      </c>
      <c r="L228" s="3">
        <v>0</v>
      </c>
    </row>
    <row r="229" spans="1:12">
      <c r="A229" s="1" t="s">
        <v>439</v>
      </c>
      <c r="B229" s="11" t="s">
        <v>288</v>
      </c>
      <c r="C229" s="11" t="s">
        <v>319</v>
      </c>
      <c r="D229" s="11" t="s">
        <v>324</v>
      </c>
      <c r="E229" s="3">
        <v>287527</v>
      </c>
      <c r="F229" s="3">
        <v>0</v>
      </c>
      <c r="G229" s="3">
        <v>0</v>
      </c>
      <c r="H229" s="3">
        <v>0</v>
      </c>
      <c r="I229" s="3">
        <v>0</v>
      </c>
      <c r="J229" s="3">
        <v>0</v>
      </c>
      <c r="K229" s="3">
        <v>0</v>
      </c>
      <c r="L229" s="3">
        <v>0</v>
      </c>
    </row>
    <row r="230" spans="1:12">
      <c r="A230" s="4" t="s">
        <v>438</v>
      </c>
      <c r="B230" s="12" t="s">
        <v>100</v>
      </c>
      <c r="C230" s="12" t="s">
        <v>319</v>
      </c>
      <c r="D230" s="12" t="s">
        <v>308</v>
      </c>
      <c r="E230" s="7">
        <v>146329717</v>
      </c>
      <c r="F230" s="6">
        <v>89386625</v>
      </c>
      <c r="G230" s="6">
        <v>23744729</v>
      </c>
      <c r="H230" s="6">
        <v>17530163</v>
      </c>
      <c r="I230" s="7">
        <v>13501378</v>
      </c>
      <c r="J230" s="7">
        <v>6900993</v>
      </c>
      <c r="K230" s="7">
        <v>3091462</v>
      </c>
      <c r="L230" s="6">
        <v>0</v>
      </c>
    </row>
    <row r="231" spans="1:12">
      <c r="A231" s="4" t="s">
        <v>437</v>
      </c>
      <c r="B231" s="12" t="s">
        <v>94</v>
      </c>
      <c r="C231" s="12" t="s">
        <v>319</v>
      </c>
      <c r="D231" s="12" t="s">
        <v>308</v>
      </c>
      <c r="E231" s="7">
        <v>173403162</v>
      </c>
      <c r="F231" s="7">
        <v>124554618</v>
      </c>
      <c r="G231" s="6">
        <v>20536971</v>
      </c>
      <c r="H231" s="6">
        <v>102360</v>
      </c>
      <c r="I231" s="6">
        <v>102791</v>
      </c>
      <c r="J231" s="6">
        <v>107638</v>
      </c>
      <c r="K231" s="6">
        <v>0</v>
      </c>
      <c r="L231" s="6">
        <v>0</v>
      </c>
    </row>
    <row r="232" spans="1:12">
      <c r="A232" s="1" t="s">
        <v>436</v>
      </c>
      <c r="B232" s="11" t="s">
        <v>288</v>
      </c>
      <c r="C232" s="11" t="s">
        <v>319</v>
      </c>
      <c r="D232" s="11" t="s">
        <v>324</v>
      </c>
      <c r="E232" s="3">
        <v>13628574</v>
      </c>
      <c r="F232" s="3">
        <v>3082615</v>
      </c>
      <c r="G232" s="3">
        <v>1121572</v>
      </c>
      <c r="H232" s="3">
        <v>772596</v>
      </c>
      <c r="I232" s="3">
        <v>919004</v>
      </c>
      <c r="J232" s="3">
        <v>1081553</v>
      </c>
      <c r="K232" s="3">
        <v>967528</v>
      </c>
      <c r="L232" s="3">
        <v>0</v>
      </c>
    </row>
    <row r="233" spans="1:12">
      <c r="A233" s="1" t="s">
        <v>435</v>
      </c>
      <c r="B233" s="11" t="s">
        <v>44</v>
      </c>
      <c r="C233" s="11" t="s">
        <v>319</v>
      </c>
      <c r="D233" s="11" t="s">
        <v>324</v>
      </c>
      <c r="E233" s="3">
        <v>36336</v>
      </c>
      <c r="F233" s="3">
        <v>13075</v>
      </c>
      <c r="G233" s="3">
        <v>13572</v>
      </c>
      <c r="H233" s="3">
        <v>13396</v>
      </c>
      <c r="I233" s="3">
        <v>13426</v>
      </c>
      <c r="J233" s="3">
        <v>0</v>
      </c>
      <c r="K233" s="3">
        <v>0</v>
      </c>
      <c r="L233" s="3">
        <v>0</v>
      </c>
    </row>
    <row r="234" spans="1:12">
      <c r="A234" s="1" t="s">
        <v>434</v>
      </c>
      <c r="B234" s="11" t="s">
        <v>212</v>
      </c>
      <c r="C234" s="11" t="s">
        <v>306</v>
      </c>
      <c r="D234" s="11" t="s">
        <v>324</v>
      </c>
      <c r="E234" s="3">
        <v>276168</v>
      </c>
      <c r="F234" s="3">
        <v>23032</v>
      </c>
      <c r="G234" s="3">
        <v>23387</v>
      </c>
      <c r="H234" s="3">
        <v>23387</v>
      </c>
      <c r="I234" s="3">
        <v>23535</v>
      </c>
      <c r="J234" s="3">
        <v>25266</v>
      </c>
      <c r="K234" s="3">
        <v>0</v>
      </c>
      <c r="L234" s="3">
        <v>0</v>
      </c>
    </row>
    <row r="235" spans="1:12">
      <c r="A235" s="1" t="s">
        <v>433</v>
      </c>
      <c r="B235" s="11" t="s">
        <v>58</v>
      </c>
      <c r="C235" s="11" t="s">
        <v>306</v>
      </c>
      <c r="D235" s="11" t="s">
        <v>324</v>
      </c>
      <c r="E235" s="3">
        <v>1698012</v>
      </c>
      <c r="F235" s="3">
        <v>84474</v>
      </c>
      <c r="G235" s="3">
        <v>80174</v>
      </c>
      <c r="H235" s="3">
        <v>121060</v>
      </c>
      <c r="I235" s="3">
        <v>61245</v>
      </c>
      <c r="J235" s="3">
        <v>49932</v>
      </c>
      <c r="K235" s="3">
        <v>0</v>
      </c>
      <c r="L235" s="3">
        <v>0</v>
      </c>
    </row>
    <row r="236" spans="1:12">
      <c r="A236" s="1" t="s">
        <v>432</v>
      </c>
      <c r="B236" s="11" t="s">
        <v>200</v>
      </c>
      <c r="C236" s="11" t="s">
        <v>319</v>
      </c>
      <c r="D236" s="11" t="s">
        <v>324</v>
      </c>
      <c r="E236" s="3">
        <v>506083</v>
      </c>
      <c r="F236" s="3">
        <v>0</v>
      </c>
      <c r="G236" s="3">
        <v>0</v>
      </c>
      <c r="H236" s="3">
        <v>0</v>
      </c>
      <c r="I236" s="3">
        <v>0</v>
      </c>
      <c r="J236" s="3">
        <v>0</v>
      </c>
      <c r="K236" s="3">
        <v>0</v>
      </c>
      <c r="L236" s="3">
        <v>0</v>
      </c>
    </row>
    <row r="237" spans="1:12">
      <c r="A237" s="1" t="s">
        <v>431</v>
      </c>
      <c r="B237" s="11" t="s">
        <v>288</v>
      </c>
      <c r="C237" s="11" t="s">
        <v>319</v>
      </c>
      <c r="D237" s="11" t="s">
        <v>324</v>
      </c>
      <c r="E237" s="3">
        <v>21778387</v>
      </c>
      <c r="F237" s="3">
        <v>36569763</v>
      </c>
      <c r="G237" s="3">
        <v>25359742</v>
      </c>
      <c r="H237" s="3">
        <v>16343029</v>
      </c>
      <c r="I237" s="3">
        <v>4677188</v>
      </c>
      <c r="J237" s="3">
        <v>0</v>
      </c>
      <c r="K237" s="3">
        <v>0</v>
      </c>
      <c r="L237" s="3">
        <v>0</v>
      </c>
    </row>
    <row r="238" spans="1:12">
      <c r="A238" s="1" t="s">
        <v>430</v>
      </c>
      <c r="B238" s="11" t="s">
        <v>60</v>
      </c>
      <c r="C238" s="11" t="s">
        <v>306</v>
      </c>
      <c r="D238" s="11" t="s">
        <v>305</v>
      </c>
      <c r="E238" s="3">
        <v>5123892</v>
      </c>
      <c r="F238" s="3">
        <v>5831569</v>
      </c>
      <c r="G238" s="3">
        <v>3140699</v>
      </c>
      <c r="H238" s="3">
        <v>237214</v>
      </c>
      <c r="I238" s="3">
        <v>2920</v>
      </c>
      <c r="J238" s="3">
        <v>3255</v>
      </c>
      <c r="K238" s="3">
        <v>0</v>
      </c>
      <c r="L238" s="3">
        <v>0</v>
      </c>
    </row>
    <row r="239" spans="1:12">
      <c r="A239" s="1" t="s">
        <v>429</v>
      </c>
      <c r="B239" s="11" t="s">
        <v>84</v>
      </c>
      <c r="C239" s="11" t="s">
        <v>319</v>
      </c>
      <c r="D239" s="11" t="s">
        <v>345</v>
      </c>
      <c r="E239" s="3">
        <v>17661086</v>
      </c>
      <c r="F239" s="3">
        <v>11781183</v>
      </c>
      <c r="G239" s="3">
        <v>1661962</v>
      </c>
      <c r="H239" s="3">
        <v>496763</v>
      </c>
      <c r="I239" s="3">
        <v>420807</v>
      </c>
      <c r="J239" s="3">
        <v>225908</v>
      </c>
      <c r="K239" s="3">
        <v>0</v>
      </c>
      <c r="L239" s="3">
        <v>0</v>
      </c>
    </row>
    <row r="240" spans="1:12">
      <c r="A240" s="1" t="s">
        <v>428</v>
      </c>
      <c r="B240" s="11" t="s">
        <v>288</v>
      </c>
      <c r="C240" s="11" t="s">
        <v>319</v>
      </c>
      <c r="D240" s="11" t="s">
        <v>324</v>
      </c>
      <c r="E240" s="3">
        <v>19028068</v>
      </c>
      <c r="F240" s="3">
        <v>4513044</v>
      </c>
      <c r="G240" s="3">
        <v>583206</v>
      </c>
      <c r="H240" s="3">
        <v>496680</v>
      </c>
      <c r="I240" s="3">
        <v>834536</v>
      </c>
      <c r="J240" s="3">
        <v>0</v>
      </c>
      <c r="K240" s="3">
        <v>0</v>
      </c>
      <c r="L240" s="3">
        <v>0</v>
      </c>
    </row>
    <row r="241" spans="1:12">
      <c r="A241" s="1" t="s">
        <v>427</v>
      </c>
      <c r="B241" s="11" t="s">
        <v>288</v>
      </c>
      <c r="C241" s="11" t="s">
        <v>306</v>
      </c>
      <c r="D241" s="11" t="s">
        <v>324</v>
      </c>
      <c r="E241" s="3">
        <v>1398824</v>
      </c>
      <c r="F241" s="3">
        <v>948516</v>
      </c>
      <c r="G241" s="3">
        <v>156580</v>
      </c>
      <c r="H241" s="3">
        <v>97967</v>
      </c>
      <c r="I241" s="3">
        <v>28275</v>
      </c>
      <c r="J241" s="3">
        <v>28964</v>
      </c>
      <c r="K241" s="3">
        <v>0</v>
      </c>
      <c r="L241" s="3">
        <v>0</v>
      </c>
    </row>
    <row r="242" spans="1:12">
      <c r="A242" s="1" t="s">
        <v>426</v>
      </c>
      <c r="B242" s="11" t="s">
        <v>288</v>
      </c>
      <c r="C242" s="11" t="s">
        <v>319</v>
      </c>
      <c r="D242" s="11" t="s">
        <v>324</v>
      </c>
      <c r="E242" s="3">
        <v>50015862</v>
      </c>
      <c r="F242" s="3">
        <v>58272497</v>
      </c>
      <c r="G242" s="3">
        <v>22560424</v>
      </c>
      <c r="H242" s="3">
        <v>4657811</v>
      </c>
      <c r="I242" s="3">
        <v>1441721</v>
      </c>
      <c r="J242" s="3">
        <v>471010</v>
      </c>
      <c r="K242" s="3">
        <v>0</v>
      </c>
      <c r="L242" s="3">
        <v>0</v>
      </c>
    </row>
    <row r="243" spans="1:12">
      <c r="A243" s="1" t="s">
        <v>425</v>
      </c>
      <c r="B243" s="11" t="s">
        <v>116</v>
      </c>
      <c r="C243" s="11" t="s">
        <v>319</v>
      </c>
      <c r="D243" s="11" t="s">
        <v>308</v>
      </c>
      <c r="E243" s="3">
        <v>1027</v>
      </c>
      <c r="F243" s="3">
        <v>0</v>
      </c>
      <c r="G243" s="3">
        <v>0</v>
      </c>
      <c r="H243" s="3">
        <v>0</v>
      </c>
      <c r="I243" s="3">
        <v>0</v>
      </c>
      <c r="J243" s="3">
        <v>0</v>
      </c>
      <c r="K243" s="3">
        <v>0</v>
      </c>
      <c r="L243" s="3">
        <v>0</v>
      </c>
    </row>
    <row r="244" spans="1:12">
      <c r="A244" s="1" t="s">
        <v>424</v>
      </c>
      <c r="B244" s="11" t="s">
        <v>276</v>
      </c>
      <c r="C244" s="11" t="s">
        <v>319</v>
      </c>
      <c r="D244" s="11" t="s">
        <v>308</v>
      </c>
      <c r="E244" s="3">
        <v>8404393</v>
      </c>
      <c r="F244" s="3">
        <v>9366917</v>
      </c>
      <c r="G244" s="3">
        <v>822245</v>
      </c>
      <c r="H244" s="3">
        <v>338137</v>
      </c>
      <c r="I244" s="3">
        <v>180957</v>
      </c>
      <c r="J244" s="3">
        <v>0</v>
      </c>
      <c r="K244" s="3">
        <v>0</v>
      </c>
      <c r="L244" s="3">
        <v>0</v>
      </c>
    </row>
    <row r="245" spans="1:12">
      <c r="A245" s="1" t="s">
        <v>423</v>
      </c>
      <c r="B245" s="11" t="s">
        <v>16</v>
      </c>
      <c r="C245" s="11" t="s">
        <v>319</v>
      </c>
      <c r="D245" s="11" t="s">
        <v>324</v>
      </c>
      <c r="E245" s="3">
        <v>1797167</v>
      </c>
      <c r="F245" s="3">
        <v>245845</v>
      </c>
      <c r="G245" s="3">
        <v>56199</v>
      </c>
      <c r="H245" s="3">
        <v>55902</v>
      </c>
      <c r="I245" s="3">
        <v>55240</v>
      </c>
      <c r="J245" s="3">
        <v>53136</v>
      </c>
      <c r="K245" s="3">
        <v>53811</v>
      </c>
      <c r="L245" s="3">
        <v>0</v>
      </c>
    </row>
    <row r="246" spans="1:12">
      <c r="A246" s="1" t="s">
        <v>422</v>
      </c>
      <c r="B246" s="11" t="s">
        <v>288</v>
      </c>
      <c r="C246" s="11" t="s">
        <v>306</v>
      </c>
      <c r="D246" s="11" t="s">
        <v>324</v>
      </c>
      <c r="E246" s="3">
        <v>12270382</v>
      </c>
      <c r="F246" s="3">
        <v>1313703</v>
      </c>
      <c r="G246" s="3">
        <v>206586</v>
      </c>
      <c r="H246" s="3">
        <v>243284</v>
      </c>
      <c r="I246" s="3">
        <v>263863</v>
      </c>
      <c r="J246" s="3">
        <v>0</v>
      </c>
      <c r="K246" s="3">
        <v>0</v>
      </c>
      <c r="L246" s="3">
        <v>0</v>
      </c>
    </row>
    <row r="247" spans="1:12">
      <c r="A247" s="1" t="s">
        <v>421</v>
      </c>
      <c r="B247" s="11" t="s">
        <v>288</v>
      </c>
      <c r="C247" s="11" t="s">
        <v>306</v>
      </c>
      <c r="D247" s="11" t="s">
        <v>324</v>
      </c>
      <c r="E247" s="3">
        <v>852217</v>
      </c>
      <c r="F247" s="3">
        <v>577872</v>
      </c>
      <c r="G247" s="3">
        <v>101564</v>
      </c>
      <c r="H247" s="3">
        <v>71554</v>
      </c>
      <c r="I247" s="3">
        <v>77607</v>
      </c>
      <c r="J247" s="3">
        <v>79499</v>
      </c>
      <c r="K247" s="3">
        <v>179493</v>
      </c>
      <c r="L247" s="3">
        <v>0</v>
      </c>
    </row>
    <row r="248" spans="1:12">
      <c r="A248" s="1" t="s">
        <v>420</v>
      </c>
      <c r="B248" s="11" t="s">
        <v>288</v>
      </c>
      <c r="C248" s="11" t="s">
        <v>306</v>
      </c>
      <c r="D248" s="11" t="s">
        <v>324</v>
      </c>
      <c r="E248" s="3">
        <v>49842143</v>
      </c>
      <c r="F248" s="3">
        <v>8392687</v>
      </c>
      <c r="G248" s="3">
        <v>21897</v>
      </c>
      <c r="H248" s="3">
        <v>22470</v>
      </c>
      <c r="I248" s="3">
        <v>23100</v>
      </c>
      <c r="J248" s="3">
        <v>0</v>
      </c>
      <c r="K248" s="3">
        <v>0</v>
      </c>
      <c r="L248" s="3">
        <v>0</v>
      </c>
    </row>
    <row r="249" spans="1:12">
      <c r="A249" s="1" t="s">
        <v>419</v>
      </c>
      <c r="B249" s="11" t="s">
        <v>60</v>
      </c>
      <c r="C249" s="11" t="s">
        <v>306</v>
      </c>
      <c r="D249" s="11" t="s">
        <v>305</v>
      </c>
      <c r="E249" s="3">
        <v>24824157</v>
      </c>
      <c r="F249" s="3">
        <v>3802556</v>
      </c>
      <c r="G249" s="3">
        <v>340096</v>
      </c>
      <c r="H249" s="3">
        <v>183987</v>
      </c>
      <c r="I249" s="3">
        <v>43332</v>
      </c>
      <c r="J249" s="3">
        <v>19694</v>
      </c>
      <c r="K249" s="3">
        <v>269</v>
      </c>
      <c r="L249" s="3">
        <v>0</v>
      </c>
    </row>
    <row r="250" spans="1:12">
      <c r="A250" s="1" t="s">
        <v>418</v>
      </c>
      <c r="B250" s="11" t="s">
        <v>44</v>
      </c>
      <c r="C250" s="11" t="s">
        <v>319</v>
      </c>
      <c r="D250" s="11" t="s">
        <v>324</v>
      </c>
      <c r="E250" s="3">
        <v>563360</v>
      </c>
      <c r="F250" s="3">
        <v>0</v>
      </c>
      <c r="G250" s="3">
        <v>0</v>
      </c>
      <c r="H250" s="3">
        <v>0</v>
      </c>
      <c r="I250" s="3">
        <v>2</v>
      </c>
      <c r="J250" s="3">
        <v>0</v>
      </c>
      <c r="K250" s="3">
        <v>0</v>
      </c>
      <c r="L250" s="3">
        <v>0</v>
      </c>
    </row>
    <row r="251" spans="1:12">
      <c r="A251" s="1" t="s">
        <v>417</v>
      </c>
      <c r="B251" s="11" t="s">
        <v>246</v>
      </c>
      <c r="C251" s="11" t="s">
        <v>319</v>
      </c>
      <c r="D251" s="11" t="s">
        <v>308</v>
      </c>
      <c r="E251" s="3">
        <v>21905316</v>
      </c>
      <c r="F251" s="3">
        <v>18238364</v>
      </c>
      <c r="G251" s="3">
        <v>165730</v>
      </c>
      <c r="H251" s="3">
        <v>157333</v>
      </c>
      <c r="I251" s="3">
        <v>0</v>
      </c>
      <c r="J251" s="3">
        <v>0</v>
      </c>
      <c r="K251" s="3">
        <v>0</v>
      </c>
      <c r="L251" s="3">
        <v>0</v>
      </c>
    </row>
    <row r="252" spans="1:12">
      <c r="A252" s="1" t="s">
        <v>416</v>
      </c>
      <c r="B252" s="11" t="s">
        <v>288</v>
      </c>
      <c r="C252" s="11" t="s">
        <v>319</v>
      </c>
      <c r="D252" s="11" t="s">
        <v>324</v>
      </c>
      <c r="E252" s="3">
        <v>65078237</v>
      </c>
      <c r="F252" s="3">
        <v>67984253</v>
      </c>
      <c r="G252" s="3">
        <v>50446890</v>
      </c>
      <c r="H252" s="3">
        <v>5461424</v>
      </c>
      <c r="I252" s="3">
        <v>3130231</v>
      </c>
      <c r="J252" s="3">
        <v>0</v>
      </c>
      <c r="K252" s="3">
        <v>0</v>
      </c>
      <c r="L252" s="3">
        <v>0</v>
      </c>
    </row>
    <row r="253" spans="1:12">
      <c r="A253" s="1" t="s">
        <v>415</v>
      </c>
      <c r="B253" s="11" t="s">
        <v>36</v>
      </c>
      <c r="C253" s="11" t="s">
        <v>319</v>
      </c>
      <c r="D253" s="11" t="s">
        <v>308</v>
      </c>
      <c r="E253" s="3">
        <v>43893814</v>
      </c>
      <c r="F253" s="3">
        <v>41819147</v>
      </c>
      <c r="G253" s="3">
        <v>1521446</v>
      </c>
      <c r="H253" s="3">
        <v>1612676</v>
      </c>
      <c r="I253" s="3">
        <v>1128763</v>
      </c>
      <c r="J253" s="3">
        <v>1424699</v>
      </c>
      <c r="K253" s="3">
        <v>0</v>
      </c>
      <c r="L253" s="3">
        <v>0</v>
      </c>
    </row>
    <row r="254" spans="1:12">
      <c r="A254" s="1" t="s">
        <v>414</v>
      </c>
      <c r="B254" s="11" t="s">
        <v>288</v>
      </c>
      <c r="C254" s="11" t="s">
        <v>319</v>
      </c>
      <c r="D254" s="11" t="s">
        <v>324</v>
      </c>
      <c r="E254" s="3">
        <v>1369674</v>
      </c>
      <c r="F254" s="3">
        <v>0</v>
      </c>
      <c r="G254" s="3">
        <v>0</v>
      </c>
      <c r="H254" s="3">
        <v>0</v>
      </c>
      <c r="I254" s="3">
        <v>0</v>
      </c>
      <c r="J254" s="3">
        <v>0</v>
      </c>
      <c r="K254" s="3">
        <v>0</v>
      </c>
      <c r="L254" s="3">
        <v>0</v>
      </c>
    </row>
    <row r="255" spans="1:12">
      <c r="A255" s="1" t="s">
        <v>413</v>
      </c>
      <c r="B255" s="11" t="s">
        <v>122</v>
      </c>
      <c r="C255" s="11" t="s">
        <v>311</v>
      </c>
      <c r="D255" s="11" t="s">
        <v>305</v>
      </c>
      <c r="E255" s="3">
        <v>39265</v>
      </c>
      <c r="F255" s="3">
        <v>34366</v>
      </c>
      <c r="G255" s="3">
        <v>9250</v>
      </c>
      <c r="H255" s="3">
        <v>2574</v>
      </c>
      <c r="I255" s="3">
        <v>0</v>
      </c>
      <c r="J255" s="3">
        <v>0</v>
      </c>
      <c r="K255" s="3">
        <v>0</v>
      </c>
      <c r="L255" s="3">
        <v>0</v>
      </c>
    </row>
    <row r="256" spans="1:12">
      <c r="A256" s="1" t="s">
        <v>412</v>
      </c>
      <c r="B256" s="11" t="s">
        <v>94</v>
      </c>
      <c r="C256" s="11" t="s">
        <v>319</v>
      </c>
      <c r="D256" s="11" t="s">
        <v>308</v>
      </c>
      <c r="E256" s="3">
        <v>49056587</v>
      </c>
      <c r="F256" s="3">
        <v>49629739</v>
      </c>
      <c r="G256" s="3">
        <v>49849034</v>
      </c>
      <c r="H256" s="3">
        <v>1341634</v>
      </c>
      <c r="I256" s="3">
        <v>795559</v>
      </c>
      <c r="J256" s="3">
        <v>809677</v>
      </c>
      <c r="K256" s="3">
        <v>0</v>
      </c>
      <c r="L256" s="3">
        <v>0</v>
      </c>
    </row>
    <row r="257" spans="1:12">
      <c r="A257" s="1" t="s">
        <v>411</v>
      </c>
      <c r="B257" s="11" t="s">
        <v>309</v>
      </c>
      <c r="C257" s="11" t="s">
        <v>314</v>
      </c>
      <c r="D257" s="11" t="s">
        <v>308</v>
      </c>
      <c r="E257" s="3">
        <v>852913</v>
      </c>
      <c r="F257" s="3">
        <v>0</v>
      </c>
      <c r="G257" s="3">
        <v>0</v>
      </c>
      <c r="H257" s="3">
        <v>0</v>
      </c>
      <c r="I257" s="3">
        <v>0</v>
      </c>
      <c r="J257" s="3">
        <v>0</v>
      </c>
      <c r="K257" s="3">
        <v>0</v>
      </c>
      <c r="L257" s="3">
        <v>0</v>
      </c>
    </row>
    <row r="258" spans="1:12">
      <c r="A258" s="1" t="s">
        <v>410</v>
      </c>
      <c r="B258" s="11" t="s">
        <v>309</v>
      </c>
      <c r="C258" s="11" t="s">
        <v>314</v>
      </c>
      <c r="D258" s="11" t="s">
        <v>308</v>
      </c>
      <c r="E258" s="3">
        <v>2100652</v>
      </c>
      <c r="F258" s="3">
        <v>0</v>
      </c>
      <c r="G258" s="3">
        <v>0</v>
      </c>
      <c r="H258" s="3">
        <v>0</v>
      </c>
      <c r="I258" s="3">
        <v>0</v>
      </c>
      <c r="J258" s="3">
        <v>0</v>
      </c>
      <c r="K258" s="3">
        <v>0</v>
      </c>
      <c r="L258" s="3">
        <v>0</v>
      </c>
    </row>
    <row r="259" spans="1:12">
      <c r="A259" s="1" t="s">
        <v>409</v>
      </c>
      <c r="B259" s="11" t="s">
        <v>309</v>
      </c>
      <c r="C259" s="11" t="s">
        <v>319</v>
      </c>
      <c r="D259" s="11" t="s">
        <v>308</v>
      </c>
      <c r="E259" s="3">
        <v>64434033</v>
      </c>
      <c r="F259" s="3">
        <v>31961671</v>
      </c>
      <c r="G259" s="3">
        <v>15925709</v>
      </c>
      <c r="H259" s="3">
        <v>35702</v>
      </c>
      <c r="I259" s="3">
        <v>33170</v>
      </c>
      <c r="J259" s="3">
        <v>28460</v>
      </c>
      <c r="K259" s="3">
        <v>0</v>
      </c>
      <c r="L259" s="3">
        <v>0</v>
      </c>
    </row>
    <row r="260" spans="1:12">
      <c r="A260" s="1" t="s">
        <v>408</v>
      </c>
      <c r="B260" s="11" t="s">
        <v>60</v>
      </c>
      <c r="C260" s="11" t="s">
        <v>306</v>
      </c>
      <c r="D260" s="11" t="s">
        <v>305</v>
      </c>
      <c r="E260" s="3">
        <v>3689006</v>
      </c>
      <c r="F260" s="3">
        <v>19038</v>
      </c>
      <c r="G260" s="3">
        <v>1703</v>
      </c>
      <c r="H260" s="3">
        <v>921</v>
      </c>
      <c r="I260" s="3">
        <v>315</v>
      </c>
      <c r="J260" s="3">
        <v>143</v>
      </c>
      <c r="K260" s="3">
        <v>4</v>
      </c>
      <c r="L260" s="3">
        <v>0</v>
      </c>
    </row>
    <row r="261" spans="1:12">
      <c r="A261" s="1" t="s">
        <v>407</v>
      </c>
      <c r="B261" s="11" t="s">
        <v>124</v>
      </c>
      <c r="C261" s="11" t="s">
        <v>328</v>
      </c>
      <c r="D261" s="11" t="s">
        <v>305</v>
      </c>
      <c r="E261" s="3">
        <v>2668069</v>
      </c>
      <c r="F261" s="3">
        <v>0</v>
      </c>
      <c r="G261" s="3">
        <v>0</v>
      </c>
      <c r="H261" s="3">
        <v>0</v>
      </c>
      <c r="I261" s="3">
        <v>0</v>
      </c>
      <c r="J261" s="3">
        <v>0</v>
      </c>
      <c r="K261" s="3">
        <v>0</v>
      </c>
      <c r="L261" s="3">
        <v>0</v>
      </c>
    </row>
    <row r="262" spans="1:12">
      <c r="A262" s="1" t="s">
        <v>406</v>
      </c>
      <c r="B262" s="11" t="s">
        <v>124</v>
      </c>
      <c r="C262" s="11" t="s">
        <v>328</v>
      </c>
      <c r="D262" s="11" t="s">
        <v>305</v>
      </c>
      <c r="E262" s="3">
        <v>1237418</v>
      </c>
      <c r="F262" s="3">
        <v>4095</v>
      </c>
      <c r="G262" s="3">
        <v>7927</v>
      </c>
      <c r="H262" s="3">
        <v>737</v>
      </c>
      <c r="I262" s="3">
        <v>333</v>
      </c>
      <c r="J262" s="3">
        <v>206</v>
      </c>
      <c r="K262" s="3">
        <v>271</v>
      </c>
      <c r="L262" s="3">
        <v>0</v>
      </c>
    </row>
    <row r="263" spans="1:12">
      <c r="A263" s="1" t="s">
        <v>405</v>
      </c>
      <c r="B263" s="11" t="s">
        <v>118</v>
      </c>
      <c r="C263" s="11" t="s">
        <v>328</v>
      </c>
      <c r="D263" s="11" t="s">
        <v>305</v>
      </c>
      <c r="E263" s="3">
        <v>8211590</v>
      </c>
      <c r="F263" s="3">
        <v>4235958</v>
      </c>
      <c r="G263" s="3">
        <v>2054171</v>
      </c>
      <c r="H263" s="3">
        <v>569347</v>
      </c>
      <c r="I263" s="3">
        <v>262720</v>
      </c>
      <c r="J263" s="3">
        <v>42515</v>
      </c>
      <c r="K263" s="3">
        <v>250</v>
      </c>
      <c r="L263" s="3">
        <v>0</v>
      </c>
    </row>
    <row r="264" spans="1:12">
      <c r="A264" s="1" t="s">
        <v>404</v>
      </c>
      <c r="B264" s="11" t="s">
        <v>60</v>
      </c>
      <c r="C264" s="11" t="s">
        <v>306</v>
      </c>
      <c r="D264" s="11" t="s">
        <v>305</v>
      </c>
      <c r="E264" s="3">
        <v>22066915</v>
      </c>
      <c r="F264" s="3">
        <v>32594084</v>
      </c>
      <c r="G264" s="3">
        <v>9837982</v>
      </c>
      <c r="H264" s="3">
        <v>2489051</v>
      </c>
      <c r="I264" s="3">
        <v>680534</v>
      </c>
      <c r="J264" s="3">
        <v>195593</v>
      </c>
      <c r="K264" s="3">
        <v>103235</v>
      </c>
      <c r="L264" s="3">
        <v>0</v>
      </c>
    </row>
    <row r="265" spans="1:12">
      <c r="A265" s="1" t="s">
        <v>403</v>
      </c>
      <c r="B265" s="11" t="s">
        <v>116</v>
      </c>
      <c r="C265" s="11" t="s">
        <v>319</v>
      </c>
      <c r="D265" s="11" t="s">
        <v>308</v>
      </c>
      <c r="E265" s="3">
        <v>914236</v>
      </c>
      <c r="F265" s="3">
        <v>806536</v>
      </c>
      <c r="G265" s="3">
        <v>843106</v>
      </c>
      <c r="H265" s="3">
        <v>721053</v>
      </c>
      <c r="I265" s="3">
        <v>573009</v>
      </c>
      <c r="J265" s="3">
        <v>660192</v>
      </c>
      <c r="K265" s="3">
        <v>0</v>
      </c>
      <c r="L265" s="3">
        <v>0</v>
      </c>
    </row>
    <row r="266" spans="1:12">
      <c r="A266" s="1" t="s">
        <v>402</v>
      </c>
      <c r="B266" s="11" t="s">
        <v>288</v>
      </c>
      <c r="C266" s="11" t="s">
        <v>319</v>
      </c>
      <c r="D266" s="11" t="s">
        <v>324</v>
      </c>
      <c r="E266" s="3">
        <v>19700866</v>
      </c>
      <c r="F266" s="3">
        <v>9642743</v>
      </c>
      <c r="G266" s="3">
        <v>622508</v>
      </c>
      <c r="H266" s="3">
        <v>465450</v>
      </c>
      <c r="I266" s="3">
        <v>289470</v>
      </c>
      <c r="J266" s="3">
        <v>265995</v>
      </c>
      <c r="K266" s="3">
        <v>0</v>
      </c>
      <c r="L266" s="3">
        <v>0</v>
      </c>
    </row>
    <row r="267" spans="1:12">
      <c r="A267" s="1" t="s">
        <v>401</v>
      </c>
      <c r="B267" s="11" t="s">
        <v>54</v>
      </c>
      <c r="C267" s="11" t="s">
        <v>314</v>
      </c>
      <c r="D267" s="11" t="s">
        <v>324</v>
      </c>
      <c r="E267" s="3">
        <v>2069428</v>
      </c>
      <c r="F267" s="3">
        <v>290236</v>
      </c>
      <c r="G267" s="3">
        <v>322423</v>
      </c>
      <c r="H267" s="3">
        <v>300863</v>
      </c>
      <c r="I267" s="3">
        <v>207537</v>
      </c>
      <c r="J267" s="3">
        <v>47711</v>
      </c>
      <c r="K267" s="3">
        <v>0</v>
      </c>
      <c r="L267" s="3">
        <v>0</v>
      </c>
    </row>
    <row r="268" spans="1:12">
      <c r="A268" s="1" t="s">
        <v>400</v>
      </c>
      <c r="B268" s="11" t="s">
        <v>288</v>
      </c>
      <c r="C268" s="11" t="s">
        <v>319</v>
      </c>
      <c r="D268" s="11" t="s">
        <v>324</v>
      </c>
      <c r="E268" s="3">
        <v>18889927</v>
      </c>
      <c r="F268" s="3">
        <v>21593221</v>
      </c>
      <c r="G268" s="3">
        <v>793470</v>
      </c>
      <c r="H268" s="3">
        <v>832283</v>
      </c>
      <c r="I268" s="3">
        <v>1022091</v>
      </c>
      <c r="J268" s="3">
        <v>889893</v>
      </c>
      <c r="K268" s="3">
        <v>0</v>
      </c>
      <c r="L268" s="3">
        <v>0</v>
      </c>
    </row>
    <row r="269" spans="1:12">
      <c r="A269" s="1" t="s">
        <v>399</v>
      </c>
      <c r="B269" s="11" t="s">
        <v>288</v>
      </c>
      <c r="C269" s="11" t="s">
        <v>319</v>
      </c>
      <c r="D269" s="11" t="s">
        <v>324</v>
      </c>
      <c r="E269" s="3">
        <v>243769</v>
      </c>
      <c r="F269" s="3">
        <v>165610</v>
      </c>
      <c r="G269" s="3">
        <v>85525</v>
      </c>
      <c r="H269" s="3">
        <v>0</v>
      </c>
      <c r="I269" s="3">
        <v>0</v>
      </c>
      <c r="J269" s="3">
        <v>0</v>
      </c>
      <c r="K269" s="3">
        <v>0</v>
      </c>
      <c r="L269" s="3">
        <v>0</v>
      </c>
    </row>
    <row r="270" spans="1:12">
      <c r="A270" s="1" t="s">
        <v>398</v>
      </c>
      <c r="B270" s="11" t="s">
        <v>160</v>
      </c>
      <c r="C270" s="11" t="s">
        <v>319</v>
      </c>
      <c r="D270" s="11" t="s">
        <v>345</v>
      </c>
      <c r="E270" s="3">
        <v>446774</v>
      </c>
      <c r="F270" s="3">
        <v>410626</v>
      </c>
      <c r="G270" s="3">
        <v>0</v>
      </c>
      <c r="H270" s="3">
        <v>0</v>
      </c>
      <c r="I270" s="3">
        <v>0</v>
      </c>
      <c r="J270" s="3">
        <v>0</v>
      </c>
      <c r="K270" s="3">
        <v>0</v>
      </c>
      <c r="L270" s="3">
        <v>0</v>
      </c>
    </row>
    <row r="271" spans="1:12">
      <c r="A271" s="1" t="s">
        <v>397</v>
      </c>
      <c r="B271" s="11" t="s">
        <v>54</v>
      </c>
      <c r="C271" s="11" t="s">
        <v>319</v>
      </c>
      <c r="D271" s="11" t="s">
        <v>324</v>
      </c>
      <c r="E271" s="3">
        <v>724650</v>
      </c>
      <c r="F271" s="3">
        <v>103381</v>
      </c>
      <c r="G271" s="3">
        <v>224006</v>
      </c>
      <c r="H271" s="3">
        <v>235208</v>
      </c>
      <c r="I271" s="3">
        <v>279040</v>
      </c>
      <c r="J271" s="3">
        <v>0</v>
      </c>
      <c r="K271" s="3">
        <v>0</v>
      </c>
      <c r="L271" s="3">
        <v>0</v>
      </c>
    </row>
    <row r="272" spans="1:12">
      <c r="A272" s="1" t="s">
        <v>396</v>
      </c>
      <c r="B272" s="11" t="s">
        <v>288</v>
      </c>
      <c r="C272" s="11" t="s">
        <v>306</v>
      </c>
      <c r="D272" s="11" t="s">
        <v>324</v>
      </c>
      <c r="E272" s="3">
        <v>191003</v>
      </c>
      <c r="F272" s="3">
        <v>129515</v>
      </c>
      <c r="G272" s="3">
        <v>22763</v>
      </c>
      <c r="H272" s="3">
        <v>26807</v>
      </c>
      <c r="I272" s="3">
        <v>29074</v>
      </c>
      <c r="J272" s="3">
        <v>0</v>
      </c>
      <c r="K272" s="3">
        <v>0</v>
      </c>
      <c r="L272" s="3">
        <v>0</v>
      </c>
    </row>
    <row r="273" spans="1:12">
      <c r="A273" s="1" t="s">
        <v>395</v>
      </c>
      <c r="B273" s="11" t="s">
        <v>48</v>
      </c>
      <c r="C273" s="11" t="s">
        <v>319</v>
      </c>
      <c r="D273" s="11" t="s">
        <v>308</v>
      </c>
      <c r="E273" s="3">
        <v>417230</v>
      </c>
      <c r="F273" s="3">
        <v>0</v>
      </c>
      <c r="G273" s="3">
        <v>0</v>
      </c>
      <c r="H273" s="3">
        <v>0</v>
      </c>
      <c r="I273" s="3">
        <v>0</v>
      </c>
      <c r="J273" s="3">
        <v>0</v>
      </c>
      <c r="K273" s="3">
        <v>0</v>
      </c>
      <c r="L273" s="3">
        <v>0</v>
      </c>
    </row>
    <row r="274" spans="1:12">
      <c r="A274" s="1" t="s">
        <v>394</v>
      </c>
      <c r="B274" s="11" t="s">
        <v>118</v>
      </c>
      <c r="C274" s="11" t="s">
        <v>328</v>
      </c>
      <c r="D274" s="11" t="s">
        <v>305</v>
      </c>
      <c r="E274" s="3">
        <v>12773192</v>
      </c>
      <c r="F274" s="3">
        <v>15396387</v>
      </c>
      <c r="G274" s="3">
        <v>5786908</v>
      </c>
      <c r="H274" s="3">
        <v>831468</v>
      </c>
      <c r="I274" s="3">
        <v>318404</v>
      </c>
      <c r="J274" s="3">
        <v>213839</v>
      </c>
      <c r="K274" s="3">
        <v>93</v>
      </c>
      <c r="L274" s="3">
        <v>0</v>
      </c>
    </row>
    <row r="275" spans="1:12">
      <c r="A275" s="1" t="s">
        <v>393</v>
      </c>
      <c r="B275" s="11" t="s">
        <v>309</v>
      </c>
      <c r="C275" s="11" t="s">
        <v>311</v>
      </c>
      <c r="D275" s="11" t="s">
        <v>308</v>
      </c>
      <c r="E275" s="3">
        <v>1416404</v>
      </c>
      <c r="F275" s="3">
        <v>0</v>
      </c>
      <c r="G275" s="3">
        <v>0</v>
      </c>
      <c r="H275" s="3">
        <v>0</v>
      </c>
      <c r="I275" s="3">
        <v>0</v>
      </c>
      <c r="J275" s="3">
        <v>0</v>
      </c>
      <c r="K275" s="3">
        <v>0</v>
      </c>
      <c r="L275" s="3">
        <v>0</v>
      </c>
    </row>
    <row r="276" spans="1:12">
      <c r="A276" s="1" t="s">
        <v>392</v>
      </c>
      <c r="B276" s="11" t="s">
        <v>309</v>
      </c>
      <c r="C276" s="11" t="s">
        <v>311</v>
      </c>
      <c r="D276" s="11" t="s">
        <v>308</v>
      </c>
      <c r="E276" s="3">
        <v>2892418</v>
      </c>
      <c r="F276" s="3">
        <v>494259</v>
      </c>
      <c r="G276" s="3">
        <v>26786</v>
      </c>
      <c r="H276" s="3">
        <v>0</v>
      </c>
      <c r="I276" s="3">
        <v>0</v>
      </c>
      <c r="J276" s="3">
        <v>0</v>
      </c>
      <c r="K276" s="3">
        <v>0</v>
      </c>
      <c r="L276" s="3">
        <v>0</v>
      </c>
    </row>
    <row r="277" spans="1:12">
      <c r="A277" s="4" t="s">
        <v>391</v>
      </c>
      <c r="B277" s="12" t="s">
        <v>288</v>
      </c>
      <c r="C277" s="12" t="s">
        <v>319</v>
      </c>
      <c r="D277" s="12" t="s">
        <v>324</v>
      </c>
      <c r="E277" s="7">
        <v>155464158</v>
      </c>
      <c r="F277" s="6">
        <v>60253238</v>
      </c>
      <c r="G277" s="6">
        <v>5708818</v>
      </c>
      <c r="H277" s="6">
        <v>3806383</v>
      </c>
      <c r="I277" s="6">
        <v>2355456</v>
      </c>
      <c r="J277" s="6">
        <v>263440</v>
      </c>
      <c r="K277" s="6">
        <v>0</v>
      </c>
      <c r="L277" s="6">
        <v>0</v>
      </c>
    </row>
    <row r="278" spans="1:12">
      <c r="A278" s="1" t="s">
        <v>390</v>
      </c>
      <c r="B278" s="11" t="s">
        <v>118</v>
      </c>
      <c r="C278" s="11" t="s">
        <v>328</v>
      </c>
      <c r="D278" s="11" t="s">
        <v>305</v>
      </c>
      <c r="E278" s="3">
        <v>4381644</v>
      </c>
      <c r="F278" s="3">
        <v>4251821</v>
      </c>
      <c r="G278" s="3">
        <v>1718740</v>
      </c>
      <c r="H278" s="3">
        <v>123499</v>
      </c>
      <c r="I278" s="3">
        <v>0</v>
      </c>
      <c r="J278" s="3">
        <v>0</v>
      </c>
      <c r="K278" s="3">
        <v>0</v>
      </c>
      <c r="L278" s="3">
        <v>0</v>
      </c>
    </row>
    <row r="279" spans="1:12">
      <c r="A279" s="1" t="s">
        <v>389</v>
      </c>
      <c r="B279" s="11" t="s">
        <v>288</v>
      </c>
      <c r="C279" s="11" t="s">
        <v>319</v>
      </c>
      <c r="D279" s="11" t="s">
        <v>324</v>
      </c>
      <c r="E279" s="3">
        <v>645589</v>
      </c>
      <c r="F279" s="3">
        <v>0</v>
      </c>
      <c r="G279" s="3">
        <v>0</v>
      </c>
      <c r="H279" s="3">
        <v>0</v>
      </c>
      <c r="I279" s="3">
        <v>0</v>
      </c>
      <c r="J279" s="3">
        <v>0</v>
      </c>
      <c r="K279" s="3">
        <v>0</v>
      </c>
      <c r="L279" s="3">
        <v>0</v>
      </c>
    </row>
    <row r="280" spans="1:12">
      <c r="A280" s="1" t="s">
        <v>388</v>
      </c>
      <c r="B280" s="11" t="s">
        <v>292</v>
      </c>
      <c r="C280" s="11" t="s">
        <v>311</v>
      </c>
      <c r="D280" s="11" t="s">
        <v>305</v>
      </c>
      <c r="E280" s="3">
        <v>12800464</v>
      </c>
      <c r="F280" s="3">
        <v>118273</v>
      </c>
      <c r="G280" s="3">
        <v>16082</v>
      </c>
      <c r="H280" s="3">
        <v>27076</v>
      </c>
      <c r="I280" s="3">
        <v>29665</v>
      </c>
      <c r="J280" s="3">
        <v>35069</v>
      </c>
      <c r="K280" s="3">
        <v>0</v>
      </c>
      <c r="L280" s="3">
        <v>0</v>
      </c>
    </row>
    <row r="281" spans="1:12">
      <c r="A281" s="1" t="s">
        <v>387</v>
      </c>
      <c r="B281" s="11" t="s">
        <v>250</v>
      </c>
      <c r="C281" s="11" t="s">
        <v>319</v>
      </c>
      <c r="D281" s="11" t="s">
        <v>308</v>
      </c>
      <c r="E281" s="3">
        <v>68015343</v>
      </c>
      <c r="F281" s="3">
        <v>58913448</v>
      </c>
      <c r="G281" s="3">
        <v>40508045</v>
      </c>
      <c r="H281" s="3">
        <v>3102223</v>
      </c>
      <c r="I281" s="3">
        <v>1142351</v>
      </c>
      <c r="J281" s="3">
        <v>646674</v>
      </c>
      <c r="K281" s="3">
        <v>0</v>
      </c>
      <c r="L281" s="3">
        <v>0</v>
      </c>
    </row>
    <row r="282" spans="1:12">
      <c r="A282" s="1" t="s">
        <v>386</v>
      </c>
      <c r="B282" s="11" t="s">
        <v>122</v>
      </c>
      <c r="C282" s="11" t="s">
        <v>311</v>
      </c>
      <c r="D282" s="11" t="s">
        <v>305</v>
      </c>
      <c r="E282" s="3">
        <v>12765631</v>
      </c>
      <c r="F282" s="3">
        <v>775325</v>
      </c>
      <c r="G282" s="3">
        <v>208043</v>
      </c>
      <c r="H282" s="3">
        <v>86841</v>
      </c>
      <c r="I282" s="3">
        <v>0</v>
      </c>
      <c r="J282" s="3">
        <v>0</v>
      </c>
      <c r="K282" s="3">
        <v>0</v>
      </c>
      <c r="L282" s="3">
        <v>0</v>
      </c>
    </row>
    <row r="283" spans="1:12">
      <c r="A283" s="1" t="s">
        <v>385</v>
      </c>
      <c r="B283" s="11" t="s">
        <v>378</v>
      </c>
      <c r="C283" s="11" t="s">
        <v>319</v>
      </c>
      <c r="D283" s="11" t="s">
        <v>308</v>
      </c>
      <c r="E283" s="3">
        <v>776381</v>
      </c>
      <c r="F283" s="3">
        <v>350210</v>
      </c>
      <c r="G283" s="3">
        <v>163331</v>
      </c>
      <c r="H283" s="3">
        <v>155119</v>
      </c>
      <c r="I283" s="3">
        <v>152884</v>
      </c>
      <c r="J283" s="3">
        <v>157243</v>
      </c>
      <c r="K283" s="3">
        <v>0</v>
      </c>
      <c r="L283" s="3">
        <v>0</v>
      </c>
    </row>
    <row r="284" spans="1:12">
      <c r="A284" s="1" t="s">
        <v>384</v>
      </c>
      <c r="B284" s="11" t="s">
        <v>288</v>
      </c>
      <c r="C284" s="11" t="s">
        <v>306</v>
      </c>
      <c r="D284" s="11" t="s">
        <v>324</v>
      </c>
      <c r="E284" s="3">
        <v>278393</v>
      </c>
      <c r="F284" s="3">
        <v>7735</v>
      </c>
      <c r="G284" s="3">
        <v>0</v>
      </c>
      <c r="H284" s="3">
        <v>0</v>
      </c>
      <c r="I284" s="3">
        <v>0</v>
      </c>
      <c r="J284" s="3">
        <v>0</v>
      </c>
      <c r="K284" s="3">
        <v>0</v>
      </c>
      <c r="L284" s="3">
        <v>0</v>
      </c>
    </row>
    <row r="285" spans="1:12">
      <c r="A285" s="1" t="s">
        <v>383</v>
      </c>
      <c r="B285" s="11" t="s">
        <v>266</v>
      </c>
      <c r="C285" s="11" t="s">
        <v>306</v>
      </c>
      <c r="D285" s="11" t="s">
        <v>305</v>
      </c>
      <c r="E285" s="3">
        <v>46902228</v>
      </c>
      <c r="F285" s="3">
        <v>36544633</v>
      </c>
      <c r="G285" s="3">
        <v>23936445</v>
      </c>
      <c r="H285" s="3">
        <v>12927488</v>
      </c>
      <c r="I285" s="3">
        <v>2284357</v>
      </c>
      <c r="J285" s="3">
        <v>646933</v>
      </c>
      <c r="K285" s="3">
        <v>56932</v>
      </c>
      <c r="L285" s="3">
        <v>0</v>
      </c>
    </row>
    <row r="286" spans="1:12">
      <c r="A286" s="4" t="s">
        <v>382</v>
      </c>
      <c r="B286" s="12" t="s">
        <v>288</v>
      </c>
      <c r="C286" s="12" t="s">
        <v>319</v>
      </c>
      <c r="D286" s="12" t="s">
        <v>324</v>
      </c>
      <c r="E286" s="6">
        <v>120605603</v>
      </c>
      <c r="F286" s="6">
        <v>68486619</v>
      </c>
      <c r="G286" s="6">
        <v>22733832</v>
      </c>
      <c r="H286" s="6">
        <v>22341983</v>
      </c>
      <c r="I286" s="7">
        <v>21959475</v>
      </c>
      <c r="J286" s="6">
        <v>347478</v>
      </c>
      <c r="K286" s="6">
        <v>0</v>
      </c>
      <c r="L286" s="6">
        <v>0</v>
      </c>
    </row>
    <row r="287" spans="1:12">
      <c r="A287" s="1" t="s">
        <v>381</v>
      </c>
      <c r="B287" s="11" t="s">
        <v>16</v>
      </c>
      <c r="C287" s="11" t="s">
        <v>319</v>
      </c>
      <c r="D287" s="11" t="s">
        <v>324</v>
      </c>
      <c r="E287" s="3">
        <v>3762495</v>
      </c>
      <c r="F287" s="3">
        <v>4549247</v>
      </c>
      <c r="G287" s="3">
        <v>0</v>
      </c>
      <c r="H287" s="3">
        <v>0</v>
      </c>
      <c r="I287" s="3">
        <v>0</v>
      </c>
      <c r="J287" s="3">
        <v>0</v>
      </c>
      <c r="K287" s="3">
        <v>0</v>
      </c>
      <c r="L287" s="3">
        <v>0</v>
      </c>
    </row>
    <row r="288" spans="1:12">
      <c r="A288" s="1" t="s">
        <v>380</v>
      </c>
      <c r="B288" s="11" t="s">
        <v>132</v>
      </c>
      <c r="C288" s="11" t="s">
        <v>319</v>
      </c>
      <c r="D288" s="11" t="s">
        <v>308</v>
      </c>
      <c r="E288" s="3">
        <v>72275</v>
      </c>
      <c r="F288" s="3">
        <v>0</v>
      </c>
      <c r="G288" s="3">
        <v>0</v>
      </c>
      <c r="H288" s="3">
        <v>0</v>
      </c>
      <c r="I288" s="3">
        <v>0</v>
      </c>
      <c r="J288" s="3">
        <v>0</v>
      </c>
      <c r="K288" s="3">
        <v>0</v>
      </c>
      <c r="L288" s="3">
        <v>0</v>
      </c>
    </row>
    <row r="289" spans="1:12">
      <c r="A289" s="1" t="s">
        <v>379</v>
      </c>
      <c r="B289" s="11" t="s">
        <v>378</v>
      </c>
      <c r="C289" s="11" t="s">
        <v>319</v>
      </c>
      <c r="D289" s="11" t="s">
        <v>308</v>
      </c>
      <c r="E289" s="3">
        <v>8220631</v>
      </c>
      <c r="F289" s="3">
        <v>1314696</v>
      </c>
      <c r="G289" s="3">
        <v>1362397</v>
      </c>
      <c r="H289" s="3">
        <v>787410</v>
      </c>
      <c r="I289" s="3">
        <v>0</v>
      </c>
      <c r="J289" s="3">
        <v>0</v>
      </c>
      <c r="K289" s="3">
        <v>0</v>
      </c>
      <c r="L289" s="3">
        <v>0</v>
      </c>
    </row>
    <row r="290" spans="1:12">
      <c r="A290" s="1" t="s">
        <v>377</v>
      </c>
      <c r="B290" s="11" t="s">
        <v>118</v>
      </c>
      <c r="C290" s="11" t="s">
        <v>328</v>
      </c>
      <c r="D290" s="11" t="s">
        <v>305</v>
      </c>
      <c r="E290" s="3">
        <v>3003901</v>
      </c>
      <c r="F290" s="3">
        <v>3</v>
      </c>
      <c r="G290" s="3">
        <v>0</v>
      </c>
      <c r="H290" s="3">
        <v>0</v>
      </c>
      <c r="I290" s="3">
        <v>0</v>
      </c>
      <c r="J290" s="3">
        <v>0</v>
      </c>
      <c r="K290" s="3">
        <v>0</v>
      </c>
      <c r="L290" s="3">
        <v>0</v>
      </c>
    </row>
    <row r="291" spans="1:12">
      <c r="A291" s="1" t="s">
        <v>376</v>
      </c>
      <c r="B291" s="11" t="s">
        <v>132</v>
      </c>
      <c r="C291" s="11" t="s">
        <v>319</v>
      </c>
      <c r="D291" s="11" t="s">
        <v>308</v>
      </c>
      <c r="E291" s="3">
        <v>2635289</v>
      </c>
      <c r="F291" s="3">
        <v>691993</v>
      </c>
      <c r="G291" s="3">
        <v>372407</v>
      </c>
      <c r="H291" s="3">
        <v>322220</v>
      </c>
      <c r="I291" s="3">
        <v>288984</v>
      </c>
      <c r="J291" s="3">
        <v>0</v>
      </c>
      <c r="K291" s="3">
        <v>0</v>
      </c>
      <c r="L291" s="3">
        <v>0</v>
      </c>
    </row>
    <row r="292" spans="1:12">
      <c r="A292" s="1" t="s">
        <v>375</v>
      </c>
      <c r="B292" s="11" t="s">
        <v>44</v>
      </c>
      <c r="C292" s="11" t="s">
        <v>319</v>
      </c>
      <c r="D292" s="11" t="s">
        <v>324</v>
      </c>
      <c r="E292" s="3">
        <v>3522864</v>
      </c>
      <c r="F292" s="3">
        <v>0</v>
      </c>
      <c r="G292" s="3">
        <v>0</v>
      </c>
      <c r="H292" s="3">
        <v>0</v>
      </c>
      <c r="I292" s="3">
        <v>0</v>
      </c>
      <c r="J292" s="3">
        <v>0</v>
      </c>
      <c r="K292" s="3">
        <v>0</v>
      </c>
      <c r="L292" s="3">
        <v>0</v>
      </c>
    </row>
    <row r="293" spans="1:12">
      <c r="A293" s="1" t="s">
        <v>374</v>
      </c>
      <c r="B293" s="11" t="s">
        <v>124</v>
      </c>
      <c r="C293" s="11" t="s">
        <v>328</v>
      </c>
      <c r="D293" s="11" t="s">
        <v>305</v>
      </c>
      <c r="E293" s="3">
        <v>10706200</v>
      </c>
      <c r="F293" s="3">
        <v>2004757</v>
      </c>
      <c r="G293" s="3">
        <v>974396</v>
      </c>
      <c r="H293" s="3">
        <v>360902</v>
      </c>
      <c r="I293" s="3">
        <v>162937</v>
      </c>
      <c r="J293" s="3">
        <v>69280</v>
      </c>
      <c r="K293" s="3">
        <v>31476</v>
      </c>
      <c r="L293" s="3">
        <v>0</v>
      </c>
    </row>
    <row r="294" spans="1:12">
      <c r="A294" s="1" t="s">
        <v>373</v>
      </c>
      <c r="B294" s="11" t="s">
        <v>309</v>
      </c>
      <c r="C294" s="11" t="s">
        <v>314</v>
      </c>
      <c r="D294" s="11" t="s">
        <v>308</v>
      </c>
      <c r="E294" s="3">
        <v>2745720</v>
      </c>
      <c r="F294" s="3">
        <v>617320</v>
      </c>
      <c r="G294" s="3">
        <v>79519</v>
      </c>
      <c r="H294" s="3">
        <v>26726</v>
      </c>
      <c r="I294" s="3">
        <v>22221</v>
      </c>
      <c r="J294" s="3">
        <v>22262</v>
      </c>
      <c r="K294" s="3">
        <v>27190</v>
      </c>
      <c r="L294" s="3">
        <v>0</v>
      </c>
    </row>
    <row r="295" spans="1:12">
      <c r="A295" s="1" t="s">
        <v>372</v>
      </c>
      <c r="B295" s="11" t="s">
        <v>309</v>
      </c>
      <c r="C295" s="11" t="s">
        <v>314</v>
      </c>
      <c r="D295" s="11" t="s">
        <v>308</v>
      </c>
      <c r="E295" s="3">
        <v>13586017</v>
      </c>
      <c r="F295" s="3">
        <v>1037861</v>
      </c>
      <c r="G295" s="3">
        <v>49875</v>
      </c>
      <c r="H295" s="3">
        <v>43443</v>
      </c>
      <c r="I295" s="3">
        <v>44298</v>
      </c>
      <c r="J295" s="3">
        <v>45057</v>
      </c>
      <c r="K295" s="3">
        <v>52146</v>
      </c>
      <c r="L295" s="3">
        <v>0</v>
      </c>
    </row>
    <row r="296" spans="1:12">
      <c r="A296" s="1" t="s">
        <v>371</v>
      </c>
      <c r="B296" s="11" t="s">
        <v>288</v>
      </c>
      <c r="C296" s="11" t="s">
        <v>319</v>
      </c>
      <c r="D296" s="11" t="s">
        <v>324</v>
      </c>
      <c r="E296" s="3">
        <v>10511576</v>
      </c>
      <c r="F296" s="3">
        <v>7400378</v>
      </c>
      <c r="G296" s="3">
        <v>2341201</v>
      </c>
      <c r="H296" s="3">
        <v>1654320</v>
      </c>
      <c r="I296" s="3">
        <v>655405</v>
      </c>
      <c r="J296" s="3">
        <v>611631</v>
      </c>
      <c r="K296" s="3">
        <v>0</v>
      </c>
      <c r="L296" s="3">
        <v>0</v>
      </c>
    </row>
    <row r="297" spans="1:12">
      <c r="A297" s="1" t="s">
        <v>370</v>
      </c>
      <c r="B297" s="11" t="s">
        <v>138</v>
      </c>
      <c r="C297" s="11" t="s">
        <v>306</v>
      </c>
      <c r="D297" s="11" t="s">
        <v>305</v>
      </c>
      <c r="E297" s="3">
        <v>27254726</v>
      </c>
      <c r="F297" s="3">
        <v>149296</v>
      </c>
      <c r="G297" s="3">
        <v>52851</v>
      </c>
      <c r="H297" s="3">
        <v>62260</v>
      </c>
      <c r="I297" s="3">
        <v>67206</v>
      </c>
      <c r="J297" s="3">
        <v>338226</v>
      </c>
      <c r="K297" s="3">
        <v>680123</v>
      </c>
      <c r="L297" s="3">
        <v>0</v>
      </c>
    </row>
    <row r="298" spans="1:12">
      <c r="A298" s="1" t="s">
        <v>369</v>
      </c>
      <c r="B298" s="11" t="s">
        <v>286</v>
      </c>
      <c r="C298" s="11" t="s">
        <v>319</v>
      </c>
      <c r="D298" s="11" t="s">
        <v>308</v>
      </c>
      <c r="E298" s="3">
        <v>70554519</v>
      </c>
      <c r="F298" s="3">
        <v>2058391</v>
      </c>
      <c r="G298" s="3">
        <v>2133076</v>
      </c>
      <c r="H298" s="3">
        <v>2015422</v>
      </c>
      <c r="I298" s="3">
        <v>2234368</v>
      </c>
      <c r="J298" s="3">
        <v>3172984</v>
      </c>
      <c r="K298" s="3">
        <v>1358561</v>
      </c>
      <c r="L298" s="3">
        <v>0</v>
      </c>
    </row>
    <row r="299" spans="1:12">
      <c r="A299" s="1" t="s">
        <v>368</v>
      </c>
      <c r="B299" s="11" t="s">
        <v>288</v>
      </c>
      <c r="C299" s="11" t="s">
        <v>311</v>
      </c>
      <c r="D299" s="11" t="s">
        <v>324</v>
      </c>
      <c r="E299" s="3">
        <v>7910011</v>
      </c>
      <c r="F299" s="3">
        <v>533041</v>
      </c>
      <c r="G299" s="3">
        <v>498197</v>
      </c>
      <c r="H299" s="3">
        <v>271552</v>
      </c>
      <c r="I299" s="3">
        <v>228794</v>
      </c>
      <c r="J299" s="3">
        <v>149209</v>
      </c>
      <c r="K299" s="3">
        <v>0</v>
      </c>
      <c r="L299" s="3">
        <v>0</v>
      </c>
    </row>
    <row r="300" spans="1:12">
      <c r="A300" s="1" t="s">
        <v>367</v>
      </c>
      <c r="B300" s="11" t="s">
        <v>309</v>
      </c>
      <c r="C300" s="11" t="s">
        <v>319</v>
      </c>
      <c r="D300" s="11" t="s">
        <v>308</v>
      </c>
      <c r="E300" s="3">
        <v>3462136</v>
      </c>
      <c r="F300" s="3">
        <v>0</v>
      </c>
      <c r="G300" s="3">
        <v>0</v>
      </c>
      <c r="H300" s="3">
        <v>0</v>
      </c>
      <c r="I300" s="3">
        <v>0</v>
      </c>
      <c r="J300" s="3">
        <v>0</v>
      </c>
      <c r="K300" s="3">
        <v>0</v>
      </c>
      <c r="L300" s="3">
        <v>0</v>
      </c>
    </row>
    <row r="301" spans="1:12">
      <c r="A301" s="1" t="s">
        <v>366</v>
      </c>
      <c r="B301" s="11" t="s">
        <v>288</v>
      </c>
      <c r="C301" s="11" t="s">
        <v>319</v>
      </c>
      <c r="D301" s="11" t="s">
        <v>324</v>
      </c>
      <c r="E301" s="3">
        <v>4873951</v>
      </c>
      <c r="F301" s="3">
        <v>8906032</v>
      </c>
      <c r="G301" s="3">
        <v>3170700</v>
      </c>
      <c r="H301" s="3">
        <v>2506584</v>
      </c>
      <c r="I301" s="3">
        <v>1319042</v>
      </c>
      <c r="J301" s="3">
        <v>0</v>
      </c>
      <c r="K301" s="3">
        <v>0</v>
      </c>
      <c r="L301" s="3">
        <v>0</v>
      </c>
    </row>
    <row r="302" spans="1:12">
      <c r="A302" s="1" t="s">
        <v>365</v>
      </c>
      <c r="B302" s="11" t="s">
        <v>60</v>
      </c>
      <c r="C302" s="11" t="s">
        <v>306</v>
      </c>
      <c r="D302" s="11" t="s">
        <v>305</v>
      </c>
      <c r="E302" s="3">
        <v>7219001</v>
      </c>
      <c r="F302" s="3">
        <v>11916587</v>
      </c>
      <c r="G302" s="3">
        <v>3595990</v>
      </c>
      <c r="H302" s="3">
        <v>1090217</v>
      </c>
      <c r="I302" s="3">
        <v>298077</v>
      </c>
      <c r="J302" s="3">
        <v>210915</v>
      </c>
      <c r="K302" s="3">
        <v>111321</v>
      </c>
      <c r="L302" s="3">
        <v>0</v>
      </c>
    </row>
    <row r="303" spans="1:12">
      <c r="A303" s="1" t="s">
        <v>364</v>
      </c>
      <c r="B303" s="11" t="s">
        <v>60</v>
      </c>
      <c r="C303" s="11" t="s">
        <v>306</v>
      </c>
      <c r="D303" s="11" t="s">
        <v>305</v>
      </c>
      <c r="E303" s="3">
        <v>2747517</v>
      </c>
      <c r="F303" s="3">
        <v>4526753</v>
      </c>
      <c r="G303" s="3">
        <v>731361</v>
      </c>
      <c r="H303" s="3">
        <v>59751</v>
      </c>
      <c r="I303" s="3">
        <v>1796</v>
      </c>
      <c r="J303" s="3">
        <v>801</v>
      </c>
      <c r="K303" s="3">
        <v>101</v>
      </c>
      <c r="L303" s="3">
        <v>0</v>
      </c>
    </row>
    <row r="304" spans="1:12">
      <c r="A304" s="1" t="s">
        <v>363</v>
      </c>
      <c r="B304" s="11" t="s">
        <v>309</v>
      </c>
      <c r="C304" s="11" t="s">
        <v>314</v>
      </c>
      <c r="D304" s="11" t="s">
        <v>308</v>
      </c>
      <c r="E304" s="3">
        <v>8331819</v>
      </c>
      <c r="F304" s="3">
        <v>6698414</v>
      </c>
      <c r="G304" s="3">
        <v>343274</v>
      </c>
      <c r="H304" s="3">
        <v>115370</v>
      </c>
      <c r="I304" s="3">
        <v>95924</v>
      </c>
      <c r="J304" s="3">
        <v>96101</v>
      </c>
      <c r="K304" s="3">
        <v>103634</v>
      </c>
      <c r="L304" s="3">
        <v>0</v>
      </c>
    </row>
    <row r="305" spans="1:12">
      <c r="A305" s="1" t="s">
        <v>362</v>
      </c>
      <c r="B305" s="11" t="s">
        <v>309</v>
      </c>
      <c r="C305" s="11" t="s">
        <v>311</v>
      </c>
      <c r="D305" s="11" t="s">
        <v>308</v>
      </c>
      <c r="E305" s="3">
        <v>3116527</v>
      </c>
      <c r="F305" s="3">
        <v>0</v>
      </c>
      <c r="G305" s="3">
        <v>0</v>
      </c>
      <c r="H305" s="3">
        <v>0</v>
      </c>
      <c r="I305" s="3">
        <v>0</v>
      </c>
      <c r="J305" s="3">
        <v>0</v>
      </c>
      <c r="K305" s="3">
        <v>0</v>
      </c>
      <c r="L305" s="3">
        <v>0</v>
      </c>
    </row>
    <row r="306" spans="1:12">
      <c r="A306" s="1" t="s">
        <v>361</v>
      </c>
      <c r="B306" s="11" t="s">
        <v>309</v>
      </c>
      <c r="C306" s="11" t="s">
        <v>311</v>
      </c>
      <c r="D306" s="11" t="s">
        <v>308</v>
      </c>
      <c r="E306" s="3">
        <v>14642917</v>
      </c>
      <c r="F306" s="3">
        <v>1544436</v>
      </c>
      <c r="G306" s="3">
        <v>165567</v>
      </c>
      <c r="H306" s="3">
        <v>222239</v>
      </c>
      <c r="I306" s="3">
        <v>176271</v>
      </c>
      <c r="J306" s="3">
        <v>208380</v>
      </c>
      <c r="K306" s="3">
        <v>0</v>
      </c>
      <c r="L306" s="3">
        <v>0</v>
      </c>
    </row>
    <row r="307" spans="1:12">
      <c r="A307" s="1" t="s">
        <v>290</v>
      </c>
      <c r="B307" s="11" t="s">
        <v>44</v>
      </c>
      <c r="C307" s="11" t="s">
        <v>319</v>
      </c>
      <c r="D307" s="11" t="s">
        <v>324</v>
      </c>
      <c r="E307" s="3">
        <v>2879658</v>
      </c>
      <c r="F307" s="3">
        <v>2898357</v>
      </c>
      <c r="G307" s="3">
        <v>2899162</v>
      </c>
      <c r="H307" s="3">
        <v>2904314</v>
      </c>
      <c r="I307" s="3">
        <v>0</v>
      </c>
      <c r="J307" s="3">
        <v>0</v>
      </c>
      <c r="K307" s="3">
        <v>0</v>
      </c>
      <c r="L307" s="3">
        <v>0</v>
      </c>
    </row>
    <row r="308" spans="1:12">
      <c r="A308" s="1" t="s">
        <v>360</v>
      </c>
      <c r="B308" s="11" t="s">
        <v>309</v>
      </c>
      <c r="C308" s="11" t="s">
        <v>306</v>
      </c>
      <c r="D308" s="11" t="s">
        <v>308</v>
      </c>
      <c r="E308" s="3">
        <v>2072827</v>
      </c>
      <c r="F308" s="3">
        <v>0</v>
      </c>
      <c r="G308" s="3">
        <v>0</v>
      </c>
      <c r="H308" s="3">
        <v>0</v>
      </c>
      <c r="I308" s="3">
        <v>0</v>
      </c>
      <c r="J308" s="3">
        <v>0</v>
      </c>
      <c r="K308" s="3">
        <v>0</v>
      </c>
      <c r="L308" s="3">
        <v>0</v>
      </c>
    </row>
    <row r="309" spans="1:12">
      <c r="A309" s="1" t="s">
        <v>359</v>
      </c>
      <c r="B309" s="11" t="s">
        <v>248</v>
      </c>
      <c r="C309" s="11" t="s">
        <v>319</v>
      </c>
      <c r="D309" s="11" t="s">
        <v>345</v>
      </c>
      <c r="E309" s="3">
        <v>55136252</v>
      </c>
      <c r="F309" s="3">
        <v>42501509</v>
      </c>
      <c r="G309" s="3">
        <v>30943024</v>
      </c>
      <c r="H309" s="3">
        <v>52</v>
      </c>
      <c r="I309" s="3">
        <v>149</v>
      </c>
      <c r="J309" s="3">
        <v>417</v>
      </c>
      <c r="K309" s="3">
        <v>296</v>
      </c>
      <c r="L309" s="3">
        <v>0</v>
      </c>
    </row>
    <row r="310" spans="1:12">
      <c r="A310" s="1" t="s">
        <v>358</v>
      </c>
      <c r="B310" s="11" t="s">
        <v>196</v>
      </c>
      <c r="C310" s="11" t="s">
        <v>319</v>
      </c>
      <c r="D310" s="11" t="s">
        <v>308</v>
      </c>
      <c r="E310" s="3">
        <v>5479464</v>
      </c>
      <c r="F310" s="3">
        <v>2923493</v>
      </c>
      <c r="G310" s="3">
        <v>999740</v>
      </c>
      <c r="H310" s="3">
        <v>898316</v>
      </c>
      <c r="I310" s="3">
        <v>0</v>
      </c>
      <c r="J310" s="3">
        <v>0</v>
      </c>
      <c r="K310" s="3">
        <v>0</v>
      </c>
      <c r="L310" s="3">
        <v>0</v>
      </c>
    </row>
    <row r="311" spans="1:12">
      <c r="A311" s="1" t="s">
        <v>357</v>
      </c>
      <c r="B311" s="11" t="s">
        <v>288</v>
      </c>
      <c r="C311" s="11" t="s">
        <v>319</v>
      </c>
      <c r="D311" s="11" t="s">
        <v>324</v>
      </c>
      <c r="E311" s="3">
        <v>24780831</v>
      </c>
      <c r="F311" s="3">
        <v>10563550</v>
      </c>
      <c r="G311" s="3">
        <v>1345962</v>
      </c>
      <c r="H311" s="3">
        <v>804946</v>
      </c>
      <c r="I311" s="3">
        <v>54647</v>
      </c>
      <c r="J311" s="3">
        <v>0</v>
      </c>
      <c r="K311" s="3">
        <v>0</v>
      </c>
      <c r="L311" s="3">
        <v>0</v>
      </c>
    </row>
    <row r="312" spans="1:12">
      <c r="A312" s="1" t="s">
        <v>356</v>
      </c>
      <c r="B312" s="11" t="s">
        <v>198</v>
      </c>
      <c r="C312" s="11" t="s">
        <v>306</v>
      </c>
      <c r="D312" s="11" t="s">
        <v>305</v>
      </c>
      <c r="E312" s="3">
        <v>10213519</v>
      </c>
      <c r="F312" s="3">
        <v>880202</v>
      </c>
      <c r="G312" s="3">
        <v>625878</v>
      </c>
      <c r="H312" s="3">
        <v>65491</v>
      </c>
      <c r="I312" s="3">
        <v>63894</v>
      </c>
      <c r="J312" s="3">
        <v>39634</v>
      </c>
      <c r="K312" s="3">
        <v>0</v>
      </c>
      <c r="L312" s="3">
        <v>0</v>
      </c>
    </row>
    <row r="313" spans="1:12">
      <c r="A313" s="1" t="s">
        <v>355</v>
      </c>
      <c r="B313" s="11" t="s">
        <v>118</v>
      </c>
      <c r="C313" s="11" t="s">
        <v>328</v>
      </c>
      <c r="D313" s="11" t="s">
        <v>305</v>
      </c>
      <c r="E313" s="3">
        <v>30527251</v>
      </c>
      <c r="F313" s="3">
        <v>35386483</v>
      </c>
      <c r="G313" s="3">
        <v>27000755</v>
      </c>
      <c r="H313" s="3">
        <v>10142189</v>
      </c>
      <c r="I313" s="3">
        <v>4096906</v>
      </c>
      <c r="J313" s="3">
        <v>1099727</v>
      </c>
      <c r="K313" s="3">
        <v>5842</v>
      </c>
      <c r="L313" s="3">
        <v>0</v>
      </c>
    </row>
    <row r="314" spans="1:12">
      <c r="A314" s="1" t="s">
        <v>354</v>
      </c>
      <c r="B314" s="11" t="s">
        <v>309</v>
      </c>
      <c r="C314" s="11" t="s">
        <v>314</v>
      </c>
      <c r="D314" s="11" t="s">
        <v>308</v>
      </c>
      <c r="E314" s="3">
        <v>4509786</v>
      </c>
      <c r="F314" s="3">
        <v>5764906</v>
      </c>
      <c r="G314" s="3">
        <v>742601</v>
      </c>
      <c r="H314" s="3">
        <v>136828</v>
      </c>
      <c r="I314" s="3">
        <v>113765</v>
      </c>
      <c r="J314" s="3">
        <v>20056</v>
      </c>
      <c r="K314" s="3">
        <v>24496</v>
      </c>
      <c r="L314" s="3">
        <v>0</v>
      </c>
    </row>
    <row r="315" spans="1:12">
      <c r="A315" s="1" t="s">
        <v>353</v>
      </c>
      <c r="B315" s="11" t="s">
        <v>216</v>
      </c>
      <c r="C315" s="11" t="s">
        <v>319</v>
      </c>
      <c r="D315" s="11" t="s">
        <v>308</v>
      </c>
      <c r="E315" s="3">
        <v>13634057</v>
      </c>
      <c r="F315" s="3">
        <v>3046579</v>
      </c>
      <c r="G315" s="3">
        <v>292852</v>
      </c>
      <c r="H315" s="3">
        <v>139724</v>
      </c>
      <c r="I315" s="3">
        <v>1134</v>
      </c>
      <c r="J315" s="3">
        <v>796</v>
      </c>
      <c r="K315" s="3">
        <v>508</v>
      </c>
      <c r="L315" s="3">
        <v>0</v>
      </c>
    </row>
    <row r="316" spans="1:12">
      <c r="A316" s="1" t="s">
        <v>352</v>
      </c>
      <c r="B316" s="11" t="s">
        <v>60</v>
      </c>
      <c r="C316" s="11" t="s">
        <v>306</v>
      </c>
      <c r="D316" s="11" t="s">
        <v>305</v>
      </c>
      <c r="E316" s="3">
        <v>49236483</v>
      </c>
      <c r="F316" s="3">
        <v>2949348</v>
      </c>
      <c r="G316" s="3">
        <v>275187</v>
      </c>
      <c r="H316" s="3">
        <v>170117</v>
      </c>
      <c r="I316" s="3">
        <v>51969</v>
      </c>
      <c r="J316" s="3">
        <v>24050</v>
      </c>
      <c r="K316" s="3">
        <v>1505</v>
      </c>
      <c r="L316" s="3">
        <v>0</v>
      </c>
    </row>
    <row r="317" spans="1:12">
      <c r="A317" s="1" t="s">
        <v>351</v>
      </c>
      <c r="B317" s="11" t="s">
        <v>309</v>
      </c>
      <c r="C317" s="11" t="s">
        <v>314</v>
      </c>
      <c r="D317" s="11" t="s">
        <v>308</v>
      </c>
      <c r="E317" s="3">
        <v>7441514</v>
      </c>
      <c r="F317" s="3">
        <v>5442218</v>
      </c>
      <c r="G317" s="3">
        <v>73970</v>
      </c>
      <c r="H317" s="3">
        <v>58302</v>
      </c>
      <c r="I317" s="3">
        <v>63956</v>
      </c>
      <c r="J317" s="3">
        <v>75448</v>
      </c>
      <c r="K317" s="3">
        <v>28362</v>
      </c>
      <c r="L317" s="3">
        <v>0</v>
      </c>
    </row>
    <row r="318" spans="1:12">
      <c r="A318" s="1" t="s">
        <v>350</v>
      </c>
      <c r="B318" s="11" t="s">
        <v>100</v>
      </c>
      <c r="C318" s="11" t="s">
        <v>319</v>
      </c>
      <c r="D318" s="11" t="s">
        <v>308</v>
      </c>
      <c r="E318" s="3">
        <v>47830714</v>
      </c>
      <c r="F318" s="3">
        <v>30562317</v>
      </c>
      <c r="G318" s="3">
        <v>5204448</v>
      </c>
      <c r="H318" s="3">
        <v>0</v>
      </c>
      <c r="I318" s="3">
        <v>0</v>
      </c>
      <c r="J318" s="3">
        <v>0</v>
      </c>
      <c r="K318" s="3">
        <v>0</v>
      </c>
      <c r="L318" s="3">
        <v>0</v>
      </c>
    </row>
    <row r="319" spans="1:12">
      <c r="A319" s="1" t="s">
        <v>349</v>
      </c>
      <c r="B319" s="11" t="s">
        <v>288</v>
      </c>
      <c r="C319" s="11" t="s">
        <v>319</v>
      </c>
      <c r="D319" s="11" t="s">
        <v>324</v>
      </c>
      <c r="E319" s="3">
        <v>3083675</v>
      </c>
      <c r="F319" s="3">
        <v>1538913</v>
      </c>
      <c r="G319" s="3">
        <v>1089863</v>
      </c>
      <c r="H319" s="3">
        <v>698780</v>
      </c>
      <c r="I319" s="3">
        <v>0</v>
      </c>
      <c r="J319" s="3">
        <v>0</v>
      </c>
      <c r="K319" s="3">
        <v>0</v>
      </c>
      <c r="L319" s="3">
        <v>0</v>
      </c>
    </row>
    <row r="320" spans="1:12">
      <c r="A320" s="1" t="s">
        <v>348</v>
      </c>
      <c r="B320" s="11" t="s">
        <v>288</v>
      </c>
      <c r="C320" s="11" t="s">
        <v>319</v>
      </c>
      <c r="D320" s="11" t="s">
        <v>324</v>
      </c>
      <c r="E320" s="3">
        <v>19342565</v>
      </c>
      <c r="F320" s="3">
        <v>25760737</v>
      </c>
      <c r="G320" s="3">
        <v>24525</v>
      </c>
      <c r="H320" s="3">
        <v>31699</v>
      </c>
      <c r="I320" s="3">
        <v>38851</v>
      </c>
      <c r="J320" s="3">
        <v>45514</v>
      </c>
      <c r="K320" s="3">
        <v>0</v>
      </c>
      <c r="L320" s="3">
        <v>0</v>
      </c>
    </row>
    <row r="321" spans="1:12">
      <c r="A321" s="1" t="s">
        <v>347</v>
      </c>
      <c r="B321" s="11" t="s">
        <v>254</v>
      </c>
      <c r="C321" s="11" t="s">
        <v>319</v>
      </c>
      <c r="D321" s="11" t="s">
        <v>345</v>
      </c>
      <c r="E321" s="3">
        <v>3840672</v>
      </c>
      <c r="F321" s="3">
        <v>0</v>
      </c>
      <c r="G321" s="3">
        <v>0</v>
      </c>
      <c r="H321" s="3">
        <v>0</v>
      </c>
      <c r="I321" s="3">
        <v>0</v>
      </c>
      <c r="J321" s="3">
        <v>0</v>
      </c>
      <c r="K321" s="3">
        <v>0</v>
      </c>
      <c r="L321" s="3">
        <v>0</v>
      </c>
    </row>
    <row r="322" spans="1:12">
      <c r="A322" s="1" t="s">
        <v>346</v>
      </c>
      <c r="B322" s="11" t="s">
        <v>280</v>
      </c>
      <c r="C322" s="11" t="s">
        <v>319</v>
      </c>
      <c r="D322" s="11" t="s">
        <v>345</v>
      </c>
      <c r="E322" s="3">
        <v>2215</v>
      </c>
      <c r="F322" s="3">
        <v>5</v>
      </c>
      <c r="G322" s="3">
        <v>75</v>
      </c>
      <c r="H322" s="3">
        <v>47</v>
      </c>
      <c r="I322" s="3">
        <v>12</v>
      </c>
      <c r="J322" s="3">
        <v>0</v>
      </c>
      <c r="K322" s="3">
        <v>0</v>
      </c>
      <c r="L322" s="3">
        <v>0</v>
      </c>
    </row>
    <row r="323" spans="1:12">
      <c r="A323" s="4" t="s">
        <v>344</v>
      </c>
      <c r="B323" s="12" t="s">
        <v>94</v>
      </c>
      <c r="C323" s="12" t="s">
        <v>319</v>
      </c>
      <c r="D323" s="12" t="s">
        <v>308</v>
      </c>
      <c r="E323" s="6">
        <v>116215720</v>
      </c>
      <c r="F323" s="7">
        <v>125200681</v>
      </c>
      <c r="G323" s="7">
        <v>90917287</v>
      </c>
      <c r="H323" s="7">
        <v>56633893</v>
      </c>
      <c r="I323" s="7">
        <v>56633893</v>
      </c>
      <c r="J323" s="7">
        <v>56633893</v>
      </c>
      <c r="K323" s="6">
        <v>0</v>
      </c>
      <c r="L323" s="6">
        <v>0</v>
      </c>
    </row>
    <row r="324" spans="1:12">
      <c r="A324" s="1" t="s">
        <v>343</v>
      </c>
      <c r="B324" s="11" t="s">
        <v>288</v>
      </c>
      <c r="C324" s="11" t="s">
        <v>306</v>
      </c>
      <c r="D324" s="11" t="s">
        <v>324</v>
      </c>
      <c r="E324" s="3">
        <v>1088765</v>
      </c>
      <c r="F324" s="3">
        <v>117590</v>
      </c>
      <c r="G324" s="3">
        <v>109903</v>
      </c>
      <c r="H324" s="3">
        <v>114833</v>
      </c>
      <c r="I324" s="3">
        <v>0</v>
      </c>
      <c r="J324" s="3">
        <v>0</v>
      </c>
      <c r="K324" s="3">
        <v>0</v>
      </c>
      <c r="L324" s="3">
        <v>0</v>
      </c>
    </row>
    <row r="325" spans="1:12">
      <c r="A325" s="1" t="s">
        <v>342</v>
      </c>
      <c r="B325" s="11" t="s">
        <v>288</v>
      </c>
      <c r="C325" s="11" t="s">
        <v>319</v>
      </c>
      <c r="D325" s="11" t="s">
        <v>324</v>
      </c>
      <c r="E325" s="3">
        <v>26889103</v>
      </c>
      <c r="F325" s="3">
        <v>12995625</v>
      </c>
      <c r="G325" s="3">
        <v>4653632</v>
      </c>
      <c r="H325" s="3">
        <v>2787309</v>
      </c>
      <c r="I325" s="3">
        <v>2064962</v>
      </c>
      <c r="J325" s="3">
        <v>928469</v>
      </c>
      <c r="K325" s="3">
        <v>5565</v>
      </c>
      <c r="L325" s="3">
        <v>0</v>
      </c>
    </row>
    <row r="326" spans="1:12">
      <c r="A326" s="1" t="s">
        <v>341</v>
      </c>
      <c r="B326" s="11" t="s">
        <v>216</v>
      </c>
      <c r="C326" s="11" t="s">
        <v>319</v>
      </c>
      <c r="D326" s="11" t="s">
        <v>308</v>
      </c>
      <c r="E326" s="3">
        <v>59942058</v>
      </c>
      <c r="F326" s="3">
        <v>25633460</v>
      </c>
      <c r="G326" s="3">
        <v>7641530</v>
      </c>
      <c r="H326" s="3">
        <v>0</v>
      </c>
      <c r="I326" s="3">
        <v>0</v>
      </c>
      <c r="J326" s="3">
        <v>0</v>
      </c>
      <c r="K326" s="3">
        <v>0</v>
      </c>
      <c r="L326" s="3">
        <v>0</v>
      </c>
    </row>
    <row r="327" spans="1:12">
      <c r="A327" s="4" t="s">
        <v>340</v>
      </c>
      <c r="B327" s="12" t="s">
        <v>74</v>
      </c>
      <c r="C327" s="12" t="s">
        <v>319</v>
      </c>
      <c r="D327" s="12" t="s">
        <v>308</v>
      </c>
      <c r="E327" s="6">
        <v>43473945</v>
      </c>
      <c r="F327" s="6">
        <v>38710851</v>
      </c>
      <c r="G327" s="6">
        <v>36480561</v>
      </c>
      <c r="H327" s="7">
        <v>36480561</v>
      </c>
      <c r="I327" s="7">
        <v>36480561</v>
      </c>
      <c r="J327" s="7">
        <v>36480561</v>
      </c>
      <c r="K327" s="6">
        <v>0</v>
      </c>
      <c r="L327" s="6">
        <v>0</v>
      </c>
    </row>
    <row r="328" spans="1:12">
      <c r="A328" s="4" t="s">
        <v>339</v>
      </c>
      <c r="B328" s="12" t="s">
        <v>309</v>
      </c>
      <c r="C328" s="12" t="s">
        <v>311</v>
      </c>
      <c r="D328" s="12" t="s">
        <v>308</v>
      </c>
      <c r="E328" s="7">
        <v>140783929</v>
      </c>
      <c r="F328" s="6">
        <v>77981719</v>
      </c>
      <c r="G328" s="7">
        <v>66320781</v>
      </c>
      <c r="H328" s="6">
        <v>16834435</v>
      </c>
      <c r="I328" s="6">
        <v>467339</v>
      </c>
      <c r="J328" s="6">
        <v>399651</v>
      </c>
      <c r="K328" s="6">
        <v>378369</v>
      </c>
      <c r="L328" s="6">
        <v>0</v>
      </c>
    </row>
    <row r="329" spans="1:12">
      <c r="A329" s="1" t="s">
        <v>338</v>
      </c>
      <c r="B329" s="11" t="s">
        <v>309</v>
      </c>
      <c r="C329" s="11" t="s">
        <v>319</v>
      </c>
      <c r="D329" s="11" t="s">
        <v>308</v>
      </c>
      <c r="E329" s="3">
        <v>18470333</v>
      </c>
      <c r="F329" s="3">
        <v>1272483</v>
      </c>
      <c r="G329" s="3">
        <v>10687</v>
      </c>
      <c r="H329" s="3">
        <v>13387</v>
      </c>
      <c r="I329" s="3">
        <v>15168</v>
      </c>
      <c r="J329" s="3">
        <v>33829</v>
      </c>
      <c r="K329" s="3">
        <v>52219</v>
      </c>
      <c r="L329" s="3">
        <v>0</v>
      </c>
    </row>
    <row r="330" spans="1:12">
      <c r="A330" s="1" t="s">
        <v>337</v>
      </c>
      <c r="B330" s="11" t="s">
        <v>60</v>
      </c>
      <c r="C330" s="11" t="s">
        <v>306</v>
      </c>
      <c r="D330" s="11" t="s">
        <v>305</v>
      </c>
      <c r="E330" s="3">
        <v>37596186</v>
      </c>
      <c r="F330" s="3">
        <v>28776924</v>
      </c>
      <c r="G330" s="3">
        <v>15495669</v>
      </c>
      <c r="H330" s="3">
        <v>1170621</v>
      </c>
      <c r="I330" s="3">
        <v>71735</v>
      </c>
      <c r="J330" s="3">
        <v>79906</v>
      </c>
      <c r="K330" s="3">
        <v>17779</v>
      </c>
      <c r="L330" s="3">
        <v>0</v>
      </c>
    </row>
    <row r="331" spans="1:12">
      <c r="A331" s="1" t="s">
        <v>336</v>
      </c>
      <c r="B331" s="11" t="s">
        <v>60</v>
      </c>
      <c r="C331" s="11" t="s">
        <v>306</v>
      </c>
      <c r="D331" s="11" t="s">
        <v>305</v>
      </c>
      <c r="E331" s="3">
        <v>35818</v>
      </c>
      <c r="F331" s="3">
        <v>5949</v>
      </c>
      <c r="G331" s="3">
        <v>532</v>
      </c>
      <c r="H331" s="3">
        <v>288</v>
      </c>
      <c r="I331" s="3">
        <v>99</v>
      </c>
      <c r="J331" s="3">
        <v>45</v>
      </c>
      <c r="K331" s="3">
        <v>1</v>
      </c>
      <c r="L331" s="3">
        <v>0</v>
      </c>
    </row>
    <row r="332" spans="1:12">
      <c r="A332" s="1" t="s">
        <v>335</v>
      </c>
      <c r="B332" s="11" t="s">
        <v>309</v>
      </c>
      <c r="C332" s="11" t="s">
        <v>311</v>
      </c>
      <c r="D332" s="11" t="s">
        <v>308</v>
      </c>
      <c r="E332" s="3">
        <v>6179047</v>
      </c>
      <c r="F332" s="3">
        <v>1523966</v>
      </c>
      <c r="G332" s="3">
        <v>0</v>
      </c>
      <c r="H332" s="3">
        <v>0</v>
      </c>
      <c r="I332" s="3">
        <v>0</v>
      </c>
      <c r="J332" s="3">
        <v>0</v>
      </c>
      <c r="K332" s="3">
        <v>0</v>
      </c>
      <c r="L332" s="3">
        <v>0</v>
      </c>
    </row>
    <row r="333" spans="1:12">
      <c r="A333" s="1" t="s">
        <v>334</v>
      </c>
      <c r="B333" s="11" t="s">
        <v>309</v>
      </c>
      <c r="C333" s="11" t="s">
        <v>314</v>
      </c>
      <c r="D333" s="11" t="s">
        <v>308</v>
      </c>
      <c r="E333" s="3">
        <v>3070567</v>
      </c>
      <c r="F333" s="3">
        <v>0</v>
      </c>
      <c r="G333" s="3">
        <v>0</v>
      </c>
      <c r="H333" s="3">
        <v>0</v>
      </c>
      <c r="I333" s="3">
        <v>0</v>
      </c>
      <c r="J333" s="3">
        <v>0</v>
      </c>
      <c r="K333" s="3">
        <v>0</v>
      </c>
      <c r="L333" s="3">
        <v>0</v>
      </c>
    </row>
    <row r="334" spans="1:12">
      <c r="A334" s="1" t="s">
        <v>333</v>
      </c>
      <c r="B334" s="11" t="s">
        <v>60</v>
      </c>
      <c r="C334" s="11" t="s">
        <v>306</v>
      </c>
      <c r="D334" s="11" t="s">
        <v>305</v>
      </c>
      <c r="E334" s="3">
        <v>81379231</v>
      </c>
      <c r="F334" s="3">
        <v>65897197</v>
      </c>
      <c r="G334" s="3">
        <v>27961409</v>
      </c>
      <c r="H334" s="3">
        <v>4784485</v>
      </c>
      <c r="I334" s="3">
        <v>1618801</v>
      </c>
      <c r="J334" s="3">
        <v>1141594</v>
      </c>
      <c r="K334" s="3">
        <v>35864</v>
      </c>
      <c r="L334" s="3">
        <v>0</v>
      </c>
    </row>
    <row r="335" spans="1:12">
      <c r="A335" s="1" t="s">
        <v>332</v>
      </c>
      <c r="B335" s="11" t="s">
        <v>60</v>
      </c>
      <c r="C335" s="11" t="s">
        <v>306</v>
      </c>
      <c r="D335" s="11" t="s">
        <v>305</v>
      </c>
      <c r="E335" s="3">
        <v>5908021</v>
      </c>
      <c r="F335" s="3">
        <v>9733937</v>
      </c>
      <c r="G335" s="3">
        <v>1572654</v>
      </c>
      <c r="H335" s="3">
        <v>128483</v>
      </c>
      <c r="I335" s="3">
        <v>3862</v>
      </c>
      <c r="J335" s="3">
        <v>1379</v>
      </c>
      <c r="K335" s="3">
        <v>174</v>
      </c>
      <c r="L335" s="3">
        <v>0</v>
      </c>
    </row>
    <row r="336" spans="1:12">
      <c r="A336" s="1" t="s">
        <v>331</v>
      </c>
      <c r="B336" s="11" t="s">
        <v>60</v>
      </c>
      <c r="C336" s="11" t="s">
        <v>306</v>
      </c>
      <c r="D336" s="11" t="s">
        <v>305</v>
      </c>
      <c r="E336" s="3">
        <v>19795260</v>
      </c>
      <c r="F336" s="3">
        <v>17817923</v>
      </c>
      <c r="G336" s="3">
        <v>4981368</v>
      </c>
      <c r="H336" s="3">
        <v>1523994</v>
      </c>
      <c r="I336" s="3">
        <v>15739</v>
      </c>
      <c r="J336" s="3">
        <v>5365</v>
      </c>
      <c r="K336" s="3">
        <v>134</v>
      </c>
      <c r="L336" s="3">
        <v>0</v>
      </c>
    </row>
    <row r="337" spans="1:12">
      <c r="A337" s="1" t="s">
        <v>330</v>
      </c>
      <c r="B337" s="11" t="s">
        <v>60</v>
      </c>
      <c r="C337" s="11" t="s">
        <v>306</v>
      </c>
      <c r="D337" s="11" t="s">
        <v>305</v>
      </c>
      <c r="E337" s="3">
        <v>2446744</v>
      </c>
      <c r="F337" s="3">
        <v>4038902</v>
      </c>
      <c r="G337" s="3">
        <v>1218793</v>
      </c>
      <c r="H337" s="3">
        <v>369508</v>
      </c>
      <c r="I337" s="3">
        <v>101028</v>
      </c>
      <c r="J337" s="3">
        <v>71486</v>
      </c>
      <c r="K337" s="3">
        <v>37730</v>
      </c>
      <c r="L337" s="3">
        <v>0</v>
      </c>
    </row>
    <row r="338" spans="1:12">
      <c r="A338" s="1" t="s">
        <v>329</v>
      </c>
      <c r="B338" s="11" t="s">
        <v>118</v>
      </c>
      <c r="C338" s="11" t="s">
        <v>328</v>
      </c>
      <c r="D338" s="11" t="s">
        <v>305</v>
      </c>
      <c r="E338" s="3">
        <v>22174737</v>
      </c>
      <c r="F338" s="3">
        <v>13713829</v>
      </c>
      <c r="G338" s="3">
        <v>6606720</v>
      </c>
      <c r="H338" s="3">
        <v>788779</v>
      </c>
      <c r="I338" s="3">
        <v>304632</v>
      </c>
      <c r="J338" s="3">
        <v>226518</v>
      </c>
      <c r="K338" s="3">
        <v>35418</v>
      </c>
      <c r="L338" s="3">
        <v>0</v>
      </c>
    </row>
    <row r="339" spans="1:12">
      <c r="A339" s="4" t="s">
        <v>327</v>
      </c>
      <c r="B339" s="12" t="s">
        <v>60</v>
      </c>
      <c r="C339" s="12" t="s">
        <v>306</v>
      </c>
      <c r="D339" s="12" t="s">
        <v>305</v>
      </c>
      <c r="E339" s="7">
        <v>218697671</v>
      </c>
      <c r="F339" s="7">
        <v>353920494</v>
      </c>
      <c r="G339" s="7">
        <v>119956293</v>
      </c>
      <c r="H339" s="7">
        <v>47315646</v>
      </c>
      <c r="I339" s="7">
        <v>14203751</v>
      </c>
      <c r="J339" s="7">
        <v>7741570</v>
      </c>
      <c r="K339" s="7">
        <v>3786476</v>
      </c>
      <c r="L339" s="6">
        <v>0</v>
      </c>
    </row>
    <row r="340" spans="1:12">
      <c r="A340" s="4" t="s">
        <v>326</v>
      </c>
      <c r="B340" s="12" t="s">
        <v>60</v>
      </c>
      <c r="C340" s="12" t="s">
        <v>306</v>
      </c>
      <c r="D340" s="12" t="s">
        <v>305</v>
      </c>
      <c r="E340" s="7">
        <v>308144383</v>
      </c>
      <c r="F340" s="7">
        <v>103132246</v>
      </c>
      <c r="G340" s="6">
        <v>17294901</v>
      </c>
      <c r="H340" s="6">
        <v>2154829</v>
      </c>
      <c r="I340" s="6">
        <v>409569</v>
      </c>
      <c r="J340" s="6">
        <v>175693</v>
      </c>
      <c r="K340" s="6">
        <v>6403</v>
      </c>
      <c r="L340" s="6">
        <v>0</v>
      </c>
    </row>
    <row r="341" spans="1:12">
      <c r="A341" s="1" t="s">
        <v>325</v>
      </c>
      <c r="B341" s="11" t="s">
        <v>288</v>
      </c>
      <c r="C341" s="11" t="s">
        <v>319</v>
      </c>
      <c r="D341" s="11" t="s">
        <v>324</v>
      </c>
      <c r="E341" s="3">
        <v>656653</v>
      </c>
      <c r="F341" s="3">
        <v>3493</v>
      </c>
      <c r="G341" s="3">
        <v>8</v>
      </c>
      <c r="H341" s="3">
        <v>1</v>
      </c>
      <c r="I341" s="3">
        <v>0</v>
      </c>
      <c r="J341" s="3">
        <v>0</v>
      </c>
      <c r="K341" s="3">
        <v>0</v>
      </c>
      <c r="L341" s="3">
        <v>0</v>
      </c>
    </row>
    <row r="342" spans="1:12">
      <c r="A342" s="1" t="s">
        <v>323</v>
      </c>
      <c r="B342" s="11" t="s">
        <v>60</v>
      </c>
      <c r="C342" s="11" t="s">
        <v>306</v>
      </c>
      <c r="D342" s="11" t="s">
        <v>305</v>
      </c>
      <c r="E342" s="3">
        <v>9533098</v>
      </c>
      <c r="F342" s="3">
        <v>16889770</v>
      </c>
      <c r="G342" s="3">
        <v>7820365</v>
      </c>
      <c r="H342" s="3">
        <v>3699883</v>
      </c>
      <c r="I342" s="3">
        <v>1187654</v>
      </c>
      <c r="J342" s="3">
        <v>717313</v>
      </c>
      <c r="K342" s="3">
        <v>542216</v>
      </c>
      <c r="L342" s="3">
        <v>0</v>
      </c>
    </row>
    <row r="343" spans="1:12">
      <c r="A343" s="1" t="s">
        <v>322</v>
      </c>
      <c r="B343" s="11" t="s">
        <v>60</v>
      </c>
      <c r="C343" s="11" t="s">
        <v>306</v>
      </c>
      <c r="D343" s="11" t="s">
        <v>305</v>
      </c>
      <c r="E343" s="3">
        <v>29408352</v>
      </c>
      <c r="F343" s="3">
        <v>18035726</v>
      </c>
      <c r="G343" s="3">
        <v>9213933</v>
      </c>
      <c r="H343" s="3">
        <v>1457215</v>
      </c>
      <c r="I343" s="3">
        <v>855940</v>
      </c>
      <c r="J343" s="3">
        <v>766226</v>
      </c>
      <c r="K343" s="3">
        <v>615132</v>
      </c>
      <c r="L343" s="3">
        <v>0</v>
      </c>
    </row>
    <row r="344" spans="1:12">
      <c r="A344" s="1" t="s">
        <v>321</v>
      </c>
      <c r="B344" s="11" t="s">
        <v>60</v>
      </c>
      <c r="C344" s="11" t="s">
        <v>306</v>
      </c>
      <c r="D344" s="11" t="s">
        <v>305</v>
      </c>
      <c r="E344" s="3">
        <v>15899439</v>
      </c>
      <c r="F344" s="3">
        <v>2661054</v>
      </c>
      <c r="G344" s="3">
        <v>933621</v>
      </c>
      <c r="H344" s="3">
        <v>831811</v>
      </c>
      <c r="I344" s="3">
        <v>817659</v>
      </c>
      <c r="J344" s="3">
        <v>723550</v>
      </c>
      <c r="K344" s="3">
        <v>577132</v>
      </c>
      <c r="L344" s="3">
        <v>0</v>
      </c>
    </row>
    <row r="345" spans="1:12">
      <c r="A345" s="1" t="s">
        <v>320</v>
      </c>
      <c r="B345" s="11" t="s">
        <v>94</v>
      </c>
      <c r="C345" s="11" t="s">
        <v>319</v>
      </c>
      <c r="D345" s="11" t="s">
        <v>308</v>
      </c>
      <c r="E345" s="3">
        <v>278546</v>
      </c>
      <c r="F345" s="3">
        <v>927</v>
      </c>
      <c r="G345" s="3">
        <v>51031</v>
      </c>
      <c r="H345" s="3">
        <v>306327</v>
      </c>
      <c r="I345" s="3">
        <v>367001</v>
      </c>
      <c r="J345" s="3">
        <v>367513</v>
      </c>
      <c r="K345" s="3">
        <v>0</v>
      </c>
      <c r="L345" s="3">
        <v>0</v>
      </c>
    </row>
    <row r="346" spans="1:12">
      <c r="A346" s="1" t="s">
        <v>318</v>
      </c>
      <c r="B346" s="11" t="s">
        <v>60</v>
      </c>
      <c r="C346" s="11" t="s">
        <v>306</v>
      </c>
      <c r="D346" s="11" t="s">
        <v>305</v>
      </c>
      <c r="E346" s="3">
        <v>2763187</v>
      </c>
      <c r="F346" s="3">
        <v>3144819</v>
      </c>
      <c r="G346" s="3">
        <v>1693700</v>
      </c>
      <c r="H346" s="3">
        <v>127924</v>
      </c>
      <c r="I346" s="3">
        <v>7830</v>
      </c>
      <c r="J346" s="3">
        <v>8729</v>
      </c>
      <c r="K346" s="3">
        <v>0</v>
      </c>
      <c r="L346" s="3">
        <v>0</v>
      </c>
    </row>
    <row r="347" spans="1:12">
      <c r="A347" s="1" t="s">
        <v>317</v>
      </c>
      <c r="B347" s="11" t="s">
        <v>60</v>
      </c>
      <c r="C347" s="11" t="s">
        <v>306</v>
      </c>
      <c r="D347" s="11" t="s">
        <v>305</v>
      </c>
      <c r="E347" s="3">
        <v>28616273</v>
      </c>
      <c r="F347" s="3">
        <v>37166766</v>
      </c>
      <c r="G347" s="3">
        <v>12879396</v>
      </c>
      <c r="H347" s="3">
        <v>1114986</v>
      </c>
      <c r="I347" s="3">
        <v>188271</v>
      </c>
      <c r="J347" s="3">
        <v>191318</v>
      </c>
      <c r="K347" s="3">
        <v>38279</v>
      </c>
      <c r="L347" s="3">
        <v>0</v>
      </c>
    </row>
    <row r="348" spans="1:12">
      <c r="A348" s="1" t="s">
        <v>316</v>
      </c>
      <c r="B348" s="11" t="s">
        <v>60</v>
      </c>
      <c r="C348" s="11" t="s">
        <v>306</v>
      </c>
      <c r="D348" s="11" t="s">
        <v>305</v>
      </c>
      <c r="E348" s="3">
        <v>9154966</v>
      </c>
      <c r="F348" s="3">
        <v>15083539</v>
      </c>
      <c r="G348" s="3">
        <v>2436958</v>
      </c>
      <c r="H348" s="3">
        <v>199095</v>
      </c>
      <c r="I348" s="3">
        <v>4960</v>
      </c>
      <c r="J348" s="3">
        <v>2213</v>
      </c>
      <c r="K348" s="3">
        <v>279</v>
      </c>
      <c r="L348" s="3">
        <v>0</v>
      </c>
    </row>
    <row r="349" spans="1:12">
      <c r="A349" s="1" t="s">
        <v>315</v>
      </c>
      <c r="B349" s="11" t="s">
        <v>309</v>
      </c>
      <c r="C349" s="11" t="s">
        <v>314</v>
      </c>
      <c r="D349" s="11" t="s">
        <v>308</v>
      </c>
      <c r="E349" s="3">
        <v>2761660</v>
      </c>
      <c r="F349" s="3">
        <v>3529344</v>
      </c>
      <c r="G349" s="3">
        <v>454630</v>
      </c>
      <c r="H349" s="3">
        <v>152796</v>
      </c>
      <c r="I349" s="3">
        <v>127042</v>
      </c>
      <c r="J349" s="3">
        <v>127275</v>
      </c>
      <c r="K349" s="3">
        <v>0</v>
      </c>
      <c r="L349" s="3">
        <v>0</v>
      </c>
    </row>
    <row r="350" spans="1:12">
      <c r="A350" s="1" t="s">
        <v>313</v>
      </c>
      <c r="B350" s="11" t="s">
        <v>60</v>
      </c>
      <c r="C350" s="11" t="s">
        <v>306</v>
      </c>
      <c r="D350" s="11" t="s">
        <v>305</v>
      </c>
      <c r="E350" s="3">
        <v>417933</v>
      </c>
      <c r="F350" s="3">
        <v>23450</v>
      </c>
      <c r="G350" s="3">
        <v>7903</v>
      </c>
      <c r="H350" s="3">
        <v>9322</v>
      </c>
      <c r="I350" s="3">
        <v>10130</v>
      </c>
      <c r="J350" s="3">
        <v>10394</v>
      </c>
      <c r="K350" s="3">
        <v>0</v>
      </c>
      <c r="L350" s="3">
        <v>0</v>
      </c>
    </row>
    <row r="351" spans="1:12">
      <c r="A351" s="1" t="s">
        <v>312</v>
      </c>
      <c r="B351" s="11" t="s">
        <v>292</v>
      </c>
      <c r="C351" s="11" t="s">
        <v>311</v>
      </c>
      <c r="D351" s="11" t="s">
        <v>305</v>
      </c>
      <c r="E351" s="3">
        <v>18743633</v>
      </c>
      <c r="F351" s="3">
        <v>721958</v>
      </c>
      <c r="G351" s="3">
        <v>125660</v>
      </c>
      <c r="H351" s="3">
        <v>197586</v>
      </c>
      <c r="I351" s="3">
        <v>109077</v>
      </c>
      <c r="J351" s="3">
        <v>56345</v>
      </c>
      <c r="K351" s="3">
        <v>61472</v>
      </c>
      <c r="L351" s="3">
        <v>0</v>
      </c>
    </row>
    <row r="352" spans="1:12">
      <c r="A352" s="1" t="s">
        <v>310</v>
      </c>
      <c r="B352" s="11" t="s">
        <v>309</v>
      </c>
      <c r="C352" s="11" t="s">
        <v>306</v>
      </c>
      <c r="D352" s="11" t="s">
        <v>308</v>
      </c>
      <c r="E352" s="3">
        <v>1334233</v>
      </c>
      <c r="F352" s="3">
        <v>0</v>
      </c>
      <c r="G352" s="3">
        <v>0</v>
      </c>
      <c r="H352" s="3">
        <v>0</v>
      </c>
      <c r="I352" s="3">
        <v>0</v>
      </c>
      <c r="J352" s="3">
        <v>0</v>
      </c>
      <c r="K352" s="3">
        <v>0</v>
      </c>
      <c r="L352" s="3">
        <v>0</v>
      </c>
    </row>
    <row r="353" spans="1:12">
      <c r="A353" s="1" t="s">
        <v>307</v>
      </c>
      <c r="B353" s="11" t="s">
        <v>60</v>
      </c>
      <c r="C353" s="11" t="s">
        <v>306</v>
      </c>
      <c r="D353" s="11" t="s">
        <v>305</v>
      </c>
      <c r="E353" s="3">
        <v>4325083</v>
      </c>
      <c r="F353" s="3">
        <v>718371</v>
      </c>
      <c r="G353" s="3">
        <v>64250</v>
      </c>
      <c r="H353" s="3">
        <v>34758</v>
      </c>
      <c r="I353" s="3">
        <v>11903</v>
      </c>
      <c r="J353" s="3">
        <v>5410</v>
      </c>
      <c r="K353" s="3">
        <v>1</v>
      </c>
      <c r="L353" s="3">
        <v>0</v>
      </c>
    </row>
  </sheetData>
  <mergeCells count="5">
    <mergeCell ref="A1:A2"/>
    <mergeCell ref="B1:B2"/>
    <mergeCell ref="C1:C2"/>
    <mergeCell ref="D1:D2"/>
    <mergeCell ref="E1:L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DF9F-2044-45E7-872B-8323E1C3814F}">
  <sheetPr>
    <tabColor theme="9" tint="0.59999389629810485"/>
  </sheetPr>
  <dimension ref="A1:L353"/>
  <sheetViews>
    <sheetView workbookViewId="0">
      <selection activeCell="H16" sqref="H16"/>
    </sheetView>
  </sheetViews>
  <sheetFormatPr defaultRowHeight="15"/>
  <cols>
    <col min="1" max="1" width="27.7109375" customWidth="1"/>
    <col min="2" max="4" width="18.7109375" customWidth="1"/>
    <col min="5" max="12" width="15.7109375" customWidth="1"/>
  </cols>
  <sheetData>
    <row r="1" spans="1:12" ht="18" thickBot="1">
      <c r="A1" s="67" t="s">
        <v>671</v>
      </c>
      <c r="B1" s="69" t="s">
        <v>670</v>
      </c>
      <c r="C1" s="67" t="s">
        <v>669</v>
      </c>
      <c r="D1" s="67" t="s">
        <v>668</v>
      </c>
      <c r="E1" s="71" t="s">
        <v>672</v>
      </c>
      <c r="F1" s="71"/>
      <c r="G1" s="71"/>
      <c r="H1" s="71"/>
      <c r="I1" s="71"/>
      <c r="J1" s="71"/>
      <c r="K1" s="71"/>
      <c r="L1" s="71"/>
    </row>
    <row r="2" spans="1:12" ht="15.75" thickBot="1">
      <c r="A2" s="68"/>
      <c r="B2" s="70"/>
      <c r="C2" s="68"/>
      <c r="D2" s="68"/>
      <c r="E2" s="24">
        <v>2015</v>
      </c>
      <c r="F2" s="25">
        <v>2020</v>
      </c>
      <c r="G2" s="25">
        <v>2025</v>
      </c>
      <c r="H2" s="25">
        <v>2030</v>
      </c>
      <c r="I2" s="25">
        <v>2035</v>
      </c>
      <c r="J2" s="25">
        <v>2040</v>
      </c>
      <c r="K2" s="25">
        <v>2045</v>
      </c>
      <c r="L2" s="25">
        <v>2050</v>
      </c>
    </row>
    <row r="3" spans="1:12">
      <c r="A3" s="19" t="s">
        <v>666</v>
      </c>
      <c r="B3" s="19" t="s">
        <v>288</v>
      </c>
      <c r="C3" s="19" t="s">
        <v>319</v>
      </c>
      <c r="D3" s="19" t="s">
        <v>324</v>
      </c>
      <c r="E3" s="19">
        <v>1483557666</v>
      </c>
      <c r="F3" s="19">
        <v>140854268</v>
      </c>
      <c r="G3" s="19">
        <v>50954183</v>
      </c>
      <c r="H3" s="19">
        <v>35187693</v>
      </c>
      <c r="I3" s="19">
        <v>588938</v>
      </c>
      <c r="J3" s="19">
        <v>0</v>
      </c>
      <c r="K3" s="19">
        <v>0</v>
      </c>
      <c r="L3" s="19">
        <v>0</v>
      </c>
    </row>
    <row r="4" spans="1:12">
      <c r="A4" s="20" t="s">
        <v>665</v>
      </c>
      <c r="B4" s="20" t="s">
        <v>309</v>
      </c>
      <c r="C4" s="20" t="s">
        <v>314</v>
      </c>
      <c r="D4" s="20" t="s">
        <v>308</v>
      </c>
      <c r="E4" s="20">
        <v>8704550</v>
      </c>
      <c r="F4" s="20">
        <v>0</v>
      </c>
      <c r="G4" s="20">
        <v>0</v>
      </c>
      <c r="H4" s="20">
        <v>0</v>
      </c>
      <c r="I4" s="20">
        <v>0</v>
      </c>
      <c r="J4" s="20">
        <v>0</v>
      </c>
      <c r="K4" s="20">
        <v>0</v>
      </c>
      <c r="L4" s="20">
        <v>0</v>
      </c>
    </row>
    <row r="5" spans="1:12">
      <c r="A5" s="20" t="s">
        <v>664</v>
      </c>
      <c r="B5" s="20" t="s">
        <v>288</v>
      </c>
      <c r="C5" s="20" t="s">
        <v>319</v>
      </c>
      <c r="D5" s="20" t="s">
        <v>324</v>
      </c>
      <c r="E5" s="20">
        <v>321116636</v>
      </c>
      <c r="F5" s="20">
        <v>9446192</v>
      </c>
      <c r="G5" s="20">
        <v>5040699</v>
      </c>
      <c r="H5" s="20">
        <v>3274492</v>
      </c>
      <c r="I5" s="20">
        <v>1235929</v>
      </c>
      <c r="J5" s="20">
        <v>0</v>
      </c>
      <c r="K5" s="20">
        <v>0</v>
      </c>
      <c r="L5" s="20">
        <v>0</v>
      </c>
    </row>
    <row r="6" spans="1:12">
      <c r="A6" s="20" t="s">
        <v>663</v>
      </c>
      <c r="B6" s="20" t="s">
        <v>94</v>
      </c>
      <c r="C6" s="20" t="s">
        <v>319</v>
      </c>
      <c r="D6" s="20" t="s">
        <v>308</v>
      </c>
      <c r="E6" s="20">
        <v>3788</v>
      </c>
      <c r="F6" s="20">
        <v>13</v>
      </c>
      <c r="G6" s="20">
        <v>694</v>
      </c>
      <c r="H6" s="20">
        <v>4166</v>
      </c>
      <c r="I6" s="20">
        <v>4991</v>
      </c>
      <c r="J6" s="20">
        <v>4998</v>
      </c>
      <c r="K6" s="20">
        <v>0</v>
      </c>
      <c r="L6" s="20">
        <v>0</v>
      </c>
    </row>
    <row r="7" spans="1:12">
      <c r="A7" s="20" t="s">
        <v>662</v>
      </c>
      <c r="B7" s="20" t="s">
        <v>288</v>
      </c>
      <c r="C7" s="20" t="s">
        <v>319</v>
      </c>
      <c r="D7" s="20" t="s">
        <v>324</v>
      </c>
      <c r="E7" s="20">
        <v>61008984</v>
      </c>
      <c r="F7" s="20">
        <v>0</v>
      </c>
      <c r="G7" s="20">
        <v>0</v>
      </c>
      <c r="H7" s="20">
        <v>0</v>
      </c>
      <c r="I7" s="20">
        <v>0</v>
      </c>
      <c r="J7" s="20">
        <v>0</v>
      </c>
      <c r="K7" s="20">
        <v>0</v>
      </c>
      <c r="L7" s="20">
        <v>0</v>
      </c>
    </row>
    <row r="8" spans="1:12">
      <c r="A8" s="20" t="s">
        <v>661</v>
      </c>
      <c r="B8" s="20" t="s">
        <v>44</v>
      </c>
      <c r="C8" s="20" t="s">
        <v>319</v>
      </c>
      <c r="D8" s="20" t="s">
        <v>324</v>
      </c>
      <c r="E8" s="20">
        <v>84054364</v>
      </c>
      <c r="F8" s="20">
        <v>0</v>
      </c>
      <c r="G8" s="20">
        <v>0</v>
      </c>
      <c r="H8" s="20">
        <v>0</v>
      </c>
      <c r="I8" s="20">
        <v>0</v>
      </c>
      <c r="J8" s="20">
        <v>0</v>
      </c>
      <c r="K8" s="20">
        <v>0</v>
      </c>
      <c r="L8" s="20">
        <v>0</v>
      </c>
    </row>
    <row r="9" spans="1:12">
      <c r="A9" s="20" t="s">
        <v>673</v>
      </c>
      <c r="B9" s="20" t="s">
        <v>292</v>
      </c>
      <c r="C9" s="20" t="s">
        <v>311</v>
      </c>
      <c r="D9" s="20" t="s">
        <v>305</v>
      </c>
      <c r="E9" s="20">
        <v>14560474</v>
      </c>
      <c r="F9" s="20">
        <v>0</v>
      </c>
      <c r="G9" s="20">
        <v>0</v>
      </c>
      <c r="H9" s="20">
        <v>0</v>
      </c>
      <c r="I9" s="20">
        <v>0</v>
      </c>
      <c r="J9" s="20">
        <v>0</v>
      </c>
      <c r="K9" s="20">
        <v>0</v>
      </c>
      <c r="L9" s="20">
        <v>0</v>
      </c>
    </row>
    <row r="10" spans="1:12">
      <c r="A10" s="20" t="s">
        <v>659</v>
      </c>
      <c r="B10" s="20" t="s">
        <v>309</v>
      </c>
      <c r="C10" s="20" t="s">
        <v>306</v>
      </c>
      <c r="D10" s="20" t="s">
        <v>308</v>
      </c>
      <c r="E10" s="20">
        <v>123811434</v>
      </c>
      <c r="F10" s="20">
        <v>6793049</v>
      </c>
      <c r="G10" s="20">
        <v>0</v>
      </c>
      <c r="H10" s="20">
        <v>0</v>
      </c>
      <c r="I10" s="20">
        <v>0</v>
      </c>
      <c r="J10" s="20">
        <v>0</v>
      </c>
      <c r="K10" s="20">
        <v>0</v>
      </c>
      <c r="L10" s="20">
        <v>0</v>
      </c>
    </row>
    <row r="11" spans="1:12">
      <c r="A11" s="20" t="s">
        <v>658</v>
      </c>
      <c r="B11" s="20" t="s">
        <v>309</v>
      </c>
      <c r="C11" s="20" t="s">
        <v>314</v>
      </c>
      <c r="D11" s="20" t="s">
        <v>308</v>
      </c>
      <c r="E11" s="20">
        <v>398858781</v>
      </c>
      <c r="F11" s="20">
        <v>6674437</v>
      </c>
      <c r="G11" s="20">
        <v>114144</v>
      </c>
      <c r="H11" s="20">
        <v>14745</v>
      </c>
      <c r="I11" s="20">
        <v>22649</v>
      </c>
      <c r="J11" s="20">
        <v>37474</v>
      </c>
      <c r="K11" s="20">
        <v>35416</v>
      </c>
      <c r="L11" s="20">
        <v>0</v>
      </c>
    </row>
    <row r="12" spans="1:12">
      <c r="A12" s="20" t="s">
        <v>657</v>
      </c>
      <c r="B12" s="20" t="s">
        <v>288</v>
      </c>
      <c r="C12" s="20" t="s">
        <v>319</v>
      </c>
      <c r="D12" s="20" t="s">
        <v>324</v>
      </c>
      <c r="E12" s="20">
        <v>661266370</v>
      </c>
      <c r="F12" s="20">
        <v>41908789</v>
      </c>
      <c r="G12" s="20">
        <v>582731</v>
      </c>
      <c r="H12" s="20">
        <v>643457</v>
      </c>
      <c r="I12" s="20">
        <v>625166</v>
      </c>
      <c r="J12" s="20">
        <v>340567</v>
      </c>
      <c r="K12" s="20">
        <v>740121</v>
      </c>
      <c r="L12" s="20">
        <v>0</v>
      </c>
    </row>
    <row r="13" spans="1:12">
      <c r="A13" s="20" t="s">
        <v>656</v>
      </c>
      <c r="B13" s="20" t="s">
        <v>54</v>
      </c>
      <c r="C13" s="20" t="s">
        <v>314</v>
      </c>
      <c r="D13" s="20" t="s">
        <v>324</v>
      </c>
      <c r="E13" s="20">
        <v>3856439</v>
      </c>
      <c r="F13" s="20">
        <v>384213</v>
      </c>
      <c r="G13" s="20">
        <v>426823</v>
      </c>
      <c r="H13" s="20">
        <v>420044</v>
      </c>
      <c r="I13" s="20">
        <v>425810</v>
      </c>
      <c r="J13" s="20">
        <v>0</v>
      </c>
      <c r="K13" s="20">
        <v>0</v>
      </c>
      <c r="L13" s="20">
        <v>0</v>
      </c>
    </row>
    <row r="14" spans="1:12">
      <c r="A14" s="20" t="s">
        <v>655</v>
      </c>
      <c r="B14" s="20" t="s">
        <v>54</v>
      </c>
      <c r="C14" s="20" t="s">
        <v>314</v>
      </c>
      <c r="D14" s="20" t="s">
        <v>324</v>
      </c>
      <c r="E14" s="20">
        <v>5823938</v>
      </c>
      <c r="F14" s="20">
        <v>661149</v>
      </c>
      <c r="G14" s="20">
        <v>734471</v>
      </c>
      <c r="H14" s="20">
        <v>722806</v>
      </c>
      <c r="I14" s="20">
        <v>534374</v>
      </c>
      <c r="J14" s="20">
        <v>76656</v>
      </c>
      <c r="K14" s="20">
        <v>0</v>
      </c>
      <c r="L14" s="20">
        <v>0</v>
      </c>
    </row>
    <row r="15" spans="1:12">
      <c r="A15" s="20" t="s">
        <v>654</v>
      </c>
      <c r="B15" s="20" t="s">
        <v>122</v>
      </c>
      <c r="C15" s="20" t="s">
        <v>311</v>
      </c>
      <c r="D15" s="20" t="s">
        <v>305</v>
      </c>
      <c r="E15" s="20">
        <v>43036</v>
      </c>
      <c r="F15" s="20">
        <v>37667</v>
      </c>
      <c r="G15" s="20">
        <v>10138</v>
      </c>
      <c r="H15" s="20">
        <v>4232</v>
      </c>
      <c r="I15" s="20">
        <v>1931</v>
      </c>
      <c r="J15" s="20">
        <v>0</v>
      </c>
      <c r="K15" s="20">
        <v>0</v>
      </c>
      <c r="L15" s="20">
        <v>0</v>
      </c>
    </row>
    <row r="16" spans="1:12">
      <c r="A16" s="20" t="s">
        <v>653</v>
      </c>
      <c r="B16" s="20" t="s">
        <v>192</v>
      </c>
      <c r="C16" s="20" t="s">
        <v>328</v>
      </c>
      <c r="D16" s="20" t="s">
        <v>305</v>
      </c>
      <c r="E16" s="20">
        <v>198721</v>
      </c>
      <c r="F16" s="20">
        <v>0</v>
      </c>
      <c r="G16" s="20">
        <v>0</v>
      </c>
      <c r="H16" s="20">
        <v>0</v>
      </c>
      <c r="I16" s="20">
        <v>0</v>
      </c>
      <c r="J16" s="20">
        <v>0</v>
      </c>
      <c r="K16" s="20">
        <v>0</v>
      </c>
      <c r="L16" s="20">
        <v>0</v>
      </c>
    </row>
    <row r="17" spans="1:12">
      <c r="A17" s="20" t="s">
        <v>652</v>
      </c>
      <c r="B17" s="20" t="s">
        <v>182</v>
      </c>
      <c r="C17" s="20" t="s">
        <v>306</v>
      </c>
      <c r="D17" s="20" t="s">
        <v>324</v>
      </c>
      <c r="E17" s="20">
        <v>54663250</v>
      </c>
      <c r="F17" s="20">
        <v>54360451</v>
      </c>
      <c r="G17" s="20">
        <v>43339511</v>
      </c>
      <c r="H17" s="20">
        <v>13828194</v>
      </c>
      <c r="I17" s="20">
        <v>350143</v>
      </c>
      <c r="J17" s="20">
        <v>0</v>
      </c>
      <c r="K17" s="20">
        <v>0</v>
      </c>
      <c r="L17" s="20">
        <v>0</v>
      </c>
    </row>
    <row r="18" spans="1:12">
      <c r="A18" s="20" t="s">
        <v>651</v>
      </c>
      <c r="B18" s="20" t="s">
        <v>288</v>
      </c>
      <c r="C18" s="20" t="s">
        <v>319</v>
      </c>
      <c r="D18" s="20" t="s">
        <v>324</v>
      </c>
      <c r="E18" s="20">
        <v>1755009</v>
      </c>
      <c r="F18" s="20">
        <v>511911</v>
      </c>
      <c r="G18" s="20">
        <v>115703</v>
      </c>
      <c r="H18" s="20">
        <v>149544</v>
      </c>
      <c r="I18" s="20">
        <v>183285</v>
      </c>
      <c r="J18" s="20">
        <v>0</v>
      </c>
      <c r="K18" s="20">
        <v>0</v>
      </c>
      <c r="L18" s="20">
        <v>0</v>
      </c>
    </row>
    <row r="19" spans="1:12">
      <c r="A19" s="20" t="s">
        <v>650</v>
      </c>
      <c r="B19" s="21" t="s">
        <v>54</v>
      </c>
      <c r="C19" s="20" t="s">
        <v>319</v>
      </c>
      <c r="D19" s="20" t="s">
        <v>324</v>
      </c>
      <c r="E19" s="20">
        <v>392351</v>
      </c>
      <c r="F19" s="20">
        <v>78727</v>
      </c>
      <c r="G19" s="20">
        <v>87458</v>
      </c>
      <c r="H19" s="20">
        <v>86069</v>
      </c>
      <c r="I19" s="20">
        <v>0</v>
      </c>
      <c r="J19" s="20">
        <v>0</v>
      </c>
      <c r="K19" s="20">
        <v>0</v>
      </c>
      <c r="L19" s="20">
        <v>0</v>
      </c>
    </row>
    <row r="20" spans="1:12">
      <c r="A20" s="20" t="s">
        <v>649</v>
      </c>
      <c r="B20" s="20" t="s">
        <v>60</v>
      </c>
      <c r="C20" s="20" t="s">
        <v>306</v>
      </c>
      <c r="D20" s="20" t="s">
        <v>305</v>
      </c>
      <c r="E20" s="20">
        <v>17345497</v>
      </c>
      <c r="F20" s="20">
        <v>19741139</v>
      </c>
      <c r="G20" s="20">
        <v>10631953</v>
      </c>
      <c r="H20" s="20">
        <v>803021</v>
      </c>
      <c r="I20" s="20">
        <v>49153</v>
      </c>
      <c r="J20" s="20">
        <v>54797</v>
      </c>
      <c r="K20" s="20">
        <v>22862</v>
      </c>
      <c r="L20" s="20">
        <v>0</v>
      </c>
    </row>
    <row r="21" spans="1:12">
      <c r="A21" s="20" t="s">
        <v>648</v>
      </c>
      <c r="B21" s="20" t="s">
        <v>309</v>
      </c>
      <c r="C21" s="20" t="s">
        <v>311</v>
      </c>
      <c r="D21" s="20" t="s">
        <v>308</v>
      </c>
      <c r="E21" s="20">
        <v>224121471</v>
      </c>
      <c r="F21" s="20">
        <v>0</v>
      </c>
      <c r="G21" s="20">
        <v>0</v>
      </c>
      <c r="H21" s="20">
        <v>0</v>
      </c>
      <c r="I21" s="20">
        <v>0</v>
      </c>
      <c r="J21" s="20">
        <v>0</v>
      </c>
      <c r="K21" s="20">
        <v>0</v>
      </c>
      <c r="L21" s="20">
        <v>0</v>
      </c>
    </row>
    <row r="22" spans="1:12">
      <c r="A22" s="20" t="s">
        <v>647</v>
      </c>
      <c r="B22" s="20" t="s">
        <v>118</v>
      </c>
      <c r="C22" s="20" t="s">
        <v>328</v>
      </c>
      <c r="D22" s="20" t="s">
        <v>305</v>
      </c>
      <c r="E22" s="20">
        <v>22677128</v>
      </c>
      <c r="F22" s="20">
        <v>29458466</v>
      </c>
      <c r="G22" s="20">
        <v>17483152</v>
      </c>
      <c r="H22" s="20">
        <v>7397611</v>
      </c>
      <c r="I22" s="20">
        <v>2468575</v>
      </c>
      <c r="J22" s="20">
        <v>867034</v>
      </c>
      <c r="K22" s="20">
        <v>136765</v>
      </c>
      <c r="L22" s="20">
        <v>0</v>
      </c>
    </row>
    <row r="23" spans="1:12">
      <c r="A23" s="20" t="s">
        <v>646</v>
      </c>
      <c r="B23" s="20" t="s">
        <v>118</v>
      </c>
      <c r="C23" s="20" t="s">
        <v>328</v>
      </c>
      <c r="D23" s="20" t="s">
        <v>305</v>
      </c>
      <c r="E23" s="20">
        <v>33556540</v>
      </c>
      <c r="F23" s="20">
        <v>32730452</v>
      </c>
      <c r="G23" s="20">
        <v>18648601</v>
      </c>
      <c r="H23" s="20">
        <v>7248662</v>
      </c>
      <c r="I23" s="20">
        <v>2251619</v>
      </c>
      <c r="J23" s="20">
        <v>579082</v>
      </c>
      <c r="K23" s="20">
        <v>30122</v>
      </c>
      <c r="L23" s="20">
        <v>0</v>
      </c>
    </row>
    <row r="24" spans="1:12">
      <c r="A24" s="20" t="s">
        <v>645</v>
      </c>
      <c r="B24" s="20" t="s">
        <v>288</v>
      </c>
      <c r="C24" s="20" t="s">
        <v>319</v>
      </c>
      <c r="D24" s="20" t="s">
        <v>324</v>
      </c>
      <c r="E24" s="20">
        <v>1238657</v>
      </c>
      <c r="F24" s="20">
        <v>1824723</v>
      </c>
      <c r="G24" s="20">
        <v>4116</v>
      </c>
      <c r="H24" s="20">
        <v>297</v>
      </c>
      <c r="I24" s="20">
        <v>0</v>
      </c>
      <c r="J24" s="20">
        <v>0</v>
      </c>
      <c r="K24" s="20">
        <v>40</v>
      </c>
      <c r="L24" s="20">
        <v>0</v>
      </c>
    </row>
    <row r="25" spans="1:12">
      <c r="A25" s="20" t="s">
        <v>644</v>
      </c>
      <c r="B25" s="20" t="s">
        <v>58</v>
      </c>
      <c r="C25" s="20" t="s">
        <v>306</v>
      </c>
      <c r="D25" s="20" t="s">
        <v>324</v>
      </c>
      <c r="E25" s="20">
        <v>46621361</v>
      </c>
      <c r="F25" s="20">
        <v>12630820</v>
      </c>
      <c r="G25" s="20">
        <v>1263370</v>
      </c>
      <c r="H25" s="20">
        <v>16</v>
      </c>
      <c r="I25" s="20">
        <v>0</v>
      </c>
      <c r="J25" s="20">
        <v>0</v>
      </c>
      <c r="K25" s="20">
        <v>0</v>
      </c>
      <c r="L25" s="20">
        <v>0</v>
      </c>
    </row>
    <row r="26" spans="1:12">
      <c r="A26" s="20" t="s">
        <v>643</v>
      </c>
      <c r="B26" s="20" t="s">
        <v>309</v>
      </c>
      <c r="C26" s="20" t="s">
        <v>314</v>
      </c>
      <c r="D26" s="20" t="s">
        <v>308</v>
      </c>
      <c r="E26" s="20">
        <v>211881612</v>
      </c>
      <c r="F26" s="20">
        <v>256127934</v>
      </c>
      <c r="G26" s="20">
        <v>6388087</v>
      </c>
      <c r="H26" s="20">
        <v>884584</v>
      </c>
      <c r="I26" s="20">
        <v>0</v>
      </c>
      <c r="J26" s="20">
        <v>0</v>
      </c>
      <c r="K26" s="20">
        <v>0</v>
      </c>
      <c r="L26" s="20">
        <v>0</v>
      </c>
    </row>
    <row r="27" spans="1:12">
      <c r="A27" s="20" t="s">
        <v>642</v>
      </c>
      <c r="B27" s="20" t="s">
        <v>288</v>
      </c>
      <c r="C27" s="20" t="s">
        <v>319</v>
      </c>
      <c r="D27" s="20" t="s">
        <v>324</v>
      </c>
      <c r="E27" s="20">
        <v>18199805</v>
      </c>
      <c r="F27" s="20">
        <v>31436027</v>
      </c>
      <c r="G27" s="20">
        <v>0</v>
      </c>
      <c r="H27" s="20">
        <v>0</v>
      </c>
      <c r="I27" s="20">
        <v>0</v>
      </c>
      <c r="J27" s="20">
        <v>0</v>
      </c>
      <c r="K27" s="20">
        <v>0</v>
      </c>
      <c r="L27" s="20">
        <v>0</v>
      </c>
    </row>
    <row r="28" spans="1:12">
      <c r="A28" s="20" t="s">
        <v>641</v>
      </c>
      <c r="B28" s="20" t="s">
        <v>254</v>
      </c>
      <c r="C28" s="20" t="s">
        <v>319</v>
      </c>
      <c r="D28" s="20" t="s">
        <v>345</v>
      </c>
      <c r="E28" s="20">
        <v>2182875</v>
      </c>
      <c r="F28" s="20">
        <v>0</v>
      </c>
      <c r="G28" s="20">
        <v>0</v>
      </c>
      <c r="H28" s="20">
        <v>0</v>
      </c>
      <c r="I28" s="20">
        <v>0</v>
      </c>
      <c r="J28" s="20">
        <v>0</v>
      </c>
      <c r="K28" s="20">
        <v>0</v>
      </c>
      <c r="L28" s="20">
        <v>0</v>
      </c>
    </row>
    <row r="29" spans="1:12">
      <c r="A29" s="20" t="s">
        <v>640</v>
      </c>
      <c r="B29" s="20" t="s">
        <v>118</v>
      </c>
      <c r="C29" s="20" t="s">
        <v>328</v>
      </c>
      <c r="D29" s="20" t="s">
        <v>305</v>
      </c>
      <c r="E29" s="20">
        <v>83063577</v>
      </c>
      <c r="F29" s="20">
        <v>61591777</v>
      </c>
      <c r="G29" s="20">
        <v>54529642</v>
      </c>
      <c r="H29" s="20">
        <v>23253160</v>
      </c>
      <c r="I29" s="20">
        <v>3306169</v>
      </c>
      <c r="J29" s="20">
        <v>2678485</v>
      </c>
      <c r="K29" s="20">
        <v>298168</v>
      </c>
      <c r="L29" s="20">
        <v>0</v>
      </c>
    </row>
    <row r="30" spans="1:12">
      <c r="A30" s="20" t="s">
        <v>639</v>
      </c>
      <c r="B30" s="20" t="s">
        <v>30</v>
      </c>
      <c r="C30" s="20" t="s">
        <v>328</v>
      </c>
      <c r="D30" s="20" t="s">
        <v>305</v>
      </c>
      <c r="E30" s="20">
        <v>97247505</v>
      </c>
      <c r="F30" s="20">
        <v>69797161</v>
      </c>
      <c r="G30" s="20">
        <v>35213283</v>
      </c>
      <c r="H30" s="20">
        <v>19746316</v>
      </c>
      <c r="I30" s="20">
        <v>1261</v>
      </c>
      <c r="J30" s="20">
        <v>747</v>
      </c>
      <c r="K30" s="20">
        <v>947</v>
      </c>
      <c r="L30" s="20">
        <v>0</v>
      </c>
    </row>
    <row r="31" spans="1:12">
      <c r="A31" s="20" t="s">
        <v>638</v>
      </c>
      <c r="B31" s="20" t="s">
        <v>16</v>
      </c>
      <c r="C31" s="20" t="s">
        <v>319</v>
      </c>
      <c r="D31" s="20" t="s">
        <v>324</v>
      </c>
      <c r="E31" s="20">
        <v>3055</v>
      </c>
      <c r="F31" s="20">
        <v>0</v>
      </c>
      <c r="G31" s="20">
        <v>0</v>
      </c>
      <c r="H31" s="20">
        <v>0</v>
      </c>
      <c r="I31" s="20">
        <v>0</v>
      </c>
      <c r="J31" s="20">
        <v>0</v>
      </c>
      <c r="K31" s="20">
        <v>0</v>
      </c>
      <c r="L31" s="20">
        <v>0</v>
      </c>
    </row>
    <row r="32" spans="1:12">
      <c r="A32" s="22" t="s">
        <v>637</v>
      </c>
      <c r="B32" s="22" t="s">
        <v>288</v>
      </c>
      <c r="C32" s="22" t="s">
        <v>319</v>
      </c>
      <c r="D32" s="22" t="s">
        <v>324</v>
      </c>
      <c r="E32" s="22">
        <v>3631403614</v>
      </c>
      <c r="F32" s="22">
        <v>3051644512</v>
      </c>
      <c r="G32" s="22">
        <v>3022767543</v>
      </c>
      <c r="H32" s="22">
        <v>1504333391</v>
      </c>
      <c r="I32" s="22">
        <v>5351109</v>
      </c>
      <c r="J32" s="22">
        <v>2857577</v>
      </c>
      <c r="K32" s="22">
        <v>2599195</v>
      </c>
      <c r="L32" s="22">
        <v>0</v>
      </c>
    </row>
    <row r="33" spans="1:12">
      <c r="A33" s="20" t="s">
        <v>636</v>
      </c>
      <c r="B33" s="20" t="s">
        <v>288</v>
      </c>
      <c r="C33" s="20" t="s">
        <v>319</v>
      </c>
      <c r="D33" s="20" t="s">
        <v>324</v>
      </c>
      <c r="E33" s="20">
        <v>232274718</v>
      </c>
      <c r="F33" s="20">
        <v>209824429</v>
      </c>
      <c r="G33" s="20">
        <v>12381821</v>
      </c>
      <c r="H33" s="20">
        <v>8149993</v>
      </c>
      <c r="I33" s="20">
        <v>6119265</v>
      </c>
      <c r="J33" s="20">
        <v>2982819</v>
      </c>
      <c r="K33" s="20">
        <v>502094</v>
      </c>
      <c r="L33" s="20">
        <v>0</v>
      </c>
    </row>
    <row r="34" spans="1:12">
      <c r="A34" s="20" t="s">
        <v>635</v>
      </c>
      <c r="B34" s="20" t="s">
        <v>288</v>
      </c>
      <c r="C34" s="20" t="s">
        <v>319</v>
      </c>
      <c r="D34" s="20" t="s">
        <v>324</v>
      </c>
      <c r="E34" s="20">
        <v>495348745</v>
      </c>
      <c r="F34" s="20">
        <v>544485</v>
      </c>
      <c r="G34" s="20">
        <v>117964</v>
      </c>
      <c r="H34" s="20">
        <v>102823</v>
      </c>
      <c r="I34" s="20">
        <v>0</v>
      </c>
      <c r="J34" s="20">
        <v>0</v>
      </c>
      <c r="K34" s="20">
        <v>0</v>
      </c>
      <c r="L34" s="20">
        <v>0</v>
      </c>
    </row>
    <row r="35" spans="1:12">
      <c r="A35" s="20" t="s">
        <v>634</v>
      </c>
      <c r="B35" s="20" t="s">
        <v>288</v>
      </c>
      <c r="C35" s="20" t="s">
        <v>319</v>
      </c>
      <c r="D35" s="20" t="s">
        <v>324</v>
      </c>
      <c r="E35" s="20">
        <v>167688711</v>
      </c>
      <c r="F35" s="20">
        <v>3364693</v>
      </c>
      <c r="G35" s="20">
        <v>859746</v>
      </c>
      <c r="H35" s="20">
        <v>680172</v>
      </c>
      <c r="I35" s="20">
        <v>437296</v>
      </c>
      <c r="J35" s="20">
        <v>355607</v>
      </c>
      <c r="K35" s="20">
        <v>1001161</v>
      </c>
      <c r="L35" s="20">
        <v>0</v>
      </c>
    </row>
    <row r="36" spans="1:12">
      <c r="A36" s="20" t="s">
        <v>633</v>
      </c>
      <c r="B36" s="20" t="s">
        <v>16</v>
      </c>
      <c r="C36" s="20" t="s">
        <v>319</v>
      </c>
      <c r="D36" s="20" t="s">
        <v>324</v>
      </c>
      <c r="E36" s="20">
        <v>251081905</v>
      </c>
      <c r="F36" s="20">
        <v>34346924</v>
      </c>
      <c r="G36" s="20">
        <v>7851522</v>
      </c>
      <c r="H36" s="20">
        <v>7810106</v>
      </c>
      <c r="I36" s="20">
        <v>7717527</v>
      </c>
      <c r="J36" s="20">
        <v>7423625</v>
      </c>
      <c r="K36" s="20">
        <v>0</v>
      </c>
      <c r="L36" s="20">
        <v>0</v>
      </c>
    </row>
    <row r="37" spans="1:12">
      <c r="A37" s="20" t="s">
        <v>632</v>
      </c>
      <c r="B37" s="20" t="s">
        <v>62</v>
      </c>
      <c r="C37" s="20" t="s">
        <v>319</v>
      </c>
      <c r="D37" s="20" t="s">
        <v>324</v>
      </c>
      <c r="E37" s="20">
        <v>65016691</v>
      </c>
      <c r="F37" s="20">
        <v>16682579</v>
      </c>
      <c r="G37" s="20">
        <v>17115778</v>
      </c>
      <c r="H37" s="20">
        <v>17800639</v>
      </c>
      <c r="I37" s="20">
        <v>0</v>
      </c>
      <c r="J37" s="20">
        <v>0</v>
      </c>
      <c r="K37" s="20">
        <v>0</v>
      </c>
      <c r="L37" s="20">
        <v>0</v>
      </c>
    </row>
    <row r="38" spans="1:12">
      <c r="A38" s="20" t="s">
        <v>631</v>
      </c>
      <c r="B38" s="20" t="s">
        <v>118</v>
      </c>
      <c r="C38" s="20" t="s">
        <v>328</v>
      </c>
      <c r="D38" s="20" t="s">
        <v>305</v>
      </c>
      <c r="E38" s="20">
        <v>57227927</v>
      </c>
      <c r="F38" s="20">
        <v>57070129</v>
      </c>
      <c r="G38" s="20">
        <v>38809910</v>
      </c>
      <c r="H38" s="20">
        <v>7720142</v>
      </c>
      <c r="I38" s="20">
        <v>1893141</v>
      </c>
      <c r="J38" s="20">
        <v>1315783</v>
      </c>
      <c r="K38" s="20">
        <v>247565</v>
      </c>
      <c r="L38" s="20">
        <v>0</v>
      </c>
    </row>
    <row r="39" spans="1:12">
      <c r="A39" s="20" t="s">
        <v>630</v>
      </c>
      <c r="B39" s="20" t="s">
        <v>288</v>
      </c>
      <c r="C39" s="20" t="s">
        <v>319</v>
      </c>
      <c r="D39" s="20" t="s">
        <v>324</v>
      </c>
      <c r="E39" s="20">
        <v>121623140</v>
      </c>
      <c r="F39" s="20">
        <v>1869279</v>
      </c>
      <c r="G39" s="20">
        <v>1067026</v>
      </c>
      <c r="H39" s="20">
        <v>639099</v>
      </c>
      <c r="I39" s="20">
        <v>473473</v>
      </c>
      <c r="J39" s="20">
        <v>0</v>
      </c>
      <c r="K39" s="20">
        <v>0</v>
      </c>
      <c r="L39" s="20">
        <v>0</v>
      </c>
    </row>
    <row r="40" spans="1:12">
      <c r="A40" s="20" t="s">
        <v>629</v>
      </c>
      <c r="B40" s="20" t="s">
        <v>276</v>
      </c>
      <c r="C40" s="20" t="s">
        <v>319</v>
      </c>
      <c r="D40" s="20" t="s">
        <v>308</v>
      </c>
      <c r="E40" s="20">
        <v>45915942</v>
      </c>
      <c r="F40" s="20">
        <v>53816595</v>
      </c>
      <c r="G40" s="20">
        <v>25248821</v>
      </c>
      <c r="H40" s="20">
        <v>10885417</v>
      </c>
      <c r="I40" s="20">
        <v>7067129</v>
      </c>
      <c r="J40" s="20">
        <v>1108853</v>
      </c>
      <c r="K40" s="20">
        <v>81443</v>
      </c>
      <c r="L40" s="20">
        <v>0</v>
      </c>
    </row>
    <row r="41" spans="1:12">
      <c r="A41" s="22" t="s">
        <v>628</v>
      </c>
      <c r="B41" s="22" t="s">
        <v>118</v>
      </c>
      <c r="C41" s="22" t="s">
        <v>328</v>
      </c>
      <c r="D41" s="22" t="s">
        <v>305</v>
      </c>
      <c r="E41" s="22">
        <v>70763989</v>
      </c>
      <c r="F41" s="22">
        <v>83736242</v>
      </c>
      <c r="G41" s="22">
        <v>61279132</v>
      </c>
      <c r="H41" s="22">
        <v>51116651</v>
      </c>
      <c r="I41" s="22">
        <v>50410413</v>
      </c>
      <c r="J41" s="22">
        <v>25308385</v>
      </c>
      <c r="K41" s="22">
        <v>25088742</v>
      </c>
      <c r="L41" s="22">
        <v>0</v>
      </c>
    </row>
    <row r="42" spans="1:12">
      <c r="A42" s="20" t="s">
        <v>627</v>
      </c>
      <c r="B42" s="20" t="s">
        <v>266</v>
      </c>
      <c r="C42" s="20" t="s">
        <v>306</v>
      </c>
      <c r="D42" s="20" t="s">
        <v>305</v>
      </c>
      <c r="E42" s="20">
        <v>12309070</v>
      </c>
      <c r="F42" s="20">
        <v>12770877</v>
      </c>
      <c r="G42" s="20">
        <v>7062566</v>
      </c>
      <c r="H42" s="20">
        <v>2758418</v>
      </c>
      <c r="I42" s="20">
        <v>418382</v>
      </c>
      <c r="J42" s="20">
        <v>633483</v>
      </c>
      <c r="K42" s="20">
        <v>124657</v>
      </c>
      <c r="L42" s="20">
        <v>0</v>
      </c>
    </row>
    <row r="43" spans="1:12">
      <c r="A43" s="20" t="s">
        <v>626</v>
      </c>
      <c r="B43" s="20" t="s">
        <v>288</v>
      </c>
      <c r="C43" s="20" t="s">
        <v>319</v>
      </c>
      <c r="D43" s="20" t="s">
        <v>324</v>
      </c>
      <c r="E43" s="20">
        <v>190257370</v>
      </c>
      <c r="F43" s="20">
        <v>49574602</v>
      </c>
      <c r="G43" s="20">
        <v>7822959</v>
      </c>
      <c r="H43" s="20">
        <v>5542920</v>
      </c>
      <c r="I43" s="20">
        <v>3069345</v>
      </c>
      <c r="J43" s="20">
        <v>1352133</v>
      </c>
      <c r="K43" s="20">
        <v>3092850</v>
      </c>
      <c r="L43" s="20">
        <v>0</v>
      </c>
    </row>
    <row r="44" spans="1:12">
      <c r="A44" s="20" t="s">
        <v>625</v>
      </c>
      <c r="B44" s="20" t="s">
        <v>309</v>
      </c>
      <c r="C44" s="20" t="s">
        <v>314</v>
      </c>
      <c r="D44" s="20" t="s">
        <v>308</v>
      </c>
      <c r="E44" s="20">
        <v>419261838</v>
      </c>
      <c r="F44" s="20">
        <v>0</v>
      </c>
      <c r="G44" s="20">
        <v>0</v>
      </c>
      <c r="H44" s="20">
        <v>0</v>
      </c>
      <c r="I44" s="20">
        <v>0</v>
      </c>
      <c r="J44" s="20">
        <v>0</v>
      </c>
      <c r="K44" s="20">
        <v>0</v>
      </c>
      <c r="L44" s="20">
        <v>0</v>
      </c>
    </row>
    <row r="45" spans="1:12">
      <c r="A45" s="20" t="s">
        <v>624</v>
      </c>
      <c r="B45" s="20" t="s">
        <v>288</v>
      </c>
      <c r="C45" s="20" t="s">
        <v>306</v>
      </c>
      <c r="D45" s="20" t="s">
        <v>324</v>
      </c>
      <c r="E45" s="20">
        <v>529401</v>
      </c>
      <c r="F45" s="20">
        <v>57177</v>
      </c>
      <c r="G45" s="20">
        <v>53439</v>
      </c>
      <c r="H45" s="20">
        <v>55836</v>
      </c>
      <c r="I45" s="20">
        <v>64967</v>
      </c>
      <c r="J45" s="20">
        <v>74455</v>
      </c>
      <c r="K45" s="20">
        <v>0</v>
      </c>
      <c r="L45" s="20">
        <v>0</v>
      </c>
    </row>
    <row r="46" spans="1:12">
      <c r="A46" s="20" t="s">
        <v>623</v>
      </c>
      <c r="B46" s="20" t="s">
        <v>294</v>
      </c>
      <c r="C46" s="20" t="s">
        <v>319</v>
      </c>
      <c r="D46" s="20" t="s">
        <v>324</v>
      </c>
      <c r="E46" s="20">
        <v>2610636</v>
      </c>
      <c r="F46" s="20">
        <v>2423970</v>
      </c>
      <c r="G46" s="20">
        <v>1264948</v>
      </c>
      <c r="H46" s="20">
        <v>131201</v>
      </c>
      <c r="I46" s="20">
        <v>138612</v>
      </c>
      <c r="J46" s="20">
        <v>0</v>
      </c>
      <c r="K46" s="20">
        <v>0</v>
      </c>
      <c r="L46" s="20">
        <v>0</v>
      </c>
    </row>
    <row r="47" spans="1:12">
      <c r="A47" s="20" t="s">
        <v>622</v>
      </c>
      <c r="B47" s="20" t="s">
        <v>288</v>
      </c>
      <c r="C47" s="20" t="s">
        <v>306</v>
      </c>
      <c r="D47" s="20" t="s">
        <v>324</v>
      </c>
      <c r="E47" s="20">
        <v>4185941</v>
      </c>
      <c r="F47" s="20">
        <v>581267</v>
      </c>
      <c r="G47" s="20">
        <v>463781</v>
      </c>
      <c r="H47" s="20">
        <v>455061</v>
      </c>
      <c r="I47" s="20">
        <v>244818</v>
      </c>
      <c r="J47" s="20">
        <v>252287</v>
      </c>
      <c r="K47" s="20">
        <v>0</v>
      </c>
      <c r="L47" s="20">
        <v>0</v>
      </c>
    </row>
    <row r="48" spans="1:12">
      <c r="A48" s="20" t="s">
        <v>621</v>
      </c>
      <c r="B48" s="20" t="s">
        <v>288</v>
      </c>
      <c r="C48" s="20" t="s">
        <v>306</v>
      </c>
      <c r="D48" s="20" t="s">
        <v>324</v>
      </c>
      <c r="E48" s="20">
        <v>46912520</v>
      </c>
      <c r="F48" s="20">
        <v>35139565</v>
      </c>
      <c r="G48" s="20">
        <v>734687</v>
      </c>
      <c r="H48" s="20">
        <v>639895</v>
      </c>
      <c r="I48" s="20">
        <v>549946</v>
      </c>
      <c r="J48" s="20">
        <v>547955</v>
      </c>
      <c r="K48" s="20">
        <v>671487</v>
      </c>
      <c r="L48" s="20">
        <v>0</v>
      </c>
    </row>
    <row r="49" spans="1:12">
      <c r="A49" s="20" t="s">
        <v>620</v>
      </c>
      <c r="B49" s="20" t="s">
        <v>288</v>
      </c>
      <c r="C49" s="20" t="s">
        <v>319</v>
      </c>
      <c r="D49" s="20" t="s">
        <v>324</v>
      </c>
      <c r="E49" s="20">
        <v>180311004</v>
      </c>
      <c r="F49" s="20">
        <v>46748640</v>
      </c>
      <c r="G49" s="20">
        <v>26104900</v>
      </c>
      <c r="H49" s="20">
        <v>17265267</v>
      </c>
      <c r="I49" s="20">
        <v>9003946</v>
      </c>
      <c r="J49" s="20">
        <v>4160954</v>
      </c>
      <c r="K49" s="20">
        <v>700408</v>
      </c>
      <c r="L49" s="20">
        <v>0</v>
      </c>
    </row>
    <row r="50" spans="1:12">
      <c r="A50" s="20" t="s">
        <v>619</v>
      </c>
      <c r="B50" s="20" t="s">
        <v>288</v>
      </c>
      <c r="C50" s="20" t="s">
        <v>319</v>
      </c>
      <c r="D50" s="20" t="s">
        <v>324</v>
      </c>
      <c r="E50" s="20">
        <v>135335684</v>
      </c>
      <c r="F50" s="20">
        <v>39039924</v>
      </c>
      <c r="G50" s="20">
        <v>11601854</v>
      </c>
      <c r="H50" s="20">
        <v>8451444</v>
      </c>
      <c r="I50" s="20">
        <v>377852</v>
      </c>
      <c r="J50" s="20">
        <v>172436</v>
      </c>
      <c r="K50" s="20">
        <v>0</v>
      </c>
      <c r="L50" s="20">
        <v>0</v>
      </c>
    </row>
    <row r="51" spans="1:12">
      <c r="A51" s="20" t="s">
        <v>618</v>
      </c>
      <c r="B51" s="20" t="s">
        <v>288</v>
      </c>
      <c r="C51" s="20" t="s">
        <v>319</v>
      </c>
      <c r="D51" s="20" t="s">
        <v>324</v>
      </c>
      <c r="E51" s="20">
        <v>68464015</v>
      </c>
      <c r="F51" s="20">
        <v>92388266</v>
      </c>
      <c r="G51" s="20">
        <v>51732889</v>
      </c>
      <c r="H51" s="20">
        <v>33970027</v>
      </c>
      <c r="I51" s="20">
        <v>17753677</v>
      </c>
      <c r="J51" s="20">
        <v>8321908</v>
      </c>
      <c r="K51" s="20">
        <v>1400816</v>
      </c>
      <c r="L51" s="20">
        <v>0</v>
      </c>
    </row>
    <row r="52" spans="1:12">
      <c r="A52" s="20" t="s">
        <v>617</v>
      </c>
      <c r="B52" s="20" t="s">
        <v>58</v>
      </c>
      <c r="C52" s="20" t="s">
        <v>306</v>
      </c>
      <c r="D52" s="20" t="s">
        <v>324</v>
      </c>
      <c r="E52" s="20">
        <v>1178</v>
      </c>
      <c r="F52" s="20">
        <v>0</v>
      </c>
      <c r="G52" s="20">
        <v>0</v>
      </c>
      <c r="H52" s="20">
        <v>0</v>
      </c>
      <c r="I52" s="20">
        <v>0</v>
      </c>
      <c r="J52" s="20">
        <v>0</v>
      </c>
      <c r="K52" s="20">
        <v>0</v>
      </c>
      <c r="L52" s="20">
        <v>0</v>
      </c>
    </row>
    <row r="53" spans="1:12">
      <c r="A53" s="20" t="s">
        <v>616</v>
      </c>
      <c r="B53" s="20" t="s">
        <v>44</v>
      </c>
      <c r="C53" s="20" t="s">
        <v>319</v>
      </c>
      <c r="D53" s="20" t="s">
        <v>324</v>
      </c>
      <c r="E53" s="20">
        <v>1262769109</v>
      </c>
      <c r="F53" s="20">
        <v>119866925</v>
      </c>
      <c r="G53" s="20">
        <v>23757610</v>
      </c>
      <c r="H53" s="20">
        <v>24503284</v>
      </c>
      <c r="I53" s="20">
        <v>7717527</v>
      </c>
      <c r="J53" s="20">
        <v>7423625</v>
      </c>
      <c r="K53" s="20">
        <v>0</v>
      </c>
      <c r="L53" s="20">
        <v>0</v>
      </c>
    </row>
    <row r="54" spans="1:12">
      <c r="A54" s="20" t="s">
        <v>615</v>
      </c>
      <c r="B54" s="20" t="s">
        <v>288</v>
      </c>
      <c r="C54" s="20" t="s">
        <v>319</v>
      </c>
      <c r="D54" s="20" t="s">
        <v>324</v>
      </c>
      <c r="E54" s="20">
        <v>2100678359</v>
      </c>
      <c r="F54" s="20">
        <v>90013510</v>
      </c>
      <c r="G54" s="20">
        <v>29601244</v>
      </c>
      <c r="H54" s="20">
        <v>25039929</v>
      </c>
      <c r="I54" s="20">
        <v>0</v>
      </c>
      <c r="J54" s="20">
        <v>0</v>
      </c>
      <c r="K54" s="20">
        <v>0</v>
      </c>
      <c r="L54" s="20">
        <v>0</v>
      </c>
    </row>
    <row r="55" spans="1:12">
      <c r="A55" s="20" t="s">
        <v>614</v>
      </c>
      <c r="B55" s="20" t="s">
        <v>60</v>
      </c>
      <c r="C55" s="20" t="s">
        <v>306</v>
      </c>
      <c r="D55" s="20" t="s">
        <v>305</v>
      </c>
      <c r="E55" s="20">
        <v>40864</v>
      </c>
      <c r="F55" s="20">
        <v>67456</v>
      </c>
      <c r="G55" s="20">
        <v>20356</v>
      </c>
      <c r="H55" s="20">
        <v>6171</v>
      </c>
      <c r="I55" s="20">
        <v>1687</v>
      </c>
      <c r="J55" s="20">
        <v>1194</v>
      </c>
      <c r="K55" s="20">
        <v>630</v>
      </c>
      <c r="L55" s="20">
        <v>0</v>
      </c>
    </row>
    <row r="56" spans="1:12">
      <c r="A56" s="20" t="s">
        <v>613</v>
      </c>
      <c r="B56" s="20" t="s">
        <v>84</v>
      </c>
      <c r="C56" s="20" t="s">
        <v>319</v>
      </c>
      <c r="D56" s="20" t="s">
        <v>345</v>
      </c>
      <c r="E56" s="20">
        <v>1237070237</v>
      </c>
      <c r="F56" s="20">
        <v>1038839466</v>
      </c>
      <c r="G56" s="20">
        <v>145573127</v>
      </c>
      <c r="H56" s="20">
        <v>31212006</v>
      </c>
      <c r="I56" s="20">
        <v>26439617</v>
      </c>
      <c r="J56" s="20">
        <v>17405602</v>
      </c>
      <c r="K56" s="20">
        <v>0</v>
      </c>
      <c r="L56" s="20">
        <v>0</v>
      </c>
    </row>
    <row r="57" spans="1:12">
      <c r="A57" s="22" t="s">
        <v>612</v>
      </c>
      <c r="B57" s="22" t="s">
        <v>100</v>
      </c>
      <c r="C57" s="22" t="s">
        <v>319</v>
      </c>
      <c r="D57" s="22" t="s">
        <v>308</v>
      </c>
      <c r="E57" s="22">
        <v>6194356771</v>
      </c>
      <c r="F57" s="22">
        <v>5087379714</v>
      </c>
      <c r="G57" s="22">
        <v>4516547528</v>
      </c>
      <c r="H57" s="22">
        <v>3139475449</v>
      </c>
      <c r="I57" s="22">
        <v>1783944173</v>
      </c>
      <c r="J57" s="22">
        <v>987382644</v>
      </c>
      <c r="K57" s="22">
        <v>812536610</v>
      </c>
      <c r="L57" s="22">
        <v>0</v>
      </c>
    </row>
    <row r="58" spans="1:12">
      <c r="A58" s="20" t="s">
        <v>611</v>
      </c>
      <c r="B58" s="20" t="s">
        <v>309</v>
      </c>
      <c r="C58" s="20" t="s">
        <v>319</v>
      </c>
      <c r="D58" s="20" t="s">
        <v>308</v>
      </c>
      <c r="E58" s="20">
        <v>21791630</v>
      </c>
      <c r="F58" s="20">
        <v>1664131</v>
      </c>
      <c r="G58" s="20">
        <v>774269</v>
      </c>
      <c r="H58" s="20">
        <v>553939</v>
      </c>
      <c r="I58" s="20">
        <v>381938</v>
      </c>
      <c r="J58" s="20">
        <v>298173</v>
      </c>
      <c r="K58" s="20">
        <v>324226</v>
      </c>
      <c r="L58" s="20">
        <v>0</v>
      </c>
    </row>
    <row r="59" spans="1:12">
      <c r="A59" s="20" t="s">
        <v>610</v>
      </c>
      <c r="B59" s="20" t="s">
        <v>288</v>
      </c>
      <c r="C59" s="20" t="s">
        <v>319</v>
      </c>
      <c r="D59" s="20" t="s">
        <v>324</v>
      </c>
      <c r="E59" s="20">
        <v>661872580</v>
      </c>
      <c r="F59" s="20">
        <v>130182286</v>
      </c>
      <c r="G59" s="20">
        <v>54148943</v>
      </c>
      <c r="H59" s="20">
        <v>35916303</v>
      </c>
      <c r="I59" s="20">
        <v>519780</v>
      </c>
      <c r="J59" s="20">
        <v>0</v>
      </c>
      <c r="K59" s="20">
        <v>0</v>
      </c>
      <c r="L59" s="20">
        <v>0</v>
      </c>
    </row>
    <row r="60" spans="1:12">
      <c r="A60" s="20" t="s">
        <v>609</v>
      </c>
      <c r="B60" s="20" t="s">
        <v>288</v>
      </c>
      <c r="C60" s="20" t="s">
        <v>319</v>
      </c>
      <c r="D60" s="20" t="s">
        <v>324</v>
      </c>
      <c r="E60" s="20">
        <v>61098186</v>
      </c>
      <c r="F60" s="20">
        <v>16193062</v>
      </c>
      <c r="G60" s="20">
        <v>307944</v>
      </c>
      <c r="H60" s="20">
        <v>309834</v>
      </c>
      <c r="I60" s="20">
        <v>910633</v>
      </c>
      <c r="J60" s="20">
        <v>0</v>
      </c>
      <c r="K60" s="20">
        <v>0</v>
      </c>
      <c r="L60" s="20">
        <v>0</v>
      </c>
    </row>
    <row r="61" spans="1:12">
      <c r="A61" s="20" t="s">
        <v>608</v>
      </c>
      <c r="B61" s="20" t="s">
        <v>282</v>
      </c>
      <c r="C61" s="20" t="s">
        <v>319</v>
      </c>
      <c r="D61" s="20" t="s">
        <v>308</v>
      </c>
      <c r="E61" s="20">
        <v>182317451</v>
      </c>
      <c r="F61" s="20">
        <v>0</v>
      </c>
      <c r="G61" s="20">
        <v>0</v>
      </c>
      <c r="H61" s="20">
        <v>0</v>
      </c>
      <c r="I61" s="20">
        <v>0</v>
      </c>
      <c r="J61" s="20">
        <v>0</v>
      </c>
      <c r="K61" s="20">
        <v>0</v>
      </c>
      <c r="L61" s="20">
        <v>0</v>
      </c>
    </row>
    <row r="62" spans="1:12">
      <c r="A62" s="20" t="s">
        <v>607</v>
      </c>
      <c r="B62" s="20" t="s">
        <v>606</v>
      </c>
      <c r="C62" s="20" t="s">
        <v>319</v>
      </c>
      <c r="D62" s="20" t="s">
        <v>308</v>
      </c>
      <c r="E62" s="20">
        <v>1016049291</v>
      </c>
      <c r="F62" s="20">
        <v>0</v>
      </c>
      <c r="G62" s="20">
        <v>0</v>
      </c>
      <c r="H62" s="20">
        <v>0</v>
      </c>
      <c r="I62" s="20">
        <v>0</v>
      </c>
      <c r="J62" s="20">
        <v>0</v>
      </c>
      <c r="K62" s="20">
        <v>0</v>
      </c>
      <c r="L62" s="20">
        <v>0</v>
      </c>
    </row>
    <row r="63" spans="1:12">
      <c r="A63" s="22" t="s">
        <v>605</v>
      </c>
      <c r="B63" s="22" t="s">
        <v>282</v>
      </c>
      <c r="C63" s="22" t="s">
        <v>319</v>
      </c>
      <c r="D63" s="22" t="s">
        <v>308</v>
      </c>
      <c r="E63" s="22">
        <v>2435963216</v>
      </c>
      <c r="F63" s="22">
        <v>1132965341</v>
      </c>
      <c r="G63" s="22">
        <v>755299073</v>
      </c>
      <c r="H63" s="22">
        <v>188919694</v>
      </c>
      <c r="I63" s="22">
        <v>188776826</v>
      </c>
      <c r="J63" s="22">
        <v>0</v>
      </c>
      <c r="K63" s="22">
        <v>0</v>
      </c>
      <c r="L63" s="22">
        <v>0</v>
      </c>
    </row>
    <row r="64" spans="1:12">
      <c r="A64" s="20" t="s">
        <v>604</v>
      </c>
      <c r="B64" s="20" t="s">
        <v>44</v>
      </c>
      <c r="C64" s="20" t="s">
        <v>319</v>
      </c>
      <c r="D64" s="20" t="s">
        <v>324</v>
      </c>
      <c r="E64" s="20">
        <v>11729</v>
      </c>
      <c r="F64" s="20">
        <v>5374</v>
      </c>
      <c r="G64" s="20">
        <v>5363</v>
      </c>
      <c r="H64" s="20">
        <v>5378</v>
      </c>
      <c r="I64" s="20">
        <v>5346</v>
      </c>
      <c r="J64" s="20">
        <v>4170</v>
      </c>
      <c r="K64" s="20">
        <v>0</v>
      </c>
      <c r="L64" s="20">
        <v>0</v>
      </c>
    </row>
    <row r="65" spans="1:12">
      <c r="A65" s="22" t="s">
        <v>603</v>
      </c>
      <c r="B65" s="22" t="s">
        <v>309</v>
      </c>
      <c r="C65" s="22" t="s">
        <v>319</v>
      </c>
      <c r="D65" s="22" t="s">
        <v>308</v>
      </c>
      <c r="E65" s="22">
        <v>120160036</v>
      </c>
      <c r="F65" s="22">
        <v>88784513</v>
      </c>
      <c r="G65" s="22">
        <v>59010676</v>
      </c>
      <c r="H65" s="22">
        <v>59041799</v>
      </c>
      <c r="I65" s="22">
        <v>59036186</v>
      </c>
      <c r="J65" s="22">
        <v>59025740</v>
      </c>
      <c r="K65" s="22">
        <v>29531922</v>
      </c>
      <c r="L65" s="22">
        <v>0</v>
      </c>
    </row>
    <row r="66" spans="1:12">
      <c r="A66" s="20" t="s">
        <v>602</v>
      </c>
      <c r="B66" s="20" t="s">
        <v>282</v>
      </c>
      <c r="C66" s="20" t="s">
        <v>319</v>
      </c>
      <c r="D66" s="20" t="s">
        <v>308</v>
      </c>
      <c r="E66" s="20">
        <v>1417803675</v>
      </c>
      <c r="F66" s="20">
        <v>111660</v>
      </c>
      <c r="G66" s="20">
        <v>15752</v>
      </c>
      <c r="H66" s="20">
        <v>25956</v>
      </c>
      <c r="I66" s="20">
        <v>24115</v>
      </c>
      <c r="J66" s="20">
        <v>0</v>
      </c>
      <c r="K66" s="20">
        <v>0</v>
      </c>
      <c r="L66" s="20">
        <v>0</v>
      </c>
    </row>
    <row r="67" spans="1:12">
      <c r="A67" s="22" t="s">
        <v>601</v>
      </c>
      <c r="B67" s="22" t="s">
        <v>60</v>
      </c>
      <c r="C67" s="22" t="s">
        <v>306</v>
      </c>
      <c r="D67" s="22" t="s">
        <v>305</v>
      </c>
      <c r="E67" s="22">
        <v>113464639</v>
      </c>
      <c r="F67" s="22">
        <v>19972622</v>
      </c>
      <c r="G67" s="22">
        <v>11347568</v>
      </c>
      <c r="H67" s="22">
        <v>194178076</v>
      </c>
      <c r="I67" s="22">
        <v>110940710</v>
      </c>
      <c r="J67" s="22">
        <v>54534</v>
      </c>
      <c r="K67" s="22">
        <v>48559</v>
      </c>
      <c r="L67" s="22">
        <v>0</v>
      </c>
    </row>
    <row r="68" spans="1:12">
      <c r="A68" s="20" t="s">
        <v>600</v>
      </c>
      <c r="B68" s="20" t="s">
        <v>288</v>
      </c>
      <c r="C68" s="20" t="s">
        <v>319</v>
      </c>
      <c r="D68" s="20" t="s">
        <v>324</v>
      </c>
      <c r="E68" s="20">
        <v>8207719</v>
      </c>
      <c r="F68" s="20">
        <v>1707950</v>
      </c>
      <c r="G68" s="20">
        <v>458234</v>
      </c>
      <c r="H68" s="20">
        <v>390249</v>
      </c>
      <c r="I68" s="20">
        <v>865892</v>
      </c>
      <c r="J68" s="20">
        <v>1385611</v>
      </c>
      <c r="K68" s="20">
        <v>1792443</v>
      </c>
      <c r="L68" s="20">
        <v>0</v>
      </c>
    </row>
    <row r="69" spans="1:12">
      <c r="A69" s="20" t="s">
        <v>599</v>
      </c>
      <c r="B69" s="20" t="s">
        <v>94</v>
      </c>
      <c r="C69" s="20" t="s">
        <v>319</v>
      </c>
      <c r="D69" s="20" t="s">
        <v>308</v>
      </c>
      <c r="E69" s="20">
        <v>57161</v>
      </c>
      <c r="F69" s="20">
        <v>0</v>
      </c>
      <c r="G69" s="20">
        <v>0</v>
      </c>
      <c r="H69" s="20">
        <v>0</v>
      </c>
      <c r="I69" s="20">
        <v>0</v>
      </c>
      <c r="J69" s="20">
        <v>0</v>
      </c>
      <c r="K69" s="20">
        <v>0</v>
      </c>
      <c r="L69" s="20">
        <v>0</v>
      </c>
    </row>
    <row r="70" spans="1:12">
      <c r="A70" s="20" t="s">
        <v>598</v>
      </c>
      <c r="B70" s="20" t="s">
        <v>22</v>
      </c>
      <c r="C70" s="20" t="s">
        <v>319</v>
      </c>
      <c r="D70" s="20" t="s">
        <v>308</v>
      </c>
      <c r="E70" s="20">
        <v>3427</v>
      </c>
      <c r="F70" s="20">
        <v>0</v>
      </c>
      <c r="G70" s="20">
        <v>0</v>
      </c>
      <c r="H70" s="20">
        <v>0</v>
      </c>
      <c r="I70" s="20">
        <v>0</v>
      </c>
      <c r="J70" s="20">
        <v>0</v>
      </c>
      <c r="K70" s="20">
        <v>0</v>
      </c>
      <c r="L70" s="20">
        <v>0</v>
      </c>
    </row>
    <row r="71" spans="1:12">
      <c r="A71" s="20" t="s">
        <v>597</v>
      </c>
      <c r="B71" s="20" t="s">
        <v>218</v>
      </c>
      <c r="C71" s="20" t="s">
        <v>319</v>
      </c>
      <c r="D71" s="20" t="s">
        <v>308</v>
      </c>
      <c r="E71" s="20">
        <v>1897713</v>
      </c>
      <c r="F71" s="20">
        <v>1150871</v>
      </c>
      <c r="G71" s="20">
        <v>1151458</v>
      </c>
      <c r="H71" s="20">
        <v>1165099</v>
      </c>
      <c r="I71" s="20">
        <v>336002</v>
      </c>
      <c r="J71" s="20">
        <v>372224</v>
      </c>
      <c r="K71" s="20">
        <v>589822</v>
      </c>
      <c r="L71" s="20">
        <v>0</v>
      </c>
    </row>
    <row r="72" spans="1:12">
      <c r="A72" s="20" t="s">
        <v>596</v>
      </c>
      <c r="B72" s="20" t="s">
        <v>250</v>
      </c>
      <c r="C72" s="20" t="s">
        <v>319</v>
      </c>
      <c r="D72" s="20" t="s">
        <v>308</v>
      </c>
      <c r="E72" s="20">
        <v>71892374</v>
      </c>
      <c r="F72" s="20">
        <v>64777616</v>
      </c>
      <c r="G72" s="20">
        <v>33415005</v>
      </c>
      <c r="H72" s="20">
        <v>2591924</v>
      </c>
      <c r="I72" s="20">
        <v>2341654</v>
      </c>
      <c r="J72" s="20">
        <v>1043987</v>
      </c>
      <c r="K72" s="20">
        <v>0</v>
      </c>
      <c r="L72" s="20">
        <v>0</v>
      </c>
    </row>
    <row r="73" spans="1:12">
      <c r="A73" s="20" t="s">
        <v>595</v>
      </c>
      <c r="B73" s="20" t="s">
        <v>74</v>
      </c>
      <c r="C73" s="20" t="s">
        <v>319</v>
      </c>
      <c r="D73" s="20" t="s">
        <v>308</v>
      </c>
      <c r="E73" s="20">
        <v>17919734</v>
      </c>
      <c r="F73" s="20">
        <v>4381870</v>
      </c>
      <c r="G73" s="20">
        <v>1598662</v>
      </c>
      <c r="H73" s="20">
        <v>1282354</v>
      </c>
      <c r="I73" s="20">
        <v>128987</v>
      </c>
      <c r="J73" s="20">
        <v>162451</v>
      </c>
      <c r="K73" s="20">
        <v>0</v>
      </c>
      <c r="L73" s="20">
        <v>0</v>
      </c>
    </row>
    <row r="74" spans="1:12">
      <c r="A74" s="20" t="s">
        <v>594</v>
      </c>
      <c r="B74" s="20" t="s">
        <v>100</v>
      </c>
      <c r="C74" s="20" t="s">
        <v>319</v>
      </c>
      <c r="D74" s="20" t="s">
        <v>308</v>
      </c>
      <c r="E74" s="20">
        <v>47863593</v>
      </c>
      <c r="F74" s="20">
        <v>42235006</v>
      </c>
      <c r="G74" s="20">
        <v>683098</v>
      </c>
      <c r="H74" s="20">
        <v>688352</v>
      </c>
      <c r="I74" s="20">
        <v>734231</v>
      </c>
      <c r="J74" s="20">
        <v>924724</v>
      </c>
      <c r="K74" s="20">
        <v>0</v>
      </c>
      <c r="L74" s="20">
        <v>0</v>
      </c>
    </row>
    <row r="75" spans="1:12">
      <c r="A75" s="20" t="s">
        <v>593</v>
      </c>
      <c r="B75" s="20" t="s">
        <v>124</v>
      </c>
      <c r="C75" s="20" t="s">
        <v>328</v>
      </c>
      <c r="D75" s="20" t="s">
        <v>305</v>
      </c>
      <c r="E75" s="20">
        <v>46427096</v>
      </c>
      <c r="F75" s="20">
        <v>10484</v>
      </c>
      <c r="G75" s="20">
        <v>156161</v>
      </c>
      <c r="H75" s="20">
        <v>1887</v>
      </c>
      <c r="I75" s="20">
        <v>852</v>
      </c>
      <c r="J75" s="20">
        <v>526</v>
      </c>
      <c r="K75" s="20">
        <v>0</v>
      </c>
      <c r="L75" s="20">
        <v>0</v>
      </c>
    </row>
    <row r="76" spans="1:12">
      <c r="A76" s="20" t="s">
        <v>592</v>
      </c>
      <c r="B76" s="20" t="s">
        <v>48</v>
      </c>
      <c r="C76" s="20" t="s">
        <v>319</v>
      </c>
      <c r="D76" s="20" t="s">
        <v>308</v>
      </c>
      <c r="E76" s="20">
        <v>2018038</v>
      </c>
      <c r="F76" s="20">
        <v>314243</v>
      </c>
      <c r="G76" s="20">
        <v>27585</v>
      </c>
      <c r="H76" s="20">
        <v>11344</v>
      </c>
      <c r="I76" s="20">
        <v>6071</v>
      </c>
      <c r="J76" s="20">
        <v>12058</v>
      </c>
      <c r="K76" s="20">
        <v>0</v>
      </c>
      <c r="L76" s="20">
        <v>0</v>
      </c>
    </row>
    <row r="77" spans="1:12">
      <c r="A77" s="20" t="s">
        <v>591</v>
      </c>
      <c r="B77" s="20" t="s">
        <v>288</v>
      </c>
      <c r="C77" s="20" t="s">
        <v>306</v>
      </c>
      <c r="D77" s="20" t="s">
        <v>324</v>
      </c>
      <c r="E77" s="20">
        <v>115281</v>
      </c>
      <c r="F77" s="20">
        <v>78170</v>
      </c>
      <c r="G77" s="20">
        <v>1142</v>
      </c>
      <c r="H77" s="20">
        <v>1345</v>
      </c>
      <c r="I77" s="20">
        <v>0</v>
      </c>
      <c r="J77" s="20">
        <v>0</v>
      </c>
      <c r="K77" s="20">
        <v>0</v>
      </c>
      <c r="L77" s="20">
        <v>0</v>
      </c>
    </row>
    <row r="78" spans="1:12">
      <c r="A78" s="20" t="s">
        <v>590</v>
      </c>
      <c r="B78" s="20" t="s">
        <v>60</v>
      </c>
      <c r="C78" s="20" t="s">
        <v>306</v>
      </c>
      <c r="D78" s="20" t="s">
        <v>305</v>
      </c>
      <c r="E78" s="20">
        <v>45252825</v>
      </c>
      <c r="F78" s="20">
        <v>7494183</v>
      </c>
      <c r="G78" s="20">
        <v>670271</v>
      </c>
      <c r="H78" s="20">
        <v>362607</v>
      </c>
      <c r="I78" s="20">
        <v>109707</v>
      </c>
      <c r="J78" s="20">
        <v>42739</v>
      </c>
      <c r="K78" s="20">
        <v>877</v>
      </c>
      <c r="L78" s="20">
        <v>0</v>
      </c>
    </row>
    <row r="79" spans="1:12">
      <c r="A79" s="20" t="s">
        <v>589</v>
      </c>
      <c r="B79" s="20" t="s">
        <v>288</v>
      </c>
      <c r="C79" s="20" t="s">
        <v>319</v>
      </c>
      <c r="D79" s="20" t="s">
        <v>324</v>
      </c>
      <c r="E79" s="20">
        <v>302659055</v>
      </c>
      <c r="F79" s="20">
        <v>9078150</v>
      </c>
      <c r="G79" s="20">
        <v>952116</v>
      </c>
      <c r="H79" s="20">
        <v>958056</v>
      </c>
      <c r="I79" s="20">
        <v>2815180</v>
      </c>
      <c r="J79" s="20">
        <v>0</v>
      </c>
      <c r="K79" s="20">
        <v>0</v>
      </c>
      <c r="L79" s="20">
        <v>0</v>
      </c>
    </row>
    <row r="80" spans="1:12">
      <c r="A80" s="20" t="s">
        <v>588</v>
      </c>
      <c r="B80" s="20" t="s">
        <v>54</v>
      </c>
      <c r="C80" s="20" t="s">
        <v>306</v>
      </c>
      <c r="D80" s="20" t="s">
        <v>324</v>
      </c>
      <c r="E80" s="20">
        <v>7180508</v>
      </c>
      <c r="F80" s="20">
        <v>0</v>
      </c>
      <c r="G80" s="20">
        <v>0</v>
      </c>
      <c r="H80" s="20">
        <v>0</v>
      </c>
      <c r="I80" s="20">
        <v>0</v>
      </c>
      <c r="J80" s="20">
        <v>0</v>
      </c>
      <c r="K80" s="20">
        <v>0</v>
      </c>
      <c r="L80" s="20">
        <v>0</v>
      </c>
    </row>
    <row r="81" spans="1:12">
      <c r="A81" s="20" t="s">
        <v>587</v>
      </c>
      <c r="B81" s="20" t="s">
        <v>60</v>
      </c>
      <c r="C81" s="20" t="s">
        <v>306</v>
      </c>
      <c r="D81" s="20" t="s">
        <v>305</v>
      </c>
      <c r="E81" s="20">
        <v>4127969</v>
      </c>
      <c r="F81" s="20">
        <v>4438054</v>
      </c>
      <c r="G81" s="20">
        <v>1251683</v>
      </c>
      <c r="H81" s="20">
        <v>735042</v>
      </c>
      <c r="I81" s="20">
        <v>430420</v>
      </c>
      <c r="J81" s="20">
        <v>298711</v>
      </c>
      <c r="K81" s="20">
        <v>0</v>
      </c>
      <c r="L81" s="20">
        <v>0</v>
      </c>
    </row>
    <row r="82" spans="1:12">
      <c r="A82" s="22" t="s">
        <v>586</v>
      </c>
      <c r="B82" s="22" t="s">
        <v>60</v>
      </c>
      <c r="C82" s="22" t="s">
        <v>306</v>
      </c>
      <c r="D82" s="22" t="s">
        <v>305</v>
      </c>
      <c r="E82" s="22">
        <v>1988425871</v>
      </c>
      <c r="F82" s="22">
        <v>2534975509</v>
      </c>
      <c r="G82" s="22">
        <v>481326020</v>
      </c>
      <c r="H82" s="22">
        <v>71345781</v>
      </c>
      <c r="I82" s="22">
        <v>3411143</v>
      </c>
      <c r="J82" s="22">
        <v>1148803</v>
      </c>
      <c r="K82" s="22">
        <v>210714</v>
      </c>
      <c r="L82" s="22">
        <v>0</v>
      </c>
    </row>
    <row r="83" spans="1:12">
      <c r="A83" s="20" t="s">
        <v>585</v>
      </c>
      <c r="B83" s="20" t="s">
        <v>118</v>
      </c>
      <c r="C83" s="20" t="s">
        <v>328</v>
      </c>
      <c r="D83" s="20" t="s">
        <v>305</v>
      </c>
      <c r="E83" s="20">
        <v>690903630</v>
      </c>
      <c r="F83" s="20">
        <v>397203781</v>
      </c>
      <c r="G83" s="20">
        <v>135938970</v>
      </c>
      <c r="H83" s="20">
        <v>43128285</v>
      </c>
      <c r="I83" s="20">
        <v>2563013</v>
      </c>
      <c r="J83" s="20">
        <v>952615</v>
      </c>
      <c r="K83" s="20">
        <v>186121</v>
      </c>
      <c r="L83" s="20">
        <v>0</v>
      </c>
    </row>
    <row r="84" spans="1:12">
      <c r="A84" s="20" t="s">
        <v>584</v>
      </c>
      <c r="B84" s="20" t="s">
        <v>60</v>
      </c>
      <c r="C84" s="20" t="s">
        <v>306</v>
      </c>
      <c r="D84" s="20" t="s">
        <v>305</v>
      </c>
      <c r="E84" s="20">
        <v>8485371</v>
      </c>
      <c r="F84" s="20">
        <v>13980328</v>
      </c>
      <c r="G84" s="20">
        <v>2258718</v>
      </c>
      <c r="H84" s="20">
        <v>184533</v>
      </c>
      <c r="I84" s="20">
        <v>5546</v>
      </c>
      <c r="J84" s="20">
        <v>2475</v>
      </c>
      <c r="K84" s="20">
        <v>312</v>
      </c>
      <c r="L84" s="20">
        <v>0</v>
      </c>
    </row>
    <row r="85" spans="1:12">
      <c r="A85" s="20" t="s">
        <v>583</v>
      </c>
      <c r="B85" s="20" t="s">
        <v>94</v>
      </c>
      <c r="C85" s="20" t="s">
        <v>319</v>
      </c>
      <c r="D85" s="20" t="s">
        <v>308</v>
      </c>
      <c r="E85" s="20">
        <v>75471460</v>
      </c>
      <c r="F85" s="20">
        <v>81306369</v>
      </c>
      <c r="G85" s="20">
        <v>81306369</v>
      </c>
      <c r="H85" s="20">
        <v>81306369</v>
      </c>
      <c r="I85" s="20">
        <v>0</v>
      </c>
      <c r="J85" s="20">
        <v>0</v>
      </c>
      <c r="K85" s="20">
        <v>0</v>
      </c>
      <c r="L85" s="20">
        <v>0</v>
      </c>
    </row>
    <row r="86" spans="1:12">
      <c r="A86" s="20" t="s">
        <v>582</v>
      </c>
      <c r="B86" s="20" t="s">
        <v>54</v>
      </c>
      <c r="C86" s="20" t="s">
        <v>319</v>
      </c>
      <c r="D86" s="20" t="s">
        <v>324</v>
      </c>
      <c r="E86" s="20">
        <v>125147</v>
      </c>
      <c r="F86" s="20">
        <v>17854</v>
      </c>
      <c r="G86" s="20">
        <v>38686</v>
      </c>
      <c r="H86" s="20">
        <v>40620</v>
      </c>
      <c r="I86" s="20">
        <v>48190</v>
      </c>
      <c r="J86" s="20">
        <v>0</v>
      </c>
      <c r="K86" s="20">
        <v>0</v>
      </c>
      <c r="L86" s="20">
        <v>0</v>
      </c>
    </row>
    <row r="87" spans="1:12">
      <c r="A87" s="20" t="s">
        <v>581</v>
      </c>
      <c r="B87" s="20" t="s">
        <v>118</v>
      </c>
      <c r="C87" s="20" t="s">
        <v>328</v>
      </c>
      <c r="D87" s="20" t="s">
        <v>305</v>
      </c>
      <c r="E87" s="20">
        <v>5841067</v>
      </c>
      <c r="F87" s="20">
        <v>7709300</v>
      </c>
      <c r="G87" s="20">
        <v>5133807</v>
      </c>
      <c r="H87" s="20">
        <v>660845</v>
      </c>
      <c r="I87" s="20">
        <v>191953</v>
      </c>
      <c r="J87" s="20">
        <v>0</v>
      </c>
      <c r="K87" s="20">
        <v>0</v>
      </c>
      <c r="L87" s="20">
        <v>0</v>
      </c>
    </row>
    <row r="88" spans="1:12">
      <c r="A88" s="20" t="s">
        <v>580</v>
      </c>
      <c r="B88" s="20" t="s">
        <v>288</v>
      </c>
      <c r="C88" s="20" t="s">
        <v>306</v>
      </c>
      <c r="D88" s="20" t="s">
        <v>324</v>
      </c>
      <c r="E88" s="20">
        <v>10399003</v>
      </c>
      <c r="F88" s="20">
        <v>2422702</v>
      </c>
      <c r="G88" s="20">
        <v>1999792</v>
      </c>
      <c r="H88" s="20">
        <v>2052130</v>
      </c>
      <c r="I88" s="20">
        <v>2109729</v>
      </c>
      <c r="J88" s="20">
        <v>0</v>
      </c>
      <c r="K88" s="20">
        <v>0</v>
      </c>
      <c r="L88" s="20">
        <v>0</v>
      </c>
    </row>
    <row r="89" spans="1:12">
      <c r="A89" s="20" t="s">
        <v>579</v>
      </c>
      <c r="B89" s="20" t="s">
        <v>118</v>
      </c>
      <c r="C89" s="20" t="s">
        <v>328</v>
      </c>
      <c r="D89" s="20" t="s">
        <v>305</v>
      </c>
      <c r="E89" s="20">
        <v>96294683</v>
      </c>
      <c r="F89" s="20">
        <v>67980136</v>
      </c>
      <c r="G89" s="20">
        <v>34293175</v>
      </c>
      <c r="H89" s="20">
        <v>4640958</v>
      </c>
      <c r="I89" s="20">
        <v>1824439</v>
      </c>
      <c r="J89" s="20">
        <v>789361</v>
      </c>
      <c r="K89" s="20">
        <v>711</v>
      </c>
      <c r="L89" s="20">
        <v>0</v>
      </c>
    </row>
    <row r="90" spans="1:12">
      <c r="A90" s="20" t="s">
        <v>578</v>
      </c>
      <c r="B90" s="20" t="s">
        <v>288</v>
      </c>
      <c r="C90" s="20" t="s">
        <v>319</v>
      </c>
      <c r="D90" s="20" t="s">
        <v>324</v>
      </c>
      <c r="E90" s="20">
        <v>66253711</v>
      </c>
      <c r="F90" s="20">
        <v>72819340</v>
      </c>
      <c r="G90" s="20">
        <v>1569465</v>
      </c>
      <c r="H90" s="20">
        <v>1128200</v>
      </c>
      <c r="I90" s="20">
        <v>1461288</v>
      </c>
      <c r="J90" s="20">
        <v>1589714</v>
      </c>
      <c r="K90" s="20">
        <v>1429443</v>
      </c>
      <c r="L90" s="20">
        <v>0</v>
      </c>
    </row>
    <row r="91" spans="1:12">
      <c r="A91" s="20" t="s">
        <v>577</v>
      </c>
      <c r="B91" s="20" t="s">
        <v>288</v>
      </c>
      <c r="C91" s="20" t="s">
        <v>319</v>
      </c>
      <c r="D91" s="20" t="s">
        <v>324</v>
      </c>
      <c r="E91" s="20">
        <v>6183448</v>
      </c>
      <c r="F91" s="20">
        <v>6071361</v>
      </c>
      <c r="G91" s="20">
        <v>2727321</v>
      </c>
      <c r="H91" s="20">
        <v>1298313</v>
      </c>
      <c r="I91" s="20">
        <v>834711</v>
      </c>
      <c r="J91" s="20">
        <v>678783</v>
      </c>
      <c r="K91" s="20">
        <v>0</v>
      </c>
      <c r="L91" s="20">
        <v>0</v>
      </c>
    </row>
    <row r="92" spans="1:12">
      <c r="A92" s="20" t="s">
        <v>576</v>
      </c>
      <c r="B92" s="20" t="s">
        <v>182</v>
      </c>
      <c r="C92" s="20" t="s">
        <v>319</v>
      </c>
      <c r="D92" s="20" t="s">
        <v>324</v>
      </c>
      <c r="E92" s="20">
        <v>10690691</v>
      </c>
      <c r="F92" s="20">
        <v>9569125</v>
      </c>
      <c r="G92" s="20">
        <v>2230518</v>
      </c>
      <c r="H92" s="20">
        <v>413797</v>
      </c>
      <c r="I92" s="20">
        <v>418497</v>
      </c>
      <c r="J92" s="20">
        <v>429733</v>
      </c>
      <c r="K92" s="20">
        <v>504513</v>
      </c>
      <c r="L92" s="20">
        <v>0</v>
      </c>
    </row>
    <row r="93" spans="1:12">
      <c r="A93" s="20" t="s">
        <v>575</v>
      </c>
      <c r="B93" s="20" t="s">
        <v>294</v>
      </c>
      <c r="C93" s="20" t="s">
        <v>319</v>
      </c>
      <c r="D93" s="20" t="s">
        <v>324</v>
      </c>
      <c r="E93" s="20">
        <v>1706381</v>
      </c>
      <c r="F93" s="20">
        <v>1584372</v>
      </c>
      <c r="G93" s="20">
        <v>826804</v>
      </c>
      <c r="H93" s="20">
        <v>85756</v>
      </c>
      <c r="I93" s="20">
        <v>90600</v>
      </c>
      <c r="J93" s="20">
        <v>0</v>
      </c>
      <c r="K93" s="20">
        <v>0</v>
      </c>
      <c r="L93" s="20">
        <v>0</v>
      </c>
    </row>
    <row r="94" spans="1:12">
      <c r="A94" s="20" t="s">
        <v>574</v>
      </c>
      <c r="B94" s="20" t="s">
        <v>60</v>
      </c>
      <c r="C94" s="20" t="s">
        <v>306</v>
      </c>
      <c r="D94" s="20" t="s">
        <v>305</v>
      </c>
      <c r="E94" s="20">
        <v>39080981</v>
      </c>
      <c r="F94" s="20">
        <v>6346130</v>
      </c>
      <c r="G94" s="20">
        <v>585419</v>
      </c>
      <c r="H94" s="20">
        <v>311879</v>
      </c>
      <c r="I94" s="20">
        <v>87951</v>
      </c>
      <c r="J94" s="20">
        <v>31207</v>
      </c>
      <c r="K94" s="20">
        <v>741</v>
      </c>
      <c r="L94" s="20">
        <v>0</v>
      </c>
    </row>
    <row r="95" spans="1:12">
      <c r="A95" s="20" t="s">
        <v>573</v>
      </c>
      <c r="B95" s="20" t="s">
        <v>60</v>
      </c>
      <c r="C95" s="20" t="s">
        <v>306</v>
      </c>
      <c r="D95" s="20" t="s">
        <v>305</v>
      </c>
      <c r="E95" s="20">
        <v>5292183</v>
      </c>
      <c r="F95" s="20">
        <v>733492</v>
      </c>
      <c r="G95" s="20">
        <v>65603</v>
      </c>
      <c r="H95" s="20">
        <v>35490</v>
      </c>
      <c r="I95" s="20">
        <v>9742</v>
      </c>
      <c r="J95" s="20">
        <v>4428</v>
      </c>
      <c r="K95" s="20">
        <v>111</v>
      </c>
      <c r="L95" s="20">
        <v>0</v>
      </c>
    </row>
    <row r="96" spans="1:12">
      <c r="A96" s="20" t="s">
        <v>572</v>
      </c>
      <c r="B96" s="20" t="s">
        <v>490</v>
      </c>
      <c r="C96" s="20" t="s">
        <v>306</v>
      </c>
      <c r="D96" s="20" t="s">
        <v>305</v>
      </c>
      <c r="E96" s="20">
        <v>22605212</v>
      </c>
      <c r="F96" s="20">
        <v>7370492</v>
      </c>
      <c r="G96" s="20">
        <v>2820252</v>
      </c>
      <c r="H96" s="20">
        <v>871526</v>
      </c>
      <c r="I96" s="20">
        <v>143513</v>
      </c>
      <c r="J96" s="20">
        <v>247024</v>
      </c>
      <c r="K96" s="20">
        <v>0</v>
      </c>
      <c r="L96" s="20">
        <v>0</v>
      </c>
    </row>
    <row r="97" spans="1:12">
      <c r="A97" s="20" t="s">
        <v>571</v>
      </c>
      <c r="B97" s="20" t="s">
        <v>60</v>
      </c>
      <c r="C97" s="20" t="s">
        <v>306</v>
      </c>
      <c r="D97" s="20" t="s">
        <v>305</v>
      </c>
      <c r="E97" s="20">
        <v>763416175</v>
      </c>
      <c r="F97" s="20">
        <v>1192947374</v>
      </c>
      <c r="G97" s="20">
        <v>193342811</v>
      </c>
      <c r="H97" s="20">
        <v>16509426</v>
      </c>
      <c r="I97" s="20">
        <v>1274334</v>
      </c>
      <c r="J97" s="20">
        <v>758168</v>
      </c>
      <c r="K97" s="20">
        <v>13097</v>
      </c>
      <c r="L97" s="20">
        <v>0</v>
      </c>
    </row>
    <row r="98" spans="1:12">
      <c r="A98" s="20" t="s">
        <v>570</v>
      </c>
      <c r="B98" s="20" t="s">
        <v>288</v>
      </c>
      <c r="C98" s="20" t="s">
        <v>319</v>
      </c>
      <c r="D98" s="20" t="s">
        <v>324</v>
      </c>
      <c r="E98" s="20">
        <v>168083628</v>
      </c>
      <c r="F98" s="20">
        <v>5312877</v>
      </c>
      <c r="G98" s="20">
        <v>1891442</v>
      </c>
      <c r="H98" s="20">
        <v>1496379</v>
      </c>
      <c r="I98" s="20">
        <v>0</v>
      </c>
      <c r="J98" s="20">
        <v>0</v>
      </c>
      <c r="K98" s="20">
        <v>0</v>
      </c>
      <c r="L98" s="20">
        <v>0</v>
      </c>
    </row>
    <row r="99" spans="1:12">
      <c r="A99" s="20" t="s">
        <v>569</v>
      </c>
      <c r="B99" s="20" t="s">
        <v>288</v>
      </c>
      <c r="C99" s="20" t="s">
        <v>319</v>
      </c>
      <c r="D99" s="20" t="s">
        <v>324</v>
      </c>
      <c r="E99" s="20">
        <v>97851054</v>
      </c>
      <c r="F99" s="20">
        <v>1707441</v>
      </c>
      <c r="G99" s="20">
        <v>561498</v>
      </c>
      <c r="H99" s="20">
        <v>474975</v>
      </c>
      <c r="I99" s="20">
        <v>319906</v>
      </c>
      <c r="J99" s="20">
        <v>786663</v>
      </c>
      <c r="K99" s="20">
        <v>2075698</v>
      </c>
      <c r="L99" s="20">
        <v>0</v>
      </c>
    </row>
    <row r="100" spans="1:12">
      <c r="A100" s="22" t="s">
        <v>568</v>
      </c>
      <c r="B100" s="22" t="s">
        <v>60</v>
      </c>
      <c r="C100" s="22" t="s">
        <v>306</v>
      </c>
      <c r="D100" s="22" t="s">
        <v>305</v>
      </c>
      <c r="E100" s="22">
        <v>881621827</v>
      </c>
      <c r="F100" s="22">
        <v>1003385435</v>
      </c>
      <c r="G100" s="22">
        <v>540391657</v>
      </c>
      <c r="H100" s="22">
        <v>34038524</v>
      </c>
      <c r="I100" s="22">
        <v>2083507</v>
      </c>
      <c r="J100" s="22">
        <v>1006328</v>
      </c>
      <c r="K100" s="22">
        <v>0</v>
      </c>
      <c r="L100" s="22">
        <v>0</v>
      </c>
    </row>
    <row r="101" spans="1:12">
      <c r="A101" s="20" t="s">
        <v>567</v>
      </c>
      <c r="B101" s="20" t="s">
        <v>60</v>
      </c>
      <c r="C101" s="20" t="s">
        <v>306</v>
      </c>
      <c r="D101" s="20" t="s">
        <v>305</v>
      </c>
      <c r="E101" s="20">
        <v>101504439</v>
      </c>
      <c r="F101" s="20">
        <v>172136801</v>
      </c>
      <c r="G101" s="20">
        <v>77521051</v>
      </c>
      <c r="H101" s="20">
        <v>31306880</v>
      </c>
      <c r="I101" s="20">
        <v>10049440</v>
      </c>
      <c r="J101" s="20">
        <v>5268906</v>
      </c>
      <c r="K101" s="20">
        <v>3982756</v>
      </c>
      <c r="L101" s="20">
        <v>0</v>
      </c>
    </row>
    <row r="102" spans="1:12">
      <c r="A102" s="20" t="s">
        <v>566</v>
      </c>
      <c r="B102" s="20" t="s">
        <v>288</v>
      </c>
      <c r="C102" s="20" t="s">
        <v>319</v>
      </c>
      <c r="D102" s="20" t="s">
        <v>324</v>
      </c>
      <c r="E102" s="20">
        <v>3447535628</v>
      </c>
      <c r="F102" s="20">
        <v>5998049</v>
      </c>
      <c r="G102" s="20">
        <v>2101622</v>
      </c>
      <c r="H102" s="20">
        <v>806531</v>
      </c>
      <c r="I102" s="20">
        <v>818216</v>
      </c>
      <c r="J102" s="20">
        <v>161312</v>
      </c>
      <c r="K102" s="20">
        <v>0</v>
      </c>
      <c r="L102" s="20">
        <v>0</v>
      </c>
    </row>
    <row r="103" spans="1:12">
      <c r="A103" s="20" t="s">
        <v>565</v>
      </c>
      <c r="B103" s="20" t="s">
        <v>288</v>
      </c>
      <c r="C103" s="20" t="s">
        <v>311</v>
      </c>
      <c r="D103" s="20" t="s">
        <v>324</v>
      </c>
      <c r="E103" s="20">
        <v>8179207</v>
      </c>
      <c r="F103" s="20">
        <v>12049166</v>
      </c>
      <c r="G103" s="20">
        <v>8609</v>
      </c>
      <c r="H103" s="20">
        <v>622</v>
      </c>
      <c r="I103" s="20">
        <v>0</v>
      </c>
      <c r="J103" s="20">
        <v>0</v>
      </c>
      <c r="K103" s="20">
        <v>83</v>
      </c>
      <c r="L103" s="20">
        <v>0</v>
      </c>
    </row>
    <row r="104" spans="1:12">
      <c r="A104" s="20" t="s">
        <v>564</v>
      </c>
      <c r="B104" s="20" t="s">
        <v>228</v>
      </c>
      <c r="C104" s="20" t="s">
        <v>319</v>
      </c>
      <c r="D104" s="20" t="s">
        <v>308</v>
      </c>
      <c r="E104" s="20">
        <v>3698356</v>
      </c>
      <c r="F104" s="20">
        <v>3663830</v>
      </c>
      <c r="G104" s="20">
        <v>0</v>
      </c>
      <c r="H104" s="20">
        <v>0</v>
      </c>
      <c r="I104" s="20">
        <v>0</v>
      </c>
      <c r="J104" s="20">
        <v>0</v>
      </c>
      <c r="K104" s="20">
        <v>0</v>
      </c>
      <c r="L104" s="20">
        <v>0</v>
      </c>
    </row>
    <row r="105" spans="1:12">
      <c r="A105" s="20" t="s">
        <v>563</v>
      </c>
      <c r="B105" s="20" t="s">
        <v>196</v>
      </c>
      <c r="C105" s="20" t="s">
        <v>319</v>
      </c>
      <c r="D105" s="20" t="s">
        <v>308</v>
      </c>
      <c r="E105" s="20">
        <v>7956430</v>
      </c>
      <c r="F105" s="20">
        <v>5982210</v>
      </c>
      <c r="G105" s="20">
        <v>2950666</v>
      </c>
      <c r="H105" s="20">
        <v>0</v>
      </c>
      <c r="I105" s="20">
        <v>0</v>
      </c>
      <c r="J105" s="20">
        <v>0</v>
      </c>
      <c r="K105" s="20">
        <v>0</v>
      </c>
      <c r="L105" s="20">
        <v>0</v>
      </c>
    </row>
    <row r="106" spans="1:12">
      <c r="A106" s="20" t="s">
        <v>562</v>
      </c>
      <c r="B106" s="20" t="s">
        <v>288</v>
      </c>
      <c r="C106" s="20" t="s">
        <v>319</v>
      </c>
      <c r="D106" s="20" t="s">
        <v>324</v>
      </c>
      <c r="E106" s="20">
        <v>2526690994</v>
      </c>
      <c r="F106" s="20">
        <v>916034579</v>
      </c>
      <c r="G106" s="20">
        <v>463059401</v>
      </c>
      <c r="H106" s="20">
        <v>59767</v>
      </c>
      <c r="I106" s="20">
        <v>153750</v>
      </c>
      <c r="J106" s="20">
        <v>0</v>
      </c>
      <c r="K106" s="20">
        <v>0</v>
      </c>
      <c r="L106" s="20">
        <v>0</v>
      </c>
    </row>
    <row r="107" spans="1:12">
      <c r="A107" s="20" t="s">
        <v>561</v>
      </c>
      <c r="B107" s="20" t="s">
        <v>120</v>
      </c>
      <c r="C107" s="20" t="s">
        <v>328</v>
      </c>
      <c r="D107" s="20" t="s">
        <v>305</v>
      </c>
      <c r="E107" s="20">
        <v>3698356</v>
      </c>
      <c r="F107" s="20">
        <v>3698260</v>
      </c>
      <c r="G107" s="20">
        <v>30707</v>
      </c>
      <c r="H107" s="20">
        <v>100</v>
      </c>
      <c r="I107" s="20">
        <v>48</v>
      </c>
      <c r="J107" s="20">
        <v>0</v>
      </c>
      <c r="K107" s="20">
        <v>0</v>
      </c>
      <c r="L107" s="20">
        <v>0</v>
      </c>
    </row>
    <row r="108" spans="1:12">
      <c r="A108" s="20" t="s">
        <v>560</v>
      </c>
      <c r="B108" s="20" t="s">
        <v>208</v>
      </c>
      <c r="C108" s="20" t="s">
        <v>328</v>
      </c>
      <c r="D108" s="20" t="s">
        <v>305</v>
      </c>
      <c r="E108" s="20">
        <v>57828472</v>
      </c>
      <c r="F108" s="20">
        <v>21167908</v>
      </c>
      <c r="G108" s="20">
        <v>5652883</v>
      </c>
      <c r="H108" s="20">
        <v>4033487</v>
      </c>
      <c r="I108" s="20">
        <v>0</v>
      </c>
      <c r="J108" s="20">
        <v>0</v>
      </c>
      <c r="K108" s="20">
        <v>0</v>
      </c>
      <c r="L108" s="20">
        <v>0</v>
      </c>
    </row>
    <row r="109" spans="1:12">
      <c r="A109" s="20" t="s">
        <v>559</v>
      </c>
      <c r="B109" s="20" t="s">
        <v>309</v>
      </c>
      <c r="C109" s="20" t="s">
        <v>306</v>
      </c>
      <c r="D109" s="20" t="s">
        <v>308</v>
      </c>
      <c r="E109" s="20">
        <v>308692560</v>
      </c>
      <c r="F109" s="20">
        <v>0</v>
      </c>
      <c r="G109" s="20">
        <v>0</v>
      </c>
      <c r="H109" s="20">
        <v>0</v>
      </c>
      <c r="I109" s="20">
        <v>0</v>
      </c>
      <c r="J109" s="20">
        <v>0</v>
      </c>
      <c r="K109" s="20">
        <v>0</v>
      </c>
      <c r="L109" s="20">
        <v>0</v>
      </c>
    </row>
    <row r="110" spans="1:12">
      <c r="A110" s="20" t="s">
        <v>558</v>
      </c>
      <c r="B110" s="20" t="s">
        <v>100</v>
      </c>
      <c r="C110" s="20" t="s">
        <v>319</v>
      </c>
      <c r="D110" s="20" t="s">
        <v>308</v>
      </c>
      <c r="E110" s="20">
        <v>957401</v>
      </c>
      <c r="F110" s="20">
        <v>632544</v>
      </c>
      <c r="G110" s="20">
        <v>435488</v>
      </c>
      <c r="H110" s="20">
        <v>438838</v>
      </c>
      <c r="I110" s="20">
        <v>0</v>
      </c>
      <c r="J110" s="20">
        <v>0</v>
      </c>
      <c r="K110" s="20">
        <v>0</v>
      </c>
      <c r="L110" s="20">
        <v>0</v>
      </c>
    </row>
    <row r="111" spans="1:12">
      <c r="A111" s="20" t="s">
        <v>557</v>
      </c>
      <c r="B111" s="20" t="s">
        <v>192</v>
      </c>
      <c r="C111" s="20" t="s">
        <v>328</v>
      </c>
      <c r="D111" s="20" t="s">
        <v>305</v>
      </c>
      <c r="E111" s="20">
        <v>358215</v>
      </c>
      <c r="F111" s="20">
        <v>0</v>
      </c>
      <c r="G111" s="20">
        <v>321</v>
      </c>
      <c r="H111" s="20">
        <v>54827</v>
      </c>
      <c r="I111" s="20">
        <v>0</v>
      </c>
      <c r="J111" s="20">
        <v>0</v>
      </c>
      <c r="K111" s="20">
        <v>0</v>
      </c>
      <c r="L111" s="20">
        <v>0</v>
      </c>
    </row>
    <row r="112" spans="1:12">
      <c r="A112" s="20" t="s">
        <v>556</v>
      </c>
      <c r="B112" s="20" t="s">
        <v>309</v>
      </c>
      <c r="C112" s="20" t="s">
        <v>314</v>
      </c>
      <c r="D112" s="20" t="s">
        <v>308</v>
      </c>
      <c r="E112" s="20">
        <v>24363082</v>
      </c>
      <c r="F112" s="20">
        <v>3465668</v>
      </c>
      <c r="G112" s="20">
        <v>448235</v>
      </c>
      <c r="H112" s="20">
        <v>154168</v>
      </c>
      <c r="I112" s="20">
        <v>129077</v>
      </c>
      <c r="J112" s="20">
        <v>129257</v>
      </c>
      <c r="K112" s="20">
        <v>5741</v>
      </c>
      <c r="L112" s="20">
        <v>0</v>
      </c>
    </row>
    <row r="113" spans="1:12">
      <c r="A113" s="20" t="s">
        <v>555</v>
      </c>
      <c r="B113" s="20" t="s">
        <v>138</v>
      </c>
      <c r="C113" s="20" t="s">
        <v>306</v>
      </c>
      <c r="D113" s="20" t="s">
        <v>305</v>
      </c>
      <c r="E113" s="20">
        <v>320403074</v>
      </c>
      <c r="F113" s="20">
        <v>68087997</v>
      </c>
      <c r="G113" s="20">
        <v>0</v>
      </c>
      <c r="H113" s="20">
        <v>0</v>
      </c>
      <c r="I113" s="20">
        <v>0</v>
      </c>
      <c r="J113" s="20">
        <v>0</v>
      </c>
      <c r="K113" s="20">
        <v>0</v>
      </c>
      <c r="L113" s="20">
        <v>0</v>
      </c>
    </row>
    <row r="114" spans="1:12">
      <c r="A114" s="20" t="s">
        <v>554</v>
      </c>
      <c r="B114" s="20" t="s">
        <v>142</v>
      </c>
      <c r="C114" s="20" t="s">
        <v>314</v>
      </c>
      <c r="D114" s="20" t="s">
        <v>305</v>
      </c>
      <c r="E114" s="20">
        <v>243681631</v>
      </c>
      <c r="F114" s="20">
        <v>0</v>
      </c>
      <c r="G114" s="20">
        <v>0</v>
      </c>
      <c r="H114" s="20">
        <v>0</v>
      </c>
      <c r="I114" s="20">
        <v>0</v>
      </c>
      <c r="J114" s="20">
        <v>0</v>
      </c>
      <c r="K114" s="20">
        <v>0</v>
      </c>
      <c r="L114" s="20">
        <v>0</v>
      </c>
    </row>
    <row r="115" spans="1:12">
      <c r="A115" s="20" t="s">
        <v>553</v>
      </c>
      <c r="B115" s="20" t="s">
        <v>288</v>
      </c>
      <c r="C115" s="20" t="s">
        <v>319</v>
      </c>
      <c r="D115" s="20" t="s">
        <v>324</v>
      </c>
      <c r="E115" s="20">
        <v>1263868</v>
      </c>
      <c r="F115" s="20">
        <v>1830451</v>
      </c>
      <c r="G115" s="20">
        <v>1044862</v>
      </c>
      <c r="H115" s="20">
        <v>625824</v>
      </c>
      <c r="I115" s="20">
        <v>463638</v>
      </c>
      <c r="J115" s="20">
        <v>208466</v>
      </c>
      <c r="K115" s="20">
        <v>1249</v>
      </c>
      <c r="L115" s="20">
        <v>0</v>
      </c>
    </row>
    <row r="116" spans="1:12">
      <c r="A116" s="20" t="s">
        <v>552</v>
      </c>
      <c r="B116" s="20" t="s">
        <v>288</v>
      </c>
      <c r="C116" s="20" t="s">
        <v>319</v>
      </c>
      <c r="D116" s="20" t="s">
        <v>324</v>
      </c>
      <c r="E116" s="20">
        <v>793559649</v>
      </c>
      <c r="F116" s="20">
        <v>83365877</v>
      </c>
      <c r="G116" s="20">
        <v>19645189</v>
      </c>
      <c r="H116" s="20">
        <v>2796890</v>
      </c>
      <c r="I116" s="20">
        <v>445914</v>
      </c>
      <c r="J116" s="20">
        <v>327109</v>
      </c>
      <c r="K116" s="20">
        <v>0</v>
      </c>
      <c r="L116" s="20">
        <v>0</v>
      </c>
    </row>
    <row r="117" spans="1:12">
      <c r="A117" s="20" t="s">
        <v>551</v>
      </c>
      <c r="B117" s="20" t="s">
        <v>118</v>
      </c>
      <c r="C117" s="20" t="s">
        <v>328</v>
      </c>
      <c r="D117" s="20" t="s">
        <v>305</v>
      </c>
      <c r="E117" s="20">
        <v>1709138</v>
      </c>
      <c r="F117" s="20">
        <v>1087</v>
      </c>
      <c r="G117" s="20">
        <v>0</v>
      </c>
      <c r="H117" s="20">
        <v>0</v>
      </c>
      <c r="I117" s="20">
        <v>0</v>
      </c>
      <c r="J117" s="20">
        <v>0</v>
      </c>
      <c r="K117" s="20">
        <v>0</v>
      </c>
      <c r="L117" s="20">
        <v>0</v>
      </c>
    </row>
    <row r="118" spans="1:12">
      <c r="A118" s="20" t="s">
        <v>550</v>
      </c>
      <c r="B118" s="20" t="s">
        <v>60</v>
      </c>
      <c r="C118" s="20" t="s">
        <v>306</v>
      </c>
      <c r="D118" s="20" t="s">
        <v>305</v>
      </c>
      <c r="E118" s="20">
        <v>10787395</v>
      </c>
      <c r="F118" s="20">
        <v>11096900</v>
      </c>
      <c r="G118" s="20">
        <v>1794172</v>
      </c>
      <c r="H118" s="20">
        <v>151594</v>
      </c>
      <c r="I118" s="20">
        <v>5017</v>
      </c>
      <c r="J118" s="20">
        <v>2343</v>
      </c>
      <c r="K118" s="20">
        <v>431</v>
      </c>
      <c r="L118" s="20">
        <v>0</v>
      </c>
    </row>
    <row r="119" spans="1:12">
      <c r="A119" s="20" t="s">
        <v>549</v>
      </c>
      <c r="B119" s="20" t="s">
        <v>60</v>
      </c>
      <c r="C119" s="20" t="s">
        <v>306</v>
      </c>
      <c r="D119" s="20" t="s">
        <v>305</v>
      </c>
      <c r="E119" s="20">
        <v>55729461</v>
      </c>
      <c r="F119" s="20">
        <v>28896</v>
      </c>
      <c r="G119" s="20">
        <v>22704</v>
      </c>
      <c r="H119" s="20">
        <v>70789</v>
      </c>
      <c r="I119" s="20">
        <v>8462</v>
      </c>
      <c r="J119" s="20">
        <v>4867</v>
      </c>
      <c r="K119" s="20">
        <v>1859</v>
      </c>
      <c r="L119" s="20">
        <v>0</v>
      </c>
    </row>
    <row r="120" spans="1:12">
      <c r="A120" s="20" t="s">
        <v>548</v>
      </c>
      <c r="B120" s="20" t="s">
        <v>60</v>
      </c>
      <c r="C120" s="20" t="s">
        <v>306</v>
      </c>
      <c r="D120" s="20" t="s">
        <v>305</v>
      </c>
      <c r="E120" s="20">
        <v>5320672</v>
      </c>
      <c r="F120" s="20">
        <v>9426625</v>
      </c>
      <c r="G120" s="20">
        <v>4364751</v>
      </c>
      <c r="H120" s="20">
        <v>2065002</v>
      </c>
      <c r="I120" s="20">
        <v>662861</v>
      </c>
      <c r="J120" s="20">
        <v>400351</v>
      </c>
      <c r="K120" s="20">
        <v>302625</v>
      </c>
      <c r="L120" s="20">
        <v>0</v>
      </c>
    </row>
    <row r="121" spans="1:12">
      <c r="A121" s="20" t="s">
        <v>140</v>
      </c>
      <c r="B121" s="20" t="s">
        <v>130</v>
      </c>
      <c r="C121" s="20" t="s">
        <v>311</v>
      </c>
      <c r="D121" s="20" t="s">
        <v>305</v>
      </c>
      <c r="E121" s="20">
        <v>2599759</v>
      </c>
      <c r="F121" s="20">
        <v>0</v>
      </c>
      <c r="G121" s="20">
        <v>0</v>
      </c>
      <c r="H121" s="20">
        <v>0</v>
      </c>
      <c r="I121" s="20">
        <v>0</v>
      </c>
      <c r="J121" s="20">
        <v>0</v>
      </c>
      <c r="K121" s="20">
        <v>0</v>
      </c>
      <c r="L121" s="20">
        <v>0</v>
      </c>
    </row>
    <row r="122" spans="1:12">
      <c r="A122" s="20" t="s">
        <v>547</v>
      </c>
      <c r="B122" s="20" t="s">
        <v>300</v>
      </c>
      <c r="C122" s="20" t="s">
        <v>328</v>
      </c>
      <c r="D122" s="20" t="s">
        <v>345</v>
      </c>
      <c r="E122" s="20">
        <v>5040</v>
      </c>
      <c r="F122" s="20">
        <v>0</v>
      </c>
      <c r="G122" s="20">
        <v>0</v>
      </c>
      <c r="H122" s="20">
        <v>0</v>
      </c>
      <c r="I122" s="20">
        <v>0</v>
      </c>
      <c r="J122" s="20">
        <v>0</v>
      </c>
      <c r="K122" s="20">
        <v>0</v>
      </c>
      <c r="L122" s="20">
        <v>0</v>
      </c>
    </row>
    <row r="123" spans="1:12">
      <c r="A123" s="20" t="s">
        <v>546</v>
      </c>
      <c r="B123" s="20" t="s">
        <v>309</v>
      </c>
      <c r="C123" s="20" t="s">
        <v>311</v>
      </c>
      <c r="D123" s="20" t="s">
        <v>308</v>
      </c>
      <c r="E123" s="20">
        <v>1036914693</v>
      </c>
      <c r="F123" s="20">
        <v>562865698</v>
      </c>
      <c r="G123" s="20">
        <v>68359</v>
      </c>
      <c r="H123" s="20">
        <v>64779</v>
      </c>
      <c r="I123" s="20">
        <v>59834</v>
      </c>
      <c r="J123" s="20">
        <v>49064</v>
      </c>
      <c r="K123" s="20">
        <v>31641</v>
      </c>
      <c r="L123" s="20">
        <v>0</v>
      </c>
    </row>
    <row r="124" spans="1:12">
      <c r="A124" s="20" t="s">
        <v>545</v>
      </c>
      <c r="B124" s="20" t="s">
        <v>288</v>
      </c>
      <c r="C124" s="20" t="s">
        <v>319</v>
      </c>
      <c r="D124" s="20" t="s">
        <v>324</v>
      </c>
      <c r="E124" s="20">
        <v>785143101</v>
      </c>
      <c r="F124" s="20">
        <v>0</v>
      </c>
      <c r="G124" s="20">
        <v>0</v>
      </c>
      <c r="H124" s="20">
        <v>0</v>
      </c>
      <c r="I124" s="20">
        <v>0</v>
      </c>
      <c r="J124" s="20">
        <v>0</v>
      </c>
      <c r="K124" s="20">
        <v>0</v>
      </c>
      <c r="L124" s="20">
        <v>0</v>
      </c>
    </row>
    <row r="125" spans="1:12">
      <c r="A125" s="20" t="s">
        <v>544</v>
      </c>
      <c r="B125" s="20" t="s">
        <v>288</v>
      </c>
      <c r="C125" s="20" t="s">
        <v>319</v>
      </c>
      <c r="D125" s="20" t="s">
        <v>324</v>
      </c>
      <c r="E125" s="20">
        <v>23378605</v>
      </c>
      <c r="F125" s="20">
        <v>15660524</v>
      </c>
      <c r="G125" s="20">
        <v>4469689</v>
      </c>
      <c r="H125" s="20">
        <v>0</v>
      </c>
      <c r="I125" s="20">
        <v>0</v>
      </c>
      <c r="J125" s="20">
        <v>0</v>
      </c>
      <c r="K125" s="20">
        <v>0</v>
      </c>
      <c r="L125" s="20">
        <v>0</v>
      </c>
    </row>
    <row r="126" spans="1:12">
      <c r="A126" s="20" t="s">
        <v>543</v>
      </c>
      <c r="B126" s="20" t="s">
        <v>288</v>
      </c>
      <c r="C126" s="20" t="s">
        <v>319</v>
      </c>
      <c r="D126" s="20" t="s">
        <v>324</v>
      </c>
      <c r="E126" s="20">
        <v>166414587</v>
      </c>
      <c r="F126" s="20">
        <v>18259173</v>
      </c>
      <c r="G126" s="20">
        <v>7078</v>
      </c>
      <c r="H126" s="20">
        <v>8262</v>
      </c>
      <c r="I126" s="20">
        <v>12056</v>
      </c>
      <c r="J126" s="20">
        <v>0</v>
      </c>
      <c r="K126" s="20">
        <v>0</v>
      </c>
      <c r="L126" s="20">
        <v>0</v>
      </c>
    </row>
    <row r="127" spans="1:12">
      <c r="A127" s="20" t="s">
        <v>542</v>
      </c>
      <c r="B127" s="20" t="s">
        <v>124</v>
      </c>
      <c r="C127" s="20" t="s">
        <v>328</v>
      </c>
      <c r="D127" s="20" t="s">
        <v>305</v>
      </c>
      <c r="E127" s="20">
        <v>25763973</v>
      </c>
      <c r="F127" s="20">
        <v>10265751</v>
      </c>
      <c r="G127" s="20">
        <v>2768529</v>
      </c>
      <c r="H127" s="20">
        <v>1152699</v>
      </c>
      <c r="I127" s="20">
        <v>526012</v>
      </c>
      <c r="J127" s="20">
        <v>397974</v>
      </c>
      <c r="K127" s="20">
        <v>0</v>
      </c>
      <c r="L127" s="20">
        <v>0</v>
      </c>
    </row>
    <row r="128" spans="1:12">
      <c r="A128" s="20" t="s">
        <v>541</v>
      </c>
      <c r="B128" s="20" t="s">
        <v>30</v>
      </c>
      <c r="C128" s="20" t="s">
        <v>328</v>
      </c>
      <c r="D128" s="20" t="s">
        <v>305</v>
      </c>
      <c r="E128" s="20">
        <v>23630729</v>
      </c>
      <c r="F128" s="20">
        <v>17212443</v>
      </c>
      <c r="G128" s="20">
        <v>8683829</v>
      </c>
      <c r="H128" s="20">
        <v>2434786</v>
      </c>
      <c r="I128" s="20">
        <v>0</v>
      </c>
      <c r="J128" s="20">
        <v>0</v>
      </c>
      <c r="K128" s="20">
        <v>0</v>
      </c>
      <c r="L128" s="20">
        <v>0</v>
      </c>
    </row>
    <row r="129" spans="1:12">
      <c r="A129" s="20" t="s">
        <v>540</v>
      </c>
      <c r="B129" s="20" t="s">
        <v>288</v>
      </c>
      <c r="C129" s="20" t="s">
        <v>319</v>
      </c>
      <c r="D129" s="20" t="s">
        <v>324</v>
      </c>
      <c r="E129" s="20">
        <v>620168438</v>
      </c>
      <c r="F129" s="20">
        <v>248853</v>
      </c>
      <c r="G129" s="20">
        <v>26100</v>
      </c>
      <c r="H129" s="20">
        <v>26262</v>
      </c>
      <c r="I129" s="20">
        <v>77120</v>
      </c>
      <c r="J129" s="20">
        <v>0</v>
      </c>
      <c r="K129" s="20">
        <v>0</v>
      </c>
      <c r="L129" s="20">
        <v>0</v>
      </c>
    </row>
    <row r="130" spans="1:12">
      <c r="A130" s="20" t="s">
        <v>539</v>
      </c>
      <c r="B130" s="20" t="s">
        <v>309</v>
      </c>
      <c r="C130" s="20" t="s">
        <v>314</v>
      </c>
      <c r="D130" s="20" t="s">
        <v>308</v>
      </c>
      <c r="E130" s="20">
        <v>211881612</v>
      </c>
      <c r="F130" s="20">
        <v>256127934</v>
      </c>
      <c r="G130" s="20">
        <v>6388087</v>
      </c>
      <c r="H130" s="20">
        <v>884584</v>
      </c>
      <c r="I130" s="20">
        <v>0</v>
      </c>
      <c r="J130" s="20">
        <v>0</v>
      </c>
      <c r="K130" s="20">
        <v>0</v>
      </c>
      <c r="L130" s="20">
        <v>0</v>
      </c>
    </row>
    <row r="131" spans="1:12">
      <c r="A131" s="20" t="s">
        <v>538</v>
      </c>
      <c r="B131" s="20" t="s">
        <v>288</v>
      </c>
      <c r="C131" s="20" t="s">
        <v>319</v>
      </c>
      <c r="D131" s="20" t="s">
        <v>324</v>
      </c>
      <c r="E131" s="20">
        <v>92007351</v>
      </c>
      <c r="F131" s="20">
        <v>8992006</v>
      </c>
      <c r="G131" s="20">
        <v>2957051</v>
      </c>
      <c r="H131" s="20">
        <v>1218045</v>
      </c>
      <c r="I131" s="20">
        <v>1118</v>
      </c>
      <c r="J131" s="20">
        <v>1374</v>
      </c>
      <c r="K131" s="20">
        <v>0</v>
      </c>
      <c r="L131" s="20">
        <v>0</v>
      </c>
    </row>
    <row r="132" spans="1:12">
      <c r="A132" s="20" t="s">
        <v>537</v>
      </c>
      <c r="B132" s="20" t="s">
        <v>276</v>
      </c>
      <c r="C132" s="20" t="s">
        <v>319</v>
      </c>
      <c r="D132" s="20" t="s">
        <v>308</v>
      </c>
      <c r="E132" s="20">
        <v>616327</v>
      </c>
      <c r="F132" s="20">
        <v>7264</v>
      </c>
      <c r="G132" s="20">
        <v>0</v>
      </c>
      <c r="H132" s="20">
        <v>0</v>
      </c>
      <c r="I132" s="20">
        <v>0</v>
      </c>
      <c r="J132" s="20">
        <v>0</v>
      </c>
      <c r="K132" s="20">
        <v>0</v>
      </c>
      <c r="L132" s="20">
        <v>0</v>
      </c>
    </row>
    <row r="133" spans="1:12">
      <c r="A133" s="20" t="s">
        <v>536</v>
      </c>
      <c r="B133" s="20" t="s">
        <v>288</v>
      </c>
      <c r="C133" s="20" t="s">
        <v>306</v>
      </c>
      <c r="D133" s="20" t="s">
        <v>324</v>
      </c>
      <c r="E133" s="20">
        <v>4114890</v>
      </c>
      <c r="F133" s="20">
        <v>444421</v>
      </c>
      <c r="G133" s="20">
        <v>415369</v>
      </c>
      <c r="H133" s="20">
        <v>434000</v>
      </c>
      <c r="I133" s="20">
        <v>244773</v>
      </c>
      <c r="J133" s="20">
        <v>0</v>
      </c>
      <c r="K133" s="20">
        <v>0</v>
      </c>
      <c r="L133" s="20">
        <v>0</v>
      </c>
    </row>
    <row r="134" spans="1:12">
      <c r="A134" s="20" t="s">
        <v>535</v>
      </c>
      <c r="B134" s="20" t="s">
        <v>256</v>
      </c>
      <c r="C134" s="20" t="s">
        <v>319</v>
      </c>
      <c r="D134" s="20" t="s">
        <v>308</v>
      </c>
      <c r="E134" s="20">
        <v>1787334</v>
      </c>
      <c r="F134" s="20">
        <v>0</v>
      </c>
      <c r="G134" s="20">
        <v>0</v>
      </c>
      <c r="H134" s="20">
        <v>0</v>
      </c>
      <c r="I134" s="20">
        <v>0</v>
      </c>
      <c r="J134" s="20">
        <v>0</v>
      </c>
      <c r="K134" s="20">
        <v>0</v>
      </c>
      <c r="L134" s="20">
        <v>0</v>
      </c>
    </row>
    <row r="135" spans="1:12">
      <c r="A135" s="20" t="s">
        <v>534</v>
      </c>
      <c r="B135" s="20" t="s">
        <v>309</v>
      </c>
      <c r="C135" s="20" t="s">
        <v>314</v>
      </c>
      <c r="D135" s="20" t="s">
        <v>308</v>
      </c>
      <c r="E135" s="20">
        <v>4110185190</v>
      </c>
      <c r="F135" s="20">
        <v>2055092595</v>
      </c>
      <c r="G135" s="20">
        <v>0</v>
      </c>
      <c r="H135" s="20">
        <v>0</v>
      </c>
      <c r="I135" s="20">
        <v>0</v>
      </c>
      <c r="J135" s="20">
        <v>0</v>
      </c>
      <c r="K135" s="20">
        <v>0</v>
      </c>
      <c r="L135" s="20">
        <v>0</v>
      </c>
    </row>
    <row r="136" spans="1:12">
      <c r="A136" s="20" t="s">
        <v>533</v>
      </c>
      <c r="B136" s="20" t="s">
        <v>118</v>
      </c>
      <c r="C136" s="20" t="s">
        <v>328</v>
      </c>
      <c r="D136" s="20" t="s">
        <v>305</v>
      </c>
      <c r="E136" s="20">
        <v>2399</v>
      </c>
      <c r="F136" s="20">
        <v>1014</v>
      </c>
      <c r="G136" s="20">
        <v>991</v>
      </c>
      <c r="H136" s="20">
        <v>187</v>
      </c>
      <c r="I136" s="20">
        <v>190</v>
      </c>
      <c r="J136" s="20">
        <v>0</v>
      </c>
      <c r="K136" s="20">
        <v>0</v>
      </c>
      <c r="L136" s="20">
        <v>0</v>
      </c>
    </row>
    <row r="137" spans="1:12">
      <c r="A137" s="20" t="s">
        <v>532</v>
      </c>
      <c r="B137" s="20" t="s">
        <v>309</v>
      </c>
      <c r="C137" s="20" t="s">
        <v>314</v>
      </c>
      <c r="D137" s="20" t="s">
        <v>308</v>
      </c>
      <c r="E137" s="20">
        <v>381895354</v>
      </c>
      <c r="F137" s="20">
        <v>17683031</v>
      </c>
      <c r="G137" s="20">
        <v>958309</v>
      </c>
      <c r="H137" s="20">
        <v>908119</v>
      </c>
      <c r="I137" s="20">
        <v>838799</v>
      </c>
      <c r="J137" s="20">
        <v>687823</v>
      </c>
      <c r="K137" s="20">
        <v>887136</v>
      </c>
      <c r="L137" s="20">
        <v>0</v>
      </c>
    </row>
    <row r="138" spans="1:12">
      <c r="A138" s="20" t="s">
        <v>531</v>
      </c>
      <c r="B138" s="20" t="s">
        <v>118</v>
      </c>
      <c r="C138" s="20" t="s">
        <v>328</v>
      </c>
      <c r="D138" s="20" t="s">
        <v>305</v>
      </c>
      <c r="E138" s="20">
        <v>70255874</v>
      </c>
      <c r="F138" s="20">
        <v>60654656</v>
      </c>
      <c r="G138" s="20">
        <v>36844306</v>
      </c>
      <c r="H138" s="20">
        <v>12787085</v>
      </c>
      <c r="I138" s="20">
        <v>3653742</v>
      </c>
      <c r="J138" s="20">
        <v>1253528</v>
      </c>
      <c r="K138" s="20">
        <v>87057</v>
      </c>
      <c r="L138" s="20">
        <v>0</v>
      </c>
    </row>
    <row r="139" spans="1:12">
      <c r="A139" s="20" t="s">
        <v>530</v>
      </c>
      <c r="B139" s="20" t="s">
        <v>309</v>
      </c>
      <c r="C139" s="20" t="s">
        <v>319</v>
      </c>
      <c r="D139" s="20" t="s">
        <v>308</v>
      </c>
      <c r="E139" s="20">
        <v>27728714</v>
      </c>
      <c r="F139" s="20">
        <v>1567491</v>
      </c>
      <c r="G139" s="20">
        <v>184462</v>
      </c>
      <c r="H139" s="20">
        <v>192848</v>
      </c>
      <c r="I139" s="20">
        <v>194249</v>
      </c>
      <c r="J139" s="20">
        <v>130983</v>
      </c>
      <c r="K139" s="20">
        <v>0</v>
      </c>
      <c r="L139" s="20">
        <v>0</v>
      </c>
    </row>
    <row r="140" spans="1:12">
      <c r="A140" s="20" t="s">
        <v>529</v>
      </c>
      <c r="B140" s="20" t="s">
        <v>196</v>
      </c>
      <c r="C140" s="20" t="s">
        <v>319</v>
      </c>
      <c r="D140" s="20" t="s">
        <v>308</v>
      </c>
      <c r="E140" s="20">
        <v>1216681923</v>
      </c>
      <c r="F140" s="20">
        <v>1081329439</v>
      </c>
      <c r="G140" s="20">
        <v>332940854</v>
      </c>
      <c r="H140" s="20">
        <v>57648788</v>
      </c>
      <c r="I140" s="20">
        <v>62439096</v>
      </c>
      <c r="J140" s="20">
        <v>19970</v>
      </c>
      <c r="K140" s="20">
        <v>0</v>
      </c>
      <c r="L140" s="20">
        <v>0</v>
      </c>
    </row>
    <row r="141" spans="1:12">
      <c r="A141" s="20" t="s">
        <v>528</v>
      </c>
      <c r="B141" s="20" t="s">
        <v>182</v>
      </c>
      <c r="C141" s="20" t="s">
        <v>306</v>
      </c>
      <c r="D141" s="20" t="s">
        <v>324</v>
      </c>
      <c r="E141" s="20">
        <v>8644534</v>
      </c>
      <c r="F141" s="20">
        <v>0</v>
      </c>
      <c r="G141" s="20">
        <v>0</v>
      </c>
      <c r="H141" s="20">
        <v>0</v>
      </c>
      <c r="I141" s="20">
        <v>0</v>
      </c>
      <c r="J141" s="20">
        <v>0</v>
      </c>
      <c r="K141" s="20">
        <v>0</v>
      </c>
      <c r="L141" s="20">
        <v>0</v>
      </c>
    </row>
    <row r="142" spans="1:12">
      <c r="A142" s="20" t="s">
        <v>527</v>
      </c>
      <c r="B142" s="20" t="s">
        <v>60</v>
      </c>
      <c r="C142" s="20" t="s">
        <v>306</v>
      </c>
      <c r="D142" s="20" t="s">
        <v>305</v>
      </c>
      <c r="E142" s="20">
        <v>35980928</v>
      </c>
      <c r="F142" s="20">
        <v>59394620</v>
      </c>
      <c r="G142" s="20">
        <v>17923122</v>
      </c>
      <c r="H142" s="20">
        <v>5433856</v>
      </c>
      <c r="I142" s="20">
        <v>990450</v>
      </c>
      <c r="J142" s="20">
        <v>350414</v>
      </c>
      <c r="K142" s="20">
        <v>184949</v>
      </c>
      <c r="L142" s="20">
        <v>0</v>
      </c>
    </row>
    <row r="143" spans="1:12">
      <c r="A143" s="20" t="s">
        <v>526</v>
      </c>
      <c r="B143" s="20" t="s">
        <v>16</v>
      </c>
      <c r="C143" s="20" t="s">
        <v>319</v>
      </c>
      <c r="D143" s="20" t="s">
        <v>324</v>
      </c>
      <c r="E143" s="20">
        <v>17349598</v>
      </c>
      <c r="F143" s="20">
        <v>283676</v>
      </c>
      <c r="G143" s="20">
        <v>291604</v>
      </c>
      <c r="H143" s="20">
        <v>0</v>
      </c>
      <c r="I143" s="20">
        <v>0</v>
      </c>
      <c r="J143" s="20">
        <v>0</v>
      </c>
      <c r="K143" s="20">
        <v>0</v>
      </c>
      <c r="L143" s="20">
        <v>0</v>
      </c>
    </row>
    <row r="144" spans="1:12">
      <c r="A144" s="20" t="s">
        <v>525</v>
      </c>
      <c r="B144" s="20" t="s">
        <v>60</v>
      </c>
      <c r="C144" s="20" t="s">
        <v>306</v>
      </c>
      <c r="D144" s="20" t="s">
        <v>305</v>
      </c>
      <c r="E144" s="20">
        <v>1065529</v>
      </c>
      <c r="F144" s="20">
        <v>1212692</v>
      </c>
      <c r="G144" s="20">
        <v>653118</v>
      </c>
      <c r="H144" s="20">
        <v>49329</v>
      </c>
      <c r="I144" s="20">
        <v>3019</v>
      </c>
      <c r="J144" s="20">
        <v>3366</v>
      </c>
      <c r="K144" s="20">
        <v>0</v>
      </c>
      <c r="L144" s="20">
        <v>0</v>
      </c>
    </row>
    <row r="145" spans="1:12">
      <c r="A145" s="20" t="s">
        <v>524</v>
      </c>
      <c r="B145" s="20" t="s">
        <v>94</v>
      </c>
      <c r="C145" s="20" t="s">
        <v>319</v>
      </c>
      <c r="D145" s="20" t="s">
        <v>308</v>
      </c>
      <c r="E145" s="20">
        <v>335012627</v>
      </c>
      <c r="F145" s="20">
        <v>333294047</v>
      </c>
      <c r="G145" s="20">
        <v>137476036</v>
      </c>
      <c r="H145" s="20">
        <v>0</v>
      </c>
      <c r="I145" s="20">
        <v>0</v>
      </c>
      <c r="J145" s="20">
        <v>0</v>
      </c>
      <c r="K145" s="20">
        <v>0</v>
      </c>
      <c r="L145" s="20">
        <v>0</v>
      </c>
    </row>
    <row r="146" spans="1:12">
      <c r="A146" s="20" t="s">
        <v>523</v>
      </c>
      <c r="B146" s="20" t="s">
        <v>60</v>
      </c>
      <c r="C146" s="20" t="s">
        <v>306</v>
      </c>
      <c r="D146" s="20" t="s">
        <v>305</v>
      </c>
      <c r="E146" s="20">
        <v>3504243</v>
      </c>
      <c r="F146" s="20">
        <v>291017</v>
      </c>
      <c r="G146" s="20">
        <v>26028</v>
      </c>
      <c r="H146" s="20">
        <v>14081</v>
      </c>
      <c r="I146" s="20">
        <v>2411</v>
      </c>
      <c r="J146" s="20">
        <v>0</v>
      </c>
      <c r="K146" s="20">
        <v>0</v>
      </c>
      <c r="L146" s="20">
        <v>0</v>
      </c>
    </row>
    <row r="147" spans="1:12">
      <c r="A147" s="20" t="s">
        <v>522</v>
      </c>
      <c r="B147" s="20" t="s">
        <v>44</v>
      </c>
      <c r="C147" s="20" t="s">
        <v>319</v>
      </c>
      <c r="D147" s="20" t="s">
        <v>324</v>
      </c>
      <c r="E147" s="20">
        <v>1176010</v>
      </c>
      <c r="F147" s="20">
        <v>0</v>
      </c>
      <c r="G147" s="20">
        <v>0</v>
      </c>
      <c r="H147" s="20">
        <v>0</v>
      </c>
      <c r="I147" s="20">
        <v>0</v>
      </c>
      <c r="J147" s="20">
        <v>0</v>
      </c>
      <c r="K147" s="20">
        <v>0</v>
      </c>
      <c r="L147" s="20">
        <v>0</v>
      </c>
    </row>
    <row r="148" spans="1:12">
      <c r="A148" s="20" t="s">
        <v>521</v>
      </c>
      <c r="B148" s="20" t="s">
        <v>266</v>
      </c>
      <c r="C148" s="20" t="s">
        <v>306</v>
      </c>
      <c r="D148" s="20" t="s">
        <v>305</v>
      </c>
      <c r="E148" s="20">
        <v>47221907</v>
      </c>
      <c r="F148" s="20">
        <v>52084982</v>
      </c>
      <c r="G148" s="20">
        <v>28804100</v>
      </c>
      <c r="H148" s="20">
        <v>12628320</v>
      </c>
      <c r="I148" s="20">
        <v>643984</v>
      </c>
      <c r="J148" s="20">
        <v>381846</v>
      </c>
      <c r="K148" s="20">
        <v>0</v>
      </c>
      <c r="L148" s="20">
        <v>0</v>
      </c>
    </row>
    <row r="149" spans="1:12">
      <c r="A149" s="20" t="s">
        <v>520</v>
      </c>
      <c r="B149" s="20" t="s">
        <v>62</v>
      </c>
      <c r="C149" s="20" t="s">
        <v>319</v>
      </c>
      <c r="D149" s="20" t="s">
        <v>324</v>
      </c>
      <c r="E149" s="20">
        <v>426057293</v>
      </c>
      <c r="F149" s="20">
        <v>65845580</v>
      </c>
      <c r="G149" s="20">
        <v>67555400</v>
      </c>
      <c r="H149" s="20">
        <v>62102066</v>
      </c>
      <c r="I149" s="20">
        <v>24537573</v>
      </c>
      <c r="J149" s="20">
        <v>34932053</v>
      </c>
      <c r="K149" s="20">
        <v>0</v>
      </c>
      <c r="L149" s="20">
        <v>0</v>
      </c>
    </row>
    <row r="150" spans="1:12">
      <c r="A150" s="20" t="s">
        <v>519</v>
      </c>
      <c r="B150" s="20" t="s">
        <v>120</v>
      </c>
      <c r="C150" s="20" t="s">
        <v>328</v>
      </c>
      <c r="D150" s="20" t="s">
        <v>305</v>
      </c>
      <c r="E150" s="20">
        <v>619060</v>
      </c>
      <c r="F150" s="20">
        <v>600989</v>
      </c>
      <c r="G150" s="20">
        <v>67113</v>
      </c>
      <c r="H150" s="20">
        <v>48109</v>
      </c>
      <c r="I150" s="20">
        <v>24138</v>
      </c>
      <c r="J150" s="20">
        <v>0</v>
      </c>
      <c r="K150" s="20">
        <v>0</v>
      </c>
      <c r="L150" s="20">
        <v>0</v>
      </c>
    </row>
    <row r="151" spans="1:12">
      <c r="A151" s="20" t="s">
        <v>518</v>
      </c>
      <c r="B151" s="20" t="s">
        <v>118</v>
      </c>
      <c r="C151" s="20" t="s">
        <v>328</v>
      </c>
      <c r="D151" s="20" t="s">
        <v>305</v>
      </c>
      <c r="E151" s="20">
        <v>27146385</v>
      </c>
      <c r="F151" s="20">
        <v>26770185</v>
      </c>
      <c r="G151" s="20">
        <v>21617501</v>
      </c>
      <c r="H151" s="20">
        <v>8539937</v>
      </c>
      <c r="I151" s="20">
        <v>2476502</v>
      </c>
      <c r="J151" s="20">
        <v>827994</v>
      </c>
      <c r="K151" s="20">
        <v>48997</v>
      </c>
      <c r="L151" s="20">
        <v>0</v>
      </c>
    </row>
    <row r="152" spans="1:12">
      <c r="A152" s="20" t="s">
        <v>517</v>
      </c>
      <c r="B152" s="20" t="s">
        <v>118</v>
      </c>
      <c r="C152" s="20" t="s">
        <v>328</v>
      </c>
      <c r="D152" s="20" t="s">
        <v>305</v>
      </c>
      <c r="E152" s="20">
        <v>22064717</v>
      </c>
      <c r="F152" s="20">
        <v>26999069</v>
      </c>
      <c r="G152" s="20">
        <v>10989857</v>
      </c>
      <c r="H152" s="20">
        <v>764987</v>
      </c>
      <c r="I152" s="20">
        <v>347734</v>
      </c>
      <c r="J152" s="20">
        <v>0</v>
      </c>
      <c r="K152" s="20">
        <v>0</v>
      </c>
      <c r="L152" s="20">
        <v>0</v>
      </c>
    </row>
    <row r="153" spans="1:12">
      <c r="A153" s="20" t="s">
        <v>516</v>
      </c>
      <c r="B153" s="20" t="s">
        <v>100</v>
      </c>
      <c r="C153" s="20" t="s">
        <v>319</v>
      </c>
      <c r="D153" s="20" t="s">
        <v>308</v>
      </c>
      <c r="E153" s="20">
        <v>113062838</v>
      </c>
      <c r="F153" s="20">
        <v>73983337</v>
      </c>
      <c r="G153" s="20">
        <v>32694738</v>
      </c>
      <c r="H153" s="20">
        <v>11541261</v>
      </c>
      <c r="I153" s="20">
        <v>5387345</v>
      </c>
      <c r="J153" s="20">
        <v>0</v>
      </c>
      <c r="K153" s="20">
        <v>0</v>
      </c>
      <c r="L153" s="20">
        <v>0</v>
      </c>
    </row>
    <row r="154" spans="1:12">
      <c r="A154" s="20" t="s">
        <v>515</v>
      </c>
      <c r="B154" s="20" t="s">
        <v>309</v>
      </c>
      <c r="C154" s="20" t="s">
        <v>314</v>
      </c>
      <c r="D154" s="20" t="s">
        <v>308</v>
      </c>
      <c r="E154" s="20">
        <v>430653683</v>
      </c>
      <c r="F154" s="20">
        <v>175074791</v>
      </c>
      <c r="G154" s="20">
        <v>0</v>
      </c>
      <c r="H154" s="20">
        <v>0</v>
      </c>
      <c r="I154" s="20">
        <v>0</v>
      </c>
      <c r="J154" s="20">
        <v>0</v>
      </c>
      <c r="K154" s="20">
        <v>0</v>
      </c>
      <c r="L154" s="20">
        <v>0</v>
      </c>
    </row>
    <row r="155" spans="1:12">
      <c r="A155" s="20" t="s">
        <v>514</v>
      </c>
      <c r="B155" s="20" t="s">
        <v>288</v>
      </c>
      <c r="C155" s="20" t="s">
        <v>319</v>
      </c>
      <c r="D155" s="20" t="s">
        <v>324</v>
      </c>
      <c r="E155" s="20">
        <v>650405399</v>
      </c>
      <c r="F155" s="20">
        <v>36343</v>
      </c>
      <c r="G155" s="20">
        <v>2048</v>
      </c>
      <c r="H155" s="20">
        <v>2391</v>
      </c>
      <c r="I155" s="20">
        <v>3489</v>
      </c>
      <c r="J155" s="20">
        <v>0</v>
      </c>
      <c r="K155" s="20">
        <v>0</v>
      </c>
      <c r="L155" s="20">
        <v>0</v>
      </c>
    </row>
    <row r="156" spans="1:12">
      <c r="A156" s="22" t="s">
        <v>513</v>
      </c>
      <c r="B156" s="22" t="s">
        <v>94</v>
      </c>
      <c r="C156" s="22" t="s">
        <v>319</v>
      </c>
      <c r="D156" s="22" t="s">
        <v>308</v>
      </c>
      <c r="E156" s="22">
        <v>295332181</v>
      </c>
      <c r="F156" s="22">
        <v>302549</v>
      </c>
      <c r="G156" s="22">
        <v>16649318</v>
      </c>
      <c r="H156" s="22">
        <v>99944147</v>
      </c>
      <c r="I156" s="22">
        <v>118818218</v>
      </c>
      <c r="J156" s="22">
        <v>118982239</v>
      </c>
      <c r="K156" s="22">
        <v>0</v>
      </c>
      <c r="L156" s="22">
        <v>0</v>
      </c>
    </row>
    <row r="157" spans="1:12">
      <c r="A157" s="20" t="s">
        <v>512</v>
      </c>
      <c r="B157" s="20" t="s">
        <v>30</v>
      </c>
      <c r="C157" s="20" t="s">
        <v>328</v>
      </c>
      <c r="D157" s="20" t="s">
        <v>305</v>
      </c>
      <c r="E157" s="20">
        <v>1156886476</v>
      </c>
      <c r="F157" s="20">
        <v>511200184</v>
      </c>
      <c r="G157" s="20">
        <v>77443047</v>
      </c>
      <c r="H157" s="20">
        <v>43427217</v>
      </c>
      <c r="I157" s="20">
        <v>12625751</v>
      </c>
      <c r="J157" s="20">
        <v>6057787</v>
      </c>
      <c r="K157" s="20">
        <v>356400</v>
      </c>
      <c r="L157" s="20">
        <v>0</v>
      </c>
    </row>
    <row r="158" spans="1:12">
      <c r="A158" s="20" t="s">
        <v>511</v>
      </c>
      <c r="B158" s="20" t="s">
        <v>296</v>
      </c>
      <c r="C158" s="20" t="s">
        <v>306</v>
      </c>
      <c r="D158" s="20" t="s">
        <v>305</v>
      </c>
      <c r="E158" s="20">
        <v>28154010</v>
      </c>
      <c r="F158" s="20">
        <v>1307970</v>
      </c>
      <c r="G158" s="20">
        <v>146128</v>
      </c>
      <c r="H158" s="20">
        <v>87443</v>
      </c>
      <c r="I158" s="20">
        <v>0</v>
      </c>
      <c r="J158" s="20">
        <v>0</v>
      </c>
      <c r="K158" s="20">
        <v>0</v>
      </c>
      <c r="L158" s="20">
        <v>0</v>
      </c>
    </row>
    <row r="159" spans="1:12">
      <c r="A159" s="20" t="s">
        <v>510</v>
      </c>
      <c r="B159" s="20" t="s">
        <v>288</v>
      </c>
      <c r="C159" s="20" t="s">
        <v>319</v>
      </c>
      <c r="D159" s="20" t="s">
        <v>324</v>
      </c>
      <c r="E159" s="20">
        <v>272120664</v>
      </c>
      <c r="F159" s="20">
        <v>40901584</v>
      </c>
      <c r="G159" s="20">
        <v>39450012</v>
      </c>
      <c r="H159" s="20">
        <v>480589</v>
      </c>
      <c r="I159" s="20">
        <v>487552</v>
      </c>
      <c r="J159" s="20">
        <v>0</v>
      </c>
      <c r="K159" s="20">
        <v>0</v>
      </c>
      <c r="L159" s="20">
        <v>0</v>
      </c>
    </row>
    <row r="160" spans="1:12">
      <c r="A160" s="22" t="s">
        <v>509</v>
      </c>
      <c r="B160" s="22" t="s">
        <v>94</v>
      </c>
      <c r="C160" s="22" t="s">
        <v>319</v>
      </c>
      <c r="D160" s="22" t="s">
        <v>308</v>
      </c>
      <c r="E160" s="22">
        <v>1411321608</v>
      </c>
      <c r="F160" s="22">
        <v>788668634</v>
      </c>
      <c r="G160" s="22">
        <v>298728485</v>
      </c>
      <c r="H160" s="22">
        <v>310477304</v>
      </c>
      <c r="I160" s="22">
        <v>95128664</v>
      </c>
      <c r="J160" s="22">
        <v>2561927</v>
      </c>
      <c r="K160" s="22">
        <v>2606544</v>
      </c>
      <c r="L160" s="22">
        <v>0</v>
      </c>
    </row>
    <row r="161" spans="1:12">
      <c r="A161" s="20" t="s">
        <v>508</v>
      </c>
      <c r="B161" s="20" t="s">
        <v>132</v>
      </c>
      <c r="C161" s="20" t="s">
        <v>319</v>
      </c>
      <c r="D161" s="20" t="s">
        <v>308</v>
      </c>
      <c r="E161" s="20">
        <v>47337632</v>
      </c>
      <c r="F161" s="20">
        <v>8503</v>
      </c>
      <c r="G161" s="20">
        <v>4576</v>
      </c>
      <c r="H161" s="20">
        <v>3960</v>
      </c>
      <c r="I161" s="20">
        <v>4155</v>
      </c>
      <c r="J161" s="20">
        <v>0</v>
      </c>
      <c r="K161" s="20">
        <v>0</v>
      </c>
      <c r="L161" s="20">
        <v>0</v>
      </c>
    </row>
    <row r="162" spans="1:12">
      <c r="A162" s="20" t="s">
        <v>507</v>
      </c>
      <c r="B162" s="20" t="s">
        <v>288</v>
      </c>
      <c r="C162" s="20" t="s">
        <v>319</v>
      </c>
      <c r="D162" s="20" t="s">
        <v>324</v>
      </c>
      <c r="E162" s="20">
        <v>373318804</v>
      </c>
      <c r="F162" s="20">
        <v>16033385</v>
      </c>
      <c r="G162" s="20">
        <v>1681580</v>
      </c>
      <c r="H162" s="20">
        <v>1692072</v>
      </c>
      <c r="I162" s="20">
        <v>4973167</v>
      </c>
      <c r="J162" s="20">
        <v>5054385</v>
      </c>
      <c r="K162" s="20">
        <v>0</v>
      </c>
      <c r="L162" s="20">
        <v>0</v>
      </c>
    </row>
    <row r="163" spans="1:12">
      <c r="A163" s="20" t="s">
        <v>506</v>
      </c>
      <c r="B163" s="20" t="s">
        <v>54</v>
      </c>
      <c r="C163" s="20" t="s">
        <v>319</v>
      </c>
      <c r="D163" s="20" t="s">
        <v>324</v>
      </c>
      <c r="E163" s="20">
        <v>32253260</v>
      </c>
      <c r="F163" s="20">
        <v>0</v>
      </c>
      <c r="G163" s="20">
        <v>0</v>
      </c>
      <c r="H163" s="20">
        <v>0</v>
      </c>
      <c r="I163" s="20">
        <v>0</v>
      </c>
      <c r="J163" s="20">
        <v>0</v>
      </c>
      <c r="K163" s="20">
        <v>0</v>
      </c>
      <c r="L163" s="20">
        <v>0</v>
      </c>
    </row>
    <row r="164" spans="1:12">
      <c r="A164" s="22" t="s">
        <v>505</v>
      </c>
      <c r="B164" s="22" t="s">
        <v>288</v>
      </c>
      <c r="C164" s="22" t="s">
        <v>319</v>
      </c>
      <c r="D164" s="22" t="s">
        <v>324</v>
      </c>
      <c r="E164" s="22">
        <v>9197063119</v>
      </c>
      <c r="F164" s="22">
        <v>610701783</v>
      </c>
      <c r="G164" s="22">
        <v>156448790</v>
      </c>
      <c r="H164" s="22">
        <v>82579536</v>
      </c>
      <c r="I164" s="22">
        <v>75825770</v>
      </c>
      <c r="J164" s="22">
        <v>32745497</v>
      </c>
      <c r="K164" s="22">
        <v>115992</v>
      </c>
      <c r="L164" s="22">
        <v>0</v>
      </c>
    </row>
    <row r="165" spans="1:12">
      <c r="A165" s="22" t="s">
        <v>504</v>
      </c>
      <c r="B165" s="22" t="s">
        <v>288</v>
      </c>
      <c r="C165" s="22" t="s">
        <v>319</v>
      </c>
      <c r="D165" s="22" t="s">
        <v>324</v>
      </c>
      <c r="E165" s="22">
        <v>7258853898</v>
      </c>
      <c r="F165" s="22">
        <v>661823854</v>
      </c>
      <c r="G165" s="22">
        <v>346610773</v>
      </c>
      <c r="H165" s="22">
        <v>207939054</v>
      </c>
      <c r="I165" s="22">
        <v>154001980</v>
      </c>
      <c r="J165" s="22">
        <v>70080022</v>
      </c>
      <c r="K165" s="22">
        <v>2864322</v>
      </c>
      <c r="L165" s="22">
        <v>0</v>
      </c>
    </row>
    <row r="166" spans="1:12">
      <c r="A166" s="20" t="s">
        <v>503</v>
      </c>
      <c r="B166" s="20" t="s">
        <v>182</v>
      </c>
      <c r="C166" s="20" t="s">
        <v>319</v>
      </c>
      <c r="D166" s="20" t="s">
        <v>324</v>
      </c>
      <c r="E166" s="20">
        <v>66025710</v>
      </c>
      <c r="F166" s="20">
        <v>7794671</v>
      </c>
      <c r="G166" s="20">
        <v>3057761</v>
      </c>
      <c r="H166" s="20">
        <v>135212</v>
      </c>
      <c r="I166" s="20">
        <v>135308</v>
      </c>
      <c r="J166" s="20">
        <v>138021</v>
      </c>
      <c r="K166" s="20">
        <v>0</v>
      </c>
      <c r="L166" s="20">
        <v>0</v>
      </c>
    </row>
    <row r="167" spans="1:12">
      <c r="A167" s="20" t="s">
        <v>502</v>
      </c>
      <c r="B167" s="20" t="s">
        <v>138</v>
      </c>
      <c r="C167" s="20" t="s">
        <v>306</v>
      </c>
      <c r="D167" s="20" t="s">
        <v>305</v>
      </c>
      <c r="E167" s="20">
        <v>9431248</v>
      </c>
      <c r="F167" s="20">
        <v>0</v>
      </c>
      <c r="G167" s="20">
        <v>0</v>
      </c>
      <c r="H167" s="20">
        <v>0</v>
      </c>
      <c r="I167" s="20">
        <v>0</v>
      </c>
      <c r="J167" s="20">
        <v>0</v>
      </c>
      <c r="K167" s="20">
        <v>0</v>
      </c>
      <c r="L167" s="20">
        <v>0</v>
      </c>
    </row>
    <row r="168" spans="1:12">
      <c r="A168" s="20" t="s">
        <v>501</v>
      </c>
      <c r="B168" s="20" t="s">
        <v>288</v>
      </c>
      <c r="C168" s="20" t="s">
        <v>319</v>
      </c>
      <c r="D168" s="20" t="s">
        <v>324</v>
      </c>
      <c r="E168" s="20">
        <v>484623179</v>
      </c>
      <c r="F168" s="20">
        <v>80500147</v>
      </c>
      <c r="G168" s="20">
        <v>55889665</v>
      </c>
      <c r="H168" s="20">
        <v>35893550</v>
      </c>
      <c r="I168" s="20">
        <v>6243808</v>
      </c>
      <c r="J168" s="20">
        <v>2644835</v>
      </c>
      <c r="K168" s="20">
        <v>1097527</v>
      </c>
      <c r="L168" s="20">
        <v>0</v>
      </c>
    </row>
    <row r="169" spans="1:12">
      <c r="A169" s="20" t="s">
        <v>500</v>
      </c>
      <c r="B169" s="20" t="s">
        <v>74</v>
      </c>
      <c r="C169" s="20" t="s">
        <v>319</v>
      </c>
      <c r="D169" s="20" t="s">
        <v>308</v>
      </c>
      <c r="E169" s="20">
        <v>113184139</v>
      </c>
      <c r="F169" s="20">
        <v>0</v>
      </c>
      <c r="G169" s="20">
        <v>0</v>
      </c>
      <c r="H169" s="20">
        <v>0</v>
      </c>
      <c r="I169" s="20">
        <v>0</v>
      </c>
      <c r="J169" s="20">
        <v>0</v>
      </c>
      <c r="K169" s="20">
        <v>0</v>
      </c>
      <c r="L169" s="20">
        <v>0</v>
      </c>
    </row>
    <row r="170" spans="1:12">
      <c r="A170" s="20" t="s">
        <v>499</v>
      </c>
      <c r="B170" s="20" t="s">
        <v>94</v>
      </c>
      <c r="C170" s="20" t="s">
        <v>319</v>
      </c>
      <c r="D170" s="20" t="s">
        <v>308</v>
      </c>
      <c r="E170" s="20">
        <v>345996964</v>
      </c>
      <c r="F170" s="20">
        <v>161381443</v>
      </c>
      <c r="G170" s="20">
        <v>161923022</v>
      </c>
      <c r="H170" s="20">
        <v>83996823</v>
      </c>
      <c r="I170" s="20">
        <v>691455</v>
      </c>
      <c r="J170" s="20">
        <v>692418</v>
      </c>
      <c r="K170" s="20">
        <v>5460</v>
      </c>
      <c r="L170" s="20">
        <v>0</v>
      </c>
    </row>
    <row r="171" spans="1:12">
      <c r="A171" s="20" t="s">
        <v>498</v>
      </c>
      <c r="B171" s="20" t="s">
        <v>309</v>
      </c>
      <c r="C171" s="20" t="s">
        <v>311</v>
      </c>
      <c r="D171" s="20" t="s">
        <v>308</v>
      </c>
      <c r="E171" s="20">
        <v>453855331</v>
      </c>
      <c r="F171" s="20">
        <v>173495685</v>
      </c>
      <c r="G171" s="20">
        <v>4597515</v>
      </c>
      <c r="H171" s="20">
        <v>7575825</v>
      </c>
      <c r="I171" s="20">
        <v>3907718</v>
      </c>
      <c r="J171" s="20">
        <v>3274672</v>
      </c>
      <c r="K171" s="20">
        <v>146487</v>
      </c>
      <c r="L171" s="20">
        <v>0</v>
      </c>
    </row>
    <row r="172" spans="1:12">
      <c r="A172" s="20" t="s">
        <v>497</v>
      </c>
      <c r="B172" s="20" t="s">
        <v>256</v>
      </c>
      <c r="C172" s="20" t="s">
        <v>319</v>
      </c>
      <c r="D172" s="20" t="s">
        <v>308</v>
      </c>
      <c r="E172" s="20">
        <v>87893106</v>
      </c>
      <c r="F172" s="20">
        <v>0</v>
      </c>
      <c r="G172" s="20">
        <v>0</v>
      </c>
      <c r="H172" s="20">
        <v>0</v>
      </c>
      <c r="I172" s="20">
        <v>0</v>
      </c>
      <c r="J172" s="20">
        <v>0</v>
      </c>
      <c r="K172" s="20">
        <v>0</v>
      </c>
      <c r="L172" s="20">
        <v>0</v>
      </c>
    </row>
    <row r="173" spans="1:12">
      <c r="A173" s="20" t="s">
        <v>496</v>
      </c>
      <c r="B173" s="20" t="s">
        <v>24</v>
      </c>
      <c r="C173" s="20" t="s">
        <v>311</v>
      </c>
      <c r="D173" s="20" t="s">
        <v>305</v>
      </c>
      <c r="E173" s="20">
        <v>1155986661</v>
      </c>
      <c r="F173" s="20">
        <v>175805616</v>
      </c>
      <c r="G173" s="20">
        <v>2823094</v>
      </c>
      <c r="H173" s="20">
        <v>3401531</v>
      </c>
      <c r="I173" s="20">
        <v>3817792</v>
      </c>
      <c r="J173" s="20">
        <v>2083248</v>
      </c>
      <c r="K173" s="20">
        <v>4333602</v>
      </c>
      <c r="L173" s="20">
        <v>0</v>
      </c>
    </row>
    <row r="174" spans="1:12">
      <c r="A174" s="20" t="s">
        <v>495</v>
      </c>
      <c r="B174" s="20" t="s">
        <v>68</v>
      </c>
      <c r="C174" s="20" t="s">
        <v>319</v>
      </c>
      <c r="D174" s="20" t="s">
        <v>308</v>
      </c>
      <c r="E174" s="20">
        <v>229676411</v>
      </c>
      <c r="F174" s="20">
        <v>91055277</v>
      </c>
      <c r="G174" s="20">
        <v>5630669</v>
      </c>
      <c r="H174" s="20">
        <v>5445482</v>
      </c>
      <c r="I174" s="20">
        <v>5604261</v>
      </c>
      <c r="J174" s="20">
        <v>6492707</v>
      </c>
      <c r="K174" s="20">
        <v>0</v>
      </c>
      <c r="L174" s="20">
        <v>0</v>
      </c>
    </row>
    <row r="175" spans="1:12">
      <c r="A175" s="20" t="s">
        <v>494</v>
      </c>
      <c r="B175" s="20" t="s">
        <v>228</v>
      </c>
      <c r="C175" s="20" t="s">
        <v>319</v>
      </c>
      <c r="D175" s="20" t="s">
        <v>308</v>
      </c>
      <c r="E175" s="20">
        <v>16298623</v>
      </c>
      <c r="F175" s="20">
        <v>531736</v>
      </c>
      <c r="G175" s="20">
        <v>185792</v>
      </c>
      <c r="H175" s="20">
        <v>3522</v>
      </c>
      <c r="I175" s="20">
        <v>0</v>
      </c>
      <c r="J175" s="20">
        <v>0</v>
      </c>
      <c r="K175" s="20">
        <v>0</v>
      </c>
      <c r="L175" s="20">
        <v>0</v>
      </c>
    </row>
    <row r="176" spans="1:12">
      <c r="A176" s="20" t="s">
        <v>493</v>
      </c>
      <c r="B176" s="20" t="s">
        <v>118</v>
      </c>
      <c r="C176" s="20" t="s">
        <v>328</v>
      </c>
      <c r="D176" s="20" t="s">
        <v>305</v>
      </c>
      <c r="E176" s="20">
        <v>1421857</v>
      </c>
      <c r="F176" s="20">
        <v>1130011</v>
      </c>
      <c r="G176" s="20">
        <v>180662</v>
      </c>
      <c r="H176" s="20">
        <v>119112</v>
      </c>
      <c r="I176" s="20">
        <v>119526</v>
      </c>
      <c r="J176" s="20">
        <v>58950</v>
      </c>
      <c r="K176" s="20">
        <v>0</v>
      </c>
      <c r="L176" s="20">
        <v>0</v>
      </c>
    </row>
    <row r="177" spans="1:12">
      <c r="A177" s="20" t="s">
        <v>492</v>
      </c>
      <c r="B177" s="20" t="s">
        <v>288</v>
      </c>
      <c r="C177" s="20" t="s">
        <v>319</v>
      </c>
      <c r="D177" s="20" t="s">
        <v>324</v>
      </c>
      <c r="E177" s="20">
        <v>138275659</v>
      </c>
      <c r="F177" s="20">
        <v>178711966</v>
      </c>
      <c r="G177" s="20">
        <v>124213273</v>
      </c>
      <c r="H177" s="20">
        <v>2281122</v>
      </c>
      <c r="I177" s="20">
        <v>1729012</v>
      </c>
      <c r="J177" s="20">
        <v>310724</v>
      </c>
      <c r="K177" s="20">
        <v>1185642</v>
      </c>
      <c r="L177" s="20">
        <v>0</v>
      </c>
    </row>
    <row r="178" spans="1:12">
      <c r="A178" s="20" t="s">
        <v>491</v>
      </c>
      <c r="B178" s="20" t="s">
        <v>490</v>
      </c>
      <c r="C178" s="20" t="s">
        <v>306</v>
      </c>
      <c r="D178" s="20" t="s">
        <v>305</v>
      </c>
      <c r="E178" s="20">
        <v>12452829</v>
      </c>
      <c r="F178" s="20">
        <v>7440315</v>
      </c>
      <c r="G178" s="20">
        <v>2850673</v>
      </c>
      <c r="H178" s="20">
        <v>2282737</v>
      </c>
      <c r="I178" s="20">
        <v>299043</v>
      </c>
      <c r="J178" s="20">
        <v>121473</v>
      </c>
      <c r="K178" s="20">
        <v>540259</v>
      </c>
      <c r="L178" s="20">
        <v>0</v>
      </c>
    </row>
    <row r="179" spans="1:12">
      <c r="A179" s="20" t="s">
        <v>489</v>
      </c>
      <c r="B179" s="20" t="s">
        <v>288</v>
      </c>
      <c r="C179" s="20" t="s">
        <v>319</v>
      </c>
      <c r="D179" s="20" t="s">
        <v>324</v>
      </c>
      <c r="E179" s="20">
        <v>7398328</v>
      </c>
      <c r="F179" s="20">
        <v>111885</v>
      </c>
      <c r="G179" s="20">
        <v>11734</v>
      </c>
      <c r="H179" s="20">
        <v>11808</v>
      </c>
      <c r="I179" s="20">
        <v>0</v>
      </c>
      <c r="J179" s="20">
        <v>0</v>
      </c>
      <c r="K179" s="20">
        <v>0</v>
      </c>
      <c r="L179" s="20">
        <v>0</v>
      </c>
    </row>
    <row r="180" spans="1:12">
      <c r="A180" s="20" t="s">
        <v>488</v>
      </c>
      <c r="B180" s="20" t="s">
        <v>60</v>
      </c>
      <c r="C180" s="20" t="s">
        <v>306</v>
      </c>
      <c r="D180" s="20" t="s">
        <v>305</v>
      </c>
      <c r="E180" s="20">
        <v>15049785</v>
      </c>
      <c r="F180" s="20">
        <v>17128359</v>
      </c>
      <c r="G180" s="20">
        <v>9224792</v>
      </c>
      <c r="H180" s="20">
        <v>696740</v>
      </c>
      <c r="I180" s="20">
        <v>42648</v>
      </c>
      <c r="J180" s="20">
        <v>47544</v>
      </c>
      <c r="K180" s="20">
        <v>42335</v>
      </c>
      <c r="L180" s="20">
        <v>0</v>
      </c>
    </row>
    <row r="181" spans="1:12">
      <c r="A181" s="20" t="s">
        <v>487</v>
      </c>
      <c r="B181" s="20" t="s">
        <v>82</v>
      </c>
      <c r="C181" s="20" t="s">
        <v>319</v>
      </c>
      <c r="D181" s="20" t="s">
        <v>324</v>
      </c>
      <c r="E181" s="20">
        <v>2659</v>
      </c>
      <c r="F181" s="20">
        <v>0</v>
      </c>
      <c r="G181" s="20">
        <v>0</v>
      </c>
      <c r="H181" s="20">
        <v>0</v>
      </c>
      <c r="I181" s="20">
        <v>0</v>
      </c>
      <c r="J181" s="20">
        <v>0</v>
      </c>
      <c r="K181" s="20">
        <v>0</v>
      </c>
      <c r="L181" s="20">
        <v>0</v>
      </c>
    </row>
    <row r="182" spans="1:12">
      <c r="A182" s="20" t="s">
        <v>486</v>
      </c>
      <c r="B182" s="20" t="s">
        <v>118</v>
      </c>
      <c r="C182" s="20" t="s">
        <v>328</v>
      </c>
      <c r="D182" s="20" t="s">
        <v>305</v>
      </c>
      <c r="E182" s="20">
        <v>1654776</v>
      </c>
      <c r="F182" s="20">
        <v>527738</v>
      </c>
      <c r="G182" s="20">
        <v>238981</v>
      </c>
      <c r="H182" s="20">
        <v>0</v>
      </c>
      <c r="I182" s="20">
        <v>0</v>
      </c>
      <c r="J182" s="20">
        <v>0</v>
      </c>
      <c r="K182" s="20">
        <v>0</v>
      </c>
      <c r="L182" s="20">
        <v>0</v>
      </c>
    </row>
    <row r="183" spans="1:12">
      <c r="A183" s="20" t="s">
        <v>485</v>
      </c>
      <c r="B183" s="20" t="s">
        <v>90</v>
      </c>
      <c r="C183" s="20" t="s">
        <v>319</v>
      </c>
      <c r="D183" s="20" t="s">
        <v>308</v>
      </c>
      <c r="E183" s="20">
        <v>1844459390</v>
      </c>
      <c r="F183" s="20">
        <v>0</v>
      </c>
      <c r="G183" s="20">
        <v>0</v>
      </c>
      <c r="H183" s="20">
        <v>0</v>
      </c>
      <c r="I183" s="20">
        <v>0</v>
      </c>
      <c r="J183" s="20">
        <v>0</v>
      </c>
      <c r="K183" s="20">
        <v>0</v>
      </c>
      <c r="L183" s="20">
        <v>0</v>
      </c>
    </row>
    <row r="184" spans="1:12">
      <c r="A184" s="20" t="s">
        <v>484</v>
      </c>
      <c r="B184" s="20" t="s">
        <v>44</v>
      </c>
      <c r="C184" s="20" t="s">
        <v>319</v>
      </c>
      <c r="D184" s="20" t="s">
        <v>324</v>
      </c>
      <c r="E184" s="20">
        <v>99072799</v>
      </c>
      <c r="F184" s="20">
        <v>245511</v>
      </c>
      <c r="G184" s="20">
        <v>252372</v>
      </c>
      <c r="H184" s="20">
        <v>0</v>
      </c>
      <c r="I184" s="20">
        <v>0</v>
      </c>
      <c r="J184" s="20">
        <v>0</v>
      </c>
      <c r="K184" s="20">
        <v>0</v>
      </c>
      <c r="L184" s="20">
        <v>0</v>
      </c>
    </row>
    <row r="185" spans="1:12">
      <c r="A185" s="20" t="s">
        <v>483</v>
      </c>
      <c r="B185" s="20" t="s">
        <v>309</v>
      </c>
      <c r="C185" s="20" t="s">
        <v>319</v>
      </c>
      <c r="D185" s="20" t="s">
        <v>308</v>
      </c>
      <c r="E185" s="20">
        <v>37726217</v>
      </c>
      <c r="F185" s="20">
        <v>119465976</v>
      </c>
      <c r="G185" s="20">
        <v>14299178</v>
      </c>
      <c r="H185" s="20">
        <v>12767204</v>
      </c>
      <c r="I185" s="20">
        <v>0</v>
      </c>
      <c r="J185" s="20">
        <v>0</v>
      </c>
      <c r="K185" s="20">
        <v>0</v>
      </c>
      <c r="L185" s="20">
        <v>0</v>
      </c>
    </row>
    <row r="186" spans="1:12">
      <c r="A186" s="20" t="s">
        <v>482</v>
      </c>
      <c r="B186" s="20" t="s">
        <v>60</v>
      </c>
      <c r="C186" s="20" t="s">
        <v>306</v>
      </c>
      <c r="D186" s="20" t="s">
        <v>305</v>
      </c>
      <c r="E186" s="20">
        <v>555713529</v>
      </c>
      <c r="F186" s="20">
        <v>917330259</v>
      </c>
      <c r="G186" s="20">
        <v>138968446</v>
      </c>
      <c r="H186" s="20">
        <v>339616</v>
      </c>
      <c r="I186" s="20">
        <v>92855</v>
      </c>
      <c r="J186" s="20">
        <v>0</v>
      </c>
      <c r="K186" s="20">
        <v>0</v>
      </c>
      <c r="L186" s="20">
        <v>0</v>
      </c>
    </row>
    <row r="187" spans="1:12">
      <c r="A187" s="20" t="s">
        <v>481</v>
      </c>
      <c r="B187" s="20" t="s">
        <v>164</v>
      </c>
      <c r="C187" s="20" t="s">
        <v>319</v>
      </c>
      <c r="D187" s="20" t="s">
        <v>308</v>
      </c>
      <c r="E187" s="20">
        <v>5939434</v>
      </c>
      <c r="F187" s="20">
        <v>1267670</v>
      </c>
      <c r="G187" s="20">
        <v>589808</v>
      </c>
      <c r="H187" s="20">
        <v>421969</v>
      </c>
      <c r="I187" s="20">
        <v>290945</v>
      </c>
      <c r="J187" s="20">
        <v>0</v>
      </c>
      <c r="K187" s="20">
        <v>0</v>
      </c>
      <c r="L187" s="20">
        <v>0</v>
      </c>
    </row>
    <row r="188" spans="1:12">
      <c r="A188" s="20" t="s">
        <v>480</v>
      </c>
      <c r="B188" s="20" t="s">
        <v>16</v>
      </c>
      <c r="C188" s="20" t="s">
        <v>319</v>
      </c>
      <c r="D188" s="20" t="s">
        <v>324</v>
      </c>
      <c r="E188" s="20">
        <v>69283764</v>
      </c>
      <c r="F188" s="20">
        <v>1132830</v>
      </c>
      <c r="G188" s="20">
        <v>1164488</v>
      </c>
      <c r="H188" s="20">
        <v>0</v>
      </c>
      <c r="I188" s="20">
        <v>0</v>
      </c>
      <c r="J188" s="20">
        <v>0</v>
      </c>
      <c r="K188" s="20">
        <v>0</v>
      </c>
      <c r="L188" s="20">
        <v>0</v>
      </c>
    </row>
    <row r="189" spans="1:12">
      <c r="A189" s="20" t="s">
        <v>479</v>
      </c>
      <c r="B189" s="20" t="s">
        <v>288</v>
      </c>
      <c r="C189" s="20" t="s">
        <v>319</v>
      </c>
      <c r="D189" s="20" t="s">
        <v>324</v>
      </c>
      <c r="E189" s="20">
        <v>166736407</v>
      </c>
      <c r="F189" s="20">
        <v>0</v>
      </c>
      <c r="G189" s="20">
        <v>0</v>
      </c>
      <c r="H189" s="20">
        <v>0</v>
      </c>
      <c r="I189" s="20">
        <v>0</v>
      </c>
      <c r="J189" s="20">
        <v>0</v>
      </c>
      <c r="K189" s="20">
        <v>0</v>
      </c>
      <c r="L189" s="20">
        <v>0</v>
      </c>
    </row>
    <row r="190" spans="1:12">
      <c r="A190" s="20" t="s">
        <v>478</v>
      </c>
      <c r="B190" s="20" t="s">
        <v>309</v>
      </c>
      <c r="C190" s="20" t="s">
        <v>319</v>
      </c>
      <c r="D190" s="20" t="s">
        <v>308</v>
      </c>
      <c r="E190" s="20">
        <v>99879622</v>
      </c>
      <c r="F190" s="20">
        <v>9571638</v>
      </c>
      <c r="G190" s="20">
        <v>80389</v>
      </c>
      <c r="H190" s="20">
        <v>100696</v>
      </c>
      <c r="I190" s="20">
        <v>114095</v>
      </c>
      <c r="J190" s="20">
        <v>209513</v>
      </c>
      <c r="K190" s="20">
        <v>95283</v>
      </c>
      <c r="L190" s="20">
        <v>0</v>
      </c>
    </row>
    <row r="191" spans="1:12">
      <c r="A191" s="20" t="s">
        <v>477</v>
      </c>
      <c r="B191" s="20" t="s">
        <v>202</v>
      </c>
      <c r="C191" s="20" t="s">
        <v>319</v>
      </c>
      <c r="D191" s="20" t="s">
        <v>345</v>
      </c>
      <c r="E191" s="20">
        <v>11249194</v>
      </c>
      <c r="F191" s="20">
        <v>8374538</v>
      </c>
      <c r="G191" s="20">
        <v>4375980</v>
      </c>
      <c r="H191" s="20">
        <v>1438079</v>
      </c>
      <c r="I191" s="20">
        <v>243140</v>
      </c>
      <c r="J191" s="20">
        <v>163933</v>
      </c>
      <c r="K191" s="20">
        <v>473493</v>
      </c>
      <c r="L191" s="20">
        <v>0</v>
      </c>
    </row>
    <row r="192" spans="1:12">
      <c r="A192" s="22" t="s">
        <v>476</v>
      </c>
      <c r="B192" s="22" t="s">
        <v>84</v>
      </c>
      <c r="C192" s="22" t="s">
        <v>319</v>
      </c>
      <c r="D192" s="22" t="s">
        <v>345</v>
      </c>
      <c r="E192" s="22">
        <v>5265467375</v>
      </c>
      <c r="F192" s="22">
        <v>3166018651</v>
      </c>
      <c r="G192" s="22">
        <v>455640822</v>
      </c>
      <c r="H192" s="22">
        <v>160608129</v>
      </c>
      <c r="I192" s="22">
        <v>89055332</v>
      </c>
      <c r="J192" s="22">
        <v>53021409</v>
      </c>
      <c r="K192" s="22">
        <v>0</v>
      </c>
      <c r="L192" s="22">
        <v>0</v>
      </c>
    </row>
    <row r="193" spans="1:12">
      <c r="A193" s="20" t="s">
        <v>475</v>
      </c>
      <c r="B193" s="20" t="s">
        <v>288</v>
      </c>
      <c r="C193" s="20" t="s">
        <v>319</v>
      </c>
      <c r="D193" s="20" t="s">
        <v>324</v>
      </c>
      <c r="E193" s="20">
        <v>8743401</v>
      </c>
      <c r="F193" s="20">
        <v>0</v>
      </c>
      <c r="G193" s="20">
        <v>0</v>
      </c>
      <c r="H193" s="20">
        <v>0</v>
      </c>
      <c r="I193" s="20">
        <v>0</v>
      </c>
      <c r="J193" s="20">
        <v>0</v>
      </c>
      <c r="K193" s="20">
        <v>0</v>
      </c>
      <c r="L193" s="20">
        <v>0</v>
      </c>
    </row>
    <row r="194" spans="1:12">
      <c r="A194" s="20" t="s">
        <v>474</v>
      </c>
      <c r="B194" s="20" t="s">
        <v>54</v>
      </c>
      <c r="C194" s="20" t="s">
        <v>314</v>
      </c>
      <c r="D194" s="20" t="s">
        <v>324</v>
      </c>
      <c r="E194" s="20">
        <v>1804333460</v>
      </c>
      <c r="F194" s="20">
        <v>636029517</v>
      </c>
      <c r="G194" s="20">
        <v>10646272</v>
      </c>
      <c r="H194" s="20">
        <v>10472577</v>
      </c>
      <c r="I194" s="20">
        <v>10996188</v>
      </c>
      <c r="J194" s="20">
        <v>14569002</v>
      </c>
      <c r="K194" s="20">
        <v>3062508</v>
      </c>
      <c r="L194" s="20">
        <v>0</v>
      </c>
    </row>
    <row r="195" spans="1:12">
      <c r="A195" s="20" t="s">
        <v>473</v>
      </c>
      <c r="B195" s="20" t="s">
        <v>309</v>
      </c>
      <c r="C195" s="20" t="s">
        <v>314</v>
      </c>
      <c r="D195" s="20" t="s">
        <v>308</v>
      </c>
      <c r="E195" s="20">
        <v>3586254076</v>
      </c>
      <c r="F195" s="20">
        <v>1335964742</v>
      </c>
      <c r="G195" s="20">
        <v>29008630</v>
      </c>
      <c r="H195" s="20">
        <v>8023195</v>
      </c>
      <c r="I195" s="20">
        <v>4526659</v>
      </c>
      <c r="J195" s="20">
        <v>4588236</v>
      </c>
      <c r="K195" s="20">
        <v>0</v>
      </c>
      <c r="L195" s="20">
        <v>0</v>
      </c>
    </row>
    <row r="196" spans="1:12">
      <c r="A196" s="20" t="s">
        <v>472</v>
      </c>
      <c r="B196" s="20" t="s">
        <v>288</v>
      </c>
      <c r="C196" s="20" t="s">
        <v>319</v>
      </c>
      <c r="D196" s="20" t="s">
        <v>324</v>
      </c>
      <c r="E196" s="20">
        <v>862697056</v>
      </c>
      <c r="F196" s="20">
        <v>19831</v>
      </c>
      <c r="G196" s="20">
        <v>7232</v>
      </c>
      <c r="H196" s="20">
        <v>5124</v>
      </c>
      <c r="I196" s="20">
        <v>0</v>
      </c>
      <c r="J196" s="20">
        <v>0</v>
      </c>
      <c r="K196" s="20">
        <v>0</v>
      </c>
      <c r="L196" s="20">
        <v>0</v>
      </c>
    </row>
    <row r="197" spans="1:12">
      <c r="A197" s="20" t="s">
        <v>471</v>
      </c>
      <c r="B197" s="20" t="s">
        <v>216</v>
      </c>
      <c r="C197" s="20" t="s">
        <v>319</v>
      </c>
      <c r="D197" s="20" t="s">
        <v>308</v>
      </c>
      <c r="E197" s="20">
        <v>829149607</v>
      </c>
      <c r="F197" s="20">
        <v>17393078</v>
      </c>
      <c r="G197" s="20">
        <v>7633909</v>
      </c>
      <c r="H197" s="20">
        <v>907270</v>
      </c>
      <c r="I197" s="20">
        <v>119338</v>
      </c>
      <c r="J197" s="20">
        <v>0</v>
      </c>
      <c r="K197" s="20">
        <v>0</v>
      </c>
      <c r="L197" s="20">
        <v>0</v>
      </c>
    </row>
    <row r="198" spans="1:12">
      <c r="A198" s="20" t="s">
        <v>470</v>
      </c>
      <c r="B198" s="20" t="s">
        <v>132</v>
      </c>
      <c r="C198" s="20" t="s">
        <v>319</v>
      </c>
      <c r="D198" s="20" t="s">
        <v>308</v>
      </c>
      <c r="E198" s="20">
        <v>188618</v>
      </c>
      <c r="F198" s="20">
        <v>138998</v>
      </c>
      <c r="G198" s="20">
        <v>74804</v>
      </c>
      <c r="H198" s="20">
        <v>64723</v>
      </c>
      <c r="I198" s="20">
        <v>0</v>
      </c>
      <c r="J198" s="20">
        <v>0</v>
      </c>
      <c r="K198" s="20">
        <v>0</v>
      </c>
      <c r="L198" s="20">
        <v>0</v>
      </c>
    </row>
    <row r="199" spans="1:12">
      <c r="A199" s="22" t="s">
        <v>469</v>
      </c>
      <c r="B199" s="22" t="s">
        <v>288</v>
      </c>
      <c r="C199" s="22" t="s">
        <v>319</v>
      </c>
      <c r="D199" s="22" t="s">
        <v>324</v>
      </c>
      <c r="E199" s="22">
        <v>6917715538</v>
      </c>
      <c r="F199" s="22">
        <v>510389449</v>
      </c>
      <c r="G199" s="22">
        <v>295926278</v>
      </c>
      <c r="H199" s="22">
        <v>29513854</v>
      </c>
      <c r="I199" s="22">
        <v>11646173</v>
      </c>
      <c r="J199" s="22">
        <v>4294009</v>
      </c>
      <c r="K199" s="22">
        <v>42577</v>
      </c>
      <c r="L199" s="22">
        <v>0</v>
      </c>
    </row>
    <row r="200" spans="1:12">
      <c r="A200" s="20" t="s">
        <v>468</v>
      </c>
      <c r="B200" s="20" t="s">
        <v>309</v>
      </c>
      <c r="C200" s="20" t="s">
        <v>311</v>
      </c>
      <c r="D200" s="20" t="s">
        <v>308</v>
      </c>
      <c r="E200" s="20">
        <v>731976018</v>
      </c>
      <c r="F200" s="20">
        <v>212421334</v>
      </c>
      <c r="G200" s="20">
        <v>13543978</v>
      </c>
      <c r="H200" s="20">
        <v>11876266</v>
      </c>
      <c r="I200" s="20">
        <v>10411717</v>
      </c>
      <c r="J200" s="20">
        <v>8384515</v>
      </c>
      <c r="K200" s="20">
        <v>191328</v>
      </c>
      <c r="L200" s="20">
        <v>0</v>
      </c>
    </row>
    <row r="201" spans="1:12">
      <c r="A201" s="20" t="s">
        <v>467</v>
      </c>
      <c r="B201" s="20" t="s">
        <v>228</v>
      </c>
      <c r="C201" s="20" t="s">
        <v>319</v>
      </c>
      <c r="D201" s="20" t="s">
        <v>308</v>
      </c>
      <c r="E201" s="20">
        <v>1859285</v>
      </c>
      <c r="F201" s="20">
        <v>1063472</v>
      </c>
      <c r="G201" s="20">
        <v>371584</v>
      </c>
      <c r="H201" s="20">
        <v>0</v>
      </c>
      <c r="I201" s="20">
        <v>0</v>
      </c>
      <c r="J201" s="20">
        <v>0</v>
      </c>
      <c r="K201" s="20">
        <v>0</v>
      </c>
      <c r="L201" s="20">
        <v>0</v>
      </c>
    </row>
    <row r="202" spans="1:12">
      <c r="A202" s="22" t="s">
        <v>466</v>
      </c>
      <c r="B202" s="22" t="s">
        <v>309</v>
      </c>
      <c r="C202" s="22" t="s">
        <v>306</v>
      </c>
      <c r="D202" s="22" t="s">
        <v>308</v>
      </c>
      <c r="E202" s="22">
        <v>149236509</v>
      </c>
      <c r="F202" s="22">
        <v>280877390</v>
      </c>
      <c r="G202" s="22">
        <v>9709187</v>
      </c>
      <c r="H202" s="22">
        <v>5894984</v>
      </c>
      <c r="I202" s="22">
        <v>6082547</v>
      </c>
      <c r="J202" s="22">
        <v>10063815</v>
      </c>
      <c r="K202" s="22">
        <v>4863702</v>
      </c>
      <c r="L202" s="22">
        <v>0</v>
      </c>
    </row>
    <row r="203" spans="1:12">
      <c r="A203" s="20" t="s">
        <v>465</v>
      </c>
      <c r="B203" s="20" t="s">
        <v>294</v>
      </c>
      <c r="C203" s="20" t="s">
        <v>319</v>
      </c>
      <c r="D203" s="20" t="s">
        <v>324</v>
      </c>
      <c r="E203" s="20">
        <v>1212371</v>
      </c>
      <c r="F203" s="20">
        <v>1125684</v>
      </c>
      <c r="G203" s="20">
        <v>587438</v>
      </c>
      <c r="H203" s="20">
        <v>60929</v>
      </c>
      <c r="I203" s="20">
        <v>64371</v>
      </c>
      <c r="J203" s="20">
        <v>64977</v>
      </c>
      <c r="K203" s="20">
        <v>67244</v>
      </c>
      <c r="L203" s="20">
        <v>0</v>
      </c>
    </row>
    <row r="204" spans="1:12">
      <c r="A204" s="20" t="s">
        <v>464</v>
      </c>
      <c r="B204" s="20" t="s">
        <v>288</v>
      </c>
      <c r="C204" s="20" t="s">
        <v>319</v>
      </c>
      <c r="D204" s="20" t="s">
        <v>324</v>
      </c>
      <c r="E204" s="20">
        <v>64264</v>
      </c>
      <c r="F204" s="20">
        <v>0</v>
      </c>
      <c r="G204" s="20">
        <v>0</v>
      </c>
      <c r="H204" s="20">
        <v>0</v>
      </c>
      <c r="I204" s="20">
        <v>0</v>
      </c>
      <c r="J204" s="20">
        <v>0</v>
      </c>
      <c r="K204" s="20">
        <v>0</v>
      </c>
      <c r="L204" s="20">
        <v>0</v>
      </c>
    </row>
    <row r="205" spans="1:12">
      <c r="A205" s="20" t="s">
        <v>463</v>
      </c>
      <c r="B205" s="20" t="s">
        <v>288</v>
      </c>
      <c r="C205" s="20" t="s">
        <v>319</v>
      </c>
      <c r="D205" s="20" t="s">
        <v>324</v>
      </c>
      <c r="E205" s="20">
        <v>152503709</v>
      </c>
      <c r="F205" s="20">
        <v>10247547</v>
      </c>
      <c r="G205" s="20">
        <v>3550097</v>
      </c>
      <c r="H205" s="20">
        <v>54427</v>
      </c>
      <c r="I205" s="20">
        <v>0</v>
      </c>
      <c r="J205" s="20">
        <v>0</v>
      </c>
      <c r="K205" s="20">
        <v>0</v>
      </c>
      <c r="L205" s="20">
        <v>0</v>
      </c>
    </row>
    <row r="206" spans="1:12">
      <c r="A206" s="20" t="s">
        <v>462</v>
      </c>
      <c r="B206" s="20" t="s">
        <v>54</v>
      </c>
      <c r="C206" s="20" t="s">
        <v>319</v>
      </c>
      <c r="D206" s="20" t="s">
        <v>324</v>
      </c>
      <c r="E206" s="20">
        <v>125147</v>
      </c>
      <c r="F206" s="20">
        <v>17854</v>
      </c>
      <c r="G206" s="20">
        <v>38686</v>
      </c>
      <c r="H206" s="20">
        <v>40620</v>
      </c>
      <c r="I206" s="20">
        <v>48190</v>
      </c>
      <c r="J206" s="20">
        <v>0</v>
      </c>
      <c r="K206" s="20">
        <v>0</v>
      </c>
      <c r="L206" s="20">
        <v>0</v>
      </c>
    </row>
    <row r="207" spans="1:12">
      <c r="A207" s="20" t="s">
        <v>461</v>
      </c>
      <c r="B207" s="20" t="s">
        <v>188</v>
      </c>
      <c r="C207" s="20" t="s">
        <v>319</v>
      </c>
      <c r="D207" s="20" t="s">
        <v>345</v>
      </c>
      <c r="E207" s="20">
        <v>151319901</v>
      </c>
      <c r="F207" s="20">
        <v>2210873</v>
      </c>
      <c r="G207" s="20">
        <v>0</v>
      </c>
      <c r="H207" s="20">
        <v>0</v>
      </c>
      <c r="I207" s="20">
        <v>0</v>
      </c>
      <c r="J207" s="20">
        <v>0</v>
      </c>
      <c r="K207" s="20">
        <v>0</v>
      </c>
      <c r="L207" s="20">
        <v>0</v>
      </c>
    </row>
    <row r="208" spans="1:12">
      <c r="A208" s="20" t="s">
        <v>460</v>
      </c>
      <c r="B208" s="20" t="s">
        <v>92</v>
      </c>
      <c r="C208" s="20" t="s">
        <v>319</v>
      </c>
      <c r="D208" s="20" t="s">
        <v>308</v>
      </c>
      <c r="E208" s="20">
        <v>130758646</v>
      </c>
      <c r="F208" s="20">
        <v>0</v>
      </c>
      <c r="G208" s="20">
        <v>0</v>
      </c>
      <c r="H208" s="20">
        <v>0</v>
      </c>
      <c r="I208" s="20">
        <v>0</v>
      </c>
      <c r="J208" s="20">
        <v>0</v>
      </c>
      <c r="K208" s="20">
        <v>0</v>
      </c>
      <c r="L208" s="20">
        <v>0</v>
      </c>
    </row>
    <row r="209" spans="1:12">
      <c r="A209" s="20" t="s">
        <v>459</v>
      </c>
      <c r="B209" s="20" t="s">
        <v>44</v>
      </c>
      <c r="C209" s="20" t="s">
        <v>319</v>
      </c>
      <c r="D209" s="20" t="s">
        <v>324</v>
      </c>
      <c r="E209" s="20">
        <v>6087846</v>
      </c>
      <c r="F209" s="20">
        <v>2789319</v>
      </c>
      <c r="G209" s="20">
        <v>2780841</v>
      </c>
      <c r="H209" s="20">
        <v>2788707</v>
      </c>
      <c r="I209" s="20">
        <v>3562</v>
      </c>
      <c r="J209" s="20">
        <v>0</v>
      </c>
      <c r="K209" s="20">
        <v>0</v>
      </c>
      <c r="L209" s="20">
        <v>0</v>
      </c>
    </row>
    <row r="210" spans="1:12">
      <c r="A210" s="20" t="s">
        <v>458</v>
      </c>
      <c r="B210" s="20" t="s">
        <v>44</v>
      </c>
      <c r="C210" s="20" t="s">
        <v>319</v>
      </c>
      <c r="D210" s="20" t="s">
        <v>324</v>
      </c>
      <c r="E210" s="20">
        <v>2059978</v>
      </c>
      <c r="F210" s="20">
        <v>1628177</v>
      </c>
      <c r="G210" s="20">
        <v>1629486</v>
      </c>
      <c r="H210" s="20">
        <v>1631809</v>
      </c>
      <c r="I210" s="20">
        <v>1611517</v>
      </c>
      <c r="J210" s="20">
        <v>1910105</v>
      </c>
      <c r="K210" s="20">
        <v>0</v>
      </c>
      <c r="L210" s="20">
        <v>0</v>
      </c>
    </row>
    <row r="211" spans="1:12">
      <c r="A211" s="20" t="s">
        <v>457</v>
      </c>
      <c r="B211" s="20" t="s">
        <v>118</v>
      </c>
      <c r="C211" s="20" t="s">
        <v>328</v>
      </c>
      <c r="D211" s="20" t="s">
        <v>305</v>
      </c>
      <c r="E211" s="20">
        <v>45887656</v>
      </c>
      <c r="F211" s="20">
        <v>43924134</v>
      </c>
      <c r="G211" s="20">
        <v>26633585</v>
      </c>
      <c r="H211" s="20">
        <v>3827467</v>
      </c>
      <c r="I211" s="20">
        <v>1347597</v>
      </c>
      <c r="J211" s="20">
        <v>1159294</v>
      </c>
      <c r="K211" s="20">
        <v>181264</v>
      </c>
      <c r="L211" s="20">
        <v>0</v>
      </c>
    </row>
    <row r="212" spans="1:12">
      <c r="A212" s="20" t="s">
        <v>456</v>
      </c>
      <c r="B212" s="20" t="s">
        <v>44</v>
      </c>
      <c r="C212" s="20" t="s">
        <v>319</v>
      </c>
      <c r="D212" s="20" t="s">
        <v>324</v>
      </c>
      <c r="E212" s="20">
        <v>7884138</v>
      </c>
      <c r="F212" s="20">
        <v>4515240</v>
      </c>
      <c r="G212" s="20">
        <v>4687087</v>
      </c>
      <c r="H212" s="20">
        <v>4626272</v>
      </c>
      <c r="I212" s="20">
        <v>4634663</v>
      </c>
      <c r="J212" s="20">
        <v>4543378</v>
      </c>
      <c r="K212" s="20">
        <v>1639188</v>
      </c>
      <c r="L212" s="20">
        <v>0</v>
      </c>
    </row>
    <row r="213" spans="1:12">
      <c r="A213" s="20" t="s">
        <v>455</v>
      </c>
      <c r="B213" s="20" t="s">
        <v>198</v>
      </c>
      <c r="C213" s="20" t="s">
        <v>306</v>
      </c>
      <c r="D213" s="20" t="s">
        <v>305</v>
      </c>
      <c r="E213" s="20">
        <v>7213764</v>
      </c>
      <c r="F213" s="20">
        <v>2378446</v>
      </c>
      <c r="G213" s="20">
        <v>1691782</v>
      </c>
      <c r="H213" s="20">
        <v>177026</v>
      </c>
      <c r="I213" s="20">
        <v>123401</v>
      </c>
      <c r="J213" s="20">
        <v>115426</v>
      </c>
      <c r="K213" s="20">
        <v>0</v>
      </c>
      <c r="L213" s="20">
        <v>0</v>
      </c>
    </row>
    <row r="214" spans="1:12">
      <c r="A214" s="20" t="s">
        <v>454</v>
      </c>
      <c r="B214" s="20" t="s">
        <v>54</v>
      </c>
      <c r="C214" s="20" t="s">
        <v>314</v>
      </c>
      <c r="D214" s="20" t="s">
        <v>324</v>
      </c>
      <c r="E214" s="20">
        <v>4735276</v>
      </c>
      <c r="F214" s="20">
        <v>950154</v>
      </c>
      <c r="G214" s="20">
        <v>1055527</v>
      </c>
      <c r="H214" s="20">
        <v>0</v>
      </c>
      <c r="I214" s="20">
        <v>0</v>
      </c>
      <c r="J214" s="20">
        <v>0</v>
      </c>
      <c r="K214" s="20">
        <v>0</v>
      </c>
      <c r="L214" s="20">
        <v>0</v>
      </c>
    </row>
    <row r="215" spans="1:12">
      <c r="A215" s="20" t="s">
        <v>453</v>
      </c>
      <c r="B215" s="20" t="s">
        <v>60</v>
      </c>
      <c r="C215" s="20" t="s">
        <v>306</v>
      </c>
      <c r="D215" s="20" t="s">
        <v>305</v>
      </c>
      <c r="E215" s="20">
        <v>15768691</v>
      </c>
      <c r="F215" s="20">
        <v>705314</v>
      </c>
      <c r="G215" s="20">
        <v>159416</v>
      </c>
      <c r="H215" s="20">
        <v>206042</v>
      </c>
      <c r="I215" s="20">
        <v>0</v>
      </c>
      <c r="J215" s="20">
        <v>0</v>
      </c>
      <c r="K215" s="20">
        <v>0</v>
      </c>
      <c r="L215" s="20">
        <v>0</v>
      </c>
    </row>
    <row r="216" spans="1:12">
      <c r="A216" s="20" t="s">
        <v>452</v>
      </c>
      <c r="B216" s="20" t="s">
        <v>309</v>
      </c>
      <c r="C216" s="20" t="s">
        <v>314</v>
      </c>
      <c r="D216" s="20" t="s">
        <v>308</v>
      </c>
      <c r="E216" s="20">
        <v>13531268</v>
      </c>
      <c r="F216" s="20">
        <v>4038919</v>
      </c>
      <c r="G216" s="20">
        <v>0</v>
      </c>
      <c r="H216" s="20">
        <v>0</v>
      </c>
      <c r="I216" s="20">
        <v>0</v>
      </c>
      <c r="J216" s="20">
        <v>0</v>
      </c>
      <c r="K216" s="20">
        <v>0</v>
      </c>
      <c r="L216" s="20">
        <v>0</v>
      </c>
    </row>
    <row r="217" spans="1:12">
      <c r="A217" s="20" t="s">
        <v>451</v>
      </c>
      <c r="B217" s="20" t="s">
        <v>118</v>
      </c>
      <c r="C217" s="20" t="s">
        <v>328</v>
      </c>
      <c r="D217" s="20" t="s">
        <v>305</v>
      </c>
      <c r="E217" s="20">
        <v>20340959</v>
      </c>
      <c r="F217" s="20">
        <v>20340959</v>
      </c>
      <c r="G217" s="20">
        <v>13149655</v>
      </c>
      <c r="H217" s="20">
        <v>5906317</v>
      </c>
      <c r="I217" s="20">
        <v>1646345</v>
      </c>
      <c r="J217" s="20">
        <v>772109</v>
      </c>
      <c r="K217" s="20">
        <v>68277</v>
      </c>
      <c r="L217" s="20">
        <v>0</v>
      </c>
    </row>
    <row r="218" spans="1:12">
      <c r="A218" s="20" t="s">
        <v>450</v>
      </c>
      <c r="B218" s="20" t="s">
        <v>266</v>
      </c>
      <c r="C218" s="20" t="s">
        <v>306</v>
      </c>
      <c r="D218" s="20" t="s">
        <v>305</v>
      </c>
      <c r="E218" s="20">
        <v>2990877</v>
      </c>
      <c r="F218" s="20">
        <v>3298888</v>
      </c>
      <c r="G218" s="20">
        <v>912177</v>
      </c>
      <c r="H218" s="20">
        <v>0</v>
      </c>
      <c r="I218" s="20">
        <v>0</v>
      </c>
      <c r="J218" s="20">
        <v>0</v>
      </c>
      <c r="K218" s="20">
        <v>0</v>
      </c>
      <c r="L218" s="20">
        <v>0</v>
      </c>
    </row>
    <row r="219" spans="1:12">
      <c r="A219" s="20" t="s">
        <v>449</v>
      </c>
      <c r="B219" s="20" t="s">
        <v>288</v>
      </c>
      <c r="C219" s="20" t="s">
        <v>319</v>
      </c>
      <c r="D219" s="20" t="s">
        <v>324</v>
      </c>
      <c r="E219" s="20">
        <v>742615865</v>
      </c>
      <c r="F219" s="20">
        <v>593454022</v>
      </c>
      <c r="G219" s="20">
        <v>1440634</v>
      </c>
      <c r="H219" s="20">
        <v>1005382</v>
      </c>
      <c r="I219" s="20">
        <v>595677</v>
      </c>
      <c r="J219" s="20">
        <v>415645</v>
      </c>
      <c r="K219" s="20">
        <v>413</v>
      </c>
      <c r="L219" s="20">
        <v>0</v>
      </c>
    </row>
    <row r="220" spans="1:12">
      <c r="A220" s="22" t="s">
        <v>448</v>
      </c>
      <c r="B220" s="22" t="s">
        <v>132</v>
      </c>
      <c r="C220" s="22" t="s">
        <v>319</v>
      </c>
      <c r="D220" s="22" t="s">
        <v>308</v>
      </c>
      <c r="E220" s="22">
        <v>1425627327</v>
      </c>
      <c r="F220" s="22">
        <v>583628506</v>
      </c>
      <c r="G220" s="22">
        <v>293790966</v>
      </c>
      <c r="H220" s="22">
        <v>193948545</v>
      </c>
      <c r="I220" s="22">
        <v>202791116</v>
      </c>
      <c r="J220" s="22">
        <v>15078593</v>
      </c>
      <c r="K220" s="22">
        <v>0</v>
      </c>
      <c r="L220" s="22">
        <v>0</v>
      </c>
    </row>
    <row r="221" spans="1:12">
      <c r="A221" s="20" t="s">
        <v>447</v>
      </c>
      <c r="B221" s="20" t="s">
        <v>288</v>
      </c>
      <c r="C221" s="20" t="s">
        <v>319</v>
      </c>
      <c r="D221" s="20" t="s">
        <v>324</v>
      </c>
      <c r="E221" s="20">
        <v>428062261</v>
      </c>
      <c r="F221" s="20">
        <v>166599604</v>
      </c>
      <c r="G221" s="20">
        <v>69450275</v>
      </c>
      <c r="H221" s="20">
        <v>0</v>
      </c>
      <c r="I221" s="20">
        <v>0</v>
      </c>
      <c r="J221" s="20">
        <v>0</v>
      </c>
      <c r="K221" s="20">
        <v>0</v>
      </c>
      <c r="L221" s="20">
        <v>0</v>
      </c>
    </row>
    <row r="222" spans="1:12">
      <c r="A222" s="20" t="s">
        <v>446</v>
      </c>
      <c r="B222" s="20" t="s">
        <v>34</v>
      </c>
      <c r="C222" s="20" t="s">
        <v>319</v>
      </c>
      <c r="D222" s="20" t="s">
        <v>308</v>
      </c>
      <c r="E222" s="20">
        <v>3555932</v>
      </c>
      <c r="F222" s="20">
        <v>0</v>
      </c>
      <c r="G222" s="20">
        <v>0</v>
      </c>
      <c r="H222" s="20">
        <v>0</v>
      </c>
      <c r="I222" s="20">
        <v>0</v>
      </c>
      <c r="J222" s="20">
        <v>0</v>
      </c>
      <c r="K222" s="20">
        <v>0</v>
      </c>
      <c r="L222" s="20">
        <v>0</v>
      </c>
    </row>
    <row r="223" spans="1:12">
      <c r="A223" s="20" t="s">
        <v>445</v>
      </c>
      <c r="B223" s="20" t="s">
        <v>309</v>
      </c>
      <c r="C223" s="20" t="s">
        <v>314</v>
      </c>
      <c r="D223" s="20" t="s">
        <v>308</v>
      </c>
      <c r="E223" s="20">
        <v>1217642</v>
      </c>
      <c r="F223" s="20">
        <v>895950</v>
      </c>
      <c r="G223" s="20">
        <v>7525</v>
      </c>
      <c r="H223" s="20">
        <v>9426</v>
      </c>
      <c r="I223" s="20">
        <v>10680</v>
      </c>
      <c r="J223" s="20">
        <v>23819</v>
      </c>
      <c r="K223" s="20">
        <v>36767</v>
      </c>
      <c r="L223" s="20">
        <v>0</v>
      </c>
    </row>
    <row r="224" spans="1:12">
      <c r="A224" s="20" t="s">
        <v>444</v>
      </c>
      <c r="B224" s="20" t="s">
        <v>60</v>
      </c>
      <c r="C224" s="20" t="s">
        <v>306</v>
      </c>
      <c r="D224" s="20" t="s">
        <v>305</v>
      </c>
      <c r="E224" s="20">
        <v>84561392</v>
      </c>
      <c r="F224" s="20">
        <v>93062598</v>
      </c>
      <c r="G224" s="20">
        <v>14661511</v>
      </c>
      <c r="H224" s="20">
        <v>1410860</v>
      </c>
      <c r="I224" s="20">
        <v>120796</v>
      </c>
      <c r="J224" s="20">
        <v>54612</v>
      </c>
      <c r="K224" s="20">
        <v>1781</v>
      </c>
      <c r="L224" s="20">
        <v>0</v>
      </c>
    </row>
    <row r="225" spans="1:12">
      <c r="A225" s="20" t="s">
        <v>443</v>
      </c>
      <c r="B225" s="20" t="s">
        <v>60</v>
      </c>
      <c r="C225" s="20" t="s">
        <v>306</v>
      </c>
      <c r="D225" s="20" t="s">
        <v>305</v>
      </c>
      <c r="E225" s="20">
        <v>58168768</v>
      </c>
      <c r="F225" s="20">
        <v>84650446</v>
      </c>
      <c r="G225" s="20">
        <v>12780208</v>
      </c>
      <c r="H225" s="20">
        <v>969677</v>
      </c>
      <c r="I225" s="20">
        <v>29145</v>
      </c>
      <c r="J225" s="20">
        <v>13005</v>
      </c>
      <c r="K225" s="20">
        <v>1638</v>
      </c>
      <c r="L225" s="20">
        <v>0</v>
      </c>
    </row>
    <row r="226" spans="1:12">
      <c r="A226" s="20" t="s">
        <v>442</v>
      </c>
      <c r="B226" s="20" t="s">
        <v>208</v>
      </c>
      <c r="C226" s="20" t="s">
        <v>328</v>
      </c>
      <c r="D226" s="20" t="s">
        <v>305</v>
      </c>
      <c r="E226" s="20">
        <v>3587762</v>
      </c>
      <c r="F226" s="20">
        <v>3093801</v>
      </c>
      <c r="G226" s="20">
        <v>1541219</v>
      </c>
      <c r="H226" s="20">
        <v>309205</v>
      </c>
      <c r="I226" s="20">
        <v>85594</v>
      </c>
      <c r="J226" s="20">
        <v>97926</v>
      </c>
      <c r="K226" s="20">
        <v>0</v>
      </c>
      <c r="L226" s="20">
        <v>0</v>
      </c>
    </row>
    <row r="227" spans="1:12">
      <c r="A227" s="20" t="s">
        <v>441</v>
      </c>
      <c r="B227" s="20" t="s">
        <v>54</v>
      </c>
      <c r="C227" s="20" t="s">
        <v>314</v>
      </c>
      <c r="D227" s="20" t="s">
        <v>324</v>
      </c>
      <c r="E227" s="20">
        <v>30640018</v>
      </c>
      <c r="F227" s="20">
        <v>0</v>
      </c>
      <c r="G227" s="20">
        <v>0</v>
      </c>
      <c r="H227" s="20">
        <v>0</v>
      </c>
      <c r="I227" s="20">
        <v>0</v>
      </c>
      <c r="J227" s="20">
        <v>0</v>
      </c>
      <c r="K227" s="20">
        <v>0</v>
      </c>
      <c r="L227" s="20">
        <v>0</v>
      </c>
    </row>
    <row r="228" spans="1:12">
      <c r="A228" s="22" t="s">
        <v>440</v>
      </c>
      <c r="B228" s="22" t="s">
        <v>288</v>
      </c>
      <c r="C228" s="22" t="s">
        <v>319</v>
      </c>
      <c r="D228" s="22" t="s">
        <v>324</v>
      </c>
      <c r="E228" s="22">
        <v>842956771</v>
      </c>
      <c r="F228" s="22">
        <v>999060030</v>
      </c>
      <c r="G228" s="22">
        <v>311064659</v>
      </c>
      <c r="H228" s="22">
        <v>199385813</v>
      </c>
      <c r="I228" s="22">
        <v>137672228</v>
      </c>
      <c r="J228" s="22">
        <v>53948883</v>
      </c>
      <c r="K228" s="22">
        <v>396918</v>
      </c>
      <c r="L228" s="22">
        <v>0</v>
      </c>
    </row>
    <row r="229" spans="1:12">
      <c r="A229" s="20" t="s">
        <v>439</v>
      </c>
      <c r="B229" s="20" t="s">
        <v>288</v>
      </c>
      <c r="C229" s="20" t="s">
        <v>319</v>
      </c>
      <c r="D229" s="20" t="s">
        <v>324</v>
      </c>
      <c r="E229" s="20">
        <v>359409</v>
      </c>
      <c r="F229" s="20">
        <v>0</v>
      </c>
      <c r="G229" s="20">
        <v>0</v>
      </c>
      <c r="H229" s="20">
        <v>0</v>
      </c>
      <c r="I229" s="20">
        <v>0</v>
      </c>
      <c r="J229" s="20">
        <v>0</v>
      </c>
      <c r="K229" s="20">
        <v>0</v>
      </c>
      <c r="L229" s="20">
        <v>0</v>
      </c>
    </row>
    <row r="230" spans="1:12">
      <c r="A230" s="22" t="s">
        <v>438</v>
      </c>
      <c r="B230" s="22" t="s">
        <v>100</v>
      </c>
      <c r="C230" s="22" t="s">
        <v>319</v>
      </c>
      <c r="D230" s="22" t="s">
        <v>308</v>
      </c>
      <c r="E230" s="22">
        <v>4644354731</v>
      </c>
      <c r="F230" s="22">
        <v>994780552</v>
      </c>
      <c r="G230" s="22">
        <v>218019827</v>
      </c>
      <c r="H230" s="22">
        <v>197307962</v>
      </c>
      <c r="I230" s="22">
        <v>32117065</v>
      </c>
      <c r="J230" s="22">
        <v>8874706</v>
      </c>
      <c r="K230" s="22">
        <v>3975633</v>
      </c>
      <c r="L230" s="22">
        <v>0</v>
      </c>
    </row>
    <row r="231" spans="1:12">
      <c r="A231" s="22" t="s">
        <v>437</v>
      </c>
      <c r="B231" s="22" t="s">
        <v>94</v>
      </c>
      <c r="C231" s="22" t="s">
        <v>319</v>
      </c>
      <c r="D231" s="22" t="s">
        <v>308</v>
      </c>
      <c r="E231" s="22">
        <v>7500973670</v>
      </c>
      <c r="F231" s="22">
        <v>3508426141</v>
      </c>
      <c r="G231" s="22">
        <v>3338016411</v>
      </c>
      <c r="H231" s="22">
        <v>127951</v>
      </c>
      <c r="I231" s="22">
        <v>128489</v>
      </c>
      <c r="J231" s="22">
        <v>134548</v>
      </c>
      <c r="K231" s="22">
        <v>0</v>
      </c>
      <c r="L231" s="22">
        <v>0</v>
      </c>
    </row>
    <row r="232" spans="1:12">
      <c r="A232" s="20" t="s">
        <v>436</v>
      </c>
      <c r="B232" s="20" t="s">
        <v>288</v>
      </c>
      <c r="C232" s="20" t="s">
        <v>319</v>
      </c>
      <c r="D232" s="20" t="s">
        <v>324</v>
      </c>
      <c r="E232" s="20">
        <v>19345200</v>
      </c>
      <c r="F232" s="20">
        <v>4150126</v>
      </c>
      <c r="G232" s="20">
        <v>1526306</v>
      </c>
      <c r="H232" s="20">
        <v>1084772</v>
      </c>
      <c r="I232" s="20">
        <v>1333649</v>
      </c>
      <c r="J232" s="20">
        <v>1572128</v>
      </c>
      <c r="K232" s="20">
        <v>1409123</v>
      </c>
      <c r="L232" s="20">
        <v>0</v>
      </c>
    </row>
    <row r="233" spans="1:12">
      <c r="A233" s="20" t="s">
        <v>435</v>
      </c>
      <c r="B233" s="20" t="s">
        <v>44</v>
      </c>
      <c r="C233" s="20" t="s">
        <v>319</v>
      </c>
      <c r="D233" s="20" t="s">
        <v>324</v>
      </c>
      <c r="E233" s="20">
        <v>36336</v>
      </c>
      <c r="F233" s="20">
        <v>13075</v>
      </c>
      <c r="G233" s="20">
        <v>13572</v>
      </c>
      <c r="H233" s="20">
        <v>13396</v>
      </c>
      <c r="I233" s="20">
        <v>13426</v>
      </c>
      <c r="J233" s="20">
        <v>0</v>
      </c>
      <c r="K233" s="20">
        <v>0</v>
      </c>
      <c r="L233" s="20">
        <v>0</v>
      </c>
    </row>
    <row r="234" spans="1:12">
      <c r="A234" s="20" t="s">
        <v>434</v>
      </c>
      <c r="B234" s="20" t="s">
        <v>212</v>
      </c>
      <c r="C234" s="20" t="s">
        <v>306</v>
      </c>
      <c r="D234" s="20" t="s">
        <v>324</v>
      </c>
      <c r="E234" s="20">
        <v>345210</v>
      </c>
      <c r="F234" s="20">
        <v>28790</v>
      </c>
      <c r="G234" s="20">
        <v>29234</v>
      </c>
      <c r="H234" s="20">
        <v>29233</v>
      </c>
      <c r="I234" s="20">
        <v>29419</v>
      </c>
      <c r="J234" s="20">
        <v>31583</v>
      </c>
      <c r="K234" s="20">
        <v>0</v>
      </c>
      <c r="L234" s="20">
        <v>0</v>
      </c>
    </row>
    <row r="235" spans="1:12">
      <c r="A235" s="20" t="s">
        <v>433</v>
      </c>
      <c r="B235" s="20" t="s">
        <v>58</v>
      </c>
      <c r="C235" s="20" t="s">
        <v>306</v>
      </c>
      <c r="D235" s="20" t="s">
        <v>324</v>
      </c>
      <c r="E235" s="20">
        <v>185283977</v>
      </c>
      <c r="F235" s="20">
        <v>9598759</v>
      </c>
      <c r="G235" s="20">
        <v>9110585</v>
      </c>
      <c r="H235" s="20">
        <v>13756701</v>
      </c>
      <c r="I235" s="20">
        <v>6949514</v>
      </c>
      <c r="J235" s="20">
        <v>5682311</v>
      </c>
      <c r="K235" s="20">
        <v>0</v>
      </c>
      <c r="L235" s="20">
        <v>0</v>
      </c>
    </row>
    <row r="236" spans="1:12">
      <c r="A236" s="20" t="s">
        <v>432</v>
      </c>
      <c r="B236" s="20" t="s">
        <v>200</v>
      </c>
      <c r="C236" s="20" t="s">
        <v>319</v>
      </c>
      <c r="D236" s="20" t="s">
        <v>324</v>
      </c>
      <c r="E236" s="20">
        <v>737067</v>
      </c>
      <c r="F236" s="20">
        <v>0</v>
      </c>
      <c r="G236" s="20">
        <v>0</v>
      </c>
      <c r="H236" s="20">
        <v>0</v>
      </c>
      <c r="I236" s="20">
        <v>0</v>
      </c>
      <c r="J236" s="20">
        <v>0</v>
      </c>
      <c r="K236" s="20">
        <v>0</v>
      </c>
      <c r="L236" s="20">
        <v>0</v>
      </c>
    </row>
    <row r="237" spans="1:12">
      <c r="A237" s="20" t="s">
        <v>431</v>
      </c>
      <c r="B237" s="20" t="s">
        <v>288</v>
      </c>
      <c r="C237" s="20" t="s">
        <v>319</v>
      </c>
      <c r="D237" s="20" t="s">
        <v>324</v>
      </c>
      <c r="E237" s="20">
        <v>26700031</v>
      </c>
      <c r="F237" s="20">
        <v>44835750</v>
      </c>
      <c r="G237" s="20">
        <v>31077596</v>
      </c>
      <c r="H237" s="20">
        <v>20027887</v>
      </c>
      <c r="I237" s="20">
        <v>5731753</v>
      </c>
      <c r="J237" s="20">
        <v>0</v>
      </c>
      <c r="K237" s="20">
        <v>0</v>
      </c>
      <c r="L237" s="20">
        <v>0</v>
      </c>
    </row>
    <row r="238" spans="1:12">
      <c r="A238" s="20" t="s">
        <v>430</v>
      </c>
      <c r="B238" s="20" t="s">
        <v>60</v>
      </c>
      <c r="C238" s="20" t="s">
        <v>306</v>
      </c>
      <c r="D238" s="20" t="s">
        <v>305</v>
      </c>
      <c r="E238" s="20">
        <v>6082124</v>
      </c>
      <c r="F238" s="20">
        <v>6922145</v>
      </c>
      <c r="G238" s="20">
        <v>3728048</v>
      </c>
      <c r="H238" s="20">
        <v>281576</v>
      </c>
      <c r="I238" s="20">
        <v>3019</v>
      </c>
      <c r="J238" s="20">
        <v>3366</v>
      </c>
      <c r="K238" s="20">
        <v>0</v>
      </c>
      <c r="L238" s="20">
        <v>0</v>
      </c>
    </row>
    <row r="239" spans="1:12">
      <c r="A239" s="20" t="s">
        <v>429</v>
      </c>
      <c r="B239" s="20" t="s">
        <v>84</v>
      </c>
      <c r="C239" s="20" t="s">
        <v>319</v>
      </c>
      <c r="D239" s="20" t="s">
        <v>345</v>
      </c>
      <c r="E239" s="20">
        <v>2411551963</v>
      </c>
      <c r="F239" s="20">
        <v>1597234023</v>
      </c>
      <c r="G239" s="20">
        <v>220645446</v>
      </c>
      <c r="H239" s="20">
        <v>63334112</v>
      </c>
      <c r="I239" s="20">
        <v>53650177</v>
      </c>
      <c r="J239" s="20">
        <v>29531483</v>
      </c>
      <c r="K239" s="20">
        <v>0</v>
      </c>
      <c r="L239" s="20">
        <v>0</v>
      </c>
    </row>
    <row r="240" spans="1:12">
      <c r="A240" s="20" t="s">
        <v>428</v>
      </c>
      <c r="B240" s="20" t="s">
        <v>288</v>
      </c>
      <c r="C240" s="20" t="s">
        <v>319</v>
      </c>
      <c r="D240" s="20" t="s">
        <v>324</v>
      </c>
      <c r="E240" s="20">
        <v>443928649</v>
      </c>
      <c r="F240" s="20">
        <v>515757126</v>
      </c>
      <c r="G240" s="20">
        <v>725194</v>
      </c>
      <c r="H240" s="20">
        <v>617602</v>
      </c>
      <c r="I240" s="20">
        <v>1038081</v>
      </c>
      <c r="J240" s="20">
        <v>0</v>
      </c>
      <c r="K240" s="20">
        <v>0</v>
      </c>
      <c r="L240" s="20">
        <v>0</v>
      </c>
    </row>
    <row r="241" spans="1:12">
      <c r="A241" s="20" t="s">
        <v>427</v>
      </c>
      <c r="B241" s="20" t="s">
        <v>288</v>
      </c>
      <c r="C241" s="20" t="s">
        <v>306</v>
      </c>
      <c r="D241" s="20" t="s">
        <v>324</v>
      </c>
      <c r="E241" s="20">
        <v>1845057</v>
      </c>
      <c r="F241" s="20">
        <v>1251098</v>
      </c>
      <c r="G241" s="20">
        <v>207291</v>
      </c>
      <c r="H241" s="20">
        <v>121533</v>
      </c>
      <c r="I241" s="20">
        <v>35171</v>
      </c>
      <c r="J241" s="20">
        <v>36029</v>
      </c>
      <c r="K241" s="20">
        <v>0</v>
      </c>
      <c r="L241" s="20">
        <v>0</v>
      </c>
    </row>
    <row r="242" spans="1:12">
      <c r="A242" s="20" t="s">
        <v>426</v>
      </c>
      <c r="B242" s="20" t="s">
        <v>288</v>
      </c>
      <c r="C242" s="20" t="s">
        <v>319</v>
      </c>
      <c r="D242" s="20" t="s">
        <v>324</v>
      </c>
      <c r="E242" s="20">
        <v>406130370</v>
      </c>
      <c r="F242" s="20">
        <v>159045841</v>
      </c>
      <c r="G242" s="20">
        <v>59307669</v>
      </c>
      <c r="H242" s="20">
        <v>6329480</v>
      </c>
      <c r="I242" s="20">
        <v>2099423</v>
      </c>
      <c r="J242" s="20">
        <v>685987</v>
      </c>
      <c r="K242" s="20">
        <v>0</v>
      </c>
      <c r="L242" s="20">
        <v>0</v>
      </c>
    </row>
    <row r="243" spans="1:12">
      <c r="A243" s="20" t="s">
        <v>425</v>
      </c>
      <c r="B243" s="20" t="s">
        <v>116</v>
      </c>
      <c r="C243" s="20" t="s">
        <v>319</v>
      </c>
      <c r="D243" s="20" t="s">
        <v>308</v>
      </c>
      <c r="E243" s="20">
        <v>1027</v>
      </c>
      <c r="F243" s="20">
        <v>0</v>
      </c>
      <c r="G243" s="20">
        <v>0</v>
      </c>
      <c r="H243" s="20">
        <v>0</v>
      </c>
      <c r="I243" s="20">
        <v>0</v>
      </c>
      <c r="J243" s="20">
        <v>0</v>
      </c>
      <c r="K243" s="20">
        <v>0</v>
      </c>
      <c r="L243" s="20">
        <v>0</v>
      </c>
    </row>
    <row r="244" spans="1:12">
      <c r="A244" s="20" t="s">
        <v>424</v>
      </c>
      <c r="B244" s="20" t="s">
        <v>276</v>
      </c>
      <c r="C244" s="20" t="s">
        <v>319</v>
      </c>
      <c r="D244" s="20" t="s">
        <v>308</v>
      </c>
      <c r="E244" s="20">
        <v>10454245</v>
      </c>
      <c r="F244" s="20">
        <v>11651531</v>
      </c>
      <c r="G244" s="20">
        <v>1022793</v>
      </c>
      <c r="H244" s="20">
        <v>420609</v>
      </c>
      <c r="I244" s="20">
        <v>225093</v>
      </c>
      <c r="J244" s="20">
        <v>0</v>
      </c>
      <c r="K244" s="20">
        <v>0</v>
      </c>
      <c r="L244" s="20">
        <v>0</v>
      </c>
    </row>
    <row r="245" spans="1:12">
      <c r="A245" s="22" t="s">
        <v>423</v>
      </c>
      <c r="B245" s="22" t="s">
        <v>16</v>
      </c>
      <c r="C245" s="22" t="s">
        <v>319</v>
      </c>
      <c r="D245" s="22" t="s">
        <v>324</v>
      </c>
      <c r="E245" s="22">
        <v>262086879</v>
      </c>
      <c r="F245" s="22">
        <v>35852357</v>
      </c>
      <c r="G245" s="22">
        <v>8195656</v>
      </c>
      <c r="H245" s="22">
        <v>8152425</v>
      </c>
      <c r="I245" s="22">
        <v>8055788</v>
      </c>
      <c r="J245" s="22">
        <v>7749004</v>
      </c>
      <c r="K245" s="22">
        <v>7847470</v>
      </c>
      <c r="L245" s="22">
        <v>0</v>
      </c>
    </row>
    <row r="246" spans="1:12">
      <c r="A246" s="20" t="s">
        <v>422</v>
      </c>
      <c r="B246" s="20" t="s">
        <v>288</v>
      </c>
      <c r="C246" s="20" t="s">
        <v>306</v>
      </c>
      <c r="D246" s="20" t="s">
        <v>324</v>
      </c>
      <c r="E246" s="20">
        <v>17459065</v>
      </c>
      <c r="F246" s="20">
        <v>1634119</v>
      </c>
      <c r="G246" s="20">
        <v>256973</v>
      </c>
      <c r="H246" s="20">
        <v>302622</v>
      </c>
      <c r="I246" s="20">
        <v>328220</v>
      </c>
      <c r="J246" s="20">
        <v>0</v>
      </c>
      <c r="K246" s="20">
        <v>0</v>
      </c>
      <c r="L246" s="20">
        <v>0</v>
      </c>
    </row>
    <row r="247" spans="1:12">
      <c r="A247" s="20" t="s">
        <v>421</v>
      </c>
      <c r="B247" s="20" t="s">
        <v>288</v>
      </c>
      <c r="C247" s="20" t="s">
        <v>306</v>
      </c>
      <c r="D247" s="20" t="s">
        <v>324</v>
      </c>
      <c r="E247" s="20">
        <v>1132835</v>
      </c>
      <c r="F247" s="20">
        <v>768154</v>
      </c>
      <c r="G247" s="20">
        <v>135007</v>
      </c>
      <c r="H247" s="20">
        <v>89006</v>
      </c>
      <c r="I247" s="20">
        <v>96535</v>
      </c>
      <c r="J247" s="20">
        <v>98889</v>
      </c>
      <c r="K247" s="20">
        <v>223272</v>
      </c>
      <c r="L247" s="20">
        <v>0</v>
      </c>
    </row>
    <row r="248" spans="1:12">
      <c r="A248" s="20" t="s">
        <v>420</v>
      </c>
      <c r="B248" s="20" t="s">
        <v>288</v>
      </c>
      <c r="C248" s="20" t="s">
        <v>306</v>
      </c>
      <c r="D248" s="20" t="s">
        <v>324</v>
      </c>
      <c r="E248" s="20">
        <v>763393526</v>
      </c>
      <c r="F248" s="20">
        <v>10285473</v>
      </c>
      <c r="G248" s="20">
        <v>27237</v>
      </c>
      <c r="H248" s="20">
        <v>27950</v>
      </c>
      <c r="I248" s="20">
        <v>28735</v>
      </c>
      <c r="J248" s="20">
        <v>0</v>
      </c>
      <c r="K248" s="20">
        <v>0</v>
      </c>
      <c r="L248" s="20">
        <v>0</v>
      </c>
    </row>
    <row r="249" spans="1:12">
      <c r="A249" s="20" t="s">
        <v>419</v>
      </c>
      <c r="B249" s="20" t="s">
        <v>60</v>
      </c>
      <c r="C249" s="20" t="s">
        <v>306</v>
      </c>
      <c r="D249" s="20" t="s">
        <v>305</v>
      </c>
      <c r="E249" s="20">
        <v>30417215</v>
      </c>
      <c r="F249" s="20">
        <v>4659246</v>
      </c>
      <c r="G249" s="20">
        <v>416718</v>
      </c>
      <c r="H249" s="20">
        <v>225438</v>
      </c>
      <c r="I249" s="20">
        <v>53091</v>
      </c>
      <c r="J249" s="20">
        <v>24129</v>
      </c>
      <c r="K249" s="20">
        <v>330</v>
      </c>
      <c r="L249" s="20">
        <v>0</v>
      </c>
    </row>
    <row r="250" spans="1:12">
      <c r="A250" s="20" t="s">
        <v>418</v>
      </c>
      <c r="B250" s="20" t="s">
        <v>44</v>
      </c>
      <c r="C250" s="20" t="s">
        <v>319</v>
      </c>
      <c r="D250" s="20" t="s">
        <v>324</v>
      </c>
      <c r="E250" s="20">
        <v>81497710</v>
      </c>
      <c r="F250" s="20">
        <v>0</v>
      </c>
      <c r="G250" s="20">
        <v>0</v>
      </c>
      <c r="H250" s="20">
        <v>0</v>
      </c>
      <c r="I250" s="20">
        <v>2</v>
      </c>
      <c r="J250" s="20">
        <v>0</v>
      </c>
      <c r="K250" s="20">
        <v>0</v>
      </c>
      <c r="L250" s="20">
        <v>0</v>
      </c>
    </row>
    <row r="251" spans="1:12">
      <c r="A251" s="20" t="s">
        <v>417</v>
      </c>
      <c r="B251" s="20" t="s">
        <v>246</v>
      </c>
      <c r="C251" s="20" t="s">
        <v>319</v>
      </c>
      <c r="D251" s="20" t="s">
        <v>308</v>
      </c>
      <c r="E251" s="20">
        <v>1852169706</v>
      </c>
      <c r="F251" s="20">
        <v>1002290504</v>
      </c>
      <c r="G251" s="20">
        <v>241371</v>
      </c>
      <c r="H251" s="20">
        <v>229142</v>
      </c>
      <c r="I251" s="20">
        <v>0</v>
      </c>
      <c r="J251" s="20">
        <v>0</v>
      </c>
      <c r="K251" s="20">
        <v>0</v>
      </c>
      <c r="L251" s="20">
        <v>0</v>
      </c>
    </row>
    <row r="252" spans="1:12">
      <c r="A252" s="20" t="s">
        <v>416</v>
      </c>
      <c r="B252" s="20" t="s">
        <v>288</v>
      </c>
      <c r="C252" s="20" t="s">
        <v>319</v>
      </c>
      <c r="D252" s="20" t="s">
        <v>324</v>
      </c>
      <c r="E252" s="20">
        <v>738097862</v>
      </c>
      <c r="F252" s="20">
        <v>495938839</v>
      </c>
      <c r="G252" s="20">
        <v>472083541</v>
      </c>
      <c r="H252" s="20">
        <v>7262458</v>
      </c>
      <c r="I252" s="20">
        <v>4165910</v>
      </c>
      <c r="J252" s="20">
        <v>0</v>
      </c>
      <c r="K252" s="20">
        <v>0</v>
      </c>
      <c r="L252" s="20">
        <v>0</v>
      </c>
    </row>
    <row r="253" spans="1:12">
      <c r="A253" s="20" t="s">
        <v>415</v>
      </c>
      <c r="B253" s="20" t="s">
        <v>36</v>
      </c>
      <c r="C253" s="20" t="s">
        <v>319</v>
      </c>
      <c r="D253" s="20" t="s">
        <v>308</v>
      </c>
      <c r="E253" s="20">
        <v>124290860</v>
      </c>
      <c r="F253" s="20">
        <v>108703083</v>
      </c>
      <c r="G253" s="20">
        <v>22314515</v>
      </c>
      <c r="H253" s="20">
        <v>20844454</v>
      </c>
      <c r="I253" s="20">
        <v>23533763</v>
      </c>
      <c r="J253" s="20">
        <v>29703784</v>
      </c>
      <c r="K253" s="20">
        <v>0</v>
      </c>
      <c r="L253" s="20">
        <v>0</v>
      </c>
    </row>
    <row r="254" spans="1:12">
      <c r="A254" s="20" t="s">
        <v>414</v>
      </c>
      <c r="B254" s="20" t="s">
        <v>288</v>
      </c>
      <c r="C254" s="20" t="s">
        <v>319</v>
      </c>
      <c r="D254" s="20" t="s">
        <v>324</v>
      </c>
      <c r="E254" s="20">
        <v>78930500</v>
      </c>
      <c r="F254" s="20">
        <v>0</v>
      </c>
      <c r="G254" s="20">
        <v>0</v>
      </c>
      <c r="H254" s="20">
        <v>0</v>
      </c>
      <c r="I254" s="20">
        <v>0</v>
      </c>
      <c r="J254" s="20">
        <v>0</v>
      </c>
      <c r="K254" s="20">
        <v>0</v>
      </c>
      <c r="L254" s="20">
        <v>0</v>
      </c>
    </row>
    <row r="255" spans="1:12">
      <c r="A255" s="20" t="s">
        <v>413</v>
      </c>
      <c r="B255" s="20" t="s">
        <v>122</v>
      </c>
      <c r="C255" s="20" t="s">
        <v>311</v>
      </c>
      <c r="D255" s="20" t="s">
        <v>305</v>
      </c>
      <c r="E255" s="20">
        <v>39265</v>
      </c>
      <c r="F255" s="20">
        <v>34366</v>
      </c>
      <c r="G255" s="20">
        <v>9250</v>
      </c>
      <c r="H255" s="20">
        <v>2574</v>
      </c>
      <c r="I255" s="20">
        <v>0</v>
      </c>
      <c r="J255" s="20">
        <v>0</v>
      </c>
      <c r="K255" s="20">
        <v>0</v>
      </c>
      <c r="L255" s="20">
        <v>0</v>
      </c>
    </row>
    <row r="256" spans="1:12">
      <c r="A256" s="22" t="s">
        <v>412</v>
      </c>
      <c r="B256" s="22" t="s">
        <v>94</v>
      </c>
      <c r="C256" s="22" t="s">
        <v>319</v>
      </c>
      <c r="D256" s="22" t="s">
        <v>308</v>
      </c>
      <c r="E256" s="22">
        <v>472515416</v>
      </c>
      <c r="F256" s="22">
        <v>81512881</v>
      </c>
      <c r="G256" s="22">
        <v>92738211</v>
      </c>
      <c r="H256" s="22">
        <v>68368411</v>
      </c>
      <c r="I256" s="22">
        <v>55321366</v>
      </c>
      <c r="J256" s="22">
        <v>58774984</v>
      </c>
      <c r="K256" s="22">
        <v>0</v>
      </c>
      <c r="L256" s="22">
        <v>0</v>
      </c>
    </row>
    <row r="257" spans="1:12">
      <c r="A257" s="20" t="s">
        <v>411</v>
      </c>
      <c r="B257" s="20" t="s">
        <v>309</v>
      </c>
      <c r="C257" s="20" t="s">
        <v>314</v>
      </c>
      <c r="D257" s="20" t="s">
        <v>308</v>
      </c>
      <c r="E257" s="20">
        <v>1045219</v>
      </c>
      <c r="F257" s="20">
        <v>0</v>
      </c>
      <c r="G257" s="20">
        <v>0</v>
      </c>
      <c r="H257" s="20">
        <v>0</v>
      </c>
      <c r="I257" s="20">
        <v>0</v>
      </c>
      <c r="J257" s="20">
        <v>0</v>
      </c>
      <c r="K257" s="20">
        <v>0</v>
      </c>
      <c r="L257" s="20">
        <v>0</v>
      </c>
    </row>
    <row r="258" spans="1:12">
      <c r="A258" s="20" t="s">
        <v>410</v>
      </c>
      <c r="B258" s="20" t="s">
        <v>309</v>
      </c>
      <c r="C258" s="20" t="s">
        <v>314</v>
      </c>
      <c r="D258" s="20" t="s">
        <v>308</v>
      </c>
      <c r="E258" s="20">
        <v>63054638</v>
      </c>
      <c r="F258" s="20">
        <v>0</v>
      </c>
      <c r="G258" s="20">
        <v>0</v>
      </c>
      <c r="H258" s="20">
        <v>0</v>
      </c>
      <c r="I258" s="20">
        <v>0</v>
      </c>
      <c r="J258" s="20">
        <v>0</v>
      </c>
      <c r="K258" s="20">
        <v>0</v>
      </c>
      <c r="L258" s="20">
        <v>0</v>
      </c>
    </row>
    <row r="259" spans="1:12">
      <c r="A259" s="20" t="s">
        <v>409</v>
      </c>
      <c r="B259" s="20" t="s">
        <v>309</v>
      </c>
      <c r="C259" s="20" t="s">
        <v>319</v>
      </c>
      <c r="D259" s="20" t="s">
        <v>308</v>
      </c>
      <c r="E259" s="20">
        <v>814428167</v>
      </c>
      <c r="F259" s="20">
        <v>373476984</v>
      </c>
      <c r="G259" s="20">
        <v>184635526</v>
      </c>
      <c r="H259" s="20">
        <v>1361932</v>
      </c>
      <c r="I259" s="20">
        <v>1265370</v>
      </c>
      <c r="J259" s="20">
        <v>1085668</v>
      </c>
      <c r="K259" s="20">
        <v>0</v>
      </c>
      <c r="L259" s="20">
        <v>0</v>
      </c>
    </row>
    <row r="260" spans="1:12">
      <c r="A260" s="20" t="s">
        <v>408</v>
      </c>
      <c r="B260" s="20" t="s">
        <v>60</v>
      </c>
      <c r="C260" s="20" t="s">
        <v>306</v>
      </c>
      <c r="D260" s="20" t="s">
        <v>305</v>
      </c>
      <c r="E260" s="20">
        <v>4494923</v>
      </c>
      <c r="F260" s="20">
        <v>19038</v>
      </c>
      <c r="G260" s="20">
        <v>1703</v>
      </c>
      <c r="H260" s="20">
        <v>921</v>
      </c>
      <c r="I260" s="20">
        <v>315</v>
      </c>
      <c r="J260" s="20">
        <v>143</v>
      </c>
      <c r="K260" s="20">
        <v>4</v>
      </c>
      <c r="L260" s="20">
        <v>0</v>
      </c>
    </row>
    <row r="261" spans="1:12">
      <c r="A261" s="20" t="s">
        <v>407</v>
      </c>
      <c r="B261" s="20" t="s">
        <v>124</v>
      </c>
      <c r="C261" s="20" t="s">
        <v>328</v>
      </c>
      <c r="D261" s="20" t="s">
        <v>305</v>
      </c>
      <c r="E261" s="20">
        <v>389093383</v>
      </c>
      <c r="F261" s="20">
        <v>0</v>
      </c>
      <c r="G261" s="20">
        <v>0</v>
      </c>
      <c r="H261" s="20">
        <v>0</v>
      </c>
      <c r="I261" s="20">
        <v>0</v>
      </c>
      <c r="J261" s="20">
        <v>0</v>
      </c>
      <c r="K261" s="20">
        <v>0</v>
      </c>
      <c r="L261" s="20">
        <v>0</v>
      </c>
    </row>
    <row r="262" spans="1:12">
      <c r="A262" s="20" t="s">
        <v>406</v>
      </c>
      <c r="B262" s="20" t="s">
        <v>124</v>
      </c>
      <c r="C262" s="20" t="s">
        <v>328</v>
      </c>
      <c r="D262" s="20" t="s">
        <v>305</v>
      </c>
      <c r="E262" s="20">
        <v>32612595</v>
      </c>
      <c r="F262" s="20">
        <v>4095</v>
      </c>
      <c r="G262" s="20">
        <v>159199</v>
      </c>
      <c r="H262" s="20">
        <v>737</v>
      </c>
      <c r="I262" s="20">
        <v>333</v>
      </c>
      <c r="J262" s="20">
        <v>206</v>
      </c>
      <c r="K262" s="20">
        <v>271</v>
      </c>
      <c r="L262" s="20">
        <v>0</v>
      </c>
    </row>
    <row r="263" spans="1:12">
      <c r="A263" s="20" t="s">
        <v>405</v>
      </c>
      <c r="B263" s="20" t="s">
        <v>118</v>
      </c>
      <c r="C263" s="20" t="s">
        <v>328</v>
      </c>
      <c r="D263" s="20" t="s">
        <v>305</v>
      </c>
      <c r="E263" s="20">
        <v>795060666</v>
      </c>
      <c r="F263" s="20">
        <v>326953388</v>
      </c>
      <c r="G263" s="20">
        <v>2517325</v>
      </c>
      <c r="H263" s="20">
        <v>697717</v>
      </c>
      <c r="I263" s="20">
        <v>321955</v>
      </c>
      <c r="J263" s="20">
        <v>52101</v>
      </c>
      <c r="K263" s="20">
        <v>306</v>
      </c>
      <c r="L263" s="20">
        <v>0</v>
      </c>
    </row>
    <row r="264" spans="1:12">
      <c r="A264" s="22" t="s">
        <v>404</v>
      </c>
      <c r="B264" s="22" t="s">
        <v>60</v>
      </c>
      <c r="C264" s="22" t="s">
        <v>306</v>
      </c>
      <c r="D264" s="22" t="s">
        <v>305</v>
      </c>
      <c r="E264" s="22">
        <v>334675885</v>
      </c>
      <c r="F264" s="22">
        <v>495237015</v>
      </c>
      <c r="G264" s="22">
        <v>149703939</v>
      </c>
      <c r="H264" s="22">
        <v>44679500</v>
      </c>
      <c r="I264" s="22">
        <v>12215857</v>
      </c>
      <c r="J264" s="22">
        <v>8293346</v>
      </c>
      <c r="K264" s="22">
        <v>4377250</v>
      </c>
      <c r="L264" s="22">
        <v>0</v>
      </c>
    </row>
    <row r="265" spans="1:12">
      <c r="A265" s="22" t="s">
        <v>403</v>
      </c>
      <c r="B265" s="22" t="s">
        <v>116</v>
      </c>
      <c r="C265" s="22" t="s">
        <v>319</v>
      </c>
      <c r="D265" s="22" t="s">
        <v>308</v>
      </c>
      <c r="E265" s="22">
        <v>117003602</v>
      </c>
      <c r="F265" s="22">
        <v>91452945</v>
      </c>
      <c r="G265" s="22">
        <v>95599544</v>
      </c>
      <c r="H265" s="22">
        <v>81710199</v>
      </c>
      <c r="I265" s="22">
        <v>64852463</v>
      </c>
      <c r="J265" s="22">
        <v>75129898</v>
      </c>
      <c r="K265" s="22">
        <v>0</v>
      </c>
      <c r="L265" s="22">
        <v>0</v>
      </c>
    </row>
    <row r="266" spans="1:12">
      <c r="A266" s="20" t="s">
        <v>402</v>
      </c>
      <c r="B266" s="20" t="s">
        <v>288</v>
      </c>
      <c r="C266" s="20" t="s">
        <v>319</v>
      </c>
      <c r="D266" s="20" t="s">
        <v>324</v>
      </c>
      <c r="E266" s="20">
        <v>694938986</v>
      </c>
      <c r="F266" s="20">
        <v>590104576</v>
      </c>
      <c r="G266" s="20">
        <v>858680</v>
      </c>
      <c r="H266" s="20">
        <v>667099</v>
      </c>
      <c r="I266" s="20">
        <v>409034</v>
      </c>
      <c r="J266" s="20">
        <v>387080</v>
      </c>
      <c r="K266" s="20">
        <v>0</v>
      </c>
      <c r="L266" s="20">
        <v>0</v>
      </c>
    </row>
    <row r="267" spans="1:12">
      <c r="A267" s="20" t="s">
        <v>401</v>
      </c>
      <c r="B267" s="20" t="s">
        <v>54</v>
      </c>
      <c r="C267" s="20" t="s">
        <v>314</v>
      </c>
      <c r="D267" s="20" t="s">
        <v>324</v>
      </c>
      <c r="E267" s="20">
        <v>120650841</v>
      </c>
      <c r="F267" s="20">
        <v>13986627</v>
      </c>
      <c r="G267" s="20">
        <v>15537758</v>
      </c>
      <c r="H267" s="20">
        <v>13420139</v>
      </c>
      <c r="I267" s="20">
        <v>13462430</v>
      </c>
      <c r="J267" s="20">
        <v>59639</v>
      </c>
      <c r="K267" s="20">
        <v>0</v>
      </c>
      <c r="L267" s="20">
        <v>0</v>
      </c>
    </row>
    <row r="268" spans="1:12">
      <c r="A268" s="20" t="s">
        <v>400</v>
      </c>
      <c r="B268" s="20" t="s">
        <v>288</v>
      </c>
      <c r="C268" s="20" t="s">
        <v>319</v>
      </c>
      <c r="D268" s="20" t="s">
        <v>324</v>
      </c>
      <c r="E268" s="20">
        <v>821353855</v>
      </c>
      <c r="F268" s="20">
        <v>31861498</v>
      </c>
      <c r="G268" s="20">
        <v>12663195</v>
      </c>
      <c r="H268" s="20">
        <v>13295386</v>
      </c>
      <c r="I268" s="20">
        <v>15816453</v>
      </c>
      <c r="J268" s="20">
        <v>1106941</v>
      </c>
      <c r="K268" s="20">
        <v>0</v>
      </c>
      <c r="L268" s="20">
        <v>0</v>
      </c>
    </row>
    <row r="269" spans="1:12">
      <c r="A269" s="20" t="s">
        <v>399</v>
      </c>
      <c r="B269" s="20" t="s">
        <v>288</v>
      </c>
      <c r="C269" s="20" t="s">
        <v>319</v>
      </c>
      <c r="D269" s="20" t="s">
        <v>324</v>
      </c>
      <c r="E269" s="20">
        <v>12246846</v>
      </c>
      <c r="F269" s="20">
        <v>1909921</v>
      </c>
      <c r="G269" s="20">
        <v>3798430</v>
      </c>
      <c r="H269" s="20">
        <v>0</v>
      </c>
      <c r="I269" s="20">
        <v>0</v>
      </c>
      <c r="J269" s="20">
        <v>0</v>
      </c>
      <c r="K269" s="20">
        <v>0</v>
      </c>
      <c r="L269" s="20">
        <v>0</v>
      </c>
    </row>
    <row r="270" spans="1:12">
      <c r="A270" s="20" t="s">
        <v>398</v>
      </c>
      <c r="B270" s="20" t="s">
        <v>160</v>
      </c>
      <c r="C270" s="20" t="s">
        <v>319</v>
      </c>
      <c r="D270" s="20" t="s">
        <v>345</v>
      </c>
      <c r="E270" s="20">
        <v>558467</v>
      </c>
      <c r="F270" s="20">
        <v>513282</v>
      </c>
      <c r="G270" s="20">
        <v>0</v>
      </c>
      <c r="H270" s="20">
        <v>0</v>
      </c>
      <c r="I270" s="20">
        <v>0</v>
      </c>
      <c r="J270" s="20">
        <v>0</v>
      </c>
      <c r="K270" s="20">
        <v>0</v>
      </c>
      <c r="L270" s="20">
        <v>0</v>
      </c>
    </row>
    <row r="271" spans="1:12">
      <c r="A271" s="20" t="s">
        <v>397</v>
      </c>
      <c r="B271" s="20" t="s">
        <v>54</v>
      </c>
      <c r="C271" s="20" t="s">
        <v>319</v>
      </c>
      <c r="D271" s="20" t="s">
        <v>324</v>
      </c>
      <c r="E271" s="20">
        <v>901393</v>
      </c>
      <c r="F271" s="20">
        <v>128596</v>
      </c>
      <c r="G271" s="20">
        <v>278641</v>
      </c>
      <c r="H271" s="20">
        <v>292576</v>
      </c>
      <c r="I271" s="20">
        <v>347099</v>
      </c>
      <c r="J271" s="20">
        <v>0</v>
      </c>
      <c r="K271" s="20">
        <v>0</v>
      </c>
      <c r="L271" s="20">
        <v>0</v>
      </c>
    </row>
    <row r="272" spans="1:12">
      <c r="A272" s="20" t="s">
        <v>396</v>
      </c>
      <c r="B272" s="20" t="s">
        <v>288</v>
      </c>
      <c r="C272" s="20" t="s">
        <v>306</v>
      </c>
      <c r="D272" s="20" t="s">
        <v>324</v>
      </c>
      <c r="E272" s="20">
        <v>4735275</v>
      </c>
      <c r="F272" s="20">
        <v>3210900</v>
      </c>
      <c r="G272" s="20">
        <v>564333</v>
      </c>
      <c r="H272" s="20">
        <v>664582</v>
      </c>
      <c r="I272" s="20">
        <v>720796</v>
      </c>
      <c r="J272" s="20">
        <v>0</v>
      </c>
      <c r="K272" s="20">
        <v>0</v>
      </c>
      <c r="L272" s="20">
        <v>0</v>
      </c>
    </row>
    <row r="273" spans="1:12">
      <c r="A273" s="20" t="s">
        <v>395</v>
      </c>
      <c r="B273" s="20" t="s">
        <v>48</v>
      </c>
      <c r="C273" s="20" t="s">
        <v>319</v>
      </c>
      <c r="D273" s="20" t="s">
        <v>308</v>
      </c>
      <c r="E273" s="20">
        <v>511303</v>
      </c>
      <c r="F273" s="20">
        <v>0</v>
      </c>
      <c r="G273" s="20">
        <v>0</v>
      </c>
      <c r="H273" s="20">
        <v>0</v>
      </c>
      <c r="I273" s="20">
        <v>0</v>
      </c>
      <c r="J273" s="20">
        <v>0</v>
      </c>
      <c r="K273" s="20">
        <v>0</v>
      </c>
      <c r="L273" s="20">
        <v>0</v>
      </c>
    </row>
    <row r="274" spans="1:12">
      <c r="A274" s="20" t="s">
        <v>394</v>
      </c>
      <c r="B274" s="20" t="s">
        <v>118</v>
      </c>
      <c r="C274" s="20" t="s">
        <v>328</v>
      </c>
      <c r="D274" s="20" t="s">
        <v>305</v>
      </c>
      <c r="E274" s="20">
        <v>15882404</v>
      </c>
      <c r="F274" s="20">
        <v>18960777</v>
      </c>
      <c r="G274" s="20">
        <v>7136641</v>
      </c>
      <c r="H274" s="20">
        <v>1071123</v>
      </c>
      <c r="I274" s="20">
        <v>440828</v>
      </c>
      <c r="J274" s="20">
        <v>311362</v>
      </c>
      <c r="K274" s="20">
        <v>114</v>
      </c>
      <c r="L274" s="20">
        <v>0</v>
      </c>
    </row>
    <row r="275" spans="1:12">
      <c r="A275" s="20" t="s">
        <v>393</v>
      </c>
      <c r="B275" s="20" t="s">
        <v>309</v>
      </c>
      <c r="C275" s="20" t="s">
        <v>311</v>
      </c>
      <c r="D275" s="20" t="s">
        <v>308</v>
      </c>
      <c r="E275" s="20">
        <v>339535956</v>
      </c>
      <c r="F275" s="20">
        <v>0</v>
      </c>
      <c r="G275" s="20">
        <v>0</v>
      </c>
      <c r="H275" s="20">
        <v>0</v>
      </c>
      <c r="I275" s="20">
        <v>0</v>
      </c>
      <c r="J275" s="20">
        <v>0</v>
      </c>
      <c r="K275" s="20">
        <v>0</v>
      </c>
      <c r="L275" s="20">
        <v>0</v>
      </c>
    </row>
    <row r="276" spans="1:12">
      <c r="A276" s="20" t="s">
        <v>392</v>
      </c>
      <c r="B276" s="20" t="s">
        <v>309</v>
      </c>
      <c r="C276" s="20" t="s">
        <v>311</v>
      </c>
      <c r="D276" s="20" t="s">
        <v>308</v>
      </c>
      <c r="E276" s="20">
        <v>4212565</v>
      </c>
      <c r="F276" s="20">
        <v>719847</v>
      </c>
      <c r="G276" s="20">
        <v>39011</v>
      </c>
      <c r="H276" s="20">
        <v>0</v>
      </c>
      <c r="I276" s="20">
        <v>0</v>
      </c>
      <c r="J276" s="20">
        <v>0</v>
      </c>
      <c r="K276" s="20">
        <v>0</v>
      </c>
      <c r="L276" s="20">
        <v>0</v>
      </c>
    </row>
    <row r="277" spans="1:12">
      <c r="A277" s="20" t="s">
        <v>391</v>
      </c>
      <c r="B277" s="20" t="s">
        <v>288</v>
      </c>
      <c r="C277" s="20" t="s">
        <v>319</v>
      </c>
      <c r="D277" s="20" t="s">
        <v>324</v>
      </c>
      <c r="E277" s="20">
        <v>995035812</v>
      </c>
      <c r="F277" s="20">
        <v>95685808</v>
      </c>
      <c r="G277" s="20">
        <v>7906612</v>
      </c>
      <c r="H277" s="20">
        <v>5281609</v>
      </c>
      <c r="I277" s="20">
        <v>3354207</v>
      </c>
      <c r="J277" s="20">
        <v>327694</v>
      </c>
      <c r="K277" s="20">
        <v>0</v>
      </c>
      <c r="L277" s="20">
        <v>0</v>
      </c>
    </row>
    <row r="278" spans="1:12">
      <c r="A278" s="20" t="s">
        <v>390</v>
      </c>
      <c r="B278" s="20" t="s">
        <v>118</v>
      </c>
      <c r="C278" s="20" t="s">
        <v>328</v>
      </c>
      <c r="D278" s="20" t="s">
        <v>305</v>
      </c>
      <c r="E278" s="20">
        <v>1050353714</v>
      </c>
      <c r="F278" s="20">
        <v>1019232929</v>
      </c>
      <c r="G278" s="20">
        <v>412010819</v>
      </c>
      <c r="H278" s="20">
        <v>29604685</v>
      </c>
      <c r="I278" s="20">
        <v>0</v>
      </c>
      <c r="J278" s="20">
        <v>0</v>
      </c>
      <c r="K278" s="20">
        <v>0</v>
      </c>
      <c r="L278" s="20">
        <v>0</v>
      </c>
    </row>
    <row r="279" spans="1:12">
      <c r="A279" s="20" t="s">
        <v>389</v>
      </c>
      <c r="B279" s="20" t="s">
        <v>288</v>
      </c>
      <c r="C279" s="20" t="s">
        <v>319</v>
      </c>
      <c r="D279" s="20" t="s">
        <v>324</v>
      </c>
      <c r="E279" s="20">
        <v>94148416</v>
      </c>
      <c r="F279" s="20">
        <v>0</v>
      </c>
      <c r="G279" s="20">
        <v>0</v>
      </c>
      <c r="H279" s="20">
        <v>0</v>
      </c>
      <c r="I279" s="20">
        <v>0</v>
      </c>
      <c r="J279" s="20">
        <v>0</v>
      </c>
      <c r="K279" s="20">
        <v>0</v>
      </c>
      <c r="L279" s="20">
        <v>0</v>
      </c>
    </row>
    <row r="280" spans="1:12">
      <c r="A280" s="20" t="s">
        <v>674</v>
      </c>
      <c r="B280" s="20" t="s">
        <v>292</v>
      </c>
      <c r="C280" s="20" t="s">
        <v>311</v>
      </c>
      <c r="D280" s="20" t="s">
        <v>305</v>
      </c>
      <c r="E280" s="20">
        <v>1742166648</v>
      </c>
      <c r="F280" s="20">
        <v>172255</v>
      </c>
      <c r="G280" s="20">
        <v>23422</v>
      </c>
      <c r="H280" s="20">
        <v>39433</v>
      </c>
      <c r="I280" s="20">
        <v>43204</v>
      </c>
      <c r="J280" s="20">
        <v>51074</v>
      </c>
      <c r="K280" s="20">
        <v>0</v>
      </c>
      <c r="L280" s="20">
        <v>0</v>
      </c>
    </row>
    <row r="281" spans="1:12">
      <c r="A281" s="22" t="s">
        <v>387</v>
      </c>
      <c r="B281" s="22" t="s">
        <v>250</v>
      </c>
      <c r="C281" s="22" t="s">
        <v>319</v>
      </c>
      <c r="D281" s="22" t="s">
        <v>308</v>
      </c>
      <c r="E281" s="22">
        <v>2806123683</v>
      </c>
      <c r="F281" s="22">
        <v>2590528708</v>
      </c>
      <c r="G281" s="22">
        <v>65351023</v>
      </c>
      <c r="H281" s="22">
        <v>3822195</v>
      </c>
      <c r="I281" s="22">
        <v>1420974</v>
      </c>
      <c r="J281" s="22">
        <v>804399</v>
      </c>
      <c r="K281" s="22">
        <v>0</v>
      </c>
      <c r="L281" s="22">
        <v>0</v>
      </c>
    </row>
    <row r="282" spans="1:12">
      <c r="A282" s="20" t="s">
        <v>386</v>
      </c>
      <c r="B282" s="20" t="s">
        <v>122</v>
      </c>
      <c r="C282" s="20" t="s">
        <v>311</v>
      </c>
      <c r="D282" s="20" t="s">
        <v>305</v>
      </c>
      <c r="E282" s="20">
        <v>18592076</v>
      </c>
      <c r="F282" s="20">
        <v>1129196</v>
      </c>
      <c r="G282" s="20">
        <v>302997</v>
      </c>
      <c r="H282" s="20">
        <v>126477</v>
      </c>
      <c r="I282" s="20">
        <v>0</v>
      </c>
      <c r="J282" s="20">
        <v>0</v>
      </c>
      <c r="K282" s="20">
        <v>0</v>
      </c>
      <c r="L282" s="20">
        <v>0</v>
      </c>
    </row>
    <row r="283" spans="1:12">
      <c r="A283" s="20" t="s">
        <v>385</v>
      </c>
      <c r="B283" s="20" t="s">
        <v>378</v>
      </c>
      <c r="C283" s="20" t="s">
        <v>319</v>
      </c>
      <c r="D283" s="20" t="s">
        <v>308</v>
      </c>
      <c r="E283" s="20">
        <v>967265</v>
      </c>
      <c r="F283" s="20">
        <v>436314</v>
      </c>
      <c r="G283" s="20">
        <v>203488</v>
      </c>
      <c r="H283" s="20">
        <v>193257</v>
      </c>
      <c r="I283" s="20">
        <v>190472</v>
      </c>
      <c r="J283" s="20">
        <v>195903</v>
      </c>
      <c r="K283" s="20">
        <v>0</v>
      </c>
      <c r="L283" s="20">
        <v>0</v>
      </c>
    </row>
    <row r="284" spans="1:12">
      <c r="A284" s="20" t="s">
        <v>384</v>
      </c>
      <c r="B284" s="20" t="s">
        <v>288</v>
      </c>
      <c r="C284" s="20" t="s">
        <v>306</v>
      </c>
      <c r="D284" s="20" t="s">
        <v>324</v>
      </c>
      <c r="E284" s="20">
        <v>399117</v>
      </c>
      <c r="F284" s="20">
        <v>9621</v>
      </c>
      <c r="G284" s="20">
        <v>0</v>
      </c>
      <c r="H284" s="20">
        <v>0</v>
      </c>
      <c r="I284" s="20">
        <v>0</v>
      </c>
      <c r="J284" s="20">
        <v>0</v>
      </c>
      <c r="K284" s="20">
        <v>0</v>
      </c>
      <c r="L284" s="20">
        <v>0</v>
      </c>
    </row>
    <row r="285" spans="1:12">
      <c r="A285" s="20" t="s">
        <v>383</v>
      </c>
      <c r="B285" s="20" t="s">
        <v>266</v>
      </c>
      <c r="C285" s="20" t="s">
        <v>306</v>
      </c>
      <c r="D285" s="20" t="s">
        <v>305</v>
      </c>
      <c r="E285" s="20">
        <v>60554241</v>
      </c>
      <c r="F285" s="20">
        <v>48186827</v>
      </c>
      <c r="G285" s="20">
        <v>32586518</v>
      </c>
      <c r="H285" s="20">
        <v>19008892</v>
      </c>
      <c r="I285" s="20">
        <v>2802194</v>
      </c>
      <c r="J285" s="20">
        <v>795395</v>
      </c>
      <c r="K285" s="20">
        <v>70768</v>
      </c>
      <c r="L285" s="20">
        <v>0</v>
      </c>
    </row>
    <row r="286" spans="1:12">
      <c r="A286" s="22" t="s">
        <v>382</v>
      </c>
      <c r="B286" s="22" t="s">
        <v>288</v>
      </c>
      <c r="C286" s="22" t="s">
        <v>319</v>
      </c>
      <c r="D286" s="22" t="s">
        <v>324</v>
      </c>
      <c r="E286" s="22">
        <v>8333974937</v>
      </c>
      <c r="F286" s="22">
        <v>110753478</v>
      </c>
      <c r="G286" s="22">
        <v>36721686</v>
      </c>
      <c r="H286" s="22">
        <v>36226271</v>
      </c>
      <c r="I286" s="22">
        <v>35736145</v>
      </c>
      <c r="J286" s="22">
        <v>506073</v>
      </c>
      <c r="K286" s="22">
        <v>0</v>
      </c>
      <c r="L286" s="22">
        <v>0</v>
      </c>
    </row>
    <row r="287" spans="1:12">
      <c r="A287" s="20" t="s">
        <v>381</v>
      </c>
      <c r="B287" s="20" t="s">
        <v>16</v>
      </c>
      <c r="C287" s="20" t="s">
        <v>319</v>
      </c>
      <c r="D287" s="20" t="s">
        <v>324</v>
      </c>
      <c r="E287" s="20">
        <v>620322060</v>
      </c>
      <c r="F287" s="20">
        <v>750033794</v>
      </c>
      <c r="G287" s="20">
        <v>0</v>
      </c>
      <c r="H287" s="20">
        <v>0</v>
      </c>
      <c r="I287" s="20">
        <v>0</v>
      </c>
      <c r="J287" s="20">
        <v>0</v>
      </c>
      <c r="K287" s="20">
        <v>0</v>
      </c>
      <c r="L287" s="20">
        <v>0</v>
      </c>
    </row>
    <row r="288" spans="1:12">
      <c r="A288" s="20" t="s">
        <v>380</v>
      </c>
      <c r="B288" s="20" t="s">
        <v>132</v>
      </c>
      <c r="C288" s="20" t="s">
        <v>319</v>
      </c>
      <c r="D288" s="20" t="s">
        <v>308</v>
      </c>
      <c r="E288" s="20">
        <v>10270791</v>
      </c>
      <c r="F288" s="20">
        <v>0</v>
      </c>
      <c r="G288" s="20">
        <v>0</v>
      </c>
      <c r="H288" s="20">
        <v>0</v>
      </c>
      <c r="I288" s="20">
        <v>0</v>
      </c>
      <c r="J288" s="20">
        <v>0</v>
      </c>
      <c r="K288" s="20">
        <v>0</v>
      </c>
      <c r="L288" s="20">
        <v>0</v>
      </c>
    </row>
    <row r="289" spans="1:12">
      <c r="A289" s="20" t="s">
        <v>379</v>
      </c>
      <c r="B289" s="20" t="s">
        <v>378</v>
      </c>
      <c r="C289" s="20" t="s">
        <v>319</v>
      </c>
      <c r="D289" s="20" t="s">
        <v>308</v>
      </c>
      <c r="E289" s="20">
        <v>10928201</v>
      </c>
      <c r="F289" s="20">
        <v>1635354</v>
      </c>
      <c r="G289" s="20">
        <v>1694689</v>
      </c>
      <c r="H289" s="20">
        <v>979461</v>
      </c>
      <c r="I289" s="20">
        <v>0</v>
      </c>
      <c r="J289" s="20">
        <v>0</v>
      </c>
      <c r="K289" s="20">
        <v>0</v>
      </c>
      <c r="L289" s="20">
        <v>0</v>
      </c>
    </row>
    <row r="290" spans="1:12">
      <c r="A290" s="20" t="s">
        <v>377</v>
      </c>
      <c r="B290" s="20" t="s">
        <v>118</v>
      </c>
      <c r="C290" s="20" t="s">
        <v>328</v>
      </c>
      <c r="D290" s="20" t="s">
        <v>305</v>
      </c>
      <c r="E290" s="20">
        <v>4372729</v>
      </c>
      <c r="F290" s="20">
        <v>3</v>
      </c>
      <c r="G290" s="20">
        <v>0</v>
      </c>
      <c r="H290" s="20">
        <v>0</v>
      </c>
      <c r="I290" s="20">
        <v>0</v>
      </c>
      <c r="J290" s="20">
        <v>0</v>
      </c>
      <c r="K290" s="20">
        <v>0</v>
      </c>
      <c r="L290" s="20">
        <v>0</v>
      </c>
    </row>
    <row r="291" spans="1:12">
      <c r="A291" s="20" t="s">
        <v>376</v>
      </c>
      <c r="B291" s="20" t="s">
        <v>132</v>
      </c>
      <c r="C291" s="20" t="s">
        <v>319</v>
      </c>
      <c r="D291" s="20" t="s">
        <v>308</v>
      </c>
      <c r="E291" s="20">
        <v>307553958</v>
      </c>
      <c r="F291" s="20">
        <v>54851723</v>
      </c>
      <c r="G291" s="20">
        <v>29519290</v>
      </c>
      <c r="H291" s="20">
        <v>25541177</v>
      </c>
      <c r="I291" s="20">
        <v>26740772</v>
      </c>
      <c r="J291" s="20">
        <v>0</v>
      </c>
      <c r="K291" s="20">
        <v>0</v>
      </c>
      <c r="L291" s="20">
        <v>0</v>
      </c>
    </row>
    <row r="292" spans="1:12">
      <c r="A292" s="20" t="s">
        <v>375</v>
      </c>
      <c r="B292" s="20" t="s">
        <v>44</v>
      </c>
      <c r="C292" s="20" t="s">
        <v>319</v>
      </c>
      <c r="D292" s="20" t="s">
        <v>324</v>
      </c>
      <c r="E292" s="20">
        <v>4403580</v>
      </c>
      <c r="F292" s="20">
        <v>0</v>
      </c>
      <c r="G292" s="20">
        <v>0</v>
      </c>
      <c r="H292" s="20">
        <v>0</v>
      </c>
      <c r="I292" s="20">
        <v>0</v>
      </c>
      <c r="J292" s="20">
        <v>0</v>
      </c>
      <c r="K292" s="20">
        <v>0</v>
      </c>
      <c r="L292" s="20">
        <v>0</v>
      </c>
    </row>
    <row r="293" spans="1:12">
      <c r="A293" s="20" t="s">
        <v>374</v>
      </c>
      <c r="B293" s="20" t="s">
        <v>124</v>
      </c>
      <c r="C293" s="20" t="s">
        <v>328</v>
      </c>
      <c r="D293" s="20" t="s">
        <v>305</v>
      </c>
      <c r="E293" s="20">
        <v>1480999844</v>
      </c>
      <c r="F293" s="20">
        <v>183264846</v>
      </c>
      <c r="G293" s="20">
        <v>89614512</v>
      </c>
      <c r="H293" s="20">
        <v>32992092</v>
      </c>
      <c r="I293" s="20">
        <v>14895022</v>
      </c>
      <c r="J293" s="20">
        <v>4625088</v>
      </c>
      <c r="K293" s="20">
        <v>39210</v>
      </c>
      <c r="L293" s="20">
        <v>0</v>
      </c>
    </row>
    <row r="294" spans="1:12">
      <c r="A294" s="20" t="s">
        <v>373</v>
      </c>
      <c r="B294" s="20" t="s">
        <v>309</v>
      </c>
      <c r="C294" s="20" t="s">
        <v>314</v>
      </c>
      <c r="D294" s="20" t="s">
        <v>308</v>
      </c>
      <c r="E294" s="20">
        <v>32181425</v>
      </c>
      <c r="F294" s="20">
        <v>767885</v>
      </c>
      <c r="G294" s="20">
        <v>98914</v>
      </c>
      <c r="H294" s="20">
        <v>33244</v>
      </c>
      <c r="I294" s="20">
        <v>27640</v>
      </c>
      <c r="J294" s="20">
        <v>27691</v>
      </c>
      <c r="K294" s="20">
        <v>33822</v>
      </c>
      <c r="L294" s="20">
        <v>0</v>
      </c>
    </row>
    <row r="295" spans="1:12">
      <c r="A295" s="22" t="s">
        <v>372</v>
      </c>
      <c r="B295" s="22" t="s">
        <v>309</v>
      </c>
      <c r="C295" s="22" t="s">
        <v>314</v>
      </c>
      <c r="D295" s="22" t="s">
        <v>308</v>
      </c>
      <c r="E295" s="22">
        <v>913414122</v>
      </c>
      <c r="F295" s="22">
        <v>95494049</v>
      </c>
      <c r="G295" s="22">
        <v>3648029</v>
      </c>
      <c r="H295" s="22">
        <v>2541197</v>
      </c>
      <c r="I295" s="22">
        <v>3347208</v>
      </c>
      <c r="J295" s="22">
        <v>4838085</v>
      </c>
      <c r="K295" s="22">
        <v>4809519</v>
      </c>
      <c r="L295" s="22">
        <v>0</v>
      </c>
    </row>
    <row r="296" spans="1:12">
      <c r="A296" s="20" t="s">
        <v>371</v>
      </c>
      <c r="B296" s="20" t="s">
        <v>288</v>
      </c>
      <c r="C296" s="20" t="s">
        <v>319</v>
      </c>
      <c r="D296" s="20" t="s">
        <v>324</v>
      </c>
      <c r="E296" s="20">
        <v>14139723</v>
      </c>
      <c r="F296" s="20">
        <v>10712455</v>
      </c>
      <c r="G296" s="20">
        <v>3385850</v>
      </c>
      <c r="H296" s="20">
        <v>2394500</v>
      </c>
      <c r="I296" s="20">
        <v>954542</v>
      </c>
      <c r="J296" s="20">
        <v>890789</v>
      </c>
      <c r="K296" s="20">
        <v>0</v>
      </c>
      <c r="L296" s="20">
        <v>0</v>
      </c>
    </row>
    <row r="297" spans="1:12">
      <c r="A297" s="22" t="s">
        <v>370</v>
      </c>
      <c r="B297" s="22" t="s">
        <v>138</v>
      </c>
      <c r="C297" s="22" t="s">
        <v>306</v>
      </c>
      <c r="D297" s="22" t="s">
        <v>305</v>
      </c>
      <c r="E297" s="22">
        <v>531411875</v>
      </c>
      <c r="F297" s="22">
        <v>17461926</v>
      </c>
      <c r="G297" s="22">
        <v>6014453</v>
      </c>
      <c r="H297" s="22">
        <v>7085137</v>
      </c>
      <c r="I297" s="22">
        <v>7648029</v>
      </c>
      <c r="J297" s="22">
        <v>38490119</v>
      </c>
      <c r="K297" s="22">
        <v>77398027</v>
      </c>
      <c r="L297" s="22">
        <v>0</v>
      </c>
    </row>
    <row r="298" spans="1:12">
      <c r="A298" s="20" t="s">
        <v>369</v>
      </c>
      <c r="B298" s="20" t="s">
        <v>286</v>
      </c>
      <c r="C298" s="20" t="s">
        <v>319</v>
      </c>
      <c r="D298" s="20" t="s">
        <v>308</v>
      </c>
      <c r="E298" s="20">
        <v>86689977</v>
      </c>
      <c r="F298" s="20">
        <v>2560438</v>
      </c>
      <c r="G298" s="20">
        <v>2653338</v>
      </c>
      <c r="H298" s="20">
        <v>2506988</v>
      </c>
      <c r="I298" s="20">
        <v>2779336</v>
      </c>
      <c r="J298" s="20">
        <v>3946883</v>
      </c>
      <c r="K298" s="20">
        <v>1689917</v>
      </c>
      <c r="L298" s="20">
        <v>0</v>
      </c>
    </row>
    <row r="299" spans="1:12">
      <c r="A299" s="20" t="s">
        <v>368</v>
      </c>
      <c r="B299" s="20" t="s">
        <v>288</v>
      </c>
      <c r="C299" s="20" t="s">
        <v>311</v>
      </c>
      <c r="D299" s="20" t="s">
        <v>324</v>
      </c>
      <c r="E299" s="20">
        <v>11105278</v>
      </c>
      <c r="F299" s="20">
        <v>731509</v>
      </c>
      <c r="G299" s="20">
        <v>683691</v>
      </c>
      <c r="H299" s="20">
        <v>356290</v>
      </c>
      <c r="I299" s="20">
        <v>305599</v>
      </c>
      <c r="J299" s="20">
        <v>185602</v>
      </c>
      <c r="K299" s="20">
        <v>0</v>
      </c>
      <c r="L299" s="20">
        <v>0</v>
      </c>
    </row>
    <row r="300" spans="1:12">
      <c r="A300" s="20" t="s">
        <v>367</v>
      </c>
      <c r="B300" s="20" t="s">
        <v>309</v>
      </c>
      <c r="C300" s="20" t="s">
        <v>319</v>
      </c>
      <c r="D300" s="20" t="s">
        <v>308</v>
      </c>
      <c r="E300" s="20">
        <v>5042312</v>
      </c>
      <c r="F300" s="20">
        <v>0</v>
      </c>
      <c r="G300" s="20">
        <v>0</v>
      </c>
      <c r="H300" s="20">
        <v>0</v>
      </c>
      <c r="I300" s="20">
        <v>0</v>
      </c>
      <c r="J300" s="20">
        <v>0</v>
      </c>
      <c r="K300" s="20">
        <v>0</v>
      </c>
      <c r="L300" s="20">
        <v>0</v>
      </c>
    </row>
    <row r="301" spans="1:12">
      <c r="A301" s="20" t="s">
        <v>366</v>
      </c>
      <c r="B301" s="20" t="s">
        <v>288</v>
      </c>
      <c r="C301" s="20" t="s">
        <v>319</v>
      </c>
      <c r="D301" s="20" t="s">
        <v>324</v>
      </c>
      <c r="E301" s="20">
        <v>6908445</v>
      </c>
      <c r="F301" s="20">
        <v>12624690</v>
      </c>
      <c r="G301" s="20">
        <v>4494583</v>
      </c>
      <c r="H301" s="20">
        <v>3553949</v>
      </c>
      <c r="I301" s="20">
        <v>1921074</v>
      </c>
      <c r="J301" s="20">
        <v>0</v>
      </c>
      <c r="K301" s="20">
        <v>0</v>
      </c>
      <c r="L301" s="20">
        <v>0</v>
      </c>
    </row>
    <row r="302" spans="1:12">
      <c r="A302" s="20" t="s">
        <v>365</v>
      </c>
      <c r="B302" s="20" t="s">
        <v>60</v>
      </c>
      <c r="C302" s="20" t="s">
        <v>306</v>
      </c>
      <c r="D302" s="20" t="s">
        <v>305</v>
      </c>
      <c r="E302" s="20">
        <v>9283665</v>
      </c>
      <c r="F302" s="20">
        <v>15324779</v>
      </c>
      <c r="G302" s="20">
        <v>4624457</v>
      </c>
      <c r="H302" s="20">
        <v>1402023</v>
      </c>
      <c r="I302" s="20">
        <v>383328</v>
      </c>
      <c r="J302" s="20">
        <v>271237</v>
      </c>
      <c r="K302" s="20">
        <v>143160</v>
      </c>
      <c r="L302" s="20">
        <v>0</v>
      </c>
    </row>
    <row r="303" spans="1:12">
      <c r="A303" s="20" t="s">
        <v>364</v>
      </c>
      <c r="B303" s="20" t="s">
        <v>60</v>
      </c>
      <c r="C303" s="20" t="s">
        <v>306</v>
      </c>
      <c r="D303" s="20" t="s">
        <v>305</v>
      </c>
      <c r="E303" s="20">
        <v>3366998</v>
      </c>
      <c r="F303" s="20">
        <v>5547399</v>
      </c>
      <c r="G303" s="20">
        <v>896260</v>
      </c>
      <c r="H303" s="20">
        <v>73223</v>
      </c>
      <c r="I303" s="20">
        <v>2201</v>
      </c>
      <c r="J303" s="20">
        <v>982</v>
      </c>
      <c r="K303" s="20">
        <v>124</v>
      </c>
      <c r="L303" s="20">
        <v>0</v>
      </c>
    </row>
    <row r="304" spans="1:12">
      <c r="A304" s="20" t="s">
        <v>363</v>
      </c>
      <c r="B304" s="20" t="s">
        <v>309</v>
      </c>
      <c r="C304" s="20" t="s">
        <v>314</v>
      </c>
      <c r="D304" s="20" t="s">
        <v>308</v>
      </c>
      <c r="E304" s="20">
        <v>287447064</v>
      </c>
      <c r="F304" s="20">
        <v>44804985</v>
      </c>
      <c r="G304" s="20">
        <v>5014791</v>
      </c>
      <c r="H304" s="20">
        <v>1685412</v>
      </c>
      <c r="I304" s="20">
        <v>1401322</v>
      </c>
      <c r="J304" s="20">
        <v>1403910</v>
      </c>
      <c r="K304" s="20">
        <v>150934</v>
      </c>
      <c r="L304" s="20">
        <v>0</v>
      </c>
    </row>
    <row r="305" spans="1:12">
      <c r="A305" s="20" t="s">
        <v>362</v>
      </c>
      <c r="B305" s="20" t="s">
        <v>309</v>
      </c>
      <c r="C305" s="20" t="s">
        <v>311</v>
      </c>
      <c r="D305" s="20" t="s">
        <v>308</v>
      </c>
      <c r="E305" s="20">
        <v>36895249</v>
      </c>
      <c r="F305" s="20">
        <v>0</v>
      </c>
      <c r="G305" s="20">
        <v>0</v>
      </c>
      <c r="H305" s="20">
        <v>0</v>
      </c>
      <c r="I305" s="20">
        <v>0</v>
      </c>
      <c r="J305" s="20">
        <v>0</v>
      </c>
      <c r="K305" s="20">
        <v>0</v>
      </c>
      <c r="L305" s="20">
        <v>0</v>
      </c>
    </row>
    <row r="306" spans="1:12">
      <c r="A306" s="20" t="s">
        <v>361</v>
      </c>
      <c r="B306" s="20" t="s">
        <v>309</v>
      </c>
      <c r="C306" s="20" t="s">
        <v>311</v>
      </c>
      <c r="D306" s="20" t="s">
        <v>308</v>
      </c>
      <c r="E306" s="20">
        <v>1179544870</v>
      </c>
      <c r="F306" s="20">
        <v>56211858</v>
      </c>
      <c r="G306" s="20">
        <v>7242103</v>
      </c>
      <c r="H306" s="20">
        <v>3952040</v>
      </c>
      <c r="I306" s="20">
        <v>2002650</v>
      </c>
      <c r="J306" s="20">
        <v>2367444</v>
      </c>
      <c r="K306" s="20">
        <v>0</v>
      </c>
      <c r="L306" s="20">
        <v>0</v>
      </c>
    </row>
    <row r="307" spans="1:12">
      <c r="A307" s="20" t="s">
        <v>290</v>
      </c>
      <c r="B307" s="20" t="s">
        <v>44</v>
      </c>
      <c r="C307" s="20" t="s">
        <v>319</v>
      </c>
      <c r="D307" s="20" t="s">
        <v>324</v>
      </c>
      <c r="E307" s="20">
        <v>3582014</v>
      </c>
      <c r="F307" s="20">
        <v>3605273</v>
      </c>
      <c r="G307" s="20">
        <v>3606275</v>
      </c>
      <c r="H307" s="20">
        <v>3612683</v>
      </c>
      <c r="I307" s="20">
        <v>0</v>
      </c>
      <c r="J307" s="20">
        <v>0</v>
      </c>
      <c r="K307" s="20">
        <v>0</v>
      </c>
      <c r="L307" s="20">
        <v>0</v>
      </c>
    </row>
    <row r="308" spans="1:12">
      <c r="A308" s="20" t="s">
        <v>360</v>
      </c>
      <c r="B308" s="20" t="s">
        <v>309</v>
      </c>
      <c r="C308" s="20" t="s">
        <v>306</v>
      </c>
      <c r="D308" s="20" t="s">
        <v>308</v>
      </c>
      <c r="E308" s="20">
        <v>2540187</v>
      </c>
      <c r="F308" s="20">
        <v>0</v>
      </c>
      <c r="G308" s="20">
        <v>0</v>
      </c>
      <c r="H308" s="20">
        <v>0</v>
      </c>
      <c r="I308" s="20">
        <v>0</v>
      </c>
      <c r="J308" s="20">
        <v>0</v>
      </c>
      <c r="K308" s="20">
        <v>0</v>
      </c>
      <c r="L308" s="20">
        <v>0</v>
      </c>
    </row>
    <row r="309" spans="1:12">
      <c r="A309" s="20" t="s">
        <v>359</v>
      </c>
      <c r="B309" s="20" t="s">
        <v>248</v>
      </c>
      <c r="C309" s="20" t="s">
        <v>319</v>
      </c>
      <c r="D309" s="20" t="s">
        <v>345</v>
      </c>
      <c r="E309" s="20">
        <v>67567748</v>
      </c>
      <c r="F309" s="20">
        <v>52083996</v>
      </c>
      <c r="G309" s="20">
        <v>37919702</v>
      </c>
      <c r="H309" s="20">
        <v>52</v>
      </c>
      <c r="I309" s="20">
        <v>149</v>
      </c>
      <c r="J309" s="20">
        <v>417</v>
      </c>
      <c r="K309" s="20">
        <v>296</v>
      </c>
      <c r="L309" s="20">
        <v>0</v>
      </c>
    </row>
    <row r="310" spans="1:12">
      <c r="A310" s="22" t="s">
        <v>358</v>
      </c>
      <c r="B310" s="22" t="s">
        <v>196</v>
      </c>
      <c r="C310" s="22" t="s">
        <v>319</v>
      </c>
      <c r="D310" s="22" t="s">
        <v>308</v>
      </c>
      <c r="E310" s="22">
        <v>1215169270</v>
      </c>
      <c r="F310" s="22">
        <v>626863560</v>
      </c>
      <c r="G310" s="22">
        <v>203180914</v>
      </c>
      <c r="H310" s="22">
        <v>215341442</v>
      </c>
      <c r="I310" s="22">
        <v>0</v>
      </c>
      <c r="J310" s="22">
        <v>0</v>
      </c>
      <c r="K310" s="22">
        <v>0</v>
      </c>
      <c r="L310" s="22">
        <v>0</v>
      </c>
    </row>
    <row r="311" spans="1:12">
      <c r="A311" s="20" t="s">
        <v>357</v>
      </c>
      <c r="B311" s="20" t="s">
        <v>288</v>
      </c>
      <c r="C311" s="20" t="s">
        <v>319</v>
      </c>
      <c r="D311" s="20" t="s">
        <v>324</v>
      </c>
      <c r="E311" s="20">
        <v>2068877605</v>
      </c>
      <c r="F311" s="20">
        <v>2337396666</v>
      </c>
      <c r="G311" s="20">
        <v>190886288</v>
      </c>
      <c r="H311" s="20">
        <v>114328594</v>
      </c>
      <c r="I311" s="20">
        <v>67976</v>
      </c>
      <c r="J311" s="20">
        <v>0</v>
      </c>
      <c r="K311" s="20">
        <v>0</v>
      </c>
      <c r="L311" s="20">
        <v>0</v>
      </c>
    </row>
    <row r="312" spans="1:12">
      <c r="A312" s="20" t="s">
        <v>356</v>
      </c>
      <c r="B312" s="20" t="s">
        <v>198</v>
      </c>
      <c r="C312" s="20" t="s">
        <v>306</v>
      </c>
      <c r="D312" s="20" t="s">
        <v>305</v>
      </c>
      <c r="E312" s="20">
        <v>12756582</v>
      </c>
      <c r="F312" s="20">
        <v>1157864</v>
      </c>
      <c r="G312" s="20">
        <v>823332</v>
      </c>
      <c r="H312" s="20">
        <v>86153</v>
      </c>
      <c r="I312" s="20">
        <v>84051</v>
      </c>
      <c r="J312" s="20">
        <v>49301</v>
      </c>
      <c r="K312" s="20">
        <v>0</v>
      </c>
      <c r="L312" s="20">
        <v>0</v>
      </c>
    </row>
    <row r="313" spans="1:12">
      <c r="A313" s="20" t="s">
        <v>355</v>
      </c>
      <c r="B313" s="20" t="s">
        <v>118</v>
      </c>
      <c r="C313" s="20" t="s">
        <v>328</v>
      </c>
      <c r="D313" s="20" t="s">
        <v>305</v>
      </c>
      <c r="E313" s="20">
        <v>39258169</v>
      </c>
      <c r="F313" s="20">
        <v>45507161</v>
      </c>
      <c r="G313" s="20">
        <v>34723080</v>
      </c>
      <c r="H313" s="20">
        <v>13042896</v>
      </c>
      <c r="I313" s="20">
        <v>5268637</v>
      </c>
      <c r="J313" s="20">
        <v>1414254</v>
      </c>
      <c r="K313" s="20">
        <v>7513</v>
      </c>
      <c r="L313" s="20">
        <v>0</v>
      </c>
    </row>
    <row r="314" spans="1:12">
      <c r="A314" s="20" t="s">
        <v>354</v>
      </c>
      <c r="B314" s="20" t="s">
        <v>309</v>
      </c>
      <c r="C314" s="20" t="s">
        <v>314</v>
      </c>
      <c r="D314" s="20" t="s">
        <v>308</v>
      </c>
      <c r="E314" s="20">
        <v>643740657</v>
      </c>
      <c r="F314" s="20">
        <v>822900309</v>
      </c>
      <c r="G314" s="20">
        <v>106001084</v>
      </c>
      <c r="H314" s="20">
        <v>19182841</v>
      </c>
      <c r="I314" s="20">
        <v>15949418</v>
      </c>
      <c r="J314" s="20">
        <v>2282332</v>
      </c>
      <c r="K314" s="20">
        <v>2787595</v>
      </c>
      <c r="L314" s="20">
        <v>0</v>
      </c>
    </row>
    <row r="315" spans="1:12">
      <c r="A315" s="20" t="s">
        <v>353</v>
      </c>
      <c r="B315" s="20" t="s">
        <v>216</v>
      </c>
      <c r="C315" s="20" t="s">
        <v>319</v>
      </c>
      <c r="D315" s="20" t="s">
        <v>308</v>
      </c>
      <c r="E315" s="20">
        <v>438825947</v>
      </c>
      <c r="F315" s="20">
        <v>126766089</v>
      </c>
      <c r="G315" s="20">
        <v>59518224</v>
      </c>
      <c r="H315" s="20">
        <v>7223926</v>
      </c>
      <c r="I315" s="20">
        <v>403631</v>
      </c>
      <c r="J315" s="20">
        <v>283165</v>
      </c>
      <c r="K315" s="20">
        <v>180924</v>
      </c>
      <c r="L315" s="20">
        <v>0</v>
      </c>
    </row>
    <row r="316" spans="1:12">
      <c r="A316" s="20" t="s">
        <v>352</v>
      </c>
      <c r="B316" s="20" t="s">
        <v>60</v>
      </c>
      <c r="C316" s="20" t="s">
        <v>306</v>
      </c>
      <c r="D316" s="20" t="s">
        <v>305</v>
      </c>
      <c r="E316" s="20">
        <v>60580521</v>
      </c>
      <c r="F316" s="20">
        <v>3791454</v>
      </c>
      <c r="G316" s="20">
        <v>352776</v>
      </c>
      <c r="H316" s="20">
        <v>216344</v>
      </c>
      <c r="I316" s="20">
        <v>66542</v>
      </c>
      <c r="J316" s="20">
        <v>30779</v>
      </c>
      <c r="K316" s="20">
        <v>1863</v>
      </c>
      <c r="L316" s="20">
        <v>0</v>
      </c>
    </row>
    <row r="317" spans="1:12">
      <c r="A317" s="22" t="s">
        <v>351</v>
      </c>
      <c r="B317" s="22" t="s">
        <v>309</v>
      </c>
      <c r="C317" s="22" t="s">
        <v>314</v>
      </c>
      <c r="D317" s="22" t="s">
        <v>308</v>
      </c>
      <c r="E317" s="22">
        <v>346008669</v>
      </c>
      <c r="F317" s="22">
        <v>240386313</v>
      </c>
      <c r="G317" s="22">
        <v>4741588</v>
      </c>
      <c r="H317" s="22">
        <v>2898383</v>
      </c>
      <c r="I317" s="22">
        <v>4414640</v>
      </c>
      <c r="J317" s="22">
        <v>7259966</v>
      </c>
      <c r="K317" s="22">
        <v>6798798</v>
      </c>
      <c r="L317" s="22">
        <v>0</v>
      </c>
    </row>
    <row r="318" spans="1:12">
      <c r="A318" s="20" t="s">
        <v>350</v>
      </c>
      <c r="B318" s="20" t="s">
        <v>100</v>
      </c>
      <c r="C318" s="20" t="s">
        <v>319</v>
      </c>
      <c r="D318" s="20" t="s">
        <v>308</v>
      </c>
      <c r="E318" s="20">
        <v>141490805</v>
      </c>
      <c r="F318" s="20">
        <v>86873813</v>
      </c>
      <c r="G318" s="20">
        <v>48408387</v>
      </c>
      <c r="H318" s="20">
        <v>0</v>
      </c>
      <c r="I318" s="20">
        <v>0</v>
      </c>
      <c r="J318" s="20">
        <v>0</v>
      </c>
      <c r="K318" s="20">
        <v>0</v>
      </c>
      <c r="L318" s="20">
        <v>0</v>
      </c>
    </row>
    <row r="319" spans="1:12">
      <c r="A319" s="20" t="s">
        <v>349</v>
      </c>
      <c r="B319" s="20" t="s">
        <v>288</v>
      </c>
      <c r="C319" s="20" t="s">
        <v>319</v>
      </c>
      <c r="D319" s="20" t="s">
        <v>324</v>
      </c>
      <c r="E319" s="20">
        <v>526694547</v>
      </c>
      <c r="F319" s="20">
        <v>1885891</v>
      </c>
      <c r="G319" s="20">
        <v>1335594</v>
      </c>
      <c r="H319" s="20">
        <v>856334</v>
      </c>
      <c r="I319" s="20">
        <v>0</v>
      </c>
      <c r="J319" s="20">
        <v>0</v>
      </c>
      <c r="K319" s="20">
        <v>0</v>
      </c>
      <c r="L319" s="20">
        <v>0</v>
      </c>
    </row>
    <row r="320" spans="1:12">
      <c r="A320" s="20" t="s">
        <v>348</v>
      </c>
      <c r="B320" s="20" t="s">
        <v>288</v>
      </c>
      <c r="C320" s="20" t="s">
        <v>319</v>
      </c>
      <c r="D320" s="20" t="s">
        <v>324</v>
      </c>
      <c r="E320" s="20">
        <v>94221526</v>
      </c>
      <c r="F320" s="20">
        <v>31571665</v>
      </c>
      <c r="G320" s="20">
        <v>30657</v>
      </c>
      <c r="H320" s="20">
        <v>39624</v>
      </c>
      <c r="I320" s="20">
        <v>48564</v>
      </c>
      <c r="J320" s="20">
        <v>56892</v>
      </c>
      <c r="K320" s="20">
        <v>0</v>
      </c>
      <c r="L320" s="20">
        <v>0</v>
      </c>
    </row>
    <row r="321" spans="1:12">
      <c r="A321" s="20" t="s">
        <v>347</v>
      </c>
      <c r="B321" s="20" t="s">
        <v>254</v>
      </c>
      <c r="C321" s="20" t="s">
        <v>319</v>
      </c>
      <c r="D321" s="20" t="s">
        <v>345</v>
      </c>
      <c r="E321" s="20">
        <v>5593618</v>
      </c>
      <c r="F321" s="20">
        <v>0</v>
      </c>
      <c r="G321" s="20">
        <v>0</v>
      </c>
      <c r="H321" s="20">
        <v>0</v>
      </c>
      <c r="I321" s="20">
        <v>0</v>
      </c>
      <c r="J321" s="20">
        <v>0</v>
      </c>
      <c r="K321" s="20">
        <v>0</v>
      </c>
      <c r="L321" s="20">
        <v>0</v>
      </c>
    </row>
    <row r="322" spans="1:12">
      <c r="A322" s="20" t="s">
        <v>346</v>
      </c>
      <c r="B322" s="20" t="s">
        <v>280</v>
      </c>
      <c r="C322" s="20" t="s">
        <v>319</v>
      </c>
      <c r="D322" s="20" t="s">
        <v>345</v>
      </c>
      <c r="E322" s="20">
        <v>2215</v>
      </c>
      <c r="F322" s="20">
        <v>5</v>
      </c>
      <c r="G322" s="20">
        <v>75</v>
      </c>
      <c r="H322" s="20">
        <v>47</v>
      </c>
      <c r="I322" s="20">
        <v>12</v>
      </c>
      <c r="J322" s="20">
        <v>0</v>
      </c>
      <c r="K322" s="20">
        <v>0</v>
      </c>
      <c r="L322" s="20">
        <v>0</v>
      </c>
    </row>
    <row r="323" spans="1:12">
      <c r="A323" s="22" t="s">
        <v>344</v>
      </c>
      <c r="B323" s="22" t="s">
        <v>94</v>
      </c>
      <c r="C323" s="22" t="s">
        <v>319</v>
      </c>
      <c r="D323" s="22" t="s">
        <v>308</v>
      </c>
      <c r="E323" s="22">
        <v>190407005</v>
      </c>
      <c r="F323" s="22">
        <v>205127901</v>
      </c>
      <c r="G323" s="22">
        <v>148958233</v>
      </c>
      <c r="H323" s="22">
        <v>92788566</v>
      </c>
      <c r="I323" s="22">
        <v>92788566</v>
      </c>
      <c r="J323" s="22">
        <v>92788566</v>
      </c>
      <c r="K323" s="22">
        <v>0</v>
      </c>
      <c r="L323" s="22">
        <v>0</v>
      </c>
    </row>
    <row r="324" spans="1:12">
      <c r="A324" s="20" t="s">
        <v>343</v>
      </c>
      <c r="B324" s="20" t="s">
        <v>288</v>
      </c>
      <c r="C324" s="20" t="s">
        <v>306</v>
      </c>
      <c r="D324" s="20" t="s">
        <v>324</v>
      </c>
      <c r="E324" s="20">
        <v>1585695</v>
      </c>
      <c r="F324" s="20">
        <v>171260</v>
      </c>
      <c r="G324" s="20">
        <v>160065</v>
      </c>
      <c r="H324" s="20">
        <v>167244</v>
      </c>
      <c r="I324" s="20">
        <v>0</v>
      </c>
      <c r="J324" s="20">
        <v>0</v>
      </c>
      <c r="K324" s="20">
        <v>0</v>
      </c>
      <c r="L324" s="20">
        <v>0</v>
      </c>
    </row>
    <row r="325" spans="1:12">
      <c r="A325" s="20" t="s">
        <v>342</v>
      </c>
      <c r="B325" s="20" t="s">
        <v>288</v>
      </c>
      <c r="C325" s="20" t="s">
        <v>319</v>
      </c>
      <c r="D325" s="20" t="s">
        <v>324</v>
      </c>
      <c r="E325" s="20">
        <v>79276401</v>
      </c>
      <c r="F325" s="20">
        <v>16419251</v>
      </c>
      <c r="G325" s="20">
        <v>5984590</v>
      </c>
      <c r="H325" s="20">
        <v>3584491</v>
      </c>
      <c r="I325" s="20">
        <v>2655549</v>
      </c>
      <c r="J325" s="20">
        <v>1194014</v>
      </c>
      <c r="K325" s="20">
        <v>7156</v>
      </c>
      <c r="L325" s="20">
        <v>0</v>
      </c>
    </row>
    <row r="326" spans="1:12">
      <c r="A326" s="22" t="s">
        <v>341</v>
      </c>
      <c r="B326" s="22" t="s">
        <v>216</v>
      </c>
      <c r="C326" s="22" t="s">
        <v>319</v>
      </c>
      <c r="D326" s="22" t="s">
        <v>308</v>
      </c>
      <c r="E326" s="22">
        <v>5124595127</v>
      </c>
      <c r="F326" s="22">
        <v>4092384606</v>
      </c>
      <c r="G326" s="22">
        <v>1188090944</v>
      </c>
      <c r="H326" s="22">
        <v>0</v>
      </c>
      <c r="I326" s="22">
        <v>0</v>
      </c>
      <c r="J326" s="22">
        <v>0</v>
      </c>
      <c r="K326" s="22">
        <v>0</v>
      </c>
      <c r="L326" s="22">
        <v>0</v>
      </c>
    </row>
    <row r="327" spans="1:12">
      <c r="A327" s="22" t="s">
        <v>340</v>
      </c>
      <c r="B327" s="22" t="s">
        <v>74</v>
      </c>
      <c r="C327" s="22" t="s">
        <v>319</v>
      </c>
      <c r="D327" s="22" t="s">
        <v>308</v>
      </c>
      <c r="E327" s="22">
        <v>69519462</v>
      </c>
      <c r="F327" s="22">
        <v>62502643</v>
      </c>
      <c r="G327" s="22">
        <v>59769491</v>
      </c>
      <c r="H327" s="22">
        <v>59769491</v>
      </c>
      <c r="I327" s="22">
        <v>59769491</v>
      </c>
      <c r="J327" s="22">
        <v>59769491</v>
      </c>
      <c r="K327" s="22">
        <v>0</v>
      </c>
      <c r="L327" s="22">
        <v>0</v>
      </c>
    </row>
    <row r="328" spans="1:12">
      <c r="A328" s="22" t="s">
        <v>339</v>
      </c>
      <c r="B328" s="22" t="s">
        <v>309</v>
      </c>
      <c r="C328" s="22" t="s">
        <v>311</v>
      </c>
      <c r="D328" s="22" t="s">
        <v>308</v>
      </c>
      <c r="E328" s="22">
        <v>3794500613</v>
      </c>
      <c r="F328" s="22">
        <v>811629885</v>
      </c>
      <c r="G328" s="22">
        <v>758507741</v>
      </c>
      <c r="H328" s="22">
        <v>191478000</v>
      </c>
      <c r="I328" s="22">
        <v>2501308</v>
      </c>
      <c r="J328" s="22">
        <v>2072257</v>
      </c>
      <c r="K328" s="22">
        <v>536523</v>
      </c>
      <c r="L328" s="22">
        <v>0</v>
      </c>
    </row>
    <row r="329" spans="1:12">
      <c r="A329" s="20" t="s">
        <v>338</v>
      </c>
      <c r="B329" s="20" t="s">
        <v>309</v>
      </c>
      <c r="C329" s="20" t="s">
        <v>319</v>
      </c>
      <c r="D329" s="20" t="s">
        <v>308</v>
      </c>
      <c r="E329" s="20">
        <v>26532981</v>
      </c>
      <c r="F329" s="20">
        <v>1582845</v>
      </c>
      <c r="G329" s="20">
        <v>13294</v>
      </c>
      <c r="H329" s="20">
        <v>16652</v>
      </c>
      <c r="I329" s="20">
        <v>18868</v>
      </c>
      <c r="J329" s="20">
        <v>42080</v>
      </c>
      <c r="K329" s="20">
        <v>64955</v>
      </c>
      <c r="L329" s="20">
        <v>0</v>
      </c>
    </row>
    <row r="330" spans="1:12">
      <c r="A330" s="20" t="s">
        <v>337</v>
      </c>
      <c r="B330" s="20" t="s">
        <v>60</v>
      </c>
      <c r="C330" s="20" t="s">
        <v>306</v>
      </c>
      <c r="D330" s="20" t="s">
        <v>305</v>
      </c>
      <c r="E330" s="20">
        <v>47595191</v>
      </c>
      <c r="F330" s="20">
        <v>37005540</v>
      </c>
      <c r="G330" s="20">
        <v>19927341</v>
      </c>
      <c r="H330" s="20">
        <v>1505341</v>
      </c>
      <c r="I330" s="20">
        <v>92223</v>
      </c>
      <c r="J330" s="20">
        <v>102747</v>
      </c>
      <c r="K330" s="20">
        <v>22864</v>
      </c>
      <c r="L330" s="20">
        <v>0</v>
      </c>
    </row>
    <row r="331" spans="1:12">
      <c r="A331" s="20" t="s">
        <v>336</v>
      </c>
      <c r="B331" s="20" t="s">
        <v>60</v>
      </c>
      <c r="C331" s="20" t="s">
        <v>306</v>
      </c>
      <c r="D331" s="20" t="s">
        <v>305</v>
      </c>
      <c r="E331" s="20">
        <v>35818</v>
      </c>
      <c r="F331" s="20">
        <v>5949</v>
      </c>
      <c r="G331" s="20">
        <v>532</v>
      </c>
      <c r="H331" s="20">
        <v>288</v>
      </c>
      <c r="I331" s="20">
        <v>99</v>
      </c>
      <c r="J331" s="20">
        <v>45</v>
      </c>
      <c r="K331" s="20">
        <v>1</v>
      </c>
      <c r="L331" s="20">
        <v>0</v>
      </c>
    </row>
    <row r="332" spans="1:12">
      <c r="A332" s="20" t="s">
        <v>335</v>
      </c>
      <c r="B332" s="20" t="s">
        <v>309</v>
      </c>
      <c r="C332" s="20" t="s">
        <v>311</v>
      </c>
      <c r="D332" s="20" t="s">
        <v>308</v>
      </c>
      <c r="E332" s="20">
        <v>8483136</v>
      </c>
      <c r="F332" s="20">
        <v>2219529</v>
      </c>
      <c r="G332" s="20">
        <v>0</v>
      </c>
      <c r="H332" s="20">
        <v>0</v>
      </c>
      <c r="I332" s="20">
        <v>0</v>
      </c>
      <c r="J332" s="20">
        <v>0</v>
      </c>
      <c r="K332" s="20">
        <v>0</v>
      </c>
      <c r="L332" s="20">
        <v>0</v>
      </c>
    </row>
    <row r="333" spans="1:12">
      <c r="A333" s="20" t="s">
        <v>334</v>
      </c>
      <c r="B333" s="20" t="s">
        <v>309</v>
      </c>
      <c r="C333" s="20" t="s">
        <v>314</v>
      </c>
      <c r="D333" s="20" t="s">
        <v>308</v>
      </c>
      <c r="E333" s="20">
        <v>24468441</v>
      </c>
      <c r="F333" s="20">
        <v>0</v>
      </c>
      <c r="G333" s="20">
        <v>0</v>
      </c>
      <c r="H333" s="20">
        <v>0</v>
      </c>
      <c r="I333" s="20">
        <v>0</v>
      </c>
      <c r="J333" s="20">
        <v>0</v>
      </c>
      <c r="K333" s="20">
        <v>0</v>
      </c>
      <c r="L333" s="20">
        <v>0</v>
      </c>
    </row>
    <row r="334" spans="1:12">
      <c r="A334" s="22" t="s">
        <v>333</v>
      </c>
      <c r="B334" s="22" t="s">
        <v>60</v>
      </c>
      <c r="C334" s="22" t="s">
        <v>306</v>
      </c>
      <c r="D334" s="22" t="s">
        <v>305</v>
      </c>
      <c r="E334" s="22">
        <v>2067012670</v>
      </c>
      <c r="F334" s="22">
        <v>2599300914</v>
      </c>
      <c r="G334" s="22">
        <v>590587749</v>
      </c>
      <c r="H334" s="22">
        <v>34310373</v>
      </c>
      <c r="I334" s="22">
        <v>3117075</v>
      </c>
      <c r="J334" s="22">
        <v>1872417</v>
      </c>
      <c r="K334" s="22">
        <v>83979</v>
      </c>
      <c r="L334" s="22">
        <v>0</v>
      </c>
    </row>
    <row r="335" spans="1:12">
      <c r="A335" s="20" t="s">
        <v>332</v>
      </c>
      <c r="B335" s="20" t="s">
        <v>60</v>
      </c>
      <c r="C335" s="20" t="s">
        <v>306</v>
      </c>
      <c r="D335" s="20" t="s">
        <v>305</v>
      </c>
      <c r="E335" s="20">
        <v>1295749452</v>
      </c>
      <c r="F335" s="20">
        <v>2134850917</v>
      </c>
      <c r="G335" s="20">
        <v>344915151</v>
      </c>
      <c r="H335" s="20">
        <v>28178942</v>
      </c>
      <c r="I335" s="20">
        <v>846971</v>
      </c>
      <c r="J335" s="20">
        <v>302338</v>
      </c>
      <c r="K335" s="20">
        <v>38090</v>
      </c>
      <c r="L335" s="20">
        <v>0</v>
      </c>
    </row>
    <row r="336" spans="1:12">
      <c r="A336" s="20" t="s">
        <v>331</v>
      </c>
      <c r="B336" s="20" t="s">
        <v>60</v>
      </c>
      <c r="C336" s="20" t="s">
        <v>306</v>
      </c>
      <c r="D336" s="20" t="s">
        <v>305</v>
      </c>
      <c r="E336" s="20">
        <v>24258492</v>
      </c>
      <c r="F336" s="20">
        <v>21835325</v>
      </c>
      <c r="G336" s="20">
        <v>6104515</v>
      </c>
      <c r="H336" s="20">
        <v>1867609</v>
      </c>
      <c r="I336" s="20">
        <v>19288</v>
      </c>
      <c r="J336" s="20">
        <v>6575</v>
      </c>
      <c r="K336" s="20">
        <v>165</v>
      </c>
      <c r="L336" s="20">
        <v>0</v>
      </c>
    </row>
    <row r="337" spans="1:12">
      <c r="A337" s="20" t="s">
        <v>330</v>
      </c>
      <c r="B337" s="20" t="s">
        <v>60</v>
      </c>
      <c r="C337" s="20" t="s">
        <v>306</v>
      </c>
      <c r="D337" s="20" t="s">
        <v>305</v>
      </c>
      <c r="E337" s="20">
        <v>2998411</v>
      </c>
      <c r="F337" s="20">
        <v>4949552</v>
      </c>
      <c r="G337" s="20">
        <v>1493594</v>
      </c>
      <c r="H337" s="20">
        <v>452821</v>
      </c>
      <c r="I337" s="20">
        <v>123806</v>
      </c>
      <c r="J337" s="20">
        <v>87603</v>
      </c>
      <c r="K337" s="20">
        <v>46237</v>
      </c>
      <c r="L337" s="20">
        <v>0</v>
      </c>
    </row>
    <row r="338" spans="1:12">
      <c r="A338" s="20" t="s">
        <v>329</v>
      </c>
      <c r="B338" s="20" t="s">
        <v>118</v>
      </c>
      <c r="C338" s="20" t="s">
        <v>328</v>
      </c>
      <c r="D338" s="20" t="s">
        <v>305</v>
      </c>
      <c r="E338" s="20">
        <v>57625782</v>
      </c>
      <c r="F338" s="20">
        <v>16809504</v>
      </c>
      <c r="G338" s="20">
        <v>8100608</v>
      </c>
      <c r="H338" s="20">
        <v>967379</v>
      </c>
      <c r="I338" s="20">
        <v>374079</v>
      </c>
      <c r="J338" s="20">
        <v>277591</v>
      </c>
      <c r="K338" s="20">
        <v>43403</v>
      </c>
      <c r="L338" s="20">
        <v>0</v>
      </c>
    </row>
    <row r="339" spans="1:12">
      <c r="A339" s="22" t="s">
        <v>327</v>
      </c>
      <c r="B339" s="22" t="s">
        <v>60</v>
      </c>
      <c r="C339" s="22" t="s">
        <v>306</v>
      </c>
      <c r="D339" s="22" t="s">
        <v>305</v>
      </c>
      <c r="E339" s="23">
        <v>12435506712</v>
      </c>
      <c r="F339" s="22">
        <v>20438153108</v>
      </c>
      <c r="G339" s="22">
        <v>6592279382</v>
      </c>
      <c r="H339" s="22">
        <v>2356256305</v>
      </c>
      <c r="I339" s="22">
        <v>718049310</v>
      </c>
      <c r="J339" s="22">
        <v>366358051</v>
      </c>
      <c r="K339" s="22">
        <v>195994397</v>
      </c>
      <c r="L339" s="22">
        <v>0</v>
      </c>
    </row>
    <row r="340" spans="1:12">
      <c r="A340" s="20" t="s">
        <v>326</v>
      </c>
      <c r="B340" s="20" t="s">
        <v>60</v>
      </c>
      <c r="C340" s="20" t="s">
        <v>306</v>
      </c>
      <c r="D340" s="20" t="s">
        <v>305</v>
      </c>
      <c r="E340" s="20">
        <v>488985967</v>
      </c>
      <c r="F340" s="20">
        <v>130583392</v>
      </c>
      <c r="G340" s="20">
        <v>21815683</v>
      </c>
      <c r="H340" s="20">
        <v>2730534</v>
      </c>
      <c r="I340" s="20">
        <v>517415</v>
      </c>
      <c r="J340" s="20">
        <v>222384</v>
      </c>
      <c r="K340" s="20">
        <v>8151</v>
      </c>
      <c r="L340" s="20">
        <v>0</v>
      </c>
    </row>
    <row r="341" spans="1:12">
      <c r="A341" s="20" t="s">
        <v>325</v>
      </c>
      <c r="B341" s="20" t="s">
        <v>288</v>
      </c>
      <c r="C341" s="20" t="s">
        <v>319</v>
      </c>
      <c r="D341" s="20" t="s">
        <v>324</v>
      </c>
      <c r="E341" s="20">
        <v>100586130</v>
      </c>
      <c r="F341" s="20">
        <v>3493</v>
      </c>
      <c r="G341" s="20">
        <v>8</v>
      </c>
      <c r="H341" s="20">
        <v>1</v>
      </c>
      <c r="I341" s="20">
        <v>0</v>
      </c>
      <c r="J341" s="20">
        <v>0</v>
      </c>
      <c r="K341" s="20">
        <v>0</v>
      </c>
      <c r="L341" s="20">
        <v>0</v>
      </c>
    </row>
    <row r="342" spans="1:12">
      <c r="A342" s="20" t="s">
        <v>323</v>
      </c>
      <c r="B342" s="20" t="s">
        <v>60</v>
      </c>
      <c r="C342" s="20" t="s">
        <v>306</v>
      </c>
      <c r="D342" s="20" t="s">
        <v>305</v>
      </c>
      <c r="E342" s="20">
        <v>12259602</v>
      </c>
      <c r="F342" s="20">
        <v>21720313</v>
      </c>
      <c r="G342" s="20">
        <v>10057021</v>
      </c>
      <c r="H342" s="20">
        <v>4758064</v>
      </c>
      <c r="I342" s="20">
        <v>1527328</v>
      </c>
      <c r="J342" s="20">
        <v>922468</v>
      </c>
      <c r="K342" s="20">
        <v>697292</v>
      </c>
      <c r="L342" s="20">
        <v>0</v>
      </c>
    </row>
    <row r="343" spans="1:12">
      <c r="A343" s="20" t="s">
        <v>322</v>
      </c>
      <c r="B343" s="20" t="s">
        <v>60</v>
      </c>
      <c r="C343" s="20" t="s">
        <v>306</v>
      </c>
      <c r="D343" s="20" t="s">
        <v>305</v>
      </c>
      <c r="E343" s="20">
        <v>36121281</v>
      </c>
      <c r="F343" s="20">
        <v>22116268</v>
      </c>
      <c r="G343" s="20">
        <v>11305474</v>
      </c>
      <c r="H343" s="20">
        <v>1800047</v>
      </c>
      <c r="I343" s="20">
        <v>1063710</v>
      </c>
      <c r="J343" s="20">
        <v>952324</v>
      </c>
      <c r="K343" s="20">
        <v>764464</v>
      </c>
      <c r="L343" s="20">
        <v>0</v>
      </c>
    </row>
    <row r="344" spans="1:12">
      <c r="A344" s="20" t="s">
        <v>321</v>
      </c>
      <c r="B344" s="20" t="s">
        <v>60</v>
      </c>
      <c r="C344" s="20" t="s">
        <v>306</v>
      </c>
      <c r="D344" s="20" t="s">
        <v>305</v>
      </c>
      <c r="E344" s="20">
        <v>19566517</v>
      </c>
      <c r="F344" s="20">
        <v>3275073</v>
      </c>
      <c r="G344" s="20">
        <v>1158202</v>
      </c>
      <c r="H344" s="20">
        <v>1033633</v>
      </c>
      <c r="I344" s="20">
        <v>1016798</v>
      </c>
      <c r="J344" s="20">
        <v>900025</v>
      </c>
      <c r="K344" s="20">
        <v>717895</v>
      </c>
      <c r="L344" s="20">
        <v>0</v>
      </c>
    </row>
    <row r="345" spans="1:12">
      <c r="A345" s="20" t="s">
        <v>320</v>
      </c>
      <c r="B345" s="20" t="s">
        <v>94</v>
      </c>
      <c r="C345" s="20" t="s">
        <v>319</v>
      </c>
      <c r="D345" s="20" t="s">
        <v>308</v>
      </c>
      <c r="E345" s="20">
        <v>40621257</v>
      </c>
      <c r="F345" s="20">
        <v>135236</v>
      </c>
      <c r="G345" s="20">
        <v>7442082</v>
      </c>
      <c r="H345" s="20">
        <v>44672743</v>
      </c>
      <c r="I345" s="20">
        <v>53521010</v>
      </c>
      <c r="J345" s="20">
        <v>53595603</v>
      </c>
      <c r="K345" s="20">
        <v>0</v>
      </c>
      <c r="L345" s="20">
        <v>0</v>
      </c>
    </row>
    <row r="346" spans="1:12">
      <c r="A346" s="20" t="s">
        <v>318</v>
      </c>
      <c r="B346" s="20" t="s">
        <v>60</v>
      </c>
      <c r="C346" s="20" t="s">
        <v>306</v>
      </c>
      <c r="D346" s="20" t="s">
        <v>305</v>
      </c>
      <c r="E346" s="20">
        <v>3386202</v>
      </c>
      <c r="F346" s="20">
        <v>3853881</v>
      </c>
      <c r="G346" s="20">
        <v>2075578</v>
      </c>
      <c r="H346" s="20">
        <v>156766</v>
      </c>
      <c r="I346" s="20">
        <v>9596</v>
      </c>
      <c r="J346" s="20">
        <v>10697</v>
      </c>
      <c r="K346" s="20">
        <v>0</v>
      </c>
      <c r="L346" s="20">
        <v>0</v>
      </c>
    </row>
    <row r="347" spans="1:12">
      <c r="A347" s="22" t="s">
        <v>317</v>
      </c>
      <c r="B347" s="22" t="s">
        <v>60</v>
      </c>
      <c r="C347" s="22" t="s">
        <v>306</v>
      </c>
      <c r="D347" s="22" t="s">
        <v>305</v>
      </c>
      <c r="E347" s="22">
        <v>1940884643</v>
      </c>
      <c r="F347" s="22">
        <v>2877050928</v>
      </c>
      <c r="G347" s="22">
        <v>732702161</v>
      </c>
      <c r="H347" s="22">
        <v>57679330</v>
      </c>
      <c r="I347" s="22">
        <v>2581867</v>
      </c>
      <c r="J347" s="22">
        <v>2446993</v>
      </c>
      <c r="K347" s="22">
        <v>80965</v>
      </c>
      <c r="L347" s="22">
        <v>0</v>
      </c>
    </row>
    <row r="348" spans="1:12">
      <c r="A348" s="20" t="s">
        <v>316</v>
      </c>
      <c r="B348" s="20" t="s">
        <v>60</v>
      </c>
      <c r="C348" s="20" t="s">
        <v>306</v>
      </c>
      <c r="D348" s="20" t="s">
        <v>305</v>
      </c>
      <c r="E348" s="20">
        <v>1311567568</v>
      </c>
      <c r="F348" s="20">
        <v>2160912530</v>
      </c>
      <c r="G348" s="20">
        <v>349125771</v>
      </c>
      <c r="H348" s="20">
        <v>28522942</v>
      </c>
      <c r="I348" s="20">
        <v>611870</v>
      </c>
      <c r="J348" s="20">
        <v>273019</v>
      </c>
      <c r="K348" s="20">
        <v>34396</v>
      </c>
      <c r="L348" s="20">
        <v>0</v>
      </c>
    </row>
    <row r="349" spans="1:12">
      <c r="A349" s="20" t="s">
        <v>315</v>
      </c>
      <c r="B349" s="20" t="s">
        <v>309</v>
      </c>
      <c r="C349" s="20" t="s">
        <v>314</v>
      </c>
      <c r="D349" s="20" t="s">
        <v>308</v>
      </c>
      <c r="E349" s="20">
        <v>4021801</v>
      </c>
      <c r="F349" s="20">
        <v>5140194</v>
      </c>
      <c r="G349" s="20">
        <v>662130</v>
      </c>
      <c r="H349" s="20">
        <v>222535</v>
      </c>
      <c r="I349" s="20">
        <v>185025</v>
      </c>
      <c r="J349" s="20">
        <v>185366</v>
      </c>
      <c r="K349" s="20">
        <v>0</v>
      </c>
      <c r="L349" s="20">
        <v>0</v>
      </c>
    </row>
    <row r="350" spans="1:12">
      <c r="A350" s="20" t="s">
        <v>313</v>
      </c>
      <c r="B350" s="20" t="s">
        <v>60</v>
      </c>
      <c r="C350" s="20" t="s">
        <v>306</v>
      </c>
      <c r="D350" s="20" t="s">
        <v>305</v>
      </c>
      <c r="E350" s="20">
        <v>608684</v>
      </c>
      <c r="F350" s="20">
        <v>34153</v>
      </c>
      <c r="G350" s="20">
        <v>11510</v>
      </c>
      <c r="H350" s="20">
        <v>13577</v>
      </c>
      <c r="I350" s="20">
        <v>14754</v>
      </c>
      <c r="J350" s="20">
        <v>15138</v>
      </c>
      <c r="K350" s="20">
        <v>0</v>
      </c>
      <c r="L350" s="20">
        <v>0</v>
      </c>
    </row>
    <row r="351" spans="1:12">
      <c r="A351" s="20" t="s">
        <v>312</v>
      </c>
      <c r="B351" s="20" t="s">
        <v>292</v>
      </c>
      <c r="C351" s="20" t="s">
        <v>311</v>
      </c>
      <c r="D351" s="20" t="s">
        <v>305</v>
      </c>
      <c r="E351" s="20">
        <v>26953267</v>
      </c>
      <c r="F351" s="20">
        <v>898046</v>
      </c>
      <c r="G351" s="20">
        <v>156309</v>
      </c>
      <c r="H351" s="20">
        <v>245778</v>
      </c>
      <c r="I351" s="20">
        <v>135681</v>
      </c>
      <c r="J351" s="20">
        <v>70088</v>
      </c>
      <c r="K351" s="20">
        <v>76466</v>
      </c>
      <c r="L351" s="20">
        <v>0</v>
      </c>
    </row>
    <row r="352" spans="1:12">
      <c r="A352" s="20" t="s">
        <v>310</v>
      </c>
      <c r="B352" s="20" t="s">
        <v>309</v>
      </c>
      <c r="C352" s="20" t="s">
        <v>306</v>
      </c>
      <c r="D352" s="20" t="s">
        <v>308</v>
      </c>
      <c r="E352" s="20">
        <v>1635063</v>
      </c>
      <c r="F352" s="20">
        <v>0</v>
      </c>
      <c r="G352" s="20">
        <v>0</v>
      </c>
      <c r="H352" s="20">
        <v>0</v>
      </c>
      <c r="I352" s="20">
        <v>0</v>
      </c>
      <c r="J352" s="20">
        <v>0</v>
      </c>
      <c r="K352" s="20">
        <v>0</v>
      </c>
      <c r="L352" s="20">
        <v>0</v>
      </c>
    </row>
    <row r="353" spans="1:12">
      <c r="A353" s="20" t="s">
        <v>307</v>
      </c>
      <c r="B353" s="20" t="s">
        <v>60</v>
      </c>
      <c r="C353" s="20" t="s">
        <v>306</v>
      </c>
      <c r="D353" s="20" t="s">
        <v>305</v>
      </c>
      <c r="E353" s="20">
        <v>5292183</v>
      </c>
      <c r="F353" s="20">
        <v>879000</v>
      </c>
      <c r="G353" s="20">
        <v>78617</v>
      </c>
      <c r="H353" s="20">
        <v>42530</v>
      </c>
      <c r="I353" s="20">
        <v>14564</v>
      </c>
      <c r="J353" s="20">
        <v>6619</v>
      </c>
      <c r="K353" s="20">
        <v>1</v>
      </c>
      <c r="L353" s="20">
        <v>0</v>
      </c>
    </row>
  </sheetData>
  <mergeCells count="5">
    <mergeCell ref="A1:A2"/>
    <mergeCell ref="B1:B2"/>
    <mergeCell ref="C1:C2"/>
    <mergeCell ref="D1:D2"/>
    <mergeCell ref="E1:L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878EA-9E85-4982-82A4-310C16744CD7}">
  <sheetPr>
    <tabColor theme="9" tint="0.59999389629810485"/>
  </sheetPr>
  <dimension ref="A1:J17"/>
  <sheetViews>
    <sheetView workbookViewId="0">
      <selection activeCell="H16" sqref="H16"/>
    </sheetView>
  </sheetViews>
  <sheetFormatPr defaultRowHeight="15"/>
  <sheetData>
    <row r="1" spans="1:10">
      <c r="A1" s="62" t="s">
        <v>675</v>
      </c>
      <c r="B1" s="62"/>
      <c r="C1" s="62"/>
      <c r="D1" s="62"/>
      <c r="E1" s="62"/>
      <c r="F1" s="62"/>
      <c r="G1" s="62"/>
      <c r="H1" s="62"/>
      <c r="I1" s="62"/>
      <c r="J1" s="62"/>
    </row>
    <row r="2" spans="1:10">
      <c r="A2" s="62"/>
      <c r="B2" s="62"/>
      <c r="C2" s="62"/>
      <c r="D2" s="62"/>
      <c r="E2" s="62"/>
      <c r="F2" s="62"/>
      <c r="G2" s="62"/>
      <c r="H2" s="62"/>
      <c r="I2" s="62"/>
      <c r="J2" s="62"/>
    </row>
    <row r="3" spans="1:10">
      <c r="A3" s="62"/>
      <c r="B3" s="62"/>
      <c r="C3" s="62"/>
      <c r="D3" s="62"/>
      <c r="E3" s="62"/>
      <c r="F3" s="62"/>
      <c r="G3" s="62"/>
      <c r="H3" s="62"/>
      <c r="I3" s="62"/>
      <c r="J3" s="62"/>
    </row>
    <row r="4" spans="1:10">
      <c r="A4" s="62"/>
      <c r="B4" s="62"/>
      <c r="C4" s="62"/>
      <c r="D4" s="62"/>
      <c r="E4" s="62"/>
      <c r="F4" s="62"/>
      <c r="G4" s="62"/>
      <c r="H4" s="62"/>
      <c r="I4" s="62"/>
      <c r="J4" s="62"/>
    </row>
    <row r="5" spans="1:10">
      <c r="A5" s="62"/>
      <c r="B5" s="62"/>
      <c r="C5" s="62"/>
      <c r="D5" s="62"/>
      <c r="E5" s="62"/>
      <c r="F5" s="62"/>
      <c r="G5" s="62"/>
      <c r="H5" s="62"/>
      <c r="I5" s="62"/>
      <c r="J5" s="62"/>
    </row>
    <row r="6" spans="1:10">
      <c r="A6" s="62"/>
      <c r="B6" s="62"/>
      <c r="C6" s="62"/>
      <c r="D6" s="62"/>
      <c r="E6" s="62"/>
      <c r="F6" s="62"/>
      <c r="G6" s="62"/>
      <c r="H6" s="62"/>
      <c r="I6" s="62"/>
      <c r="J6" s="62"/>
    </row>
    <row r="7" spans="1:10">
      <c r="A7" s="62"/>
      <c r="B7" s="62"/>
      <c r="C7" s="62"/>
      <c r="D7" s="62"/>
      <c r="E7" s="62"/>
      <c r="F7" s="62"/>
      <c r="G7" s="62"/>
      <c r="H7" s="62"/>
      <c r="I7" s="62"/>
      <c r="J7" s="62"/>
    </row>
    <row r="8" spans="1:10">
      <c r="A8" s="62"/>
      <c r="B8" s="62"/>
      <c r="C8" s="62"/>
      <c r="D8" s="62"/>
      <c r="E8" s="62"/>
      <c r="F8" s="62"/>
      <c r="G8" s="62"/>
      <c r="H8" s="62"/>
      <c r="I8" s="62"/>
      <c r="J8" s="62"/>
    </row>
    <row r="9" spans="1:10">
      <c r="A9" s="62"/>
      <c r="B9" s="62"/>
      <c r="C9" s="62"/>
      <c r="D9" s="62"/>
      <c r="E9" s="62"/>
      <c r="F9" s="62"/>
      <c r="G9" s="62"/>
      <c r="H9" s="62"/>
      <c r="I9" s="62"/>
      <c r="J9" s="62"/>
    </row>
    <row r="10" spans="1:10">
      <c r="A10" s="62"/>
      <c r="B10" s="62"/>
      <c r="C10" s="62"/>
      <c r="D10" s="62"/>
      <c r="E10" s="62"/>
      <c r="F10" s="62"/>
      <c r="G10" s="62"/>
      <c r="H10" s="62"/>
      <c r="I10" s="62"/>
      <c r="J10" s="62"/>
    </row>
    <row r="11" spans="1:10">
      <c r="A11" s="62"/>
      <c r="B11" s="62"/>
      <c r="C11" s="62"/>
      <c r="D11" s="62"/>
      <c r="E11" s="62"/>
      <c r="F11" s="62"/>
      <c r="G11" s="62"/>
      <c r="H11" s="62"/>
      <c r="I11" s="62"/>
      <c r="J11" s="62"/>
    </row>
    <row r="12" spans="1:10">
      <c r="A12" s="62"/>
      <c r="B12" s="62"/>
      <c r="C12" s="62"/>
      <c r="D12" s="62"/>
      <c r="E12" s="62"/>
      <c r="F12" s="62"/>
      <c r="G12" s="62"/>
      <c r="H12" s="62"/>
      <c r="I12" s="62"/>
      <c r="J12" s="62"/>
    </row>
    <row r="13" spans="1:10">
      <c r="A13" s="62"/>
      <c r="B13" s="62"/>
      <c r="C13" s="62"/>
      <c r="D13" s="62"/>
      <c r="E13" s="62"/>
      <c r="F13" s="62"/>
      <c r="G13" s="62"/>
      <c r="H13" s="62"/>
      <c r="I13" s="62"/>
      <c r="J13" s="62"/>
    </row>
    <row r="14" spans="1:10">
      <c r="A14" s="62"/>
      <c r="B14" s="62"/>
      <c r="C14" s="62"/>
      <c r="D14" s="62"/>
      <c r="E14" s="62"/>
      <c r="F14" s="62"/>
      <c r="G14" s="62"/>
      <c r="H14" s="62"/>
      <c r="I14" s="62"/>
      <c r="J14" s="62"/>
    </row>
    <row r="15" spans="1:10">
      <c r="A15" s="62"/>
      <c r="B15" s="62"/>
      <c r="C15" s="62"/>
      <c r="D15" s="62"/>
      <c r="E15" s="62"/>
      <c r="F15" s="62"/>
      <c r="G15" s="62"/>
      <c r="H15" s="62"/>
      <c r="I15" s="62"/>
      <c r="J15" s="62"/>
    </row>
    <row r="16" spans="1:10">
      <c r="A16" s="62"/>
      <c r="B16" s="62"/>
      <c r="C16" s="62"/>
      <c r="D16" s="62"/>
      <c r="E16" s="62"/>
      <c r="F16" s="62"/>
      <c r="G16" s="62"/>
      <c r="H16" s="62"/>
      <c r="I16" s="62"/>
      <c r="J16" s="62"/>
    </row>
    <row r="17" spans="1:10">
      <c r="A17" s="62"/>
      <c r="B17" s="62"/>
      <c r="C17" s="62"/>
      <c r="D17" s="62"/>
      <c r="E17" s="62"/>
      <c r="F17" s="62"/>
      <c r="G17" s="62"/>
      <c r="H17" s="62"/>
      <c r="I17" s="62"/>
      <c r="J17" s="62"/>
    </row>
  </sheetData>
  <mergeCells count="1">
    <mergeCell ref="A1:J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10F01-2700-49EE-B6EE-1544ED223174}">
  <sheetPr>
    <tabColor theme="7" tint="-0.249977111117893"/>
  </sheetPr>
  <dimension ref="A1:K104"/>
  <sheetViews>
    <sheetView workbookViewId="0">
      <selection activeCell="H16" sqref="H16"/>
    </sheetView>
  </sheetViews>
  <sheetFormatPr defaultRowHeight="15"/>
  <cols>
    <col min="1" max="1" width="18.28515625" bestFit="1" customWidth="1"/>
    <col min="2" max="11" width="15.7109375" customWidth="1"/>
  </cols>
  <sheetData>
    <row r="1" spans="1:11">
      <c r="A1" s="74" t="s">
        <v>12</v>
      </c>
      <c r="B1" s="36" t="s">
        <v>936</v>
      </c>
      <c r="C1" s="36" t="s">
        <v>937</v>
      </c>
      <c r="D1" s="36" t="s">
        <v>938</v>
      </c>
      <c r="E1" s="36" t="s">
        <v>939</v>
      </c>
      <c r="F1" s="36" t="s">
        <v>940</v>
      </c>
      <c r="G1" s="36" t="s">
        <v>941</v>
      </c>
      <c r="H1" s="37" t="s">
        <v>942</v>
      </c>
      <c r="I1" s="37" t="s">
        <v>943</v>
      </c>
      <c r="J1" s="37" t="s">
        <v>944</v>
      </c>
      <c r="K1" s="37" t="s">
        <v>945</v>
      </c>
    </row>
    <row r="2" spans="1:11" ht="15.75" thickBot="1">
      <c r="A2" s="73"/>
      <c r="B2" s="38" t="s">
        <v>946</v>
      </c>
      <c r="C2" s="38" t="s">
        <v>947</v>
      </c>
      <c r="D2" s="38" t="s">
        <v>946</v>
      </c>
      <c r="E2" s="38" t="s">
        <v>948</v>
      </c>
      <c r="F2" s="38" t="s">
        <v>947</v>
      </c>
      <c r="G2" s="38" t="s">
        <v>946</v>
      </c>
      <c r="H2" s="39" t="s">
        <v>947</v>
      </c>
      <c r="I2" s="39" t="s">
        <v>949</v>
      </c>
      <c r="J2" s="39" t="s">
        <v>950</v>
      </c>
      <c r="K2" s="39" t="s">
        <v>949</v>
      </c>
    </row>
    <row r="3" spans="1:11">
      <c r="A3" s="75" t="s">
        <v>16</v>
      </c>
      <c r="B3" s="40" t="s">
        <v>936</v>
      </c>
      <c r="C3" s="40" t="s">
        <v>937</v>
      </c>
      <c r="D3" s="40" t="s">
        <v>938</v>
      </c>
      <c r="E3" s="40" t="s">
        <v>939</v>
      </c>
      <c r="F3" s="40" t="s">
        <v>940</v>
      </c>
      <c r="G3" s="40" t="s">
        <v>941</v>
      </c>
      <c r="H3" s="40" t="s">
        <v>942</v>
      </c>
      <c r="I3" s="40" t="s">
        <v>943</v>
      </c>
      <c r="J3" s="40" t="s">
        <v>944</v>
      </c>
      <c r="K3" s="40" t="s">
        <v>945</v>
      </c>
    </row>
    <row r="4" spans="1:11" ht="15.75" thickBot="1">
      <c r="A4" s="76"/>
      <c r="B4" s="38" t="s">
        <v>951</v>
      </c>
      <c r="C4" s="38" t="s">
        <v>947</v>
      </c>
      <c r="D4" s="38" t="s">
        <v>951</v>
      </c>
      <c r="E4" s="38" t="s">
        <v>952</v>
      </c>
      <c r="F4" s="38" t="s">
        <v>947</v>
      </c>
      <c r="G4" s="38" t="s">
        <v>951</v>
      </c>
      <c r="H4" s="38" t="s">
        <v>947</v>
      </c>
      <c r="I4" s="38" t="s">
        <v>951</v>
      </c>
      <c r="J4" s="38" t="s">
        <v>947</v>
      </c>
      <c r="K4" s="38" t="s">
        <v>951</v>
      </c>
    </row>
    <row r="5" spans="1:11">
      <c r="A5" s="72" t="s">
        <v>20</v>
      </c>
      <c r="B5" s="40" t="s">
        <v>936</v>
      </c>
      <c r="C5" s="40" t="s">
        <v>953</v>
      </c>
      <c r="D5" s="40" t="s">
        <v>941</v>
      </c>
      <c r="E5" s="40" t="s">
        <v>954</v>
      </c>
      <c r="F5" s="40" t="s">
        <v>938</v>
      </c>
      <c r="G5" s="40" t="s">
        <v>939</v>
      </c>
      <c r="H5" s="40" t="s">
        <v>955</v>
      </c>
      <c r="I5" s="40" t="s">
        <v>943</v>
      </c>
      <c r="J5" s="41" t="s">
        <v>944</v>
      </c>
      <c r="K5" s="41" t="s">
        <v>945</v>
      </c>
    </row>
    <row r="6" spans="1:11" ht="15.75" thickBot="1">
      <c r="A6" s="73"/>
      <c r="B6" s="38" t="s">
        <v>956</v>
      </c>
      <c r="C6" s="38" t="s">
        <v>957</v>
      </c>
      <c r="D6" s="38" t="s">
        <v>958</v>
      </c>
      <c r="E6" s="38" t="s">
        <v>959</v>
      </c>
      <c r="F6" s="38" t="s">
        <v>960</v>
      </c>
      <c r="G6" s="38" t="s">
        <v>961</v>
      </c>
      <c r="H6" s="38" t="s">
        <v>947</v>
      </c>
      <c r="I6" s="38" t="s">
        <v>960</v>
      </c>
      <c r="J6" s="39" t="s">
        <v>962</v>
      </c>
      <c r="K6" s="39" t="s">
        <v>963</v>
      </c>
    </row>
    <row r="7" spans="1:11">
      <c r="A7" s="72" t="s">
        <v>22</v>
      </c>
      <c r="B7" s="40" t="s">
        <v>936</v>
      </c>
      <c r="C7" s="40" t="s">
        <v>937</v>
      </c>
      <c r="D7" s="40" t="s">
        <v>938</v>
      </c>
      <c r="E7" s="40" t="s">
        <v>939</v>
      </c>
      <c r="F7" s="40" t="s">
        <v>940</v>
      </c>
      <c r="G7" s="40" t="s">
        <v>941</v>
      </c>
      <c r="H7" s="41" t="s">
        <v>942</v>
      </c>
      <c r="I7" s="41" t="s">
        <v>943</v>
      </c>
      <c r="J7" s="41" t="s">
        <v>944</v>
      </c>
      <c r="K7" s="41" t="s">
        <v>945</v>
      </c>
    </row>
    <row r="8" spans="1:11" ht="15.75" thickBot="1">
      <c r="A8" s="73"/>
      <c r="B8" s="38" t="s">
        <v>964</v>
      </c>
      <c r="C8" s="38" t="s">
        <v>947</v>
      </c>
      <c r="D8" s="38" t="s">
        <v>964</v>
      </c>
      <c r="E8" s="38" t="s">
        <v>965</v>
      </c>
      <c r="F8" s="38" t="s">
        <v>947</v>
      </c>
      <c r="G8" s="38" t="s">
        <v>966</v>
      </c>
      <c r="H8" s="39" t="s">
        <v>967</v>
      </c>
      <c r="I8" s="39" t="s">
        <v>968</v>
      </c>
      <c r="J8" s="39" t="s">
        <v>965</v>
      </c>
      <c r="K8" s="39" t="s">
        <v>969</v>
      </c>
    </row>
    <row r="9" spans="1:11">
      <c r="A9" s="75" t="s">
        <v>36</v>
      </c>
      <c r="B9" s="40" t="s">
        <v>936</v>
      </c>
      <c r="C9" s="40" t="s">
        <v>937</v>
      </c>
      <c r="D9" s="40" t="s">
        <v>938</v>
      </c>
      <c r="E9" s="40" t="s">
        <v>939</v>
      </c>
      <c r="F9" s="40" t="s">
        <v>940</v>
      </c>
      <c r="G9" s="40" t="s">
        <v>941</v>
      </c>
      <c r="H9" s="40" t="s">
        <v>942</v>
      </c>
      <c r="I9" s="40" t="s">
        <v>943</v>
      </c>
      <c r="J9" s="40" t="s">
        <v>944</v>
      </c>
      <c r="K9" s="40" t="s">
        <v>945</v>
      </c>
    </row>
    <row r="10" spans="1:11" ht="15.75" thickBot="1">
      <c r="A10" s="76"/>
      <c r="B10" s="38" t="s">
        <v>970</v>
      </c>
      <c r="C10" s="38" t="s">
        <v>947</v>
      </c>
      <c r="D10" s="38" t="s">
        <v>970</v>
      </c>
      <c r="E10" s="38" t="s">
        <v>952</v>
      </c>
      <c r="F10" s="38" t="s">
        <v>947</v>
      </c>
      <c r="G10" s="38" t="s">
        <v>970</v>
      </c>
      <c r="H10" s="38" t="s">
        <v>947</v>
      </c>
      <c r="I10" s="38" t="s">
        <v>970</v>
      </c>
      <c r="J10" s="38" t="s">
        <v>947</v>
      </c>
      <c r="K10" s="38" t="s">
        <v>970</v>
      </c>
    </row>
    <row r="11" spans="1:11">
      <c r="A11" s="72" t="s">
        <v>44</v>
      </c>
      <c r="B11" s="40" t="s">
        <v>936</v>
      </c>
      <c r="C11" s="40" t="s">
        <v>953</v>
      </c>
      <c r="D11" s="40" t="s">
        <v>941</v>
      </c>
      <c r="E11" s="40" t="s">
        <v>954</v>
      </c>
      <c r="F11" s="40" t="s">
        <v>938</v>
      </c>
      <c r="G11" s="40" t="s">
        <v>939</v>
      </c>
      <c r="H11" s="41" t="s">
        <v>955</v>
      </c>
      <c r="I11" s="41" t="s">
        <v>943</v>
      </c>
      <c r="J11" s="41" t="s">
        <v>944</v>
      </c>
      <c r="K11" s="41" t="s">
        <v>945</v>
      </c>
    </row>
    <row r="12" spans="1:11" ht="15.75" thickBot="1">
      <c r="A12" s="73"/>
      <c r="B12" s="38" t="s">
        <v>971</v>
      </c>
      <c r="C12" s="38" t="s">
        <v>972</v>
      </c>
      <c r="D12" s="38" t="s">
        <v>973</v>
      </c>
      <c r="E12" s="38" t="s">
        <v>974</v>
      </c>
      <c r="F12" s="38" t="s">
        <v>975</v>
      </c>
      <c r="G12" s="38" t="s">
        <v>976</v>
      </c>
      <c r="H12" s="39" t="s">
        <v>977</v>
      </c>
      <c r="I12" s="39" t="s">
        <v>975</v>
      </c>
      <c r="J12" s="39" t="s">
        <v>962</v>
      </c>
      <c r="K12" s="39" t="s">
        <v>951</v>
      </c>
    </row>
    <row r="13" spans="1:11">
      <c r="A13" s="72" t="s">
        <v>48</v>
      </c>
      <c r="B13" s="40" t="s">
        <v>936</v>
      </c>
      <c r="C13" s="40" t="s">
        <v>953</v>
      </c>
      <c r="D13" s="40" t="s">
        <v>941</v>
      </c>
      <c r="E13" s="40" t="s">
        <v>942</v>
      </c>
      <c r="F13" s="40" t="s">
        <v>943</v>
      </c>
      <c r="G13" s="40" t="s">
        <v>978</v>
      </c>
      <c r="H13" s="40" t="s">
        <v>938</v>
      </c>
      <c r="I13" s="40" t="s">
        <v>939</v>
      </c>
      <c r="J13" s="40" t="s">
        <v>979</v>
      </c>
      <c r="K13" s="40" t="s">
        <v>945</v>
      </c>
    </row>
    <row r="14" spans="1:11" ht="15.75" thickBot="1">
      <c r="A14" s="73"/>
      <c r="B14" s="38" t="s">
        <v>980</v>
      </c>
      <c r="C14" s="38" t="s">
        <v>947</v>
      </c>
      <c r="D14" s="38" t="s">
        <v>980</v>
      </c>
      <c r="E14" s="38" t="s">
        <v>981</v>
      </c>
      <c r="F14" s="38" t="s">
        <v>982</v>
      </c>
      <c r="G14" s="38" t="s">
        <v>947</v>
      </c>
      <c r="H14" s="38" t="s">
        <v>982</v>
      </c>
      <c r="I14" s="38" t="s">
        <v>983</v>
      </c>
      <c r="J14" s="38" t="s">
        <v>947</v>
      </c>
      <c r="K14" s="38" t="s">
        <v>982</v>
      </c>
    </row>
    <row r="15" spans="1:11">
      <c r="A15" s="72" t="s">
        <v>54</v>
      </c>
      <c r="B15" s="40" t="s">
        <v>936</v>
      </c>
      <c r="C15" s="40" t="s">
        <v>953</v>
      </c>
      <c r="D15" s="40" t="s">
        <v>941</v>
      </c>
      <c r="E15" s="40" t="s">
        <v>954</v>
      </c>
      <c r="F15" s="40" t="s">
        <v>938</v>
      </c>
      <c r="G15" s="40" t="s">
        <v>939</v>
      </c>
      <c r="H15" s="41" t="s">
        <v>955</v>
      </c>
      <c r="I15" s="41" t="s">
        <v>943</v>
      </c>
      <c r="J15" s="41" t="s">
        <v>944</v>
      </c>
      <c r="K15" s="41" t="s">
        <v>945</v>
      </c>
    </row>
    <row r="16" spans="1:11" ht="15.75" thickBot="1">
      <c r="A16" s="73"/>
      <c r="B16" s="38" t="s">
        <v>984</v>
      </c>
      <c r="C16" s="38" t="s">
        <v>985</v>
      </c>
      <c r="D16" s="38" t="s">
        <v>986</v>
      </c>
      <c r="E16" s="38" t="s">
        <v>987</v>
      </c>
      <c r="F16" s="38" t="s">
        <v>988</v>
      </c>
      <c r="G16" s="38" t="s">
        <v>989</v>
      </c>
      <c r="H16" s="39" t="s">
        <v>990</v>
      </c>
      <c r="I16" s="39" t="s">
        <v>991</v>
      </c>
      <c r="J16" s="39" t="s">
        <v>992</v>
      </c>
      <c r="K16" s="39" t="s">
        <v>993</v>
      </c>
    </row>
    <row r="17" spans="1:11">
      <c r="A17" s="72" t="s">
        <v>58</v>
      </c>
      <c r="B17" s="40" t="s">
        <v>936</v>
      </c>
      <c r="C17" s="40" t="s">
        <v>953</v>
      </c>
      <c r="D17" s="40" t="s">
        <v>941</v>
      </c>
      <c r="E17" s="40" t="s">
        <v>954</v>
      </c>
      <c r="F17" s="40" t="s">
        <v>938</v>
      </c>
      <c r="G17" s="40" t="s">
        <v>939</v>
      </c>
      <c r="H17" s="41" t="s">
        <v>955</v>
      </c>
      <c r="I17" s="41" t="s">
        <v>943</v>
      </c>
      <c r="J17" s="41" t="s">
        <v>944</v>
      </c>
      <c r="K17" s="41" t="s">
        <v>945</v>
      </c>
    </row>
    <row r="18" spans="1:11" ht="15.75" thickBot="1">
      <c r="A18" s="73"/>
      <c r="B18" s="38" t="s">
        <v>994</v>
      </c>
      <c r="C18" s="38" t="s">
        <v>995</v>
      </c>
      <c r="D18" s="38" t="s">
        <v>996</v>
      </c>
      <c r="E18" s="38" t="s">
        <v>997</v>
      </c>
      <c r="F18" s="38" t="s">
        <v>998</v>
      </c>
      <c r="G18" s="38" t="s">
        <v>999</v>
      </c>
      <c r="H18" s="39" t="s">
        <v>1000</v>
      </c>
      <c r="I18" s="39" t="s">
        <v>1001</v>
      </c>
      <c r="J18" s="39" t="s">
        <v>1002</v>
      </c>
      <c r="K18" s="39" t="s">
        <v>1003</v>
      </c>
    </row>
    <row r="19" spans="1:11">
      <c r="A19" s="72" t="s">
        <v>60</v>
      </c>
      <c r="B19" s="40" t="s">
        <v>936</v>
      </c>
      <c r="C19" s="40" t="s">
        <v>953</v>
      </c>
      <c r="D19" s="40" t="s">
        <v>941</v>
      </c>
      <c r="E19" s="40" t="s">
        <v>954</v>
      </c>
      <c r="F19" s="40" t="s">
        <v>938</v>
      </c>
      <c r="G19" s="40" t="s">
        <v>939</v>
      </c>
      <c r="H19" s="41" t="s">
        <v>955</v>
      </c>
      <c r="I19" s="41" t="s">
        <v>943</v>
      </c>
      <c r="J19" s="41" t="s">
        <v>944</v>
      </c>
      <c r="K19" s="41" t="s">
        <v>945</v>
      </c>
    </row>
    <row r="20" spans="1:11" ht="15.75" thickBot="1">
      <c r="A20" s="73"/>
      <c r="B20" s="38" t="s">
        <v>1004</v>
      </c>
      <c r="C20" s="38" t="s">
        <v>1005</v>
      </c>
      <c r="D20" s="38" t="s">
        <v>1006</v>
      </c>
      <c r="E20" s="38" t="s">
        <v>1007</v>
      </c>
      <c r="F20" s="38" t="s">
        <v>1008</v>
      </c>
      <c r="G20" s="38" t="s">
        <v>1009</v>
      </c>
      <c r="H20" s="39" t="s">
        <v>1010</v>
      </c>
      <c r="I20" s="39" t="s">
        <v>1011</v>
      </c>
      <c r="J20" s="39" t="s">
        <v>1012</v>
      </c>
      <c r="K20" s="39" t="s">
        <v>1013</v>
      </c>
    </row>
    <row r="21" spans="1:11">
      <c r="A21" s="72" t="s">
        <v>62</v>
      </c>
      <c r="B21" s="40" t="s">
        <v>936</v>
      </c>
      <c r="C21" s="40" t="s">
        <v>953</v>
      </c>
      <c r="D21" s="40" t="s">
        <v>941</v>
      </c>
      <c r="E21" s="40" t="s">
        <v>942</v>
      </c>
      <c r="F21" s="40" t="s">
        <v>943</v>
      </c>
      <c r="G21" s="40" t="s">
        <v>978</v>
      </c>
      <c r="H21" s="40" t="s">
        <v>938</v>
      </c>
      <c r="I21" s="40" t="s">
        <v>939</v>
      </c>
      <c r="J21" s="40" t="s">
        <v>979</v>
      </c>
      <c r="K21" s="40" t="s">
        <v>945</v>
      </c>
    </row>
    <row r="22" spans="1:11" ht="15.75" thickBot="1">
      <c r="A22" s="73"/>
      <c r="B22" s="38" t="s">
        <v>1014</v>
      </c>
      <c r="C22" s="38" t="s">
        <v>947</v>
      </c>
      <c r="D22" s="38" t="s">
        <v>1014</v>
      </c>
      <c r="E22" s="38" t="s">
        <v>1015</v>
      </c>
      <c r="F22" s="38" t="s">
        <v>1016</v>
      </c>
      <c r="G22" s="38" t="s">
        <v>1017</v>
      </c>
      <c r="H22" s="38" t="s">
        <v>1016</v>
      </c>
      <c r="I22" s="38" t="s">
        <v>1018</v>
      </c>
      <c r="J22" s="38" t="s">
        <v>1017</v>
      </c>
      <c r="K22" s="38" t="s">
        <v>1016</v>
      </c>
    </row>
    <row r="23" spans="1:11">
      <c r="A23" s="72" t="s">
        <v>74</v>
      </c>
      <c r="B23" s="40" t="s">
        <v>936</v>
      </c>
      <c r="C23" s="40" t="s">
        <v>953</v>
      </c>
      <c r="D23" s="40" t="s">
        <v>941</v>
      </c>
      <c r="E23" s="40" t="s">
        <v>954</v>
      </c>
      <c r="F23" s="40" t="s">
        <v>938</v>
      </c>
      <c r="G23" s="40" t="s">
        <v>939</v>
      </c>
      <c r="H23" s="41" t="s">
        <v>955</v>
      </c>
      <c r="I23" s="41" t="s">
        <v>943</v>
      </c>
      <c r="J23" s="41" t="s">
        <v>944</v>
      </c>
      <c r="K23" s="41" t="s">
        <v>945</v>
      </c>
    </row>
    <row r="24" spans="1:11" ht="15.75" thickBot="1">
      <c r="A24" s="73"/>
      <c r="B24" s="38" t="s">
        <v>1019</v>
      </c>
      <c r="C24" s="38" t="s">
        <v>1020</v>
      </c>
      <c r="D24" s="38" t="s">
        <v>951</v>
      </c>
      <c r="E24" s="38" t="s">
        <v>1021</v>
      </c>
      <c r="F24" s="38" t="s">
        <v>1022</v>
      </c>
      <c r="G24" s="38" t="s">
        <v>1023</v>
      </c>
      <c r="H24" s="39" t="s">
        <v>1024</v>
      </c>
      <c r="I24" s="39" t="s">
        <v>1025</v>
      </c>
      <c r="J24" s="39" t="s">
        <v>1026</v>
      </c>
      <c r="K24" s="39" t="s">
        <v>1027</v>
      </c>
    </row>
    <row r="25" spans="1:11">
      <c r="A25" s="72" t="s">
        <v>76</v>
      </c>
      <c r="B25" s="40" t="s">
        <v>936</v>
      </c>
      <c r="C25" s="40" t="s">
        <v>953</v>
      </c>
      <c r="D25" s="40" t="s">
        <v>941</v>
      </c>
      <c r="E25" s="40" t="s">
        <v>942</v>
      </c>
      <c r="F25" s="40" t="s">
        <v>943</v>
      </c>
      <c r="G25" s="40" t="s">
        <v>978</v>
      </c>
      <c r="H25" s="40" t="s">
        <v>938</v>
      </c>
      <c r="I25" s="40" t="s">
        <v>939</v>
      </c>
      <c r="J25" s="40" t="s">
        <v>979</v>
      </c>
      <c r="K25" s="40" t="s">
        <v>945</v>
      </c>
    </row>
    <row r="26" spans="1:11" ht="15.75" thickBot="1">
      <c r="A26" s="73"/>
      <c r="B26" s="38" t="s">
        <v>1028</v>
      </c>
      <c r="C26" s="38" t="s">
        <v>947</v>
      </c>
      <c r="D26" s="38" t="s">
        <v>1028</v>
      </c>
      <c r="E26" s="38" t="s">
        <v>1029</v>
      </c>
      <c r="F26" s="38" t="s">
        <v>1030</v>
      </c>
      <c r="G26" s="38" t="s">
        <v>947</v>
      </c>
      <c r="H26" s="38" t="s">
        <v>1030</v>
      </c>
      <c r="I26" s="38" t="s">
        <v>1031</v>
      </c>
      <c r="J26" s="38" t="s">
        <v>947</v>
      </c>
      <c r="K26" s="38" t="s">
        <v>1030</v>
      </c>
    </row>
    <row r="27" spans="1:11">
      <c r="A27" s="72" t="s">
        <v>84</v>
      </c>
      <c r="B27" s="40" t="s">
        <v>936</v>
      </c>
      <c r="C27" s="40" t="s">
        <v>953</v>
      </c>
      <c r="D27" s="40" t="s">
        <v>941</v>
      </c>
      <c r="E27" s="40" t="s">
        <v>954</v>
      </c>
      <c r="F27" s="40" t="s">
        <v>938</v>
      </c>
      <c r="G27" s="40" t="s">
        <v>939</v>
      </c>
      <c r="H27" s="40" t="s">
        <v>955</v>
      </c>
      <c r="I27" s="40" t="s">
        <v>943</v>
      </c>
      <c r="J27" s="41" t="s">
        <v>944</v>
      </c>
      <c r="K27" s="41" t="s">
        <v>945</v>
      </c>
    </row>
    <row r="28" spans="1:11" ht="15.75" thickBot="1">
      <c r="A28" s="73"/>
      <c r="B28" s="38" t="s">
        <v>1032</v>
      </c>
      <c r="C28" s="38" t="s">
        <v>1033</v>
      </c>
      <c r="D28" s="38" t="s">
        <v>1034</v>
      </c>
      <c r="E28" s="38" t="s">
        <v>1035</v>
      </c>
      <c r="F28" s="38" t="s">
        <v>1034</v>
      </c>
      <c r="G28" s="38" t="s">
        <v>1036</v>
      </c>
      <c r="H28" s="38" t="s">
        <v>947</v>
      </c>
      <c r="I28" s="38" t="s">
        <v>1034</v>
      </c>
      <c r="J28" s="39" t="s">
        <v>1037</v>
      </c>
      <c r="K28" s="39" t="s">
        <v>1038</v>
      </c>
    </row>
    <row r="29" spans="1:11">
      <c r="A29" s="75" t="s">
        <v>92</v>
      </c>
      <c r="B29" s="40" t="s">
        <v>936</v>
      </c>
      <c r="C29" s="40" t="s">
        <v>937</v>
      </c>
      <c r="D29" s="40" t="s">
        <v>938</v>
      </c>
      <c r="E29" s="40" t="s">
        <v>939</v>
      </c>
      <c r="F29" s="40" t="s">
        <v>940</v>
      </c>
      <c r="G29" s="40" t="s">
        <v>941</v>
      </c>
      <c r="H29" s="40" t="s">
        <v>942</v>
      </c>
      <c r="I29" s="40" t="s">
        <v>943</v>
      </c>
      <c r="J29" s="40" t="s">
        <v>944</v>
      </c>
      <c r="K29" s="40" t="s">
        <v>945</v>
      </c>
    </row>
    <row r="30" spans="1:11" ht="15.75" thickBot="1">
      <c r="A30" s="76"/>
      <c r="B30" s="38" t="s">
        <v>1039</v>
      </c>
      <c r="C30" s="38" t="s">
        <v>947</v>
      </c>
      <c r="D30" s="38" t="s">
        <v>1039</v>
      </c>
      <c r="E30" s="38" t="s">
        <v>952</v>
      </c>
      <c r="F30" s="38" t="s">
        <v>1017</v>
      </c>
      <c r="G30" s="38" t="s">
        <v>1039</v>
      </c>
      <c r="H30" s="38" t="s">
        <v>1017</v>
      </c>
      <c r="I30" s="38" t="s">
        <v>1039</v>
      </c>
      <c r="J30" s="38" t="s">
        <v>947</v>
      </c>
      <c r="K30" s="38" t="s">
        <v>1039</v>
      </c>
    </row>
    <row r="31" spans="1:11">
      <c r="A31" s="72" t="s">
        <v>94</v>
      </c>
      <c r="B31" s="40" t="s">
        <v>936</v>
      </c>
      <c r="C31" s="40" t="s">
        <v>937</v>
      </c>
      <c r="D31" s="40" t="s">
        <v>938</v>
      </c>
      <c r="E31" s="40" t="s">
        <v>939</v>
      </c>
      <c r="F31" s="41" t="s">
        <v>940</v>
      </c>
      <c r="G31" s="41" t="s">
        <v>941</v>
      </c>
      <c r="H31" s="41" t="s">
        <v>942</v>
      </c>
      <c r="I31" s="41" t="s">
        <v>943</v>
      </c>
      <c r="J31" s="41" t="s">
        <v>944</v>
      </c>
      <c r="K31" s="41" t="s">
        <v>945</v>
      </c>
    </row>
    <row r="32" spans="1:11" ht="15.75" thickBot="1">
      <c r="A32" s="73"/>
      <c r="B32" s="38" t="s">
        <v>1040</v>
      </c>
      <c r="C32" s="38" t="s">
        <v>947</v>
      </c>
      <c r="D32" s="38" t="s">
        <v>1040</v>
      </c>
      <c r="E32" s="38" t="s">
        <v>1041</v>
      </c>
      <c r="F32" s="39" t="s">
        <v>1042</v>
      </c>
      <c r="G32" s="39" t="s">
        <v>1040</v>
      </c>
      <c r="H32" s="39" t="s">
        <v>1043</v>
      </c>
      <c r="I32" s="39" t="s">
        <v>1040</v>
      </c>
      <c r="J32" s="39" t="s">
        <v>1044</v>
      </c>
      <c r="K32" s="39" t="s">
        <v>1045</v>
      </c>
    </row>
    <row r="33" spans="1:11">
      <c r="A33" s="72" t="s">
        <v>100</v>
      </c>
      <c r="B33" s="40" t="s">
        <v>936</v>
      </c>
      <c r="C33" s="40" t="s">
        <v>953</v>
      </c>
      <c r="D33" s="40" t="s">
        <v>941</v>
      </c>
      <c r="E33" s="40" t="s">
        <v>954</v>
      </c>
      <c r="F33" s="40" t="s">
        <v>938</v>
      </c>
      <c r="G33" s="40" t="s">
        <v>939</v>
      </c>
      <c r="H33" s="40" t="s">
        <v>955</v>
      </c>
      <c r="I33" s="41" t="s">
        <v>943</v>
      </c>
      <c r="J33" s="41" t="s">
        <v>944</v>
      </c>
      <c r="K33" s="41" t="s">
        <v>945</v>
      </c>
    </row>
    <row r="34" spans="1:11" ht="15.75" thickBot="1">
      <c r="A34" s="73"/>
      <c r="B34" s="38" t="s">
        <v>1046</v>
      </c>
      <c r="C34" s="38" t="s">
        <v>1047</v>
      </c>
      <c r="D34" s="38" t="s">
        <v>1048</v>
      </c>
      <c r="E34" s="38" t="s">
        <v>1049</v>
      </c>
      <c r="F34" s="38" t="s">
        <v>1050</v>
      </c>
      <c r="G34" s="38" t="s">
        <v>1051</v>
      </c>
      <c r="H34" s="38" t="s">
        <v>947</v>
      </c>
      <c r="I34" s="39" t="s">
        <v>1050</v>
      </c>
      <c r="J34" s="39" t="s">
        <v>1052</v>
      </c>
      <c r="K34" s="39" t="s">
        <v>1053</v>
      </c>
    </row>
    <row r="35" spans="1:11">
      <c r="A35" s="75" t="s">
        <v>104</v>
      </c>
      <c r="B35" s="40" t="s">
        <v>936</v>
      </c>
      <c r="C35" s="40" t="s">
        <v>937</v>
      </c>
      <c r="D35" s="40" t="s">
        <v>938</v>
      </c>
      <c r="E35" s="40" t="s">
        <v>939</v>
      </c>
      <c r="F35" s="40" t="s">
        <v>940</v>
      </c>
      <c r="G35" s="40" t="s">
        <v>941</v>
      </c>
      <c r="H35" s="40" t="s">
        <v>942</v>
      </c>
      <c r="I35" s="40" t="s">
        <v>943</v>
      </c>
      <c r="J35" s="40" t="s">
        <v>944</v>
      </c>
      <c r="K35" s="40" t="s">
        <v>945</v>
      </c>
    </row>
    <row r="36" spans="1:11" ht="15.75" thickBot="1">
      <c r="A36" s="76"/>
      <c r="B36" s="38" t="s">
        <v>1054</v>
      </c>
      <c r="C36" s="38" t="s">
        <v>947</v>
      </c>
      <c r="D36" s="38" t="s">
        <v>1054</v>
      </c>
      <c r="E36" s="38" t="s">
        <v>952</v>
      </c>
      <c r="F36" s="38" t="s">
        <v>947</v>
      </c>
      <c r="G36" s="38" t="s">
        <v>1054</v>
      </c>
      <c r="H36" s="38" t="s">
        <v>947</v>
      </c>
      <c r="I36" s="38" t="s">
        <v>1054</v>
      </c>
      <c r="J36" s="38" t="s">
        <v>947</v>
      </c>
      <c r="K36" s="38" t="s">
        <v>1054</v>
      </c>
    </row>
    <row r="37" spans="1:11">
      <c r="A37" s="75" t="s">
        <v>118</v>
      </c>
      <c r="B37" s="40" t="s">
        <v>936</v>
      </c>
      <c r="C37" s="40" t="s">
        <v>937</v>
      </c>
      <c r="D37" s="40" t="s">
        <v>938</v>
      </c>
      <c r="E37" s="40" t="s">
        <v>939</v>
      </c>
      <c r="F37" s="40" t="s">
        <v>940</v>
      </c>
      <c r="G37" s="40" t="s">
        <v>941</v>
      </c>
      <c r="H37" s="40" t="s">
        <v>942</v>
      </c>
      <c r="I37" s="40" t="s">
        <v>943</v>
      </c>
      <c r="J37" s="40" t="s">
        <v>944</v>
      </c>
      <c r="K37" s="40" t="s">
        <v>945</v>
      </c>
    </row>
    <row r="38" spans="1:11" ht="15.75" thickBot="1">
      <c r="A38" s="76"/>
      <c r="B38" s="38" t="s">
        <v>1055</v>
      </c>
      <c r="C38" s="38" t="s">
        <v>947</v>
      </c>
      <c r="D38" s="38" t="s">
        <v>1055</v>
      </c>
      <c r="E38" s="38" t="s">
        <v>952</v>
      </c>
      <c r="F38" s="38" t="s">
        <v>947</v>
      </c>
      <c r="G38" s="38" t="s">
        <v>1055</v>
      </c>
      <c r="H38" s="38" t="s">
        <v>947</v>
      </c>
      <c r="I38" s="38" t="s">
        <v>1055</v>
      </c>
      <c r="J38" s="38" t="s">
        <v>947</v>
      </c>
      <c r="K38" s="38" t="s">
        <v>1055</v>
      </c>
    </row>
    <row r="39" spans="1:11">
      <c r="A39" s="72" t="s">
        <v>120</v>
      </c>
      <c r="B39" s="40" t="s">
        <v>936</v>
      </c>
      <c r="C39" s="40" t="s">
        <v>953</v>
      </c>
      <c r="D39" s="40" t="s">
        <v>941</v>
      </c>
      <c r="E39" s="40" t="s">
        <v>954</v>
      </c>
      <c r="F39" s="40" t="s">
        <v>938</v>
      </c>
      <c r="G39" s="40" t="s">
        <v>939</v>
      </c>
      <c r="H39" s="40" t="s">
        <v>955</v>
      </c>
      <c r="I39" s="41" t="s">
        <v>943</v>
      </c>
      <c r="J39" s="41" t="s">
        <v>944</v>
      </c>
      <c r="K39" s="41" t="s">
        <v>945</v>
      </c>
    </row>
    <row r="40" spans="1:11" ht="15.75" thickBot="1">
      <c r="A40" s="73"/>
      <c r="B40" s="38" t="s">
        <v>951</v>
      </c>
      <c r="C40" s="38" t="s">
        <v>1056</v>
      </c>
      <c r="D40" s="38" t="s">
        <v>1022</v>
      </c>
      <c r="E40" s="38" t="s">
        <v>947</v>
      </c>
      <c r="F40" s="38" t="s">
        <v>1057</v>
      </c>
      <c r="G40" s="38" t="s">
        <v>1058</v>
      </c>
      <c r="H40" s="38" t="s">
        <v>947</v>
      </c>
      <c r="I40" s="39" t="s">
        <v>1059</v>
      </c>
      <c r="J40" s="39" t="s">
        <v>1060</v>
      </c>
      <c r="K40" s="39" t="s">
        <v>1061</v>
      </c>
    </row>
    <row r="41" spans="1:11">
      <c r="A41" s="72" t="s">
        <v>122</v>
      </c>
      <c r="B41" s="40" t="s">
        <v>936</v>
      </c>
      <c r="C41" s="40" t="s">
        <v>953</v>
      </c>
      <c r="D41" s="40" t="s">
        <v>941</v>
      </c>
      <c r="E41" s="40" t="s">
        <v>942</v>
      </c>
      <c r="F41" s="40" t="s">
        <v>943</v>
      </c>
      <c r="G41" s="40" t="s">
        <v>978</v>
      </c>
      <c r="H41" s="40" t="s">
        <v>938</v>
      </c>
      <c r="I41" s="40" t="s">
        <v>939</v>
      </c>
      <c r="J41" s="40" t="s">
        <v>979</v>
      </c>
      <c r="K41" s="40" t="s">
        <v>945</v>
      </c>
    </row>
    <row r="42" spans="1:11" ht="15.75" thickBot="1">
      <c r="A42" s="73"/>
      <c r="B42" s="38" t="s">
        <v>1062</v>
      </c>
      <c r="C42" s="38" t="s">
        <v>1063</v>
      </c>
      <c r="D42" s="38" t="s">
        <v>1064</v>
      </c>
      <c r="E42" s="38" t="s">
        <v>1065</v>
      </c>
      <c r="F42" s="38" t="s">
        <v>1066</v>
      </c>
      <c r="G42" s="38" t="s">
        <v>947</v>
      </c>
      <c r="H42" s="38" t="s">
        <v>1067</v>
      </c>
      <c r="I42" s="38" t="s">
        <v>1068</v>
      </c>
      <c r="J42" s="38" t="s">
        <v>947</v>
      </c>
      <c r="K42" s="38" t="s">
        <v>1067</v>
      </c>
    </row>
    <row r="43" spans="1:11">
      <c r="A43" s="72" t="s">
        <v>124</v>
      </c>
      <c r="B43" s="40" t="s">
        <v>936</v>
      </c>
      <c r="C43" s="40" t="s">
        <v>937</v>
      </c>
      <c r="D43" s="40" t="s">
        <v>938</v>
      </c>
      <c r="E43" s="40" t="s">
        <v>939</v>
      </c>
      <c r="F43" s="40" t="s">
        <v>940</v>
      </c>
      <c r="G43" s="41" t="s">
        <v>941</v>
      </c>
      <c r="H43" s="41" t="s">
        <v>942</v>
      </c>
      <c r="I43" s="41" t="s">
        <v>943</v>
      </c>
      <c r="J43" s="41" t="s">
        <v>944</v>
      </c>
      <c r="K43" s="41" t="s">
        <v>945</v>
      </c>
    </row>
    <row r="44" spans="1:11" ht="15.75" thickBot="1">
      <c r="A44" s="73"/>
      <c r="B44" s="38" t="s">
        <v>1069</v>
      </c>
      <c r="C44" s="38" t="s">
        <v>947</v>
      </c>
      <c r="D44" s="38" t="s">
        <v>1069</v>
      </c>
      <c r="E44" s="38" t="s">
        <v>1070</v>
      </c>
      <c r="F44" s="38" t="s">
        <v>947</v>
      </c>
      <c r="G44" s="39" t="s">
        <v>1071</v>
      </c>
      <c r="H44" s="39" t="s">
        <v>1072</v>
      </c>
      <c r="I44" s="39" t="s">
        <v>1073</v>
      </c>
      <c r="J44" s="39" t="s">
        <v>1074</v>
      </c>
      <c r="K44" s="39" t="s">
        <v>1075</v>
      </c>
    </row>
    <row r="45" spans="1:11">
      <c r="A45" s="75" t="s">
        <v>126</v>
      </c>
      <c r="B45" s="40" t="s">
        <v>936</v>
      </c>
      <c r="C45" s="40" t="s">
        <v>937</v>
      </c>
      <c r="D45" s="40" t="s">
        <v>938</v>
      </c>
      <c r="E45" s="40" t="s">
        <v>939</v>
      </c>
      <c r="F45" s="40" t="s">
        <v>940</v>
      </c>
      <c r="G45" s="40" t="s">
        <v>941</v>
      </c>
      <c r="H45" s="40" t="s">
        <v>942</v>
      </c>
      <c r="I45" s="40" t="s">
        <v>943</v>
      </c>
      <c r="J45" s="40" t="s">
        <v>944</v>
      </c>
      <c r="K45" s="40" t="s">
        <v>945</v>
      </c>
    </row>
    <row r="46" spans="1:11" ht="15.75" thickBot="1">
      <c r="A46" s="76"/>
      <c r="B46" s="38" t="s">
        <v>1076</v>
      </c>
      <c r="C46" s="38" t="s">
        <v>947</v>
      </c>
      <c r="D46" s="38" t="s">
        <v>1076</v>
      </c>
      <c r="E46" s="38" t="s">
        <v>952</v>
      </c>
      <c r="F46" s="38" t="s">
        <v>947</v>
      </c>
      <c r="G46" s="38" t="s">
        <v>1076</v>
      </c>
      <c r="H46" s="38" t="s">
        <v>947</v>
      </c>
      <c r="I46" s="38" t="s">
        <v>1076</v>
      </c>
      <c r="J46" s="38" t="s">
        <v>947</v>
      </c>
      <c r="K46" s="38" t="s">
        <v>1076</v>
      </c>
    </row>
    <row r="47" spans="1:11">
      <c r="A47" s="72" t="s">
        <v>132</v>
      </c>
      <c r="B47" s="40" t="s">
        <v>936</v>
      </c>
      <c r="C47" s="40" t="s">
        <v>953</v>
      </c>
      <c r="D47" s="40" t="s">
        <v>941</v>
      </c>
      <c r="E47" s="40" t="s">
        <v>954</v>
      </c>
      <c r="F47" s="40" t="s">
        <v>938</v>
      </c>
      <c r="G47" s="40" t="s">
        <v>939</v>
      </c>
      <c r="H47" s="41" t="s">
        <v>955</v>
      </c>
      <c r="I47" s="41" t="s">
        <v>943</v>
      </c>
      <c r="J47" s="41" t="s">
        <v>944</v>
      </c>
      <c r="K47" s="41" t="s">
        <v>945</v>
      </c>
    </row>
    <row r="48" spans="1:11" ht="15.75" thickBot="1">
      <c r="A48" s="73"/>
      <c r="B48" s="38" t="s">
        <v>1077</v>
      </c>
      <c r="C48" s="38" t="s">
        <v>1078</v>
      </c>
      <c r="D48" s="38" t="s">
        <v>1077</v>
      </c>
      <c r="E48" s="38" t="s">
        <v>947</v>
      </c>
      <c r="F48" s="38" t="s">
        <v>1077</v>
      </c>
      <c r="G48" s="38" t="s">
        <v>1079</v>
      </c>
      <c r="H48" s="39" t="s">
        <v>1078</v>
      </c>
      <c r="I48" s="39" t="s">
        <v>1077</v>
      </c>
      <c r="J48" s="39" t="s">
        <v>1080</v>
      </c>
      <c r="K48" s="39" t="s">
        <v>1077</v>
      </c>
    </row>
    <row r="49" spans="1:11">
      <c r="A49" s="72" t="s">
        <v>138</v>
      </c>
      <c r="B49" s="40" t="s">
        <v>936</v>
      </c>
      <c r="C49" s="40" t="s">
        <v>953</v>
      </c>
      <c r="D49" s="40" t="s">
        <v>941</v>
      </c>
      <c r="E49" s="40" t="s">
        <v>954</v>
      </c>
      <c r="F49" s="40" t="s">
        <v>938</v>
      </c>
      <c r="G49" s="40" t="s">
        <v>939</v>
      </c>
      <c r="H49" s="40" t="s">
        <v>955</v>
      </c>
      <c r="I49" s="40" t="s">
        <v>943</v>
      </c>
      <c r="J49" s="41" t="s">
        <v>944</v>
      </c>
      <c r="K49" s="41" t="s">
        <v>945</v>
      </c>
    </row>
    <row r="50" spans="1:11" ht="15.75" thickBot="1">
      <c r="A50" s="73"/>
      <c r="B50" s="38" t="s">
        <v>1045</v>
      </c>
      <c r="C50" s="38" t="s">
        <v>1081</v>
      </c>
      <c r="D50" s="38" t="s">
        <v>1082</v>
      </c>
      <c r="E50" s="38" t="s">
        <v>1083</v>
      </c>
      <c r="F50" s="38" t="s">
        <v>1084</v>
      </c>
      <c r="G50" s="38" t="s">
        <v>1085</v>
      </c>
      <c r="H50" s="38" t="s">
        <v>947</v>
      </c>
      <c r="I50" s="38" t="s">
        <v>1084</v>
      </c>
      <c r="J50" s="39" t="s">
        <v>1086</v>
      </c>
      <c r="K50" s="39" t="s">
        <v>1087</v>
      </c>
    </row>
    <row r="51" spans="1:11">
      <c r="A51" s="72" t="s">
        <v>148</v>
      </c>
      <c r="B51" s="40" t="s">
        <v>936</v>
      </c>
      <c r="C51" s="40" t="s">
        <v>953</v>
      </c>
      <c r="D51" s="40" t="s">
        <v>941</v>
      </c>
      <c r="E51" s="40" t="s">
        <v>942</v>
      </c>
      <c r="F51" s="40" t="s">
        <v>943</v>
      </c>
      <c r="G51" s="40" t="s">
        <v>978</v>
      </c>
      <c r="H51" s="40" t="s">
        <v>938</v>
      </c>
      <c r="I51" s="40" t="s">
        <v>939</v>
      </c>
      <c r="J51" s="40" t="s">
        <v>979</v>
      </c>
      <c r="K51" s="40" t="s">
        <v>945</v>
      </c>
    </row>
    <row r="52" spans="1:11" ht="15.75" thickBot="1">
      <c r="A52" s="73"/>
      <c r="B52" s="38" t="s">
        <v>1088</v>
      </c>
      <c r="C52" s="38" t="s">
        <v>1089</v>
      </c>
      <c r="D52" s="38" t="s">
        <v>1088</v>
      </c>
      <c r="E52" s="38" t="s">
        <v>1089</v>
      </c>
      <c r="F52" s="38" t="s">
        <v>1090</v>
      </c>
      <c r="G52" s="38" t="s">
        <v>947</v>
      </c>
      <c r="H52" s="38" t="s">
        <v>1090</v>
      </c>
      <c r="I52" s="38" t="s">
        <v>1091</v>
      </c>
      <c r="J52" s="38" t="s">
        <v>947</v>
      </c>
      <c r="K52" s="38" t="s">
        <v>1090</v>
      </c>
    </row>
    <row r="53" spans="1:11">
      <c r="A53" s="72" t="s">
        <v>174</v>
      </c>
      <c r="B53" s="40" t="s">
        <v>936</v>
      </c>
      <c r="C53" s="40" t="s">
        <v>937</v>
      </c>
      <c r="D53" s="40" t="s">
        <v>938</v>
      </c>
      <c r="E53" s="40" t="s">
        <v>939</v>
      </c>
      <c r="F53" s="40" t="s">
        <v>940</v>
      </c>
      <c r="G53" s="41" t="s">
        <v>941</v>
      </c>
      <c r="H53" s="41" t="s">
        <v>942</v>
      </c>
      <c r="I53" s="41" t="s">
        <v>943</v>
      </c>
      <c r="J53" s="41" t="s">
        <v>944</v>
      </c>
      <c r="K53" s="41" t="s">
        <v>945</v>
      </c>
    </row>
    <row r="54" spans="1:11" ht="15.75" thickBot="1">
      <c r="A54" s="73"/>
      <c r="B54" s="38" t="s">
        <v>1092</v>
      </c>
      <c r="C54" s="38" t="s">
        <v>947</v>
      </c>
      <c r="D54" s="38" t="s">
        <v>1092</v>
      </c>
      <c r="E54" s="38" t="s">
        <v>1093</v>
      </c>
      <c r="F54" s="38" t="s">
        <v>947</v>
      </c>
      <c r="G54" s="39" t="s">
        <v>1094</v>
      </c>
      <c r="H54" s="39" t="s">
        <v>1058</v>
      </c>
      <c r="I54" s="39" t="s">
        <v>1095</v>
      </c>
      <c r="J54" s="39" t="s">
        <v>1096</v>
      </c>
      <c r="K54" s="39" t="s">
        <v>1097</v>
      </c>
    </row>
    <row r="55" spans="1:11">
      <c r="A55" s="72" t="s">
        <v>182</v>
      </c>
      <c r="B55" s="40" t="s">
        <v>936</v>
      </c>
      <c r="C55" s="40" t="s">
        <v>953</v>
      </c>
      <c r="D55" s="40" t="s">
        <v>941</v>
      </c>
      <c r="E55" s="40" t="s">
        <v>942</v>
      </c>
      <c r="F55" s="40" t="s">
        <v>943</v>
      </c>
      <c r="G55" s="40" t="s">
        <v>978</v>
      </c>
      <c r="H55" s="40" t="s">
        <v>938</v>
      </c>
      <c r="I55" s="40" t="s">
        <v>939</v>
      </c>
      <c r="J55" s="40" t="s">
        <v>979</v>
      </c>
      <c r="K55" s="40" t="s">
        <v>945</v>
      </c>
    </row>
    <row r="56" spans="1:11" ht="15.75" thickBot="1">
      <c r="A56" s="73"/>
      <c r="B56" s="38" t="s">
        <v>1098</v>
      </c>
      <c r="C56" s="38" t="s">
        <v>947</v>
      </c>
      <c r="D56" s="38" t="s">
        <v>1098</v>
      </c>
      <c r="E56" s="38" t="s">
        <v>1099</v>
      </c>
      <c r="F56" s="38" t="s">
        <v>1100</v>
      </c>
      <c r="G56" s="38" t="s">
        <v>947</v>
      </c>
      <c r="H56" s="38" t="s">
        <v>1100</v>
      </c>
      <c r="I56" s="38" t="s">
        <v>1101</v>
      </c>
      <c r="J56" s="38" t="s">
        <v>947</v>
      </c>
      <c r="K56" s="38" t="s">
        <v>1100</v>
      </c>
    </row>
    <row r="57" spans="1:11">
      <c r="A57" s="72" t="s">
        <v>188</v>
      </c>
      <c r="B57" s="40" t="s">
        <v>936</v>
      </c>
      <c r="C57" s="40" t="s">
        <v>953</v>
      </c>
      <c r="D57" s="40" t="s">
        <v>941</v>
      </c>
      <c r="E57" s="40" t="s">
        <v>954</v>
      </c>
      <c r="F57" s="40" t="s">
        <v>938</v>
      </c>
      <c r="G57" s="40" t="s">
        <v>939</v>
      </c>
      <c r="H57" s="40" t="s">
        <v>955</v>
      </c>
      <c r="I57" s="41" t="s">
        <v>943</v>
      </c>
      <c r="J57" s="41" t="s">
        <v>944</v>
      </c>
      <c r="K57" s="41" t="s">
        <v>945</v>
      </c>
    </row>
    <row r="58" spans="1:11" ht="15.75" thickBot="1">
      <c r="A58" s="73"/>
      <c r="B58" s="38" t="s">
        <v>1102</v>
      </c>
      <c r="C58" s="38" t="s">
        <v>1103</v>
      </c>
      <c r="D58" s="38" t="s">
        <v>1104</v>
      </c>
      <c r="E58" s="38" t="s">
        <v>947</v>
      </c>
      <c r="F58" s="38" t="s">
        <v>1105</v>
      </c>
      <c r="G58" s="38" t="s">
        <v>1018</v>
      </c>
      <c r="H58" s="38" t="s">
        <v>947</v>
      </c>
      <c r="I58" s="39" t="s">
        <v>1106</v>
      </c>
      <c r="J58" s="39" t="s">
        <v>1103</v>
      </c>
      <c r="K58" s="39" t="s">
        <v>1107</v>
      </c>
    </row>
    <row r="59" spans="1:11">
      <c r="A59" s="72" t="s">
        <v>196</v>
      </c>
      <c r="B59" s="40" t="s">
        <v>936</v>
      </c>
      <c r="C59" s="40" t="s">
        <v>953</v>
      </c>
      <c r="D59" s="40" t="s">
        <v>941</v>
      </c>
      <c r="E59" s="40" t="s">
        <v>954</v>
      </c>
      <c r="F59" s="40" t="s">
        <v>938</v>
      </c>
      <c r="G59" s="40" t="s">
        <v>939</v>
      </c>
      <c r="H59" s="41" t="s">
        <v>955</v>
      </c>
      <c r="I59" s="41" t="s">
        <v>943</v>
      </c>
      <c r="J59" s="41" t="s">
        <v>944</v>
      </c>
      <c r="K59" s="41" t="s">
        <v>945</v>
      </c>
    </row>
    <row r="60" spans="1:11" ht="15.75" thickBot="1">
      <c r="A60" s="73"/>
      <c r="B60" s="38" t="s">
        <v>1108</v>
      </c>
      <c r="C60" s="38" t="s">
        <v>1052</v>
      </c>
      <c r="D60" s="38" t="s">
        <v>1109</v>
      </c>
      <c r="E60" s="38" t="s">
        <v>947</v>
      </c>
      <c r="F60" s="38" t="s">
        <v>1110</v>
      </c>
      <c r="G60" s="38" t="s">
        <v>1058</v>
      </c>
      <c r="H60" s="39" t="s">
        <v>1103</v>
      </c>
      <c r="I60" s="39" t="s">
        <v>1111</v>
      </c>
      <c r="J60" s="39" t="s">
        <v>1074</v>
      </c>
      <c r="K60" s="39" t="s">
        <v>1112</v>
      </c>
    </row>
    <row r="61" spans="1:11">
      <c r="A61" s="72" t="s">
        <v>202</v>
      </c>
      <c r="B61" s="40" t="s">
        <v>936</v>
      </c>
      <c r="C61" s="40" t="s">
        <v>937</v>
      </c>
      <c r="D61" s="40" t="s">
        <v>938</v>
      </c>
      <c r="E61" s="40" t="s">
        <v>939</v>
      </c>
      <c r="F61" s="40" t="s">
        <v>940</v>
      </c>
      <c r="G61" s="41" t="s">
        <v>941</v>
      </c>
      <c r="H61" s="41" t="s">
        <v>942</v>
      </c>
      <c r="I61" s="41" t="s">
        <v>943</v>
      </c>
      <c r="J61" s="41" t="s">
        <v>944</v>
      </c>
      <c r="K61" s="41" t="s">
        <v>945</v>
      </c>
    </row>
    <row r="62" spans="1:11" ht="15.75" thickBot="1">
      <c r="A62" s="73"/>
      <c r="B62" s="38" t="s">
        <v>1113</v>
      </c>
      <c r="C62" s="38" t="s">
        <v>947</v>
      </c>
      <c r="D62" s="38" t="s">
        <v>1113</v>
      </c>
      <c r="E62" s="38" t="s">
        <v>1114</v>
      </c>
      <c r="F62" s="38" t="s">
        <v>947</v>
      </c>
      <c r="G62" s="39" t="s">
        <v>1115</v>
      </c>
      <c r="H62" s="39" t="s">
        <v>1116</v>
      </c>
      <c r="I62" s="39" t="s">
        <v>1117</v>
      </c>
      <c r="J62" s="39" t="s">
        <v>967</v>
      </c>
      <c r="K62" s="39" t="s">
        <v>1118</v>
      </c>
    </row>
    <row r="63" spans="1:11">
      <c r="A63" s="72" t="s">
        <v>212</v>
      </c>
      <c r="B63" s="40" t="s">
        <v>936</v>
      </c>
      <c r="C63" s="40" t="s">
        <v>937</v>
      </c>
      <c r="D63" s="40" t="s">
        <v>938</v>
      </c>
      <c r="E63" s="40" t="s">
        <v>939</v>
      </c>
      <c r="F63" s="40" t="s">
        <v>940</v>
      </c>
      <c r="G63" s="40" t="s">
        <v>941</v>
      </c>
      <c r="H63" s="40" t="s">
        <v>942</v>
      </c>
      <c r="I63" s="41" t="s">
        <v>943</v>
      </c>
      <c r="J63" s="41" t="s">
        <v>944</v>
      </c>
      <c r="K63" s="41" t="s">
        <v>945</v>
      </c>
    </row>
    <row r="64" spans="1:11" ht="15.75" thickBot="1">
      <c r="A64" s="73"/>
      <c r="B64" s="38" t="s">
        <v>1119</v>
      </c>
      <c r="C64" s="38" t="s">
        <v>947</v>
      </c>
      <c r="D64" s="38" t="s">
        <v>1119</v>
      </c>
      <c r="E64" s="38" t="s">
        <v>1070</v>
      </c>
      <c r="F64" s="38" t="s">
        <v>947</v>
      </c>
      <c r="G64" s="38" t="s">
        <v>1119</v>
      </c>
      <c r="H64" s="38" t="s">
        <v>947</v>
      </c>
      <c r="I64" s="39" t="s">
        <v>1120</v>
      </c>
      <c r="J64" s="39" t="s">
        <v>1103</v>
      </c>
      <c r="K64" s="39" t="s">
        <v>1120</v>
      </c>
    </row>
    <row r="65" spans="1:11">
      <c r="A65" s="72" t="s">
        <v>214</v>
      </c>
      <c r="B65" s="40" t="s">
        <v>936</v>
      </c>
      <c r="C65" s="40" t="s">
        <v>937</v>
      </c>
      <c r="D65" s="40" t="s">
        <v>938</v>
      </c>
      <c r="E65" s="40" t="s">
        <v>939</v>
      </c>
      <c r="F65" s="40" t="s">
        <v>940</v>
      </c>
      <c r="G65" s="40" t="s">
        <v>941</v>
      </c>
      <c r="H65" s="40" t="s">
        <v>942</v>
      </c>
      <c r="I65" s="41" t="s">
        <v>943</v>
      </c>
      <c r="J65" s="41" t="s">
        <v>944</v>
      </c>
      <c r="K65" s="41" t="s">
        <v>945</v>
      </c>
    </row>
    <row r="66" spans="1:11" ht="15.75" thickBot="1">
      <c r="A66" s="73"/>
      <c r="B66" s="38" t="s">
        <v>1121</v>
      </c>
      <c r="C66" s="38" t="s">
        <v>947</v>
      </c>
      <c r="D66" s="38" t="s">
        <v>1121</v>
      </c>
      <c r="E66" s="38" t="s">
        <v>1122</v>
      </c>
      <c r="F66" s="38" t="s">
        <v>947</v>
      </c>
      <c r="G66" s="38" t="s">
        <v>1121</v>
      </c>
      <c r="H66" s="38" t="s">
        <v>947</v>
      </c>
      <c r="I66" s="39" t="s">
        <v>1123</v>
      </c>
      <c r="J66" s="39" t="s">
        <v>1124</v>
      </c>
      <c r="K66" s="39" t="s">
        <v>1123</v>
      </c>
    </row>
    <row r="67" spans="1:11">
      <c r="A67" s="72" t="s">
        <v>218</v>
      </c>
      <c r="B67" s="40" t="s">
        <v>936</v>
      </c>
      <c r="C67" s="40" t="s">
        <v>937</v>
      </c>
      <c r="D67" s="40" t="s">
        <v>938</v>
      </c>
      <c r="E67" s="40" t="s">
        <v>939</v>
      </c>
      <c r="F67" s="40" t="s">
        <v>940</v>
      </c>
      <c r="G67" s="40" t="s">
        <v>941</v>
      </c>
      <c r="H67" s="40" t="s">
        <v>942</v>
      </c>
      <c r="I67" s="41" t="s">
        <v>943</v>
      </c>
      <c r="J67" s="41" t="s">
        <v>944</v>
      </c>
      <c r="K67" s="41" t="s">
        <v>945</v>
      </c>
    </row>
    <row r="68" spans="1:11" ht="15.75" thickBot="1">
      <c r="A68" s="73"/>
      <c r="B68" s="38" t="s">
        <v>1125</v>
      </c>
      <c r="C68" s="38" t="s">
        <v>947</v>
      </c>
      <c r="D68" s="38" t="s">
        <v>1125</v>
      </c>
      <c r="E68" s="38" t="s">
        <v>1126</v>
      </c>
      <c r="F68" s="38" t="s">
        <v>947</v>
      </c>
      <c r="G68" s="38" t="s">
        <v>1125</v>
      </c>
      <c r="H68" s="38" t="s">
        <v>947</v>
      </c>
      <c r="I68" s="39" t="s">
        <v>1127</v>
      </c>
      <c r="J68" s="39" t="s">
        <v>967</v>
      </c>
      <c r="K68" s="39" t="s">
        <v>1127</v>
      </c>
    </row>
    <row r="69" spans="1:11">
      <c r="A69" s="72" t="s">
        <v>228</v>
      </c>
      <c r="B69" s="40" t="s">
        <v>936</v>
      </c>
      <c r="C69" s="40" t="s">
        <v>953</v>
      </c>
      <c r="D69" s="40" t="s">
        <v>941</v>
      </c>
      <c r="E69" s="40" t="s">
        <v>942</v>
      </c>
      <c r="F69" s="40" t="s">
        <v>943</v>
      </c>
      <c r="G69" s="40" t="s">
        <v>978</v>
      </c>
      <c r="H69" s="40" t="s">
        <v>938</v>
      </c>
      <c r="I69" s="40" t="s">
        <v>939</v>
      </c>
      <c r="J69" s="40" t="s">
        <v>979</v>
      </c>
      <c r="K69" s="40" t="s">
        <v>945</v>
      </c>
    </row>
    <row r="70" spans="1:11" ht="15.75" thickBot="1">
      <c r="A70" s="73"/>
      <c r="B70" s="38" t="s">
        <v>1128</v>
      </c>
      <c r="C70" s="38" t="s">
        <v>947</v>
      </c>
      <c r="D70" s="38" t="s">
        <v>1128</v>
      </c>
      <c r="E70" s="38" t="s">
        <v>981</v>
      </c>
      <c r="F70" s="38" t="s">
        <v>1129</v>
      </c>
      <c r="G70" s="38" t="s">
        <v>947</v>
      </c>
      <c r="H70" s="38" t="s">
        <v>1129</v>
      </c>
      <c r="I70" s="38" t="s">
        <v>983</v>
      </c>
      <c r="J70" s="38" t="s">
        <v>947</v>
      </c>
      <c r="K70" s="38" t="s">
        <v>1129</v>
      </c>
    </row>
    <row r="71" spans="1:11">
      <c r="A71" s="72" t="s">
        <v>230</v>
      </c>
      <c r="B71" s="40" t="s">
        <v>936</v>
      </c>
      <c r="C71" s="40" t="s">
        <v>953</v>
      </c>
      <c r="D71" s="40" t="s">
        <v>941</v>
      </c>
      <c r="E71" s="40" t="s">
        <v>942</v>
      </c>
      <c r="F71" s="40" t="s">
        <v>943</v>
      </c>
      <c r="G71" s="40" t="s">
        <v>978</v>
      </c>
      <c r="H71" s="40" t="s">
        <v>938</v>
      </c>
      <c r="I71" s="40" t="s">
        <v>939</v>
      </c>
      <c r="J71" s="41" t="s">
        <v>979</v>
      </c>
      <c r="K71" s="41" t="s">
        <v>945</v>
      </c>
    </row>
    <row r="72" spans="1:11" ht="15.75" thickBot="1">
      <c r="A72" s="73"/>
      <c r="B72" s="38" t="s">
        <v>1130</v>
      </c>
      <c r="C72" s="38" t="s">
        <v>1131</v>
      </c>
      <c r="D72" s="38" t="s">
        <v>1132</v>
      </c>
      <c r="E72" s="38" t="s">
        <v>1133</v>
      </c>
      <c r="F72" s="38" t="s">
        <v>1084</v>
      </c>
      <c r="G72" s="38" t="s">
        <v>1134</v>
      </c>
      <c r="H72" s="38" t="s">
        <v>1135</v>
      </c>
      <c r="I72" s="38" t="s">
        <v>1136</v>
      </c>
      <c r="J72" s="39" t="s">
        <v>1137</v>
      </c>
      <c r="K72" s="39" t="s">
        <v>1138</v>
      </c>
    </row>
    <row r="73" spans="1:11">
      <c r="A73" s="72" t="s">
        <v>234</v>
      </c>
      <c r="B73" s="40" t="s">
        <v>936</v>
      </c>
      <c r="C73" s="40" t="s">
        <v>937</v>
      </c>
      <c r="D73" s="40" t="s">
        <v>938</v>
      </c>
      <c r="E73" s="40" t="s">
        <v>939</v>
      </c>
      <c r="F73" s="40" t="s">
        <v>940</v>
      </c>
      <c r="G73" s="41" t="s">
        <v>941</v>
      </c>
      <c r="H73" s="41" t="s">
        <v>942</v>
      </c>
      <c r="I73" s="41" t="s">
        <v>943</v>
      </c>
      <c r="J73" s="41" t="s">
        <v>944</v>
      </c>
      <c r="K73" s="41" t="s">
        <v>945</v>
      </c>
    </row>
    <row r="74" spans="1:11" ht="15.75" thickBot="1">
      <c r="A74" s="73"/>
      <c r="B74" s="38" t="s">
        <v>1139</v>
      </c>
      <c r="C74" s="38" t="s">
        <v>947</v>
      </c>
      <c r="D74" s="38" t="s">
        <v>1139</v>
      </c>
      <c r="E74" s="38" t="s">
        <v>1140</v>
      </c>
      <c r="F74" s="38" t="s">
        <v>947</v>
      </c>
      <c r="G74" s="39" t="s">
        <v>1141</v>
      </c>
      <c r="H74" s="39" t="s">
        <v>1142</v>
      </c>
      <c r="I74" s="39" t="s">
        <v>1143</v>
      </c>
      <c r="J74" s="39" t="s">
        <v>1144</v>
      </c>
      <c r="K74" s="39" t="s">
        <v>1145</v>
      </c>
    </row>
    <row r="75" spans="1:11">
      <c r="A75" s="72" t="s">
        <v>240</v>
      </c>
      <c r="B75" s="40" t="s">
        <v>936</v>
      </c>
      <c r="C75" s="40" t="s">
        <v>953</v>
      </c>
      <c r="D75" s="40" t="s">
        <v>941</v>
      </c>
      <c r="E75" s="40" t="s">
        <v>954</v>
      </c>
      <c r="F75" s="40" t="s">
        <v>938</v>
      </c>
      <c r="G75" s="40" t="s">
        <v>939</v>
      </c>
      <c r="H75" s="41" t="s">
        <v>955</v>
      </c>
      <c r="I75" s="41" t="s">
        <v>943</v>
      </c>
      <c r="J75" s="41" t="s">
        <v>944</v>
      </c>
      <c r="K75" s="41" t="s">
        <v>945</v>
      </c>
    </row>
    <row r="76" spans="1:11" ht="15.75" thickBot="1">
      <c r="A76" s="73"/>
      <c r="B76" s="38" t="s">
        <v>1146</v>
      </c>
      <c r="C76" s="38" t="s">
        <v>1147</v>
      </c>
      <c r="D76" s="38" t="s">
        <v>994</v>
      </c>
      <c r="E76" s="38" t="s">
        <v>947</v>
      </c>
      <c r="F76" s="38" t="s">
        <v>1148</v>
      </c>
      <c r="G76" s="38" t="s">
        <v>1149</v>
      </c>
      <c r="H76" s="39" t="s">
        <v>1074</v>
      </c>
      <c r="I76" s="39" t="s">
        <v>1150</v>
      </c>
      <c r="J76" s="39" t="s">
        <v>1151</v>
      </c>
      <c r="K76" s="39" t="s">
        <v>1016</v>
      </c>
    </row>
    <row r="77" spans="1:11">
      <c r="A77" s="72" t="s">
        <v>244</v>
      </c>
      <c r="B77" s="40" t="s">
        <v>936</v>
      </c>
      <c r="C77" s="40" t="s">
        <v>953</v>
      </c>
      <c r="D77" s="40" t="s">
        <v>941</v>
      </c>
      <c r="E77" s="40" t="s">
        <v>942</v>
      </c>
      <c r="F77" s="40" t="s">
        <v>943</v>
      </c>
      <c r="G77" s="40" t="s">
        <v>978</v>
      </c>
      <c r="H77" s="40" t="s">
        <v>938</v>
      </c>
      <c r="I77" s="40" t="s">
        <v>939</v>
      </c>
      <c r="J77" s="40" t="s">
        <v>979</v>
      </c>
      <c r="K77" s="40" t="s">
        <v>945</v>
      </c>
    </row>
    <row r="78" spans="1:11" ht="15.75" thickBot="1">
      <c r="A78" s="73"/>
      <c r="B78" s="38" t="s">
        <v>1152</v>
      </c>
      <c r="C78" s="38" t="s">
        <v>947</v>
      </c>
      <c r="D78" s="38" t="s">
        <v>1152</v>
      </c>
      <c r="E78" s="38" t="s">
        <v>1058</v>
      </c>
      <c r="F78" s="38" t="s">
        <v>1153</v>
      </c>
      <c r="G78" s="38" t="s">
        <v>947</v>
      </c>
      <c r="H78" s="38" t="s">
        <v>1153</v>
      </c>
      <c r="I78" s="38" t="s">
        <v>1058</v>
      </c>
      <c r="J78" s="38" t="s">
        <v>947</v>
      </c>
      <c r="K78" s="38" t="s">
        <v>1153</v>
      </c>
    </row>
    <row r="79" spans="1:11">
      <c r="A79" s="72" t="s">
        <v>248</v>
      </c>
      <c r="B79" s="40" t="s">
        <v>936</v>
      </c>
      <c r="C79" s="40" t="s">
        <v>953</v>
      </c>
      <c r="D79" s="40" t="s">
        <v>941</v>
      </c>
      <c r="E79" s="40" t="s">
        <v>954</v>
      </c>
      <c r="F79" s="40" t="s">
        <v>938</v>
      </c>
      <c r="G79" s="40" t="s">
        <v>939</v>
      </c>
      <c r="H79" s="40" t="s">
        <v>955</v>
      </c>
      <c r="I79" s="40" t="s">
        <v>943</v>
      </c>
      <c r="J79" s="41" t="s">
        <v>944</v>
      </c>
      <c r="K79" s="41" t="s">
        <v>945</v>
      </c>
    </row>
    <row r="80" spans="1:11" ht="15.75" thickBot="1">
      <c r="A80" s="73"/>
      <c r="B80" s="38" t="s">
        <v>1090</v>
      </c>
      <c r="C80" s="38" t="s">
        <v>1154</v>
      </c>
      <c r="D80" s="38" t="s">
        <v>1155</v>
      </c>
      <c r="E80" s="38" t="s">
        <v>947</v>
      </c>
      <c r="F80" s="38" t="s">
        <v>1156</v>
      </c>
      <c r="G80" s="38" t="s">
        <v>1157</v>
      </c>
      <c r="H80" s="38" t="s">
        <v>947</v>
      </c>
      <c r="I80" s="38" t="s">
        <v>1156</v>
      </c>
      <c r="J80" s="39" t="s">
        <v>1158</v>
      </c>
      <c r="K80" s="39" t="s">
        <v>1159</v>
      </c>
    </row>
    <row r="81" spans="1:11">
      <c r="A81" s="72" t="s">
        <v>250</v>
      </c>
      <c r="B81" s="40" t="s">
        <v>936</v>
      </c>
      <c r="C81" s="40" t="s">
        <v>953</v>
      </c>
      <c r="D81" s="40" t="s">
        <v>941</v>
      </c>
      <c r="E81" s="40" t="s">
        <v>954</v>
      </c>
      <c r="F81" s="40" t="s">
        <v>938</v>
      </c>
      <c r="G81" s="40" t="s">
        <v>939</v>
      </c>
      <c r="H81" s="41" t="s">
        <v>955</v>
      </c>
      <c r="I81" s="41" t="s">
        <v>943</v>
      </c>
      <c r="J81" s="41" t="s">
        <v>944</v>
      </c>
      <c r="K81" s="41" t="s">
        <v>945</v>
      </c>
    </row>
    <row r="82" spans="1:11" ht="15.75" thickBot="1">
      <c r="A82" s="73"/>
      <c r="B82" s="38" t="s">
        <v>1160</v>
      </c>
      <c r="C82" s="38" t="s">
        <v>1161</v>
      </c>
      <c r="D82" s="38" t="s">
        <v>1162</v>
      </c>
      <c r="E82" s="38" t="s">
        <v>1163</v>
      </c>
      <c r="F82" s="38" t="s">
        <v>1164</v>
      </c>
      <c r="G82" s="38" t="s">
        <v>1165</v>
      </c>
      <c r="H82" s="39" t="s">
        <v>1166</v>
      </c>
      <c r="I82" s="39" t="s">
        <v>1167</v>
      </c>
      <c r="J82" s="39" t="s">
        <v>1168</v>
      </c>
      <c r="K82" s="39" t="s">
        <v>1090</v>
      </c>
    </row>
    <row r="83" spans="1:11">
      <c r="A83" s="75" t="s">
        <v>256</v>
      </c>
      <c r="B83" s="40" t="s">
        <v>936</v>
      </c>
      <c r="C83" s="40" t="s">
        <v>937</v>
      </c>
      <c r="D83" s="40" t="s">
        <v>938</v>
      </c>
      <c r="E83" s="40" t="s">
        <v>939</v>
      </c>
      <c r="F83" s="40" t="s">
        <v>940</v>
      </c>
      <c r="G83" s="40" t="s">
        <v>941</v>
      </c>
      <c r="H83" s="40" t="s">
        <v>942</v>
      </c>
      <c r="I83" s="40" t="s">
        <v>943</v>
      </c>
      <c r="J83" s="40" t="s">
        <v>944</v>
      </c>
      <c r="K83" s="40" t="s">
        <v>945</v>
      </c>
    </row>
    <row r="84" spans="1:11" ht="15.75" thickBot="1">
      <c r="A84" s="76"/>
      <c r="B84" s="38" t="s">
        <v>1169</v>
      </c>
      <c r="C84" s="38" t="s">
        <v>947</v>
      </c>
      <c r="D84" s="38" t="s">
        <v>1169</v>
      </c>
      <c r="E84" s="38" t="s">
        <v>952</v>
      </c>
      <c r="F84" s="38" t="s">
        <v>947</v>
      </c>
      <c r="G84" s="38" t="s">
        <v>1169</v>
      </c>
      <c r="H84" s="38" t="s">
        <v>947</v>
      </c>
      <c r="I84" s="38" t="s">
        <v>1169</v>
      </c>
      <c r="J84" s="38" t="s">
        <v>947</v>
      </c>
      <c r="K84" s="38" t="s">
        <v>1169</v>
      </c>
    </row>
    <row r="85" spans="1:11">
      <c r="A85" s="72" t="s">
        <v>258</v>
      </c>
      <c r="B85" s="40" t="s">
        <v>936</v>
      </c>
      <c r="C85" s="40" t="s">
        <v>953</v>
      </c>
      <c r="D85" s="40" t="s">
        <v>941</v>
      </c>
      <c r="E85" s="40" t="s">
        <v>942</v>
      </c>
      <c r="F85" s="40" t="s">
        <v>943</v>
      </c>
      <c r="G85" s="40" t="s">
        <v>978</v>
      </c>
      <c r="H85" s="40" t="s">
        <v>938</v>
      </c>
      <c r="I85" s="40" t="s">
        <v>939</v>
      </c>
      <c r="J85" s="40" t="s">
        <v>979</v>
      </c>
      <c r="K85" s="40" t="s">
        <v>945</v>
      </c>
    </row>
    <row r="86" spans="1:11" ht="15.75" thickBot="1">
      <c r="A86" s="73"/>
      <c r="B86" s="38" t="s">
        <v>1170</v>
      </c>
      <c r="C86" s="38" t="s">
        <v>947</v>
      </c>
      <c r="D86" s="38" t="s">
        <v>1170</v>
      </c>
      <c r="E86" s="38" t="s">
        <v>1058</v>
      </c>
      <c r="F86" s="38" t="s">
        <v>1171</v>
      </c>
      <c r="G86" s="38" t="s">
        <v>947</v>
      </c>
      <c r="H86" s="38" t="s">
        <v>1171</v>
      </c>
      <c r="I86" s="38" t="s">
        <v>1058</v>
      </c>
      <c r="J86" s="38" t="s">
        <v>947</v>
      </c>
      <c r="K86" s="38" t="s">
        <v>1171</v>
      </c>
    </row>
    <row r="87" spans="1:11">
      <c r="A87" s="75" t="s">
        <v>260</v>
      </c>
      <c r="B87" s="40" t="s">
        <v>936</v>
      </c>
      <c r="C87" s="40" t="s">
        <v>937</v>
      </c>
      <c r="D87" s="40" t="s">
        <v>938</v>
      </c>
      <c r="E87" s="40" t="s">
        <v>939</v>
      </c>
      <c r="F87" s="40" t="s">
        <v>940</v>
      </c>
      <c r="G87" s="40" t="s">
        <v>941</v>
      </c>
      <c r="H87" s="40" t="s">
        <v>942</v>
      </c>
      <c r="I87" s="40" t="s">
        <v>943</v>
      </c>
      <c r="J87" s="40" t="s">
        <v>944</v>
      </c>
      <c r="K87" s="40" t="s">
        <v>945</v>
      </c>
    </row>
    <row r="88" spans="1:11" ht="15.75" thickBot="1">
      <c r="A88" s="76"/>
      <c r="B88" s="38" t="s">
        <v>1172</v>
      </c>
      <c r="C88" s="38" t="s">
        <v>947</v>
      </c>
      <c r="D88" s="38" t="s">
        <v>1172</v>
      </c>
      <c r="E88" s="38" t="s">
        <v>952</v>
      </c>
      <c r="F88" s="38" t="s">
        <v>947</v>
      </c>
      <c r="G88" s="38" t="s">
        <v>1172</v>
      </c>
      <c r="H88" s="38" t="s">
        <v>947</v>
      </c>
      <c r="I88" s="38" t="s">
        <v>1172</v>
      </c>
      <c r="J88" s="38" t="s">
        <v>947</v>
      </c>
      <c r="K88" s="38" t="s">
        <v>1172</v>
      </c>
    </row>
    <row r="89" spans="1:11">
      <c r="A89" s="72" t="s">
        <v>262</v>
      </c>
      <c r="B89" s="40" t="s">
        <v>936</v>
      </c>
      <c r="C89" s="40" t="s">
        <v>953</v>
      </c>
      <c r="D89" s="40" t="s">
        <v>941</v>
      </c>
      <c r="E89" s="40" t="s">
        <v>954</v>
      </c>
      <c r="F89" s="40" t="s">
        <v>938</v>
      </c>
      <c r="G89" s="40" t="s">
        <v>939</v>
      </c>
      <c r="H89" s="41" t="s">
        <v>955</v>
      </c>
      <c r="I89" s="41" t="s">
        <v>943</v>
      </c>
      <c r="J89" s="41" t="s">
        <v>944</v>
      </c>
      <c r="K89" s="41" t="s">
        <v>945</v>
      </c>
    </row>
    <row r="90" spans="1:11" ht="15.75" thickBot="1">
      <c r="A90" s="73"/>
      <c r="B90" s="38" t="s">
        <v>1173</v>
      </c>
      <c r="C90" s="38" t="s">
        <v>1174</v>
      </c>
      <c r="D90" s="38" t="s">
        <v>1173</v>
      </c>
      <c r="E90" s="38" t="s">
        <v>947</v>
      </c>
      <c r="F90" s="38" t="s">
        <v>1173</v>
      </c>
      <c r="G90" s="38" t="s">
        <v>1175</v>
      </c>
      <c r="H90" s="39" t="s">
        <v>1176</v>
      </c>
      <c r="I90" s="39" t="s">
        <v>1177</v>
      </c>
      <c r="J90" s="39" t="s">
        <v>1178</v>
      </c>
      <c r="K90" s="39" t="s">
        <v>1177</v>
      </c>
    </row>
    <row r="91" spans="1:11">
      <c r="A91" s="75" t="s">
        <v>266</v>
      </c>
      <c r="B91" s="40" t="s">
        <v>936</v>
      </c>
      <c r="C91" s="40" t="s">
        <v>937</v>
      </c>
      <c r="D91" s="40" t="s">
        <v>938</v>
      </c>
      <c r="E91" s="40" t="s">
        <v>939</v>
      </c>
      <c r="F91" s="40" t="s">
        <v>940</v>
      </c>
      <c r="G91" s="40" t="s">
        <v>941</v>
      </c>
      <c r="H91" s="40" t="s">
        <v>942</v>
      </c>
      <c r="I91" s="40" t="s">
        <v>943</v>
      </c>
      <c r="J91" s="40" t="s">
        <v>944</v>
      </c>
      <c r="K91" s="40" t="s">
        <v>945</v>
      </c>
    </row>
    <row r="92" spans="1:11" ht="15.75" thickBot="1">
      <c r="A92" s="76"/>
      <c r="B92" s="38" t="s">
        <v>1179</v>
      </c>
      <c r="C92" s="38" t="s">
        <v>947</v>
      </c>
      <c r="D92" s="38" t="s">
        <v>1179</v>
      </c>
      <c r="E92" s="38" t="s">
        <v>952</v>
      </c>
      <c r="F92" s="38" t="s">
        <v>947</v>
      </c>
      <c r="G92" s="38" t="s">
        <v>1179</v>
      </c>
      <c r="H92" s="38" t="s">
        <v>947</v>
      </c>
      <c r="I92" s="38" t="s">
        <v>1179</v>
      </c>
      <c r="J92" s="38" t="s">
        <v>947</v>
      </c>
      <c r="K92" s="38" t="s">
        <v>1179</v>
      </c>
    </row>
    <row r="93" spans="1:11">
      <c r="A93" s="72" t="s">
        <v>276</v>
      </c>
      <c r="B93" s="40" t="s">
        <v>936</v>
      </c>
      <c r="C93" s="40" t="s">
        <v>953</v>
      </c>
      <c r="D93" s="40" t="s">
        <v>941</v>
      </c>
      <c r="E93" s="40" t="s">
        <v>954</v>
      </c>
      <c r="F93" s="40" t="s">
        <v>938</v>
      </c>
      <c r="G93" s="40" t="s">
        <v>939</v>
      </c>
      <c r="H93" s="41" t="s">
        <v>955</v>
      </c>
      <c r="I93" s="41" t="s">
        <v>943</v>
      </c>
      <c r="J93" s="41" t="s">
        <v>944</v>
      </c>
      <c r="K93" s="41" t="s">
        <v>945</v>
      </c>
    </row>
    <row r="94" spans="1:11" ht="15.75" thickBot="1">
      <c r="A94" s="73"/>
      <c r="B94" s="38" t="s">
        <v>1180</v>
      </c>
      <c r="C94" s="38" t="s">
        <v>1181</v>
      </c>
      <c r="D94" s="38" t="s">
        <v>1182</v>
      </c>
      <c r="E94" s="38" t="s">
        <v>1183</v>
      </c>
      <c r="F94" s="38" t="s">
        <v>1184</v>
      </c>
      <c r="G94" s="38" t="s">
        <v>1185</v>
      </c>
      <c r="H94" s="39" t="s">
        <v>1186</v>
      </c>
      <c r="I94" s="39" t="s">
        <v>1187</v>
      </c>
      <c r="J94" s="39" t="s">
        <v>1099</v>
      </c>
      <c r="K94" s="39" t="s">
        <v>1188</v>
      </c>
    </row>
    <row r="95" spans="1:11">
      <c r="A95" s="72" t="s">
        <v>282</v>
      </c>
      <c r="B95" s="40" t="s">
        <v>936</v>
      </c>
      <c r="C95" s="40" t="s">
        <v>953</v>
      </c>
      <c r="D95" s="40" t="s">
        <v>941</v>
      </c>
      <c r="E95" s="40" t="s">
        <v>942</v>
      </c>
      <c r="F95" s="40" t="s">
        <v>943</v>
      </c>
      <c r="G95" s="40" t="s">
        <v>978</v>
      </c>
      <c r="H95" s="40" t="s">
        <v>938</v>
      </c>
      <c r="I95" s="40" t="s">
        <v>939</v>
      </c>
      <c r="J95" s="40" t="s">
        <v>979</v>
      </c>
      <c r="K95" s="40" t="s">
        <v>945</v>
      </c>
    </row>
    <row r="96" spans="1:11" ht="15.75" thickBot="1">
      <c r="A96" s="73"/>
      <c r="B96" s="38" t="s">
        <v>1184</v>
      </c>
      <c r="C96" s="38" t="s">
        <v>947</v>
      </c>
      <c r="D96" s="38" t="s">
        <v>1184</v>
      </c>
      <c r="E96" s="38" t="s">
        <v>1189</v>
      </c>
      <c r="F96" s="38" t="s">
        <v>1190</v>
      </c>
      <c r="G96" s="38" t="s">
        <v>947</v>
      </c>
      <c r="H96" s="38" t="s">
        <v>1190</v>
      </c>
      <c r="I96" s="38" t="s">
        <v>1191</v>
      </c>
      <c r="J96" s="38" t="s">
        <v>947</v>
      </c>
      <c r="K96" s="38" t="s">
        <v>1190</v>
      </c>
    </row>
    <row r="97" spans="1:11">
      <c r="A97" s="72" t="s">
        <v>286</v>
      </c>
      <c r="B97" s="40" t="s">
        <v>936</v>
      </c>
      <c r="C97" s="40" t="s">
        <v>953</v>
      </c>
      <c r="D97" s="40" t="s">
        <v>941</v>
      </c>
      <c r="E97" s="40" t="s">
        <v>954</v>
      </c>
      <c r="F97" s="40" t="s">
        <v>938</v>
      </c>
      <c r="G97" s="40" t="s">
        <v>939</v>
      </c>
      <c r="H97" s="41" t="s">
        <v>955</v>
      </c>
      <c r="I97" s="41" t="s">
        <v>943</v>
      </c>
      <c r="J97" s="41" t="s">
        <v>944</v>
      </c>
      <c r="K97" s="41" t="s">
        <v>945</v>
      </c>
    </row>
    <row r="98" spans="1:11" ht="15.75" thickBot="1">
      <c r="A98" s="73"/>
      <c r="B98" s="38" t="s">
        <v>1192</v>
      </c>
      <c r="C98" s="38" t="s">
        <v>1193</v>
      </c>
      <c r="D98" s="38" t="s">
        <v>1194</v>
      </c>
      <c r="E98" s="38" t="s">
        <v>1195</v>
      </c>
      <c r="F98" s="38" t="s">
        <v>1196</v>
      </c>
      <c r="G98" s="38" t="s">
        <v>1197</v>
      </c>
      <c r="H98" s="39" t="s">
        <v>1195</v>
      </c>
      <c r="I98" s="39" t="s">
        <v>1198</v>
      </c>
      <c r="J98" s="39" t="s">
        <v>1199</v>
      </c>
      <c r="K98" s="39" t="s">
        <v>1200</v>
      </c>
    </row>
    <row r="99" spans="1:11">
      <c r="A99" s="72" t="s">
        <v>288</v>
      </c>
      <c r="B99" s="40" t="s">
        <v>936</v>
      </c>
      <c r="C99" s="40" t="s">
        <v>953</v>
      </c>
      <c r="D99" s="40" t="s">
        <v>941</v>
      </c>
      <c r="E99" s="40" t="s">
        <v>942</v>
      </c>
      <c r="F99" s="40" t="s">
        <v>943</v>
      </c>
      <c r="G99" s="40" t="s">
        <v>978</v>
      </c>
      <c r="H99" s="40" t="s">
        <v>938</v>
      </c>
      <c r="I99" s="40" t="s">
        <v>939</v>
      </c>
      <c r="J99" s="41" t="s">
        <v>979</v>
      </c>
      <c r="K99" s="41" t="s">
        <v>945</v>
      </c>
    </row>
    <row r="100" spans="1:11" ht="15.75" thickBot="1">
      <c r="A100" s="73"/>
      <c r="B100" s="38" t="s">
        <v>1201</v>
      </c>
      <c r="C100" s="38" t="s">
        <v>1202</v>
      </c>
      <c r="D100" s="38" t="s">
        <v>1203</v>
      </c>
      <c r="E100" s="38" t="s">
        <v>1204</v>
      </c>
      <c r="F100" s="38" t="s">
        <v>1205</v>
      </c>
      <c r="G100" s="38" t="s">
        <v>1206</v>
      </c>
      <c r="H100" s="38" t="s">
        <v>1207</v>
      </c>
      <c r="I100" s="38" t="s">
        <v>1208</v>
      </c>
      <c r="J100" s="39" t="s">
        <v>1209</v>
      </c>
      <c r="K100" s="39" t="s">
        <v>1210</v>
      </c>
    </row>
    <row r="101" spans="1:11">
      <c r="A101" s="72" t="s">
        <v>294</v>
      </c>
      <c r="B101" s="40" t="s">
        <v>936</v>
      </c>
      <c r="C101" s="40" t="s">
        <v>953</v>
      </c>
      <c r="D101" s="40" t="s">
        <v>941</v>
      </c>
      <c r="E101" s="40" t="s">
        <v>942</v>
      </c>
      <c r="F101" s="40" t="s">
        <v>943</v>
      </c>
      <c r="G101" s="40" t="s">
        <v>978</v>
      </c>
      <c r="H101" s="40" t="s">
        <v>938</v>
      </c>
      <c r="I101" s="40" t="s">
        <v>939</v>
      </c>
      <c r="J101" s="41" t="s">
        <v>979</v>
      </c>
      <c r="K101" s="41" t="s">
        <v>945</v>
      </c>
    </row>
    <row r="102" spans="1:11" ht="15.75" thickBot="1">
      <c r="A102" s="73"/>
      <c r="B102" s="38" t="s">
        <v>1211</v>
      </c>
      <c r="C102" s="38" t="s">
        <v>1212</v>
      </c>
      <c r="D102" s="38" t="s">
        <v>1213</v>
      </c>
      <c r="E102" s="38" t="s">
        <v>1214</v>
      </c>
      <c r="F102" s="38" t="s">
        <v>1215</v>
      </c>
      <c r="G102" s="38" t="s">
        <v>947</v>
      </c>
      <c r="H102" s="38" t="s">
        <v>1215</v>
      </c>
      <c r="I102" s="38" t="s">
        <v>1216</v>
      </c>
      <c r="J102" s="39" t="s">
        <v>1217</v>
      </c>
      <c r="K102" s="39" t="s">
        <v>1218</v>
      </c>
    </row>
    <row r="103" spans="1:11">
      <c r="A103" s="72" t="s">
        <v>296</v>
      </c>
      <c r="B103" s="40" t="s">
        <v>936</v>
      </c>
      <c r="C103" s="40" t="s">
        <v>937</v>
      </c>
      <c r="D103" s="40" t="s">
        <v>938</v>
      </c>
      <c r="E103" s="40" t="s">
        <v>939</v>
      </c>
      <c r="F103" s="41" t="s">
        <v>940</v>
      </c>
      <c r="G103" s="41" t="s">
        <v>941</v>
      </c>
      <c r="H103" s="41" t="s">
        <v>942</v>
      </c>
      <c r="I103" s="41" t="s">
        <v>943</v>
      </c>
      <c r="J103" s="41" t="s">
        <v>944</v>
      </c>
      <c r="K103" s="41" t="s">
        <v>945</v>
      </c>
    </row>
    <row r="104" spans="1:11" ht="15.75" thickBot="1">
      <c r="A104" s="77"/>
      <c r="B104" s="38" t="s">
        <v>1171</v>
      </c>
      <c r="C104" s="38" t="s">
        <v>947</v>
      </c>
      <c r="D104" s="38" t="s">
        <v>1171</v>
      </c>
      <c r="E104" s="38" t="s">
        <v>1219</v>
      </c>
      <c r="F104" s="39" t="s">
        <v>947</v>
      </c>
      <c r="G104" s="39" t="s">
        <v>1220</v>
      </c>
      <c r="H104" s="39" t="s">
        <v>1221</v>
      </c>
      <c r="I104" s="39" t="s">
        <v>1169</v>
      </c>
      <c r="J104" s="39" t="s">
        <v>1222</v>
      </c>
      <c r="K104" s="39" t="s">
        <v>1223</v>
      </c>
    </row>
  </sheetData>
  <mergeCells count="52">
    <mergeCell ref="A97:A98"/>
    <mergeCell ref="A99:A100"/>
    <mergeCell ref="A101:A102"/>
    <mergeCell ref="A103:A104"/>
    <mergeCell ref="A85:A86"/>
    <mergeCell ref="A87:A88"/>
    <mergeCell ref="A89:A90"/>
    <mergeCell ref="A91:A92"/>
    <mergeCell ref="A93:A94"/>
    <mergeCell ref="A95:A96"/>
    <mergeCell ref="A83:A84"/>
    <mergeCell ref="A61:A62"/>
    <mergeCell ref="A63:A64"/>
    <mergeCell ref="A65:A66"/>
    <mergeCell ref="A67:A68"/>
    <mergeCell ref="A69:A70"/>
    <mergeCell ref="A71:A72"/>
    <mergeCell ref="A73:A74"/>
    <mergeCell ref="A75:A76"/>
    <mergeCell ref="A77:A78"/>
    <mergeCell ref="A79:A80"/>
    <mergeCell ref="A81:A82"/>
    <mergeCell ref="A59:A60"/>
    <mergeCell ref="A37:A38"/>
    <mergeCell ref="A39:A40"/>
    <mergeCell ref="A41:A42"/>
    <mergeCell ref="A43:A44"/>
    <mergeCell ref="A45:A46"/>
    <mergeCell ref="A47:A48"/>
    <mergeCell ref="A49:A50"/>
    <mergeCell ref="A51:A52"/>
    <mergeCell ref="A53:A54"/>
    <mergeCell ref="A55:A56"/>
    <mergeCell ref="A57:A58"/>
    <mergeCell ref="A35:A36"/>
    <mergeCell ref="A13:A14"/>
    <mergeCell ref="A15:A16"/>
    <mergeCell ref="A17:A18"/>
    <mergeCell ref="A19:A20"/>
    <mergeCell ref="A21:A22"/>
    <mergeCell ref="A23:A24"/>
    <mergeCell ref="A25:A26"/>
    <mergeCell ref="A27:A28"/>
    <mergeCell ref="A29:A30"/>
    <mergeCell ref="A31:A32"/>
    <mergeCell ref="A33:A34"/>
    <mergeCell ref="A11:A12"/>
    <mergeCell ref="A1:A2"/>
    <mergeCell ref="A3:A4"/>
    <mergeCell ref="A5:A6"/>
    <mergeCell ref="A7:A8"/>
    <mergeCell ref="A9:A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6A42-46CF-4421-9ACE-30211E0E67D5}">
  <sheetPr>
    <tabColor theme="7" tint="-0.249977111117893"/>
  </sheetPr>
  <dimension ref="A1:K104"/>
  <sheetViews>
    <sheetView workbookViewId="0">
      <selection activeCell="H16" sqref="H16"/>
    </sheetView>
  </sheetViews>
  <sheetFormatPr defaultRowHeight="15"/>
  <cols>
    <col min="1" max="1" width="18.28515625" bestFit="1" customWidth="1"/>
    <col min="2" max="11" width="15.7109375" customWidth="1"/>
  </cols>
  <sheetData>
    <row r="1" spans="1:11">
      <c r="A1" s="74" t="s">
        <v>12</v>
      </c>
      <c r="B1" s="36" t="s">
        <v>936</v>
      </c>
      <c r="C1" s="36" t="s">
        <v>937</v>
      </c>
      <c r="D1" s="36" t="s">
        <v>938</v>
      </c>
      <c r="E1" s="36" t="s">
        <v>939</v>
      </c>
      <c r="F1" s="36" t="s">
        <v>940</v>
      </c>
      <c r="G1" s="36" t="s">
        <v>941</v>
      </c>
      <c r="H1" s="37" t="s">
        <v>942</v>
      </c>
      <c r="I1" s="37" t="s">
        <v>943</v>
      </c>
      <c r="J1" s="37" t="s">
        <v>944</v>
      </c>
      <c r="K1" s="37" t="s">
        <v>945</v>
      </c>
    </row>
    <row r="2" spans="1:11" ht="15.75" thickBot="1">
      <c r="A2" s="73"/>
      <c r="B2" s="38" t="s">
        <v>1224</v>
      </c>
      <c r="C2" s="38" t="s">
        <v>947</v>
      </c>
      <c r="D2" s="38" t="s">
        <v>1224</v>
      </c>
      <c r="E2" s="38" t="s">
        <v>948</v>
      </c>
      <c r="F2" s="38" t="s">
        <v>947</v>
      </c>
      <c r="G2" s="38" t="s">
        <v>1224</v>
      </c>
      <c r="H2" s="39" t="s">
        <v>947</v>
      </c>
      <c r="I2" s="39" t="s">
        <v>1225</v>
      </c>
      <c r="J2" s="39" t="s">
        <v>950</v>
      </c>
      <c r="K2" s="39" t="s">
        <v>1225</v>
      </c>
    </row>
    <row r="3" spans="1:11">
      <c r="A3" s="75" t="s">
        <v>16</v>
      </c>
      <c r="B3" s="40" t="s">
        <v>936</v>
      </c>
      <c r="C3" s="40" t="s">
        <v>937</v>
      </c>
      <c r="D3" s="40" t="s">
        <v>938</v>
      </c>
      <c r="E3" s="40" t="s">
        <v>939</v>
      </c>
      <c r="F3" s="40" t="s">
        <v>940</v>
      </c>
      <c r="G3" s="40" t="s">
        <v>941</v>
      </c>
      <c r="H3" s="40" t="s">
        <v>942</v>
      </c>
      <c r="I3" s="40" t="s">
        <v>943</v>
      </c>
      <c r="J3" s="40" t="s">
        <v>944</v>
      </c>
      <c r="K3" s="40" t="s">
        <v>945</v>
      </c>
    </row>
    <row r="4" spans="1:11" ht="15.75" thickBot="1">
      <c r="A4" s="76"/>
      <c r="B4" s="38" t="s">
        <v>1226</v>
      </c>
      <c r="C4" s="38" t="s">
        <v>947</v>
      </c>
      <c r="D4" s="38" t="s">
        <v>1226</v>
      </c>
      <c r="E4" s="38" t="s">
        <v>952</v>
      </c>
      <c r="F4" s="38" t="s">
        <v>947</v>
      </c>
      <c r="G4" s="38" t="s">
        <v>1226</v>
      </c>
      <c r="H4" s="38" t="s">
        <v>947</v>
      </c>
      <c r="I4" s="38" t="s">
        <v>1226</v>
      </c>
      <c r="J4" s="38" t="s">
        <v>947</v>
      </c>
      <c r="K4" s="38" t="s">
        <v>1226</v>
      </c>
    </row>
    <row r="5" spans="1:11">
      <c r="A5" s="72" t="s">
        <v>20</v>
      </c>
      <c r="B5" s="40" t="s">
        <v>936</v>
      </c>
      <c r="C5" s="40" t="s">
        <v>937</v>
      </c>
      <c r="D5" s="40" t="s">
        <v>938</v>
      </c>
      <c r="E5" s="40" t="s">
        <v>939</v>
      </c>
      <c r="F5" s="40" t="s">
        <v>940</v>
      </c>
      <c r="G5" s="40" t="s">
        <v>941</v>
      </c>
      <c r="H5" s="41" t="s">
        <v>942</v>
      </c>
      <c r="I5" s="41" t="s">
        <v>943</v>
      </c>
      <c r="J5" s="41" t="s">
        <v>944</v>
      </c>
      <c r="K5" s="41" t="s">
        <v>945</v>
      </c>
    </row>
    <row r="6" spans="1:11" ht="15.75" thickBot="1">
      <c r="A6" s="73"/>
      <c r="B6" s="38" t="s">
        <v>1227</v>
      </c>
      <c r="C6" s="38" t="s">
        <v>1228</v>
      </c>
      <c r="D6" s="38" t="s">
        <v>1229</v>
      </c>
      <c r="E6" s="38" t="s">
        <v>961</v>
      </c>
      <c r="F6" s="38" t="s">
        <v>947</v>
      </c>
      <c r="G6" s="38" t="s">
        <v>1229</v>
      </c>
      <c r="H6" s="39" t="s">
        <v>1230</v>
      </c>
      <c r="I6" s="39" t="s">
        <v>1231</v>
      </c>
      <c r="J6" s="39" t="s">
        <v>977</v>
      </c>
      <c r="K6" s="39" t="s">
        <v>1232</v>
      </c>
    </row>
    <row r="7" spans="1:11">
      <c r="A7" s="72" t="s">
        <v>22</v>
      </c>
      <c r="B7" s="40" t="s">
        <v>936</v>
      </c>
      <c r="C7" s="40" t="s">
        <v>953</v>
      </c>
      <c r="D7" s="40" t="s">
        <v>941</v>
      </c>
      <c r="E7" s="40" t="s">
        <v>954</v>
      </c>
      <c r="F7" s="40" t="s">
        <v>938</v>
      </c>
      <c r="G7" s="40" t="s">
        <v>939</v>
      </c>
      <c r="H7" s="40" t="s">
        <v>955</v>
      </c>
      <c r="I7" s="41" t="s">
        <v>943</v>
      </c>
      <c r="J7" s="41" t="s">
        <v>944</v>
      </c>
      <c r="K7" s="41" t="s">
        <v>945</v>
      </c>
    </row>
    <row r="8" spans="1:11" ht="15.75" thickBot="1">
      <c r="A8" s="73"/>
      <c r="B8" s="38" t="s">
        <v>1233</v>
      </c>
      <c r="C8" s="38" t="s">
        <v>967</v>
      </c>
      <c r="D8" s="38" t="s">
        <v>1234</v>
      </c>
      <c r="E8" s="38" t="s">
        <v>1235</v>
      </c>
      <c r="F8" s="38" t="s">
        <v>1082</v>
      </c>
      <c r="G8" s="38" t="s">
        <v>965</v>
      </c>
      <c r="H8" s="38" t="s">
        <v>947</v>
      </c>
      <c r="I8" s="39" t="s">
        <v>1236</v>
      </c>
      <c r="J8" s="39" t="s">
        <v>967</v>
      </c>
      <c r="K8" s="39" t="s">
        <v>1237</v>
      </c>
    </row>
    <row r="9" spans="1:11">
      <c r="A9" s="75" t="s">
        <v>36</v>
      </c>
      <c r="B9" s="40" t="s">
        <v>936</v>
      </c>
      <c r="C9" s="40" t="s">
        <v>937</v>
      </c>
      <c r="D9" s="40" t="s">
        <v>938</v>
      </c>
      <c r="E9" s="40" t="s">
        <v>939</v>
      </c>
      <c r="F9" s="40" t="s">
        <v>940</v>
      </c>
      <c r="G9" s="40" t="s">
        <v>941</v>
      </c>
      <c r="H9" s="40" t="s">
        <v>942</v>
      </c>
      <c r="I9" s="40" t="s">
        <v>943</v>
      </c>
      <c r="J9" s="40" t="s">
        <v>944</v>
      </c>
      <c r="K9" s="40" t="s">
        <v>945</v>
      </c>
    </row>
    <row r="10" spans="1:11" ht="15.75" thickBot="1">
      <c r="A10" s="76"/>
      <c r="B10" s="38" t="s">
        <v>1238</v>
      </c>
      <c r="C10" s="38" t="s">
        <v>947</v>
      </c>
      <c r="D10" s="38" t="s">
        <v>1238</v>
      </c>
      <c r="E10" s="38" t="s">
        <v>952</v>
      </c>
      <c r="F10" s="38" t="s">
        <v>947</v>
      </c>
      <c r="G10" s="38" t="s">
        <v>1238</v>
      </c>
      <c r="H10" s="38" t="s">
        <v>947</v>
      </c>
      <c r="I10" s="38" t="s">
        <v>1238</v>
      </c>
      <c r="J10" s="38" t="s">
        <v>947</v>
      </c>
      <c r="K10" s="38" t="s">
        <v>1238</v>
      </c>
    </row>
    <row r="11" spans="1:11">
      <c r="A11" s="72" t="s">
        <v>44</v>
      </c>
      <c r="B11" s="40" t="s">
        <v>936</v>
      </c>
      <c r="C11" s="40" t="s">
        <v>937</v>
      </c>
      <c r="D11" s="40" t="s">
        <v>938</v>
      </c>
      <c r="E11" s="40" t="s">
        <v>939</v>
      </c>
      <c r="F11" s="40" t="s">
        <v>940</v>
      </c>
      <c r="G11" s="41" t="s">
        <v>941</v>
      </c>
      <c r="H11" s="41" t="s">
        <v>942</v>
      </c>
      <c r="I11" s="41" t="s">
        <v>943</v>
      </c>
      <c r="J11" s="41" t="s">
        <v>944</v>
      </c>
      <c r="K11" s="41" t="s">
        <v>945</v>
      </c>
    </row>
    <row r="12" spans="1:11" ht="15.75" thickBot="1">
      <c r="A12" s="73"/>
      <c r="B12" s="38" t="s">
        <v>1239</v>
      </c>
      <c r="C12" s="38" t="s">
        <v>1240</v>
      </c>
      <c r="D12" s="38" t="s">
        <v>1239</v>
      </c>
      <c r="E12" s="38" t="s">
        <v>976</v>
      </c>
      <c r="F12" s="38" t="s">
        <v>947</v>
      </c>
      <c r="G12" s="39" t="s">
        <v>1241</v>
      </c>
      <c r="H12" s="39" t="s">
        <v>1242</v>
      </c>
      <c r="I12" s="39" t="s">
        <v>1243</v>
      </c>
      <c r="J12" s="39" t="s">
        <v>1244</v>
      </c>
      <c r="K12" s="39" t="s">
        <v>1245</v>
      </c>
    </row>
    <row r="13" spans="1:11">
      <c r="A13" s="72" t="s">
        <v>48</v>
      </c>
      <c r="B13" s="40" t="s">
        <v>936</v>
      </c>
      <c r="C13" s="40" t="s">
        <v>937</v>
      </c>
      <c r="D13" s="40" t="s">
        <v>938</v>
      </c>
      <c r="E13" s="40" t="s">
        <v>939</v>
      </c>
      <c r="F13" s="40" t="s">
        <v>940</v>
      </c>
      <c r="G13" s="40" t="s">
        <v>941</v>
      </c>
      <c r="H13" s="41" t="s">
        <v>942</v>
      </c>
      <c r="I13" s="41" t="s">
        <v>943</v>
      </c>
      <c r="J13" s="41" t="s">
        <v>944</v>
      </c>
      <c r="K13" s="41" t="s">
        <v>945</v>
      </c>
    </row>
    <row r="14" spans="1:11" ht="15.75" thickBot="1">
      <c r="A14" s="73"/>
      <c r="B14" s="38" t="s">
        <v>1246</v>
      </c>
      <c r="C14" s="38" t="s">
        <v>947</v>
      </c>
      <c r="D14" s="38" t="s">
        <v>1246</v>
      </c>
      <c r="E14" s="38" t="s">
        <v>983</v>
      </c>
      <c r="F14" s="38" t="s">
        <v>947</v>
      </c>
      <c r="G14" s="38" t="s">
        <v>1246</v>
      </c>
      <c r="H14" s="39" t="s">
        <v>947</v>
      </c>
      <c r="I14" s="39" t="s">
        <v>1247</v>
      </c>
      <c r="J14" s="39" t="s">
        <v>981</v>
      </c>
      <c r="K14" s="39" t="s">
        <v>1247</v>
      </c>
    </row>
    <row r="15" spans="1:11">
      <c r="A15" s="72" t="s">
        <v>54</v>
      </c>
      <c r="B15" s="40" t="s">
        <v>936</v>
      </c>
      <c r="C15" s="40" t="s">
        <v>953</v>
      </c>
      <c r="D15" s="40" t="s">
        <v>941</v>
      </c>
      <c r="E15" s="40" t="s">
        <v>942</v>
      </c>
      <c r="F15" s="40" t="s">
        <v>943</v>
      </c>
      <c r="G15" s="40" t="s">
        <v>978</v>
      </c>
      <c r="H15" s="40" t="s">
        <v>938</v>
      </c>
      <c r="I15" s="40" t="s">
        <v>939</v>
      </c>
      <c r="J15" s="41" t="s">
        <v>979</v>
      </c>
      <c r="K15" s="41" t="s">
        <v>945</v>
      </c>
    </row>
    <row r="16" spans="1:11" ht="15.75" thickBot="1">
      <c r="A16" s="73"/>
      <c r="B16" s="38" t="s">
        <v>1248</v>
      </c>
      <c r="C16" s="38" t="s">
        <v>1249</v>
      </c>
      <c r="D16" s="38" t="s">
        <v>1250</v>
      </c>
      <c r="E16" s="38" t="s">
        <v>1251</v>
      </c>
      <c r="F16" s="38" t="s">
        <v>1252</v>
      </c>
      <c r="G16" s="38" t="s">
        <v>1253</v>
      </c>
      <c r="H16" s="38" t="s">
        <v>1252</v>
      </c>
      <c r="I16" s="38" t="s">
        <v>989</v>
      </c>
      <c r="J16" s="39" t="s">
        <v>1254</v>
      </c>
      <c r="K16" s="39" t="s">
        <v>1255</v>
      </c>
    </row>
    <row r="17" spans="1:11">
      <c r="A17" s="72" t="s">
        <v>58</v>
      </c>
      <c r="B17" s="40" t="s">
        <v>936</v>
      </c>
      <c r="C17" s="40" t="s">
        <v>953</v>
      </c>
      <c r="D17" s="40" t="s">
        <v>941</v>
      </c>
      <c r="E17" s="40" t="s">
        <v>942</v>
      </c>
      <c r="F17" s="40" t="s">
        <v>943</v>
      </c>
      <c r="G17" s="40" t="s">
        <v>978</v>
      </c>
      <c r="H17" s="40" t="s">
        <v>938</v>
      </c>
      <c r="I17" s="40" t="s">
        <v>939</v>
      </c>
      <c r="J17" s="41" t="s">
        <v>979</v>
      </c>
      <c r="K17" s="41" t="s">
        <v>945</v>
      </c>
    </row>
    <row r="18" spans="1:11" ht="15.75" thickBot="1">
      <c r="A18" s="73"/>
      <c r="B18" s="38" t="s">
        <v>1256</v>
      </c>
      <c r="C18" s="38" t="s">
        <v>1257</v>
      </c>
      <c r="D18" s="38" t="s">
        <v>1256</v>
      </c>
      <c r="E18" s="38" t="s">
        <v>1258</v>
      </c>
      <c r="F18" s="38" t="s">
        <v>1232</v>
      </c>
      <c r="G18" s="38" t="s">
        <v>1259</v>
      </c>
      <c r="H18" s="38" t="s">
        <v>1260</v>
      </c>
      <c r="I18" s="38" t="s">
        <v>999</v>
      </c>
      <c r="J18" s="39" t="s">
        <v>1261</v>
      </c>
      <c r="K18" s="39" t="s">
        <v>1262</v>
      </c>
    </row>
    <row r="19" spans="1:11">
      <c r="A19" s="72" t="s">
        <v>60</v>
      </c>
      <c r="B19" s="40" t="s">
        <v>936</v>
      </c>
      <c r="C19" s="40" t="s">
        <v>937</v>
      </c>
      <c r="D19" s="40" t="s">
        <v>938</v>
      </c>
      <c r="E19" s="40" t="s">
        <v>939</v>
      </c>
      <c r="F19" s="40" t="s">
        <v>940</v>
      </c>
      <c r="G19" s="40" t="s">
        <v>941</v>
      </c>
      <c r="H19" s="41" t="s">
        <v>942</v>
      </c>
      <c r="I19" s="41" t="s">
        <v>943</v>
      </c>
      <c r="J19" s="41" t="s">
        <v>944</v>
      </c>
      <c r="K19" s="41" t="s">
        <v>945</v>
      </c>
    </row>
    <row r="20" spans="1:11" ht="15.75" thickBot="1">
      <c r="A20" s="73"/>
      <c r="B20" s="38" t="s">
        <v>1263</v>
      </c>
      <c r="C20" s="38" t="s">
        <v>1264</v>
      </c>
      <c r="D20" s="38" t="s">
        <v>1265</v>
      </c>
      <c r="E20" s="38" t="s">
        <v>1009</v>
      </c>
      <c r="F20" s="38" t="s">
        <v>947</v>
      </c>
      <c r="G20" s="38" t="s">
        <v>1265</v>
      </c>
      <c r="H20" s="39" t="s">
        <v>1266</v>
      </c>
      <c r="I20" s="39" t="s">
        <v>1267</v>
      </c>
      <c r="J20" s="39" t="s">
        <v>1268</v>
      </c>
      <c r="K20" s="39" t="s">
        <v>1269</v>
      </c>
    </row>
    <row r="21" spans="1:11">
      <c r="A21" s="72" t="s">
        <v>62</v>
      </c>
      <c r="B21" s="40" t="s">
        <v>936</v>
      </c>
      <c r="C21" s="40" t="s">
        <v>937</v>
      </c>
      <c r="D21" s="40" t="s">
        <v>938</v>
      </c>
      <c r="E21" s="40" t="s">
        <v>939</v>
      </c>
      <c r="F21" s="40" t="s">
        <v>940</v>
      </c>
      <c r="G21" s="40" t="s">
        <v>941</v>
      </c>
      <c r="H21" s="41" t="s">
        <v>942</v>
      </c>
      <c r="I21" s="41" t="s">
        <v>943</v>
      </c>
      <c r="J21" s="41" t="s">
        <v>944</v>
      </c>
      <c r="K21" s="41" t="s">
        <v>945</v>
      </c>
    </row>
    <row r="22" spans="1:11" ht="15.75" thickBot="1">
      <c r="A22" s="73"/>
      <c r="B22" s="38" t="s">
        <v>1270</v>
      </c>
      <c r="C22" s="38" t="s">
        <v>947</v>
      </c>
      <c r="D22" s="38" t="s">
        <v>1270</v>
      </c>
      <c r="E22" s="38" t="s">
        <v>1018</v>
      </c>
      <c r="F22" s="38" t="s">
        <v>947</v>
      </c>
      <c r="G22" s="38" t="s">
        <v>1270</v>
      </c>
      <c r="H22" s="39" t="s">
        <v>947</v>
      </c>
      <c r="I22" s="39" t="s">
        <v>1132</v>
      </c>
      <c r="J22" s="39" t="s">
        <v>1015</v>
      </c>
      <c r="K22" s="39" t="s">
        <v>1132</v>
      </c>
    </row>
    <row r="23" spans="1:11">
      <c r="A23" s="72" t="s">
        <v>74</v>
      </c>
      <c r="B23" s="40" t="s">
        <v>936</v>
      </c>
      <c r="C23" s="40" t="s">
        <v>953</v>
      </c>
      <c r="D23" s="40" t="s">
        <v>941</v>
      </c>
      <c r="E23" s="40" t="s">
        <v>954</v>
      </c>
      <c r="F23" s="40" t="s">
        <v>938</v>
      </c>
      <c r="G23" s="40" t="s">
        <v>939</v>
      </c>
      <c r="H23" s="41" t="s">
        <v>955</v>
      </c>
      <c r="I23" s="41" t="s">
        <v>943</v>
      </c>
      <c r="J23" s="41" t="s">
        <v>944</v>
      </c>
      <c r="K23" s="41" t="s">
        <v>945</v>
      </c>
    </row>
    <row r="24" spans="1:11" ht="15.75" thickBot="1">
      <c r="A24" s="73"/>
      <c r="B24" s="38" t="s">
        <v>1182</v>
      </c>
      <c r="C24" s="38" t="s">
        <v>1020</v>
      </c>
      <c r="D24" s="38" t="s">
        <v>1271</v>
      </c>
      <c r="E24" s="38" t="s">
        <v>1272</v>
      </c>
      <c r="F24" s="38" t="s">
        <v>1271</v>
      </c>
      <c r="G24" s="38" t="s">
        <v>1023</v>
      </c>
      <c r="H24" s="39" t="s">
        <v>1273</v>
      </c>
      <c r="I24" s="39" t="s">
        <v>1274</v>
      </c>
      <c r="J24" s="39" t="s">
        <v>1020</v>
      </c>
      <c r="K24" s="39" t="s">
        <v>1275</v>
      </c>
    </row>
    <row r="25" spans="1:11">
      <c r="A25" s="72" t="s">
        <v>76</v>
      </c>
      <c r="B25" s="40" t="s">
        <v>936</v>
      </c>
      <c r="C25" s="40" t="s">
        <v>953</v>
      </c>
      <c r="D25" s="40" t="s">
        <v>941</v>
      </c>
      <c r="E25" s="40" t="s">
        <v>942</v>
      </c>
      <c r="F25" s="40" t="s">
        <v>943</v>
      </c>
      <c r="G25" s="40" t="s">
        <v>978</v>
      </c>
      <c r="H25" s="40" t="s">
        <v>938</v>
      </c>
      <c r="I25" s="40" t="s">
        <v>939</v>
      </c>
      <c r="J25" s="40" t="s">
        <v>979</v>
      </c>
      <c r="K25" s="40" t="s">
        <v>945</v>
      </c>
    </row>
    <row r="26" spans="1:11" ht="15.75" thickBot="1">
      <c r="A26" s="73"/>
      <c r="B26" s="38" t="s">
        <v>1130</v>
      </c>
      <c r="C26" s="38" t="s">
        <v>947</v>
      </c>
      <c r="D26" s="38" t="s">
        <v>1130</v>
      </c>
      <c r="E26" s="38" t="s">
        <v>1029</v>
      </c>
      <c r="F26" s="38" t="s">
        <v>1132</v>
      </c>
      <c r="G26" s="38" t="s">
        <v>947</v>
      </c>
      <c r="H26" s="38" t="s">
        <v>1132</v>
      </c>
      <c r="I26" s="38" t="s">
        <v>1031</v>
      </c>
      <c r="J26" s="38" t="s">
        <v>947</v>
      </c>
      <c r="K26" s="38" t="s">
        <v>1132</v>
      </c>
    </row>
    <row r="27" spans="1:11">
      <c r="A27" s="72" t="s">
        <v>84</v>
      </c>
      <c r="B27" s="40" t="s">
        <v>936</v>
      </c>
      <c r="C27" s="40" t="s">
        <v>953</v>
      </c>
      <c r="D27" s="40" t="s">
        <v>941</v>
      </c>
      <c r="E27" s="40" t="s">
        <v>942</v>
      </c>
      <c r="F27" s="40" t="s">
        <v>943</v>
      </c>
      <c r="G27" s="40" t="s">
        <v>978</v>
      </c>
      <c r="H27" s="40" t="s">
        <v>938</v>
      </c>
      <c r="I27" s="40" t="s">
        <v>939</v>
      </c>
      <c r="J27" s="40" t="s">
        <v>979</v>
      </c>
      <c r="K27" s="40" t="s">
        <v>945</v>
      </c>
    </row>
    <row r="28" spans="1:11" ht="15.75" thickBot="1">
      <c r="A28" s="73"/>
      <c r="B28" s="38" t="s">
        <v>1276</v>
      </c>
      <c r="C28" s="38" t="s">
        <v>1277</v>
      </c>
      <c r="D28" s="38" t="s">
        <v>1276</v>
      </c>
      <c r="E28" s="38" t="s">
        <v>1278</v>
      </c>
      <c r="F28" s="38" t="s">
        <v>1279</v>
      </c>
      <c r="G28" s="38" t="s">
        <v>1072</v>
      </c>
      <c r="H28" s="38" t="s">
        <v>1279</v>
      </c>
      <c r="I28" s="38" t="s">
        <v>1280</v>
      </c>
      <c r="J28" s="38" t="s">
        <v>947</v>
      </c>
      <c r="K28" s="38" t="s">
        <v>1279</v>
      </c>
    </row>
    <row r="29" spans="1:11">
      <c r="A29" s="75" t="s">
        <v>92</v>
      </c>
      <c r="B29" s="40" t="s">
        <v>936</v>
      </c>
      <c r="C29" s="40" t="s">
        <v>937</v>
      </c>
      <c r="D29" s="40" t="s">
        <v>938</v>
      </c>
      <c r="E29" s="40" t="s">
        <v>939</v>
      </c>
      <c r="F29" s="40" t="s">
        <v>940</v>
      </c>
      <c r="G29" s="40" t="s">
        <v>941</v>
      </c>
      <c r="H29" s="40" t="s">
        <v>942</v>
      </c>
      <c r="I29" s="40" t="s">
        <v>943</v>
      </c>
      <c r="J29" s="40" t="s">
        <v>944</v>
      </c>
      <c r="K29" s="40" t="s">
        <v>945</v>
      </c>
    </row>
    <row r="30" spans="1:11" ht="15.75" thickBot="1">
      <c r="A30" s="76"/>
      <c r="B30" s="38" t="s">
        <v>1281</v>
      </c>
      <c r="C30" s="38" t="s">
        <v>947</v>
      </c>
      <c r="D30" s="38" t="s">
        <v>1281</v>
      </c>
      <c r="E30" s="38" t="s">
        <v>952</v>
      </c>
      <c r="F30" s="38" t="s">
        <v>947</v>
      </c>
      <c r="G30" s="38" t="s">
        <v>1281</v>
      </c>
      <c r="H30" s="38" t="s">
        <v>947</v>
      </c>
      <c r="I30" s="38" t="s">
        <v>1281</v>
      </c>
      <c r="J30" s="38" t="s">
        <v>947</v>
      </c>
      <c r="K30" s="38" t="s">
        <v>1281</v>
      </c>
    </row>
    <row r="31" spans="1:11">
      <c r="A31" s="72" t="s">
        <v>94</v>
      </c>
      <c r="B31" s="40" t="s">
        <v>936</v>
      </c>
      <c r="C31" s="40" t="s">
        <v>937</v>
      </c>
      <c r="D31" s="40" t="s">
        <v>938</v>
      </c>
      <c r="E31" s="40" t="s">
        <v>939</v>
      </c>
      <c r="F31" s="40" t="s">
        <v>940</v>
      </c>
      <c r="G31" s="40" t="s">
        <v>941</v>
      </c>
      <c r="H31" s="41" t="s">
        <v>942</v>
      </c>
      <c r="I31" s="41" t="s">
        <v>943</v>
      </c>
      <c r="J31" s="41" t="s">
        <v>944</v>
      </c>
      <c r="K31" s="41" t="s">
        <v>945</v>
      </c>
    </row>
    <row r="32" spans="1:11" ht="15.75" thickBot="1">
      <c r="A32" s="73"/>
      <c r="B32" s="38" t="s">
        <v>1282</v>
      </c>
      <c r="C32" s="38" t="s">
        <v>1283</v>
      </c>
      <c r="D32" s="38" t="s">
        <v>1282</v>
      </c>
      <c r="E32" s="38" t="s">
        <v>1041</v>
      </c>
      <c r="F32" s="38" t="s">
        <v>947</v>
      </c>
      <c r="G32" s="38" t="s">
        <v>1282</v>
      </c>
      <c r="H32" s="39" t="s">
        <v>1284</v>
      </c>
      <c r="I32" s="39" t="s">
        <v>1285</v>
      </c>
      <c r="J32" s="39" t="s">
        <v>1058</v>
      </c>
      <c r="K32" s="39" t="s">
        <v>1286</v>
      </c>
    </row>
    <row r="33" spans="1:11">
      <c r="A33" s="72" t="s">
        <v>100</v>
      </c>
      <c r="B33" s="40" t="s">
        <v>936</v>
      </c>
      <c r="C33" s="40" t="s">
        <v>937</v>
      </c>
      <c r="D33" s="40" t="s">
        <v>938</v>
      </c>
      <c r="E33" s="40" t="s">
        <v>939</v>
      </c>
      <c r="F33" s="41" t="s">
        <v>940</v>
      </c>
      <c r="G33" s="41" t="s">
        <v>941</v>
      </c>
      <c r="H33" s="41" t="s">
        <v>942</v>
      </c>
      <c r="I33" s="41" t="s">
        <v>943</v>
      </c>
      <c r="J33" s="41" t="s">
        <v>944</v>
      </c>
      <c r="K33" s="41" t="s">
        <v>945</v>
      </c>
    </row>
    <row r="34" spans="1:11" ht="15.75" thickBot="1">
      <c r="A34" s="73"/>
      <c r="B34" s="38" t="s">
        <v>1287</v>
      </c>
      <c r="C34" s="38" t="s">
        <v>1288</v>
      </c>
      <c r="D34" s="38" t="s">
        <v>1287</v>
      </c>
      <c r="E34" s="38" t="s">
        <v>1051</v>
      </c>
      <c r="F34" s="39" t="s">
        <v>1289</v>
      </c>
      <c r="G34" s="39" t="s">
        <v>1290</v>
      </c>
      <c r="H34" s="39" t="s">
        <v>1291</v>
      </c>
      <c r="I34" s="39" t="s">
        <v>1292</v>
      </c>
      <c r="J34" s="39" t="s">
        <v>1293</v>
      </c>
      <c r="K34" s="39" t="s">
        <v>1294</v>
      </c>
    </row>
    <row r="35" spans="1:11">
      <c r="A35" s="75" t="s">
        <v>104</v>
      </c>
      <c r="B35" s="40" t="s">
        <v>936</v>
      </c>
      <c r="C35" s="40" t="s">
        <v>937</v>
      </c>
      <c r="D35" s="40" t="s">
        <v>938</v>
      </c>
      <c r="E35" s="40" t="s">
        <v>939</v>
      </c>
      <c r="F35" s="40" t="s">
        <v>940</v>
      </c>
      <c r="G35" s="40" t="s">
        <v>941</v>
      </c>
      <c r="H35" s="40" t="s">
        <v>942</v>
      </c>
      <c r="I35" s="40" t="s">
        <v>943</v>
      </c>
      <c r="J35" s="40" t="s">
        <v>944</v>
      </c>
      <c r="K35" s="40" t="s">
        <v>945</v>
      </c>
    </row>
    <row r="36" spans="1:11" ht="15.75" thickBot="1">
      <c r="A36" s="76"/>
      <c r="B36" s="38" t="s">
        <v>1295</v>
      </c>
      <c r="C36" s="38" t="s">
        <v>947</v>
      </c>
      <c r="D36" s="38" t="s">
        <v>1295</v>
      </c>
      <c r="E36" s="38" t="s">
        <v>952</v>
      </c>
      <c r="F36" s="38" t="s">
        <v>947</v>
      </c>
      <c r="G36" s="38" t="s">
        <v>1295</v>
      </c>
      <c r="H36" s="38" t="s">
        <v>947</v>
      </c>
      <c r="I36" s="38" t="s">
        <v>1295</v>
      </c>
      <c r="J36" s="38" t="s">
        <v>947</v>
      </c>
      <c r="K36" s="38" t="s">
        <v>1295</v>
      </c>
    </row>
    <row r="37" spans="1:11">
      <c r="A37" s="75" t="s">
        <v>118</v>
      </c>
      <c r="B37" s="40" t="s">
        <v>936</v>
      </c>
      <c r="C37" s="40" t="s">
        <v>937</v>
      </c>
      <c r="D37" s="40" t="s">
        <v>938</v>
      </c>
      <c r="E37" s="40" t="s">
        <v>939</v>
      </c>
      <c r="F37" s="40" t="s">
        <v>940</v>
      </c>
      <c r="G37" s="40" t="s">
        <v>941</v>
      </c>
      <c r="H37" s="40" t="s">
        <v>942</v>
      </c>
      <c r="I37" s="40" t="s">
        <v>943</v>
      </c>
      <c r="J37" s="40" t="s">
        <v>944</v>
      </c>
      <c r="K37" s="40" t="s">
        <v>945</v>
      </c>
    </row>
    <row r="38" spans="1:11" ht="15.75" thickBot="1">
      <c r="A38" s="76"/>
      <c r="B38" s="38" t="s">
        <v>1296</v>
      </c>
      <c r="C38" s="38" t="s">
        <v>947</v>
      </c>
      <c r="D38" s="38" t="s">
        <v>1296</v>
      </c>
      <c r="E38" s="38" t="s">
        <v>952</v>
      </c>
      <c r="F38" s="38" t="s">
        <v>947</v>
      </c>
      <c r="G38" s="38" t="s">
        <v>1296</v>
      </c>
      <c r="H38" s="38" t="s">
        <v>947</v>
      </c>
      <c r="I38" s="38" t="s">
        <v>1296</v>
      </c>
      <c r="J38" s="38" t="s">
        <v>947</v>
      </c>
      <c r="K38" s="38" t="s">
        <v>1296</v>
      </c>
    </row>
    <row r="39" spans="1:11">
      <c r="A39" s="72" t="s">
        <v>120</v>
      </c>
      <c r="B39" s="40" t="s">
        <v>936</v>
      </c>
      <c r="C39" s="40" t="s">
        <v>953</v>
      </c>
      <c r="D39" s="40" t="s">
        <v>941</v>
      </c>
      <c r="E39" s="40" t="s">
        <v>954</v>
      </c>
      <c r="F39" s="40" t="s">
        <v>938</v>
      </c>
      <c r="G39" s="40" t="s">
        <v>939</v>
      </c>
      <c r="H39" s="40" t="s">
        <v>955</v>
      </c>
      <c r="I39" s="40" t="s">
        <v>943</v>
      </c>
      <c r="J39" s="41" t="s">
        <v>944</v>
      </c>
      <c r="K39" s="41" t="s">
        <v>945</v>
      </c>
    </row>
    <row r="40" spans="1:11" ht="15.75" thickBot="1">
      <c r="A40" s="73"/>
      <c r="B40" s="38" t="s">
        <v>1297</v>
      </c>
      <c r="C40" s="38" t="s">
        <v>1056</v>
      </c>
      <c r="D40" s="38" t="s">
        <v>1297</v>
      </c>
      <c r="E40" s="38" t="s">
        <v>947</v>
      </c>
      <c r="F40" s="38" t="s">
        <v>1297</v>
      </c>
      <c r="G40" s="38" t="s">
        <v>1058</v>
      </c>
      <c r="H40" s="38" t="s">
        <v>947</v>
      </c>
      <c r="I40" s="38" t="s">
        <v>1297</v>
      </c>
      <c r="J40" s="39" t="s">
        <v>1060</v>
      </c>
      <c r="K40" s="39" t="s">
        <v>1297</v>
      </c>
    </row>
    <row r="41" spans="1:11">
      <c r="A41" s="72" t="s">
        <v>122</v>
      </c>
      <c r="B41" s="40" t="s">
        <v>936</v>
      </c>
      <c r="C41" s="40" t="s">
        <v>953</v>
      </c>
      <c r="D41" s="40" t="s">
        <v>941</v>
      </c>
      <c r="E41" s="40" t="s">
        <v>942</v>
      </c>
      <c r="F41" s="40" t="s">
        <v>943</v>
      </c>
      <c r="G41" s="40" t="s">
        <v>978</v>
      </c>
      <c r="H41" s="40" t="s">
        <v>938</v>
      </c>
      <c r="I41" s="40" t="s">
        <v>939</v>
      </c>
      <c r="J41" s="40" t="s">
        <v>979</v>
      </c>
      <c r="K41" s="40" t="s">
        <v>945</v>
      </c>
    </row>
    <row r="42" spans="1:11" ht="15.75" thickBot="1">
      <c r="A42" s="73"/>
      <c r="B42" s="38" t="s">
        <v>1298</v>
      </c>
      <c r="C42" s="38" t="s">
        <v>1063</v>
      </c>
      <c r="D42" s="38" t="s">
        <v>1298</v>
      </c>
      <c r="E42" s="38" t="s">
        <v>1065</v>
      </c>
      <c r="F42" s="38" t="s">
        <v>1299</v>
      </c>
      <c r="G42" s="38" t="s">
        <v>947</v>
      </c>
      <c r="H42" s="38" t="s">
        <v>1299</v>
      </c>
      <c r="I42" s="38" t="s">
        <v>1068</v>
      </c>
      <c r="J42" s="38" t="s">
        <v>947</v>
      </c>
      <c r="K42" s="38" t="s">
        <v>1299</v>
      </c>
    </row>
    <row r="43" spans="1:11">
      <c r="A43" s="72" t="s">
        <v>124</v>
      </c>
      <c r="B43" s="40" t="s">
        <v>936</v>
      </c>
      <c r="C43" s="40" t="s">
        <v>937</v>
      </c>
      <c r="D43" s="40" t="s">
        <v>938</v>
      </c>
      <c r="E43" s="40" t="s">
        <v>939</v>
      </c>
      <c r="F43" s="40" t="s">
        <v>940</v>
      </c>
      <c r="G43" s="41" t="s">
        <v>941</v>
      </c>
      <c r="H43" s="41" t="s">
        <v>942</v>
      </c>
      <c r="I43" s="41" t="s">
        <v>943</v>
      </c>
      <c r="J43" s="41" t="s">
        <v>944</v>
      </c>
      <c r="K43" s="41" t="s">
        <v>945</v>
      </c>
    </row>
    <row r="44" spans="1:11" ht="15.75" thickBot="1">
      <c r="A44" s="73"/>
      <c r="B44" s="38" t="s">
        <v>1290</v>
      </c>
      <c r="C44" s="38" t="s">
        <v>947</v>
      </c>
      <c r="D44" s="38" t="s">
        <v>1290</v>
      </c>
      <c r="E44" s="38" t="s">
        <v>1070</v>
      </c>
      <c r="F44" s="38" t="s">
        <v>947</v>
      </c>
      <c r="G44" s="39" t="s">
        <v>1300</v>
      </c>
      <c r="H44" s="39" t="s">
        <v>1301</v>
      </c>
      <c r="I44" s="39" t="s">
        <v>1241</v>
      </c>
      <c r="J44" s="39" t="s">
        <v>1302</v>
      </c>
      <c r="K44" s="39" t="s">
        <v>1303</v>
      </c>
    </row>
    <row r="45" spans="1:11">
      <c r="A45" s="75" t="s">
        <v>126</v>
      </c>
      <c r="B45" s="40" t="s">
        <v>936</v>
      </c>
      <c r="C45" s="40" t="s">
        <v>937</v>
      </c>
      <c r="D45" s="40" t="s">
        <v>938</v>
      </c>
      <c r="E45" s="40" t="s">
        <v>939</v>
      </c>
      <c r="F45" s="40" t="s">
        <v>940</v>
      </c>
      <c r="G45" s="40" t="s">
        <v>941</v>
      </c>
      <c r="H45" s="40" t="s">
        <v>942</v>
      </c>
      <c r="I45" s="40" t="s">
        <v>943</v>
      </c>
      <c r="J45" s="40" t="s">
        <v>944</v>
      </c>
      <c r="K45" s="40" t="s">
        <v>945</v>
      </c>
    </row>
    <row r="46" spans="1:11" ht="15.75" thickBot="1">
      <c r="A46" s="76"/>
      <c r="B46" s="38" t="s">
        <v>1304</v>
      </c>
      <c r="C46" s="38" t="s">
        <v>947</v>
      </c>
      <c r="D46" s="38" t="s">
        <v>1304</v>
      </c>
      <c r="E46" s="38" t="s">
        <v>952</v>
      </c>
      <c r="F46" s="38" t="s">
        <v>947</v>
      </c>
      <c r="G46" s="38" t="s">
        <v>1304</v>
      </c>
      <c r="H46" s="38" t="s">
        <v>947</v>
      </c>
      <c r="I46" s="38" t="s">
        <v>1304</v>
      </c>
      <c r="J46" s="38" t="s">
        <v>947</v>
      </c>
      <c r="K46" s="38" t="s">
        <v>1304</v>
      </c>
    </row>
    <row r="47" spans="1:11">
      <c r="A47" s="72" t="s">
        <v>132</v>
      </c>
      <c r="B47" s="40" t="s">
        <v>936</v>
      </c>
      <c r="C47" s="40" t="s">
        <v>953</v>
      </c>
      <c r="D47" s="40" t="s">
        <v>941</v>
      </c>
      <c r="E47" s="40" t="s">
        <v>942</v>
      </c>
      <c r="F47" s="40" t="s">
        <v>943</v>
      </c>
      <c r="G47" s="40" t="s">
        <v>978</v>
      </c>
      <c r="H47" s="40" t="s">
        <v>938</v>
      </c>
      <c r="I47" s="40" t="s">
        <v>939</v>
      </c>
      <c r="J47" s="40" t="s">
        <v>979</v>
      </c>
      <c r="K47" s="40" t="s">
        <v>945</v>
      </c>
    </row>
    <row r="48" spans="1:11" ht="15.75" thickBot="1">
      <c r="A48" s="73"/>
      <c r="B48" s="38" t="s">
        <v>1305</v>
      </c>
      <c r="C48" s="38" t="s">
        <v>1078</v>
      </c>
      <c r="D48" s="38" t="s">
        <v>1305</v>
      </c>
      <c r="E48" s="38" t="s">
        <v>1306</v>
      </c>
      <c r="F48" s="38" t="s">
        <v>1305</v>
      </c>
      <c r="G48" s="38" t="s">
        <v>947</v>
      </c>
      <c r="H48" s="38" t="s">
        <v>1305</v>
      </c>
      <c r="I48" s="38" t="s">
        <v>1079</v>
      </c>
      <c r="J48" s="38" t="s">
        <v>947</v>
      </c>
      <c r="K48" s="38" t="s">
        <v>1305</v>
      </c>
    </row>
    <row r="49" spans="1:11">
      <c r="A49" s="72" t="s">
        <v>138</v>
      </c>
      <c r="B49" s="40" t="s">
        <v>936</v>
      </c>
      <c r="C49" s="40" t="s">
        <v>953</v>
      </c>
      <c r="D49" s="40" t="s">
        <v>941</v>
      </c>
      <c r="E49" s="40" t="s">
        <v>954</v>
      </c>
      <c r="F49" s="40" t="s">
        <v>938</v>
      </c>
      <c r="G49" s="40" t="s">
        <v>939</v>
      </c>
      <c r="H49" s="41" t="s">
        <v>955</v>
      </c>
      <c r="I49" s="41" t="s">
        <v>943</v>
      </c>
      <c r="J49" s="41" t="s">
        <v>944</v>
      </c>
      <c r="K49" s="41" t="s">
        <v>945</v>
      </c>
    </row>
    <row r="50" spans="1:11" ht="15.75" thickBot="1">
      <c r="A50" s="73"/>
      <c r="B50" s="38" t="s">
        <v>1307</v>
      </c>
      <c r="C50" s="38" t="s">
        <v>1308</v>
      </c>
      <c r="D50" s="38" t="s">
        <v>1307</v>
      </c>
      <c r="E50" s="38" t="s">
        <v>947</v>
      </c>
      <c r="F50" s="38" t="s">
        <v>1307</v>
      </c>
      <c r="G50" s="38" t="s">
        <v>1309</v>
      </c>
      <c r="H50" s="39" t="s">
        <v>1310</v>
      </c>
      <c r="I50" s="39" t="s">
        <v>1311</v>
      </c>
      <c r="J50" s="39" t="s">
        <v>1312</v>
      </c>
      <c r="K50" s="39" t="s">
        <v>1313</v>
      </c>
    </row>
    <row r="51" spans="1:11">
      <c r="A51" s="72" t="s">
        <v>148</v>
      </c>
      <c r="B51" s="40" t="s">
        <v>936</v>
      </c>
      <c r="C51" s="40" t="s">
        <v>953</v>
      </c>
      <c r="D51" s="40" t="s">
        <v>941</v>
      </c>
      <c r="E51" s="40" t="s">
        <v>942</v>
      </c>
      <c r="F51" s="40" t="s">
        <v>943</v>
      </c>
      <c r="G51" s="40" t="s">
        <v>978</v>
      </c>
      <c r="H51" s="40" t="s">
        <v>938</v>
      </c>
      <c r="I51" s="40" t="s">
        <v>939</v>
      </c>
      <c r="J51" s="40" t="s">
        <v>979</v>
      </c>
      <c r="K51" s="40" t="s">
        <v>945</v>
      </c>
    </row>
    <row r="52" spans="1:11" ht="15.75" thickBot="1">
      <c r="A52" s="73"/>
      <c r="B52" s="38" t="s">
        <v>1314</v>
      </c>
      <c r="C52" s="38" t="s">
        <v>1089</v>
      </c>
      <c r="D52" s="38" t="s">
        <v>1315</v>
      </c>
      <c r="E52" s="38" t="s">
        <v>1089</v>
      </c>
      <c r="F52" s="38" t="s">
        <v>1316</v>
      </c>
      <c r="G52" s="38" t="s">
        <v>947</v>
      </c>
      <c r="H52" s="38" t="s">
        <v>1317</v>
      </c>
      <c r="I52" s="38" t="s">
        <v>1091</v>
      </c>
      <c r="J52" s="38" t="s">
        <v>947</v>
      </c>
      <c r="K52" s="38" t="s">
        <v>1317</v>
      </c>
    </row>
    <row r="53" spans="1:11">
      <c r="A53" s="72" t="s">
        <v>174</v>
      </c>
      <c r="B53" s="40" t="s">
        <v>936</v>
      </c>
      <c r="C53" s="40" t="s">
        <v>937</v>
      </c>
      <c r="D53" s="40" t="s">
        <v>938</v>
      </c>
      <c r="E53" s="40" t="s">
        <v>939</v>
      </c>
      <c r="F53" s="40" t="s">
        <v>940</v>
      </c>
      <c r="G53" s="40" t="s">
        <v>941</v>
      </c>
      <c r="H53" s="41" t="s">
        <v>942</v>
      </c>
      <c r="I53" s="41" t="s">
        <v>943</v>
      </c>
      <c r="J53" s="41" t="s">
        <v>944</v>
      </c>
      <c r="K53" s="41" t="s">
        <v>945</v>
      </c>
    </row>
    <row r="54" spans="1:11" ht="15.75" thickBot="1">
      <c r="A54" s="73"/>
      <c r="B54" s="38" t="s">
        <v>1207</v>
      </c>
      <c r="C54" s="38" t="s">
        <v>947</v>
      </c>
      <c r="D54" s="38" t="s">
        <v>1207</v>
      </c>
      <c r="E54" s="38" t="s">
        <v>1093</v>
      </c>
      <c r="F54" s="38" t="s">
        <v>947</v>
      </c>
      <c r="G54" s="38" t="s">
        <v>1207</v>
      </c>
      <c r="H54" s="39" t="s">
        <v>1058</v>
      </c>
      <c r="I54" s="39" t="s">
        <v>1318</v>
      </c>
      <c r="J54" s="39" t="s">
        <v>1096</v>
      </c>
      <c r="K54" s="39" t="s">
        <v>1318</v>
      </c>
    </row>
    <row r="55" spans="1:11">
      <c r="A55" s="72" t="s">
        <v>182</v>
      </c>
      <c r="B55" s="40" t="s">
        <v>936</v>
      </c>
      <c r="C55" s="40" t="s">
        <v>937</v>
      </c>
      <c r="D55" s="40" t="s">
        <v>938</v>
      </c>
      <c r="E55" s="40" t="s">
        <v>939</v>
      </c>
      <c r="F55" s="40" t="s">
        <v>940</v>
      </c>
      <c r="G55" s="40" t="s">
        <v>941</v>
      </c>
      <c r="H55" s="41" t="s">
        <v>942</v>
      </c>
      <c r="I55" s="41" t="s">
        <v>943</v>
      </c>
      <c r="J55" s="41" t="s">
        <v>944</v>
      </c>
      <c r="K55" s="41" t="s">
        <v>945</v>
      </c>
    </row>
    <row r="56" spans="1:11" ht="15.75" thickBot="1">
      <c r="A56" s="73"/>
      <c r="B56" s="38" t="s">
        <v>1319</v>
      </c>
      <c r="C56" s="38" t="s">
        <v>947</v>
      </c>
      <c r="D56" s="38" t="s">
        <v>1319</v>
      </c>
      <c r="E56" s="38" t="s">
        <v>1101</v>
      </c>
      <c r="F56" s="38" t="s">
        <v>947</v>
      </c>
      <c r="G56" s="38" t="s">
        <v>1319</v>
      </c>
      <c r="H56" s="39" t="s">
        <v>947</v>
      </c>
      <c r="I56" s="39" t="s">
        <v>1320</v>
      </c>
      <c r="J56" s="39" t="s">
        <v>1099</v>
      </c>
      <c r="K56" s="39" t="s">
        <v>1320</v>
      </c>
    </row>
    <row r="57" spans="1:11">
      <c r="A57" s="72" t="s">
        <v>188</v>
      </c>
      <c r="B57" s="40" t="s">
        <v>936</v>
      </c>
      <c r="C57" s="40" t="s">
        <v>953</v>
      </c>
      <c r="D57" s="40" t="s">
        <v>941</v>
      </c>
      <c r="E57" s="40" t="s">
        <v>942</v>
      </c>
      <c r="F57" s="40" t="s">
        <v>943</v>
      </c>
      <c r="G57" s="40" t="s">
        <v>978</v>
      </c>
      <c r="H57" s="40" t="s">
        <v>938</v>
      </c>
      <c r="I57" s="40" t="s">
        <v>939</v>
      </c>
      <c r="J57" s="40" t="s">
        <v>979</v>
      </c>
      <c r="K57" s="40" t="s">
        <v>945</v>
      </c>
    </row>
    <row r="58" spans="1:11" ht="15.75" thickBot="1">
      <c r="A58" s="73"/>
      <c r="B58" s="38" t="s">
        <v>1321</v>
      </c>
      <c r="C58" s="38" t="s">
        <v>1103</v>
      </c>
      <c r="D58" s="38" t="s">
        <v>1321</v>
      </c>
      <c r="E58" s="38" t="s">
        <v>1103</v>
      </c>
      <c r="F58" s="38" t="s">
        <v>1322</v>
      </c>
      <c r="G58" s="38" t="s">
        <v>947</v>
      </c>
      <c r="H58" s="38" t="s">
        <v>1323</v>
      </c>
      <c r="I58" s="38" t="s">
        <v>1018</v>
      </c>
      <c r="J58" s="38" t="s">
        <v>947</v>
      </c>
      <c r="K58" s="38" t="s">
        <v>1323</v>
      </c>
    </row>
    <row r="59" spans="1:11">
      <c r="A59" s="72" t="s">
        <v>196</v>
      </c>
      <c r="B59" s="40" t="s">
        <v>936</v>
      </c>
      <c r="C59" s="40" t="s">
        <v>953</v>
      </c>
      <c r="D59" s="40" t="s">
        <v>941</v>
      </c>
      <c r="E59" s="40" t="s">
        <v>954</v>
      </c>
      <c r="F59" s="40" t="s">
        <v>938</v>
      </c>
      <c r="G59" s="40" t="s">
        <v>939</v>
      </c>
      <c r="H59" s="40" t="s">
        <v>955</v>
      </c>
      <c r="I59" s="41" t="s">
        <v>943</v>
      </c>
      <c r="J59" s="41" t="s">
        <v>944</v>
      </c>
      <c r="K59" s="41" t="s">
        <v>945</v>
      </c>
    </row>
    <row r="60" spans="1:11" ht="15.75" thickBot="1">
      <c r="A60" s="73"/>
      <c r="B60" s="38" t="s">
        <v>1324</v>
      </c>
      <c r="C60" s="38" t="s">
        <v>1052</v>
      </c>
      <c r="D60" s="38" t="s">
        <v>1325</v>
      </c>
      <c r="E60" s="38" t="s">
        <v>1301</v>
      </c>
      <c r="F60" s="38" t="s">
        <v>1326</v>
      </c>
      <c r="G60" s="38" t="s">
        <v>1058</v>
      </c>
      <c r="H60" s="38" t="s">
        <v>947</v>
      </c>
      <c r="I60" s="39" t="s">
        <v>1327</v>
      </c>
      <c r="J60" s="39" t="s">
        <v>1301</v>
      </c>
      <c r="K60" s="39" t="s">
        <v>1328</v>
      </c>
    </row>
    <row r="61" spans="1:11">
      <c r="A61" s="72" t="s">
        <v>202</v>
      </c>
      <c r="B61" s="40" t="s">
        <v>936</v>
      </c>
      <c r="C61" s="40" t="s">
        <v>937</v>
      </c>
      <c r="D61" s="40" t="s">
        <v>938</v>
      </c>
      <c r="E61" s="40" t="s">
        <v>939</v>
      </c>
      <c r="F61" s="40" t="s">
        <v>940</v>
      </c>
      <c r="G61" s="41" t="s">
        <v>941</v>
      </c>
      <c r="H61" s="41" t="s">
        <v>942</v>
      </c>
      <c r="I61" s="41" t="s">
        <v>943</v>
      </c>
      <c r="J61" s="41" t="s">
        <v>944</v>
      </c>
      <c r="K61" s="41" t="s">
        <v>945</v>
      </c>
    </row>
    <row r="62" spans="1:11" ht="15.75" thickBot="1">
      <c r="A62" s="73"/>
      <c r="B62" s="38" t="s">
        <v>1329</v>
      </c>
      <c r="C62" s="38" t="s">
        <v>947</v>
      </c>
      <c r="D62" s="38" t="s">
        <v>1329</v>
      </c>
      <c r="E62" s="38" t="s">
        <v>1114</v>
      </c>
      <c r="F62" s="38" t="s">
        <v>947</v>
      </c>
      <c r="G62" s="39" t="s">
        <v>1330</v>
      </c>
      <c r="H62" s="39" t="s">
        <v>1331</v>
      </c>
      <c r="I62" s="39" t="s">
        <v>1332</v>
      </c>
      <c r="J62" s="39" t="s">
        <v>1333</v>
      </c>
      <c r="K62" s="39" t="s">
        <v>1334</v>
      </c>
    </row>
    <row r="63" spans="1:11">
      <c r="A63" s="72" t="s">
        <v>212</v>
      </c>
      <c r="B63" s="40" t="s">
        <v>936</v>
      </c>
      <c r="C63" s="40" t="s">
        <v>937</v>
      </c>
      <c r="D63" s="40" t="s">
        <v>938</v>
      </c>
      <c r="E63" s="40" t="s">
        <v>939</v>
      </c>
      <c r="F63" s="40" t="s">
        <v>940</v>
      </c>
      <c r="G63" s="40" t="s">
        <v>941</v>
      </c>
      <c r="H63" s="41" t="s">
        <v>942</v>
      </c>
      <c r="I63" s="41" t="s">
        <v>943</v>
      </c>
      <c r="J63" s="41" t="s">
        <v>944</v>
      </c>
      <c r="K63" s="41" t="s">
        <v>945</v>
      </c>
    </row>
    <row r="64" spans="1:11" ht="15.75" thickBot="1">
      <c r="A64" s="73"/>
      <c r="B64" s="38" t="s">
        <v>1335</v>
      </c>
      <c r="C64" s="38" t="s">
        <v>947</v>
      </c>
      <c r="D64" s="38" t="s">
        <v>1335</v>
      </c>
      <c r="E64" s="38" t="s">
        <v>1070</v>
      </c>
      <c r="F64" s="38" t="s">
        <v>947</v>
      </c>
      <c r="G64" s="38" t="s">
        <v>1335</v>
      </c>
      <c r="H64" s="39" t="s">
        <v>947</v>
      </c>
      <c r="I64" s="39" t="s">
        <v>1336</v>
      </c>
      <c r="J64" s="39" t="s">
        <v>1103</v>
      </c>
      <c r="K64" s="39" t="s">
        <v>1336</v>
      </c>
    </row>
    <row r="65" spans="1:11">
      <c r="A65" s="72" t="s">
        <v>214</v>
      </c>
      <c r="B65" s="40" t="s">
        <v>936</v>
      </c>
      <c r="C65" s="40" t="s">
        <v>953</v>
      </c>
      <c r="D65" s="40" t="s">
        <v>941</v>
      </c>
      <c r="E65" s="40" t="s">
        <v>942</v>
      </c>
      <c r="F65" s="40" t="s">
        <v>943</v>
      </c>
      <c r="G65" s="40" t="s">
        <v>978</v>
      </c>
      <c r="H65" s="40" t="s">
        <v>938</v>
      </c>
      <c r="I65" s="40" t="s">
        <v>939</v>
      </c>
      <c r="J65" s="40" t="s">
        <v>979</v>
      </c>
      <c r="K65" s="40" t="s">
        <v>945</v>
      </c>
    </row>
    <row r="66" spans="1:11" ht="15.75" thickBot="1">
      <c r="A66" s="73"/>
      <c r="B66" s="38" t="s">
        <v>1337</v>
      </c>
      <c r="C66" s="38" t="s">
        <v>947</v>
      </c>
      <c r="D66" s="38" t="s">
        <v>1337</v>
      </c>
      <c r="E66" s="38" t="s">
        <v>1124</v>
      </c>
      <c r="F66" s="38" t="s">
        <v>1338</v>
      </c>
      <c r="G66" s="38" t="s">
        <v>947</v>
      </c>
      <c r="H66" s="38" t="s">
        <v>1338</v>
      </c>
      <c r="I66" s="38" t="s">
        <v>1122</v>
      </c>
      <c r="J66" s="38" t="s">
        <v>947</v>
      </c>
      <c r="K66" s="38" t="s">
        <v>1338</v>
      </c>
    </row>
    <row r="67" spans="1:11">
      <c r="A67" s="72" t="s">
        <v>218</v>
      </c>
      <c r="B67" s="40" t="s">
        <v>936</v>
      </c>
      <c r="C67" s="40" t="s">
        <v>937</v>
      </c>
      <c r="D67" s="40" t="s">
        <v>938</v>
      </c>
      <c r="E67" s="40" t="s">
        <v>939</v>
      </c>
      <c r="F67" s="40" t="s">
        <v>940</v>
      </c>
      <c r="G67" s="40" t="s">
        <v>941</v>
      </c>
      <c r="H67" s="41" t="s">
        <v>942</v>
      </c>
      <c r="I67" s="41" t="s">
        <v>943</v>
      </c>
      <c r="J67" s="41" t="s">
        <v>944</v>
      </c>
      <c r="K67" s="41" t="s">
        <v>945</v>
      </c>
    </row>
    <row r="68" spans="1:11" ht="15.75" thickBot="1">
      <c r="A68" s="73"/>
      <c r="B68" s="38" t="s">
        <v>1339</v>
      </c>
      <c r="C68" s="38" t="s">
        <v>947</v>
      </c>
      <c r="D68" s="38" t="s">
        <v>1339</v>
      </c>
      <c r="E68" s="38" t="s">
        <v>1126</v>
      </c>
      <c r="F68" s="38" t="s">
        <v>947</v>
      </c>
      <c r="G68" s="38" t="s">
        <v>1339</v>
      </c>
      <c r="H68" s="42" t="s">
        <v>947</v>
      </c>
      <c r="I68" s="39" t="s">
        <v>1340</v>
      </c>
      <c r="J68" s="39" t="s">
        <v>967</v>
      </c>
      <c r="K68" s="39" t="s">
        <v>1340</v>
      </c>
    </row>
    <row r="69" spans="1:11">
      <c r="A69" s="72" t="s">
        <v>228</v>
      </c>
      <c r="B69" s="40" t="s">
        <v>936</v>
      </c>
      <c r="C69" s="40" t="s">
        <v>953</v>
      </c>
      <c r="D69" s="40" t="s">
        <v>941</v>
      </c>
      <c r="E69" s="40" t="s">
        <v>942</v>
      </c>
      <c r="F69" s="40" t="s">
        <v>943</v>
      </c>
      <c r="G69" s="40" t="s">
        <v>978</v>
      </c>
      <c r="H69" s="40" t="s">
        <v>938</v>
      </c>
      <c r="I69" s="40" t="s">
        <v>939</v>
      </c>
      <c r="J69" s="40" t="s">
        <v>979</v>
      </c>
      <c r="K69" s="40" t="s">
        <v>945</v>
      </c>
    </row>
    <row r="70" spans="1:11" ht="15.75" thickBot="1">
      <c r="A70" s="73"/>
      <c r="B70" s="38" t="s">
        <v>1341</v>
      </c>
      <c r="C70" s="38" t="s">
        <v>947</v>
      </c>
      <c r="D70" s="38" t="s">
        <v>1341</v>
      </c>
      <c r="E70" s="38" t="s">
        <v>981</v>
      </c>
      <c r="F70" s="38" t="s">
        <v>1341</v>
      </c>
      <c r="G70" s="38" t="s">
        <v>947</v>
      </c>
      <c r="H70" s="38" t="s">
        <v>1341</v>
      </c>
      <c r="I70" s="38" t="s">
        <v>983</v>
      </c>
      <c r="J70" s="38" t="s">
        <v>947</v>
      </c>
      <c r="K70" s="38" t="s">
        <v>1341</v>
      </c>
    </row>
    <row r="71" spans="1:11">
      <c r="A71" s="72" t="s">
        <v>230</v>
      </c>
      <c r="B71" s="40" t="s">
        <v>936</v>
      </c>
      <c r="C71" s="40" t="s">
        <v>953</v>
      </c>
      <c r="D71" s="40" t="s">
        <v>941</v>
      </c>
      <c r="E71" s="40" t="s">
        <v>954</v>
      </c>
      <c r="F71" s="40" t="s">
        <v>938</v>
      </c>
      <c r="G71" s="40" t="s">
        <v>939</v>
      </c>
      <c r="H71" s="41" t="s">
        <v>955</v>
      </c>
      <c r="I71" s="41" t="s">
        <v>943</v>
      </c>
      <c r="J71" s="41" t="s">
        <v>944</v>
      </c>
      <c r="K71" s="41" t="s">
        <v>945</v>
      </c>
    </row>
    <row r="72" spans="1:11" ht="15.75" thickBot="1">
      <c r="A72" s="73"/>
      <c r="B72" s="38" t="s">
        <v>1342</v>
      </c>
      <c r="C72" s="38" t="s">
        <v>1343</v>
      </c>
      <c r="D72" s="38" t="s">
        <v>1344</v>
      </c>
      <c r="E72" s="38" t="s">
        <v>1345</v>
      </c>
      <c r="F72" s="38" t="s">
        <v>1346</v>
      </c>
      <c r="G72" s="38" t="s">
        <v>1136</v>
      </c>
      <c r="H72" s="39" t="s">
        <v>1347</v>
      </c>
      <c r="I72" s="39" t="s">
        <v>1348</v>
      </c>
      <c r="J72" s="39" t="s">
        <v>1349</v>
      </c>
      <c r="K72" s="39" t="s">
        <v>1350</v>
      </c>
    </row>
    <row r="73" spans="1:11">
      <c r="A73" s="72" t="s">
        <v>234</v>
      </c>
      <c r="B73" s="40" t="s">
        <v>936</v>
      </c>
      <c r="C73" s="40" t="s">
        <v>937</v>
      </c>
      <c r="D73" s="40" t="s">
        <v>938</v>
      </c>
      <c r="E73" s="40" t="s">
        <v>939</v>
      </c>
      <c r="F73" s="40" t="s">
        <v>940</v>
      </c>
      <c r="G73" s="41" t="s">
        <v>941</v>
      </c>
      <c r="H73" s="41" t="s">
        <v>942</v>
      </c>
      <c r="I73" s="41" t="s">
        <v>943</v>
      </c>
      <c r="J73" s="41" t="s">
        <v>944</v>
      </c>
      <c r="K73" s="41" t="s">
        <v>945</v>
      </c>
    </row>
    <row r="74" spans="1:11" ht="15.75" thickBot="1">
      <c r="A74" s="73"/>
      <c r="B74" s="38" t="s">
        <v>1351</v>
      </c>
      <c r="C74" s="38" t="s">
        <v>947</v>
      </c>
      <c r="D74" s="38" t="s">
        <v>1351</v>
      </c>
      <c r="E74" s="38" t="s">
        <v>1140</v>
      </c>
      <c r="F74" s="38" t="s">
        <v>947</v>
      </c>
      <c r="G74" s="39" t="s">
        <v>1352</v>
      </c>
      <c r="H74" s="39" t="s">
        <v>1142</v>
      </c>
      <c r="I74" s="39" t="s">
        <v>1353</v>
      </c>
      <c r="J74" s="39" t="s">
        <v>1144</v>
      </c>
      <c r="K74" s="39" t="s">
        <v>1354</v>
      </c>
    </row>
    <row r="75" spans="1:11">
      <c r="A75" s="72" t="s">
        <v>240</v>
      </c>
      <c r="B75" s="40" t="s">
        <v>936</v>
      </c>
      <c r="C75" s="40" t="s">
        <v>937</v>
      </c>
      <c r="D75" s="40" t="s">
        <v>938</v>
      </c>
      <c r="E75" s="40" t="s">
        <v>939</v>
      </c>
      <c r="F75" s="40" t="s">
        <v>940</v>
      </c>
      <c r="G75" s="41" t="s">
        <v>941</v>
      </c>
      <c r="H75" s="41" t="s">
        <v>942</v>
      </c>
      <c r="I75" s="41" t="s">
        <v>943</v>
      </c>
      <c r="J75" s="41" t="s">
        <v>944</v>
      </c>
      <c r="K75" s="41" t="s">
        <v>945</v>
      </c>
    </row>
    <row r="76" spans="1:11" ht="15.75" thickBot="1">
      <c r="A76" s="73"/>
      <c r="B76" s="38" t="s">
        <v>1355</v>
      </c>
      <c r="C76" s="38" t="s">
        <v>947</v>
      </c>
      <c r="D76" s="38" t="s">
        <v>1355</v>
      </c>
      <c r="E76" s="38" t="s">
        <v>1149</v>
      </c>
      <c r="F76" s="38" t="s">
        <v>947</v>
      </c>
      <c r="G76" s="39" t="s">
        <v>1356</v>
      </c>
      <c r="H76" s="39" t="s">
        <v>1357</v>
      </c>
      <c r="I76" s="39" t="s">
        <v>1358</v>
      </c>
      <c r="J76" s="39" t="s">
        <v>1074</v>
      </c>
      <c r="K76" s="39" t="s">
        <v>1359</v>
      </c>
    </row>
    <row r="77" spans="1:11">
      <c r="A77" s="72" t="s">
        <v>244</v>
      </c>
      <c r="B77" s="40" t="s">
        <v>936</v>
      </c>
      <c r="C77" s="40" t="s">
        <v>937</v>
      </c>
      <c r="D77" s="40" t="s">
        <v>938</v>
      </c>
      <c r="E77" s="40" t="s">
        <v>939</v>
      </c>
      <c r="F77" s="40" t="s">
        <v>940</v>
      </c>
      <c r="G77" s="40" t="s">
        <v>941</v>
      </c>
      <c r="H77" s="41" t="s">
        <v>942</v>
      </c>
      <c r="I77" s="41" t="s">
        <v>943</v>
      </c>
      <c r="J77" s="41" t="s">
        <v>944</v>
      </c>
      <c r="K77" s="41" t="s">
        <v>945</v>
      </c>
    </row>
    <row r="78" spans="1:11" ht="15.75" thickBot="1">
      <c r="A78" s="73"/>
      <c r="B78" s="38" t="s">
        <v>1360</v>
      </c>
      <c r="C78" s="38" t="s">
        <v>947</v>
      </c>
      <c r="D78" s="38" t="s">
        <v>1360</v>
      </c>
      <c r="E78" s="38" t="s">
        <v>1058</v>
      </c>
      <c r="F78" s="38" t="s">
        <v>947</v>
      </c>
      <c r="G78" s="38" t="s">
        <v>1360</v>
      </c>
      <c r="H78" s="39" t="s">
        <v>947</v>
      </c>
      <c r="I78" s="39" t="s">
        <v>1361</v>
      </c>
      <c r="J78" s="39" t="s">
        <v>1058</v>
      </c>
      <c r="K78" s="39" t="s">
        <v>1361</v>
      </c>
    </row>
    <row r="79" spans="1:11">
      <c r="A79" s="72" t="s">
        <v>248</v>
      </c>
      <c r="B79" s="40" t="s">
        <v>936</v>
      </c>
      <c r="C79" s="40" t="s">
        <v>953</v>
      </c>
      <c r="D79" s="40" t="s">
        <v>941</v>
      </c>
      <c r="E79" s="40" t="s">
        <v>954</v>
      </c>
      <c r="F79" s="40" t="s">
        <v>938</v>
      </c>
      <c r="G79" s="40" t="s">
        <v>939</v>
      </c>
      <c r="H79" s="40" t="s">
        <v>955</v>
      </c>
      <c r="I79" s="40" t="s">
        <v>943</v>
      </c>
      <c r="J79" s="41" t="s">
        <v>944</v>
      </c>
      <c r="K79" s="41" t="s">
        <v>945</v>
      </c>
    </row>
    <row r="80" spans="1:11" ht="15.75" thickBot="1">
      <c r="A80" s="73"/>
      <c r="B80" s="38" t="s">
        <v>1362</v>
      </c>
      <c r="C80" s="38" t="s">
        <v>1154</v>
      </c>
      <c r="D80" s="38" t="s">
        <v>1363</v>
      </c>
      <c r="E80" s="38" t="s">
        <v>947</v>
      </c>
      <c r="F80" s="38" t="s">
        <v>1364</v>
      </c>
      <c r="G80" s="38" t="s">
        <v>1157</v>
      </c>
      <c r="H80" s="38" t="s">
        <v>947</v>
      </c>
      <c r="I80" s="38" t="s">
        <v>1364</v>
      </c>
      <c r="J80" s="39" t="s">
        <v>1158</v>
      </c>
      <c r="K80" s="39" t="s">
        <v>1364</v>
      </c>
    </row>
    <row r="81" spans="1:11">
      <c r="A81" s="72" t="s">
        <v>250</v>
      </c>
      <c r="B81" s="40" t="s">
        <v>936</v>
      </c>
      <c r="C81" s="40" t="s">
        <v>953</v>
      </c>
      <c r="D81" s="40" t="s">
        <v>941</v>
      </c>
      <c r="E81" s="40" t="s">
        <v>954</v>
      </c>
      <c r="F81" s="40" t="s">
        <v>938</v>
      </c>
      <c r="G81" s="40" t="s">
        <v>939</v>
      </c>
      <c r="H81" s="41" t="s">
        <v>955</v>
      </c>
      <c r="I81" s="41" t="s">
        <v>943</v>
      </c>
      <c r="J81" s="41" t="s">
        <v>944</v>
      </c>
      <c r="K81" s="41" t="s">
        <v>945</v>
      </c>
    </row>
    <row r="82" spans="1:11" ht="15.75" thickBot="1">
      <c r="A82" s="73"/>
      <c r="B82" s="38" t="s">
        <v>1365</v>
      </c>
      <c r="C82" s="38" t="s">
        <v>1366</v>
      </c>
      <c r="D82" s="38" t="s">
        <v>1367</v>
      </c>
      <c r="E82" s="38" t="s">
        <v>1368</v>
      </c>
      <c r="F82" s="38" t="s">
        <v>1367</v>
      </c>
      <c r="G82" s="38" t="s">
        <v>1369</v>
      </c>
      <c r="H82" s="39" t="s">
        <v>1370</v>
      </c>
      <c r="I82" s="39" t="s">
        <v>1371</v>
      </c>
      <c r="J82" s="39" t="s">
        <v>1372</v>
      </c>
      <c r="K82" s="39" t="s">
        <v>1373</v>
      </c>
    </row>
    <row r="83" spans="1:11">
      <c r="A83" s="75" t="s">
        <v>256</v>
      </c>
      <c r="B83" s="40" t="s">
        <v>936</v>
      </c>
      <c r="C83" s="40" t="s">
        <v>937</v>
      </c>
      <c r="D83" s="40" t="s">
        <v>938</v>
      </c>
      <c r="E83" s="40" t="s">
        <v>939</v>
      </c>
      <c r="F83" s="40" t="s">
        <v>940</v>
      </c>
      <c r="G83" s="40" t="s">
        <v>941</v>
      </c>
      <c r="H83" s="40" t="s">
        <v>942</v>
      </c>
      <c r="I83" s="40" t="s">
        <v>943</v>
      </c>
      <c r="J83" s="40" t="s">
        <v>944</v>
      </c>
      <c r="K83" s="40" t="s">
        <v>945</v>
      </c>
    </row>
    <row r="84" spans="1:11" ht="15.75" thickBot="1">
      <c r="A84" s="76"/>
      <c r="B84" s="38" t="s">
        <v>1279</v>
      </c>
      <c r="C84" s="38" t="s">
        <v>947</v>
      </c>
      <c r="D84" s="38" t="s">
        <v>1279</v>
      </c>
      <c r="E84" s="38" t="s">
        <v>952</v>
      </c>
      <c r="F84" s="38" t="s">
        <v>1017</v>
      </c>
      <c r="G84" s="38" t="s">
        <v>1279</v>
      </c>
      <c r="H84" s="38" t="s">
        <v>1017</v>
      </c>
      <c r="I84" s="38" t="s">
        <v>1279</v>
      </c>
      <c r="J84" s="38" t="s">
        <v>947</v>
      </c>
      <c r="K84" s="38" t="s">
        <v>1279</v>
      </c>
    </row>
    <row r="85" spans="1:11">
      <c r="A85" s="72" t="s">
        <v>258</v>
      </c>
      <c r="B85" s="40" t="s">
        <v>936</v>
      </c>
      <c r="C85" s="40" t="s">
        <v>937</v>
      </c>
      <c r="D85" s="40" t="s">
        <v>938</v>
      </c>
      <c r="E85" s="40" t="s">
        <v>939</v>
      </c>
      <c r="F85" s="40" t="s">
        <v>940</v>
      </c>
      <c r="G85" s="40" t="s">
        <v>941</v>
      </c>
      <c r="H85" s="41" t="s">
        <v>942</v>
      </c>
      <c r="I85" s="41" t="s">
        <v>943</v>
      </c>
      <c r="J85" s="41" t="s">
        <v>944</v>
      </c>
      <c r="K85" s="41" t="s">
        <v>945</v>
      </c>
    </row>
    <row r="86" spans="1:11" ht="15.75" thickBot="1">
      <c r="A86" s="73"/>
      <c r="B86" s="38" t="s">
        <v>1374</v>
      </c>
      <c r="C86" s="38" t="s">
        <v>947</v>
      </c>
      <c r="D86" s="38" t="s">
        <v>1374</v>
      </c>
      <c r="E86" s="38" t="s">
        <v>1058</v>
      </c>
      <c r="F86" s="38" t="s">
        <v>947</v>
      </c>
      <c r="G86" s="38" t="s">
        <v>1374</v>
      </c>
      <c r="H86" s="39" t="s">
        <v>947</v>
      </c>
      <c r="I86" s="39" t="s">
        <v>1375</v>
      </c>
      <c r="J86" s="39" t="s">
        <v>1058</v>
      </c>
      <c r="K86" s="39" t="s">
        <v>1375</v>
      </c>
    </row>
    <row r="87" spans="1:11">
      <c r="A87" s="75" t="s">
        <v>260</v>
      </c>
      <c r="B87" s="40" t="s">
        <v>936</v>
      </c>
      <c r="C87" s="40" t="s">
        <v>937</v>
      </c>
      <c r="D87" s="40" t="s">
        <v>938</v>
      </c>
      <c r="E87" s="40" t="s">
        <v>939</v>
      </c>
      <c r="F87" s="40" t="s">
        <v>940</v>
      </c>
      <c r="G87" s="40" t="s">
        <v>941</v>
      </c>
      <c r="H87" s="40" t="s">
        <v>942</v>
      </c>
      <c r="I87" s="40" t="s">
        <v>943</v>
      </c>
      <c r="J87" s="40" t="s">
        <v>944</v>
      </c>
      <c r="K87" s="40" t="s">
        <v>945</v>
      </c>
    </row>
    <row r="88" spans="1:11" ht="15.75" thickBot="1">
      <c r="A88" s="76"/>
      <c r="B88" s="38" t="s">
        <v>1376</v>
      </c>
      <c r="C88" s="38" t="s">
        <v>947</v>
      </c>
      <c r="D88" s="38" t="s">
        <v>1376</v>
      </c>
      <c r="E88" s="38" t="s">
        <v>952</v>
      </c>
      <c r="F88" s="38" t="s">
        <v>947</v>
      </c>
      <c r="G88" s="38" t="s">
        <v>1376</v>
      </c>
      <c r="H88" s="38" t="s">
        <v>947</v>
      </c>
      <c r="I88" s="38" t="s">
        <v>1376</v>
      </c>
      <c r="J88" s="38" t="s">
        <v>947</v>
      </c>
      <c r="K88" s="38" t="s">
        <v>1376</v>
      </c>
    </row>
    <row r="89" spans="1:11">
      <c r="A89" s="72" t="s">
        <v>262</v>
      </c>
      <c r="B89" s="40" t="s">
        <v>936</v>
      </c>
      <c r="C89" s="40" t="s">
        <v>953</v>
      </c>
      <c r="D89" s="40" t="s">
        <v>941</v>
      </c>
      <c r="E89" s="40" t="s">
        <v>954</v>
      </c>
      <c r="F89" s="40" t="s">
        <v>938</v>
      </c>
      <c r="G89" s="40" t="s">
        <v>939</v>
      </c>
      <c r="H89" s="40" t="s">
        <v>955</v>
      </c>
      <c r="I89" s="40" t="s">
        <v>943</v>
      </c>
      <c r="J89" s="41" t="s">
        <v>944</v>
      </c>
      <c r="K89" s="41" t="s">
        <v>945</v>
      </c>
    </row>
    <row r="90" spans="1:11" ht="15.75" thickBot="1">
      <c r="A90" s="73"/>
      <c r="B90" s="38" t="s">
        <v>1377</v>
      </c>
      <c r="C90" s="38" t="s">
        <v>1174</v>
      </c>
      <c r="D90" s="38" t="s">
        <v>1377</v>
      </c>
      <c r="E90" s="38" t="s">
        <v>1176</v>
      </c>
      <c r="F90" s="38" t="s">
        <v>1286</v>
      </c>
      <c r="G90" s="38" t="s">
        <v>1175</v>
      </c>
      <c r="H90" s="38" t="s">
        <v>947</v>
      </c>
      <c r="I90" s="38" t="s">
        <v>1286</v>
      </c>
      <c r="J90" s="39" t="s">
        <v>1178</v>
      </c>
      <c r="K90" s="39" t="s">
        <v>1286</v>
      </c>
    </row>
    <row r="91" spans="1:11">
      <c r="A91" s="75" t="s">
        <v>266</v>
      </c>
      <c r="B91" s="40" t="s">
        <v>936</v>
      </c>
      <c r="C91" s="40" t="s">
        <v>937</v>
      </c>
      <c r="D91" s="40" t="s">
        <v>938</v>
      </c>
      <c r="E91" s="40" t="s">
        <v>939</v>
      </c>
      <c r="F91" s="40" t="s">
        <v>940</v>
      </c>
      <c r="G91" s="40" t="s">
        <v>941</v>
      </c>
      <c r="H91" s="40" t="s">
        <v>942</v>
      </c>
      <c r="I91" s="40" t="s">
        <v>943</v>
      </c>
      <c r="J91" s="40" t="s">
        <v>944</v>
      </c>
      <c r="K91" s="40" t="s">
        <v>945</v>
      </c>
    </row>
    <row r="92" spans="1:11" ht="15.75" thickBot="1">
      <c r="A92" s="76"/>
      <c r="B92" s="38" t="s">
        <v>1321</v>
      </c>
      <c r="C92" s="38" t="s">
        <v>947</v>
      </c>
      <c r="D92" s="38" t="s">
        <v>1321</v>
      </c>
      <c r="E92" s="38" t="s">
        <v>952</v>
      </c>
      <c r="F92" s="38" t="s">
        <v>947</v>
      </c>
      <c r="G92" s="38" t="s">
        <v>1321</v>
      </c>
      <c r="H92" s="38" t="s">
        <v>947</v>
      </c>
      <c r="I92" s="38" t="s">
        <v>1321</v>
      </c>
      <c r="J92" s="38" t="s">
        <v>947</v>
      </c>
      <c r="K92" s="38" t="s">
        <v>1321</v>
      </c>
    </row>
    <row r="93" spans="1:11">
      <c r="A93" s="72" t="s">
        <v>276</v>
      </c>
      <c r="B93" s="40" t="s">
        <v>936</v>
      </c>
      <c r="C93" s="40" t="s">
        <v>953</v>
      </c>
      <c r="D93" s="40" t="s">
        <v>941</v>
      </c>
      <c r="E93" s="40" t="s">
        <v>954</v>
      </c>
      <c r="F93" s="40" t="s">
        <v>938</v>
      </c>
      <c r="G93" s="40" t="s">
        <v>939</v>
      </c>
      <c r="H93" s="41" t="s">
        <v>955</v>
      </c>
      <c r="I93" s="41" t="s">
        <v>943</v>
      </c>
      <c r="J93" s="41" t="s">
        <v>944</v>
      </c>
      <c r="K93" s="41" t="s">
        <v>945</v>
      </c>
    </row>
    <row r="94" spans="1:11" ht="15.75" thickBot="1">
      <c r="A94" s="73"/>
      <c r="B94" s="38" t="s">
        <v>1378</v>
      </c>
      <c r="C94" s="38" t="s">
        <v>1379</v>
      </c>
      <c r="D94" s="38" t="s">
        <v>1380</v>
      </c>
      <c r="E94" s="38" t="s">
        <v>1381</v>
      </c>
      <c r="F94" s="38" t="s">
        <v>1382</v>
      </c>
      <c r="G94" s="38" t="s">
        <v>1185</v>
      </c>
      <c r="H94" s="39" t="s">
        <v>1383</v>
      </c>
      <c r="I94" s="39" t="s">
        <v>1084</v>
      </c>
      <c r="J94" s="39" t="s">
        <v>1384</v>
      </c>
      <c r="K94" s="39" t="s">
        <v>1385</v>
      </c>
    </row>
    <row r="95" spans="1:11">
      <c r="A95" s="72" t="s">
        <v>282</v>
      </c>
      <c r="B95" s="40" t="s">
        <v>936</v>
      </c>
      <c r="C95" s="40" t="s">
        <v>937</v>
      </c>
      <c r="D95" s="40" t="s">
        <v>938</v>
      </c>
      <c r="E95" s="40" t="s">
        <v>939</v>
      </c>
      <c r="F95" s="40" t="s">
        <v>940</v>
      </c>
      <c r="G95" s="40" t="s">
        <v>941</v>
      </c>
      <c r="H95" s="41" t="s">
        <v>942</v>
      </c>
      <c r="I95" s="41" t="s">
        <v>943</v>
      </c>
      <c r="J95" s="41" t="s">
        <v>944</v>
      </c>
      <c r="K95" s="41" t="s">
        <v>945</v>
      </c>
    </row>
    <row r="96" spans="1:11" ht="15.75" thickBot="1">
      <c r="A96" s="73"/>
      <c r="B96" s="38" t="s">
        <v>1386</v>
      </c>
      <c r="C96" s="38" t="s">
        <v>947</v>
      </c>
      <c r="D96" s="38" t="s">
        <v>1386</v>
      </c>
      <c r="E96" s="38" t="s">
        <v>1191</v>
      </c>
      <c r="F96" s="38" t="s">
        <v>947</v>
      </c>
      <c r="G96" s="38" t="s">
        <v>1386</v>
      </c>
      <c r="H96" s="39" t="s">
        <v>947</v>
      </c>
      <c r="I96" s="39" t="s">
        <v>1387</v>
      </c>
      <c r="J96" s="39" t="s">
        <v>1189</v>
      </c>
      <c r="K96" s="39" t="s">
        <v>1387</v>
      </c>
    </row>
    <row r="97" spans="1:11">
      <c r="A97" s="72" t="s">
        <v>286</v>
      </c>
      <c r="B97" s="40" t="s">
        <v>936</v>
      </c>
      <c r="C97" s="40" t="s">
        <v>953</v>
      </c>
      <c r="D97" s="40" t="s">
        <v>941</v>
      </c>
      <c r="E97" s="40" t="s">
        <v>954</v>
      </c>
      <c r="F97" s="40" t="s">
        <v>938</v>
      </c>
      <c r="G97" s="40" t="s">
        <v>939</v>
      </c>
      <c r="H97" s="41" t="s">
        <v>955</v>
      </c>
      <c r="I97" s="41" t="s">
        <v>943</v>
      </c>
      <c r="J97" s="41" t="s">
        <v>944</v>
      </c>
      <c r="K97" s="41" t="s">
        <v>945</v>
      </c>
    </row>
    <row r="98" spans="1:11" ht="15.75" thickBot="1">
      <c r="A98" s="73"/>
      <c r="B98" s="38" t="s">
        <v>1388</v>
      </c>
      <c r="C98" s="38" t="s">
        <v>1193</v>
      </c>
      <c r="D98" s="38" t="s">
        <v>1388</v>
      </c>
      <c r="E98" s="38" t="s">
        <v>947</v>
      </c>
      <c r="F98" s="38" t="s">
        <v>1388</v>
      </c>
      <c r="G98" s="38" t="s">
        <v>1197</v>
      </c>
      <c r="H98" s="39" t="s">
        <v>1389</v>
      </c>
      <c r="I98" s="39" t="s">
        <v>1388</v>
      </c>
      <c r="J98" s="39" t="s">
        <v>1195</v>
      </c>
      <c r="K98" s="39" t="s">
        <v>1390</v>
      </c>
    </row>
    <row r="99" spans="1:11">
      <c r="A99" s="72" t="s">
        <v>288</v>
      </c>
      <c r="B99" s="40" t="s">
        <v>936</v>
      </c>
      <c r="C99" s="40" t="s">
        <v>937</v>
      </c>
      <c r="D99" s="40" t="s">
        <v>938</v>
      </c>
      <c r="E99" s="40" t="s">
        <v>939</v>
      </c>
      <c r="F99" s="41" t="s">
        <v>940</v>
      </c>
      <c r="G99" s="41" t="s">
        <v>941</v>
      </c>
      <c r="H99" s="41" t="s">
        <v>942</v>
      </c>
      <c r="I99" s="41" t="s">
        <v>943</v>
      </c>
      <c r="J99" s="41" t="s">
        <v>944</v>
      </c>
      <c r="K99" s="41" t="s">
        <v>945</v>
      </c>
    </row>
    <row r="100" spans="1:11" ht="15.75" thickBot="1">
      <c r="A100" s="73"/>
      <c r="B100" s="38" t="s">
        <v>1391</v>
      </c>
      <c r="C100" s="38" t="s">
        <v>1392</v>
      </c>
      <c r="D100" s="38" t="s">
        <v>1391</v>
      </c>
      <c r="E100" s="38" t="s">
        <v>1208</v>
      </c>
      <c r="F100" s="39" t="s">
        <v>1393</v>
      </c>
      <c r="G100" s="39" t="s">
        <v>1394</v>
      </c>
      <c r="H100" s="39" t="s">
        <v>1395</v>
      </c>
      <c r="I100" s="39" t="s">
        <v>1396</v>
      </c>
      <c r="J100" s="39" t="s">
        <v>1397</v>
      </c>
      <c r="K100" s="39" t="s">
        <v>1398</v>
      </c>
    </row>
    <row r="101" spans="1:11">
      <c r="A101" s="72" t="s">
        <v>294</v>
      </c>
      <c r="B101" s="40" t="s">
        <v>936</v>
      </c>
      <c r="C101" s="40" t="s">
        <v>937</v>
      </c>
      <c r="D101" s="40" t="s">
        <v>938</v>
      </c>
      <c r="E101" s="40" t="s">
        <v>939</v>
      </c>
      <c r="F101" s="40" t="s">
        <v>940</v>
      </c>
      <c r="G101" s="40" t="s">
        <v>941</v>
      </c>
      <c r="H101" s="41" t="s">
        <v>942</v>
      </c>
      <c r="I101" s="41" t="s">
        <v>943</v>
      </c>
      <c r="J101" s="41" t="s">
        <v>944</v>
      </c>
      <c r="K101" s="41" t="s">
        <v>945</v>
      </c>
    </row>
    <row r="102" spans="1:11" ht="15.75" thickBot="1">
      <c r="A102" s="73"/>
      <c r="B102" s="38" t="s">
        <v>1399</v>
      </c>
      <c r="C102" s="38" t="s">
        <v>1400</v>
      </c>
      <c r="D102" s="38" t="s">
        <v>1399</v>
      </c>
      <c r="E102" s="38" t="s">
        <v>1216</v>
      </c>
      <c r="F102" s="38" t="s">
        <v>947</v>
      </c>
      <c r="G102" s="38" t="s">
        <v>1399</v>
      </c>
      <c r="H102" s="39" t="s">
        <v>1401</v>
      </c>
      <c r="I102" s="39" t="s">
        <v>1402</v>
      </c>
      <c r="J102" s="39" t="s">
        <v>1403</v>
      </c>
      <c r="K102" s="39" t="s">
        <v>1404</v>
      </c>
    </row>
    <row r="103" spans="1:11">
      <c r="A103" s="72" t="s">
        <v>296</v>
      </c>
      <c r="B103" s="40" t="s">
        <v>936</v>
      </c>
      <c r="C103" s="40" t="s">
        <v>953</v>
      </c>
      <c r="D103" s="40" t="s">
        <v>941</v>
      </c>
      <c r="E103" s="40" t="s">
        <v>954</v>
      </c>
      <c r="F103" s="40" t="s">
        <v>938</v>
      </c>
      <c r="G103" s="40" t="s">
        <v>939</v>
      </c>
      <c r="H103" s="40" t="s">
        <v>955</v>
      </c>
      <c r="I103" s="40" t="s">
        <v>943</v>
      </c>
      <c r="J103" s="41" t="s">
        <v>944</v>
      </c>
      <c r="K103" s="41" t="s">
        <v>945</v>
      </c>
    </row>
    <row r="104" spans="1:11" ht="15.75" thickBot="1">
      <c r="A104" s="77"/>
      <c r="B104" s="38" t="s">
        <v>1405</v>
      </c>
      <c r="C104" s="38" t="s">
        <v>1212</v>
      </c>
      <c r="D104" s="38" t="s">
        <v>1405</v>
      </c>
      <c r="E104" s="38" t="s">
        <v>1222</v>
      </c>
      <c r="F104" s="38" t="s">
        <v>1406</v>
      </c>
      <c r="G104" s="38" t="s">
        <v>1219</v>
      </c>
      <c r="H104" s="38" t="s">
        <v>947</v>
      </c>
      <c r="I104" s="38" t="s">
        <v>1406</v>
      </c>
      <c r="J104" s="39" t="s">
        <v>1407</v>
      </c>
      <c r="K104" s="39" t="s">
        <v>1406</v>
      </c>
    </row>
  </sheetData>
  <mergeCells count="52">
    <mergeCell ref="A97:A98"/>
    <mergeCell ref="A99:A100"/>
    <mergeCell ref="A101:A102"/>
    <mergeCell ref="A103:A104"/>
    <mergeCell ref="A85:A86"/>
    <mergeCell ref="A87:A88"/>
    <mergeCell ref="A89:A90"/>
    <mergeCell ref="A91:A92"/>
    <mergeCell ref="A93:A94"/>
    <mergeCell ref="A95:A96"/>
    <mergeCell ref="A83:A84"/>
    <mergeCell ref="A61:A62"/>
    <mergeCell ref="A63:A64"/>
    <mergeCell ref="A65:A66"/>
    <mergeCell ref="A67:A68"/>
    <mergeCell ref="A69:A70"/>
    <mergeCell ref="A71:A72"/>
    <mergeCell ref="A73:A74"/>
    <mergeCell ref="A75:A76"/>
    <mergeCell ref="A77:A78"/>
    <mergeCell ref="A79:A80"/>
    <mergeCell ref="A81:A82"/>
    <mergeCell ref="A59:A60"/>
    <mergeCell ref="A37:A38"/>
    <mergeCell ref="A39:A40"/>
    <mergeCell ref="A41:A42"/>
    <mergeCell ref="A43:A44"/>
    <mergeCell ref="A45:A46"/>
    <mergeCell ref="A47:A48"/>
    <mergeCell ref="A49:A50"/>
    <mergeCell ref="A51:A52"/>
    <mergeCell ref="A53:A54"/>
    <mergeCell ref="A55:A56"/>
    <mergeCell ref="A57:A58"/>
    <mergeCell ref="A35:A36"/>
    <mergeCell ref="A13:A14"/>
    <mergeCell ref="A15:A16"/>
    <mergeCell ref="A17:A18"/>
    <mergeCell ref="A19:A20"/>
    <mergeCell ref="A21:A22"/>
    <mergeCell ref="A23:A24"/>
    <mergeCell ref="A25:A26"/>
    <mergeCell ref="A27:A28"/>
    <mergeCell ref="A29:A30"/>
    <mergeCell ref="A31:A32"/>
    <mergeCell ref="A33:A34"/>
    <mergeCell ref="A11:A12"/>
    <mergeCell ref="A1:A2"/>
    <mergeCell ref="A3:A4"/>
    <mergeCell ref="A5:A6"/>
    <mergeCell ref="A7:A8"/>
    <mergeCell ref="A9:A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8CCD-A9C9-425F-97FD-05BF04A56296}">
  <sheetPr>
    <tabColor theme="7" tint="-0.249977111117893"/>
  </sheetPr>
  <dimension ref="A1:K22"/>
  <sheetViews>
    <sheetView workbookViewId="0">
      <selection activeCell="H16" sqref="H16"/>
    </sheetView>
  </sheetViews>
  <sheetFormatPr defaultRowHeight="15"/>
  <sheetData>
    <row r="1" spans="1:11">
      <c r="A1" s="78" t="s">
        <v>1408</v>
      </c>
      <c r="B1" s="79"/>
      <c r="C1" s="79"/>
      <c r="D1" s="79"/>
      <c r="E1" s="79"/>
      <c r="F1" s="79"/>
      <c r="G1" s="79"/>
      <c r="H1" s="79"/>
      <c r="I1" s="79"/>
      <c r="J1" s="79"/>
      <c r="K1" s="79"/>
    </row>
    <row r="2" spans="1:11">
      <c r="A2" s="79"/>
      <c r="B2" s="79"/>
      <c r="C2" s="79"/>
      <c r="D2" s="79"/>
      <c r="E2" s="79"/>
      <c r="F2" s="79"/>
      <c r="G2" s="79"/>
      <c r="H2" s="79"/>
      <c r="I2" s="79"/>
      <c r="J2" s="79"/>
      <c r="K2" s="79"/>
    </row>
    <row r="3" spans="1:11">
      <c r="A3" s="79"/>
      <c r="B3" s="79"/>
      <c r="C3" s="79"/>
      <c r="D3" s="79"/>
      <c r="E3" s="79"/>
      <c r="F3" s="79"/>
      <c r="G3" s="79"/>
      <c r="H3" s="79"/>
      <c r="I3" s="79"/>
      <c r="J3" s="79"/>
      <c r="K3" s="79"/>
    </row>
    <row r="4" spans="1:11">
      <c r="A4" s="79"/>
      <c r="B4" s="79"/>
      <c r="C4" s="79"/>
      <c r="D4" s="79"/>
      <c r="E4" s="79"/>
      <c r="F4" s="79"/>
      <c r="G4" s="79"/>
      <c r="H4" s="79"/>
      <c r="I4" s="79"/>
      <c r="J4" s="79"/>
      <c r="K4" s="79"/>
    </row>
    <row r="5" spans="1:11">
      <c r="A5" s="79"/>
      <c r="B5" s="79"/>
      <c r="C5" s="79"/>
      <c r="D5" s="79"/>
      <c r="E5" s="79"/>
      <c r="F5" s="79"/>
      <c r="G5" s="79"/>
      <c r="H5" s="79"/>
      <c r="I5" s="79"/>
      <c r="J5" s="79"/>
      <c r="K5" s="79"/>
    </row>
    <row r="6" spans="1:11">
      <c r="A6" s="79"/>
      <c r="B6" s="79"/>
      <c r="C6" s="79"/>
      <c r="D6" s="79"/>
      <c r="E6" s="79"/>
      <c r="F6" s="79"/>
      <c r="G6" s="79"/>
      <c r="H6" s="79"/>
      <c r="I6" s="79"/>
      <c r="J6" s="79"/>
      <c r="K6" s="79"/>
    </row>
    <row r="7" spans="1:11">
      <c r="A7" s="79"/>
      <c r="B7" s="79"/>
      <c r="C7" s="79"/>
      <c r="D7" s="79"/>
      <c r="E7" s="79"/>
      <c r="F7" s="79"/>
      <c r="G7" s="79"/>
      <c r="H7" s="79"/>
      <c r="I7" s="79"/>
      <c r="J7" s="79"/>
      <c r="K7" s="79"/>
    </row>
    <row r="8" spans="1:11">
      <c r="A8" s="79"/>
      <c r="B8" s="79"/>
      <c r="C8" s="79"/>
      <c r="D8" s="79"/>
      <c r="E8" s="79"/>
      <c r="F8" s="79"/>
      <c r="G8" s="79"/>
      <c r="H8" s="79"/>
      <c r="I8" s="79"/>
      <c r="J8" s="79"/>
      <c r="K8" s="79"/>
    </row>
    <row r="9" spans="1:11">
      <c r="A9" s="79"/>
      <c r="B9" s="79"/>
      <c r="C9" s="79"/>
      <c r="D9" s="79"/>
      <c r="E9" s="79"/>
      <c r="F9" s="79"/>
      <c r="G9" s="79"/>
      <c r="H9" s="79"/>
      <c r="I9" s="79"/>
      <c r="J9" s="79"/>
      <c r="K9" s="79"/>
    </row>
    <row r="10" spans="1:11">
      <c r="A10" s="79"/>
      <c r="B10" s="79"/>
      <c r="C10" s="79"/>
      <c r="D10" s="79"/>
      <c r="E10" s="79"/>
      <c r="F10" s="79"/>
      <c r="G10" s="79"/>
      <c r="H10" s="79"/>
      <c r="I10" s="79"/>
      <c r="J10" s="79"/>
      <c r="K10" s="79"/>
    </row>
    <row r="11" spans="1:11">
      <c r="A11" s="79"/>
      <c r="B11" s="79"/>
      <c r="C11" s="79"/>
      <c r="D11" s="79"/>
      <c r="E11" s="79"/>
      <c r="F11" s="79"/>
      <c r="G11" s="79"/>
      <c r="H11" s="79"/>
      <c r="I11" s="79"/>
      <c r="J11" s="79"/>
      <c r="K11" s="79"/>
    </row>
    <row r="12" spans="1:11">
      <c r="A12" s="79"/>
      <c r="B12" s="79"/>
      <c r="C12" s="79"/>
      <c r="D12" s="79"/>
      <c r="E12" s="79"/>
      <c r="F12" s="79"/>
      <c r="G12" s="79"/>
      <c r="H12" s="79"/>
      <c r="I12" s="79"/>
      <c r="J12" s="79"/>
      <c r="K12" s="79"/>
    </row>
    <row r="13" spans="1:11">
      <c r="A13" s="79"/>
      <c r="B13" s="79"/>
      <c r="C13" s="79"/>
      <c r="D13" s="79"/>
      <c r="E13" s="79"/>
      <c r="F13" s="79"/>
      <c r="G13" s="79"/>
      <c r="H13" s="79"/>
      <c r="I13" s="79"/>
      <c r="J13" s="79"/>
      <c r="K13" s="79"/>
    </row>
    <row r="14" spans="1:11">
      <c r="A14" s="79"/>
      <c r="B14" s="79"/>
      <c r="C14" s="79"/>
      <c r="D14" s="79"/>
      <c r="E14" s="79"/>
      <c r="F14" s="79"/>
      <c r="G14" s="79"/>
      <c r="H14" s="79"/>
      <c r="I14" s="79"/>
      <c r="J14" s="79"/>
      <c r="K14" s="79"/>
    </row>
    <row r="15" spans="1:11">
      <c r="A15" s="79"/>
      <c r="B15" s="79"/>
      <c r="C15" s="79"/>
      <c r="D15" s="79"/>
      <c r="E15" s="79"/>
      <c r="F15" s="79"/>
      <c r="G15" s="79"/>
      <c r="H15" s="79"/>
      <c r="I15" s="79"/>
      <c r="J15" s="79"/>
      <c r="K15" s="79"/>
    </row>
    <row r="16" spans="1:11">
      <c r="A16" s="79"/>
      <c r="B16" s="79"/>
      <c r="C16" s="79"/>
      <c r="D16" s="79"/>
      <c r="E16" s="79"/>
      <c r="F16" s="79"/>
      <c r="G16" s="79"/>
      <c r="H16" s="79"/>
      <c r="I16" s="79"/>
      <c r="J16" s="79"/>
      <c r="K16" s="79"/>
    </row>
    <row r="17" spans="1:11">
      <c r="A17" s="79"/>
      <c r="B17" s="79"/>
      <c r="C17" s="79"/>
      <c r="D17" s="79"/>
      <c r="E17" s="79"/>
      <c r="F17" s="79"/>
      <c r="G17" s="79"/>
      <c r="H17" s="79"/>
      <c r="I17" s="79"/>
      <c r="J17" s="79"/>
      <c r="K17" s="79"/>
    </row>
    <row r="18" spans="1:11">
      <c r="A18" s="79"/>
      <c r="B18" s="79"/>
      <c r="C18" s="79"/>
      <c r="D18" s="79"/>
      <c r="E18" s="79"/>
      <c r="F18" s="79"/>
      <c r="G18" s="79"/>
      <c r="H18" s="79"/>
      <c r="I18" s="79"/>
      <c r="J18" s="79"/>
      <c r="K18" s="79"/>
    </row>
    <row r="19" spans="1:11">
      <c r="A19" s="79"/>
      <c r="B19" s="79"/>
      <c r="C19" s="79"/>
      <c r="D19" s="79"/>
      <c r="E19" s="79"/>
      <c r="F19" s="79"/>
      <c r="G19" s="79"/>
      <c r="H19" s="79"/>
      <c r="I19" s="79"/>
      <c r="J19" s="79"/>
      <c r="K19" s="79"/>
    </row>
    <row r="20" spans="1:11">
      <c r="A20" s="79"/>
      <c r="B20" s="79"/>
      <c r="C20" s="79"/>
      <c r="D20" s="79"/>
      <c r="E20" s="79"/>
      <c r="F20" s="79"/>
      <c r="G20" s="79"/>
      <c r="H20" s="79"/>
      <c r="I20" s="79"/>
      <c r="J20" s="79"/>
      <c r="K20" s="79"/>
    </row>
    <row r="21" spans="1:11">
      <c r="A21" s="79"/>
      <c r="B21" s="79"/>
      <c r="C21" s="79"/>
      <c r="D21" s="79"/>
      <c r="E21" s="79"/>
      <c r="F21" s="79"/>
      <c r="G21" s="79"/>
      <c r="H21" s="79"/>
      <c r="I21" s="79"/>
      <c r="J21" s="79"/>
      <c r="K21" s="79"/>
    </row>
    <row r="22" spans="1:11">
      <c r="A22" s="79"/>
      <c r="B22" s="79"/>
      <c r="C22" s="79"/>
      <c r="D22" s="79"/>
      <c r="E22" s="79"/>
      <c r="F22" s="79"/>
      <c r="G22" s="79"/>
      <c r="H22" s="79"/>
      <c r="I22" s="79"/>
      <c r="J22" s="79"/>
      <c r="K22" s="79"/>
    </row>
  </sheetData>
  <mergeCells count="1">
    <mergeCell ref="A1:K2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88B4-FD27-4696-B6AF-DBBFAB66AEE3}">
  <sheetPr>
    <tabColor theme="6" tint="0.39997558519241921"/>
  </sheetPr>
  <dimension ref="A1:H147"/>
  <sheetViews>
    <sheetView topLeftCell="A97" workbookViewId="0">
      <selection activeCell="E16" sqref="E16"/>
    </sheetView>
  </sheetViews>
  <sheetFormatPr defaultRowHeight="15"/>
  <cols>
    <col min="1" max="1" width="20.7109375" customWidth="1"/>
    <col min="2" max="2" width="24" customWidth="1"/>
    <col min="3" max="8" width="15.7109375" customWidth="1"/>
  </cols>
  <sheetData>
    <row r="1" spans="1:8" ht="18" thickBot="1">
      <c r="A1" s="80" t="s">
        <v>676</v>
      </c>
      <c r="B1" s="65" t="s">
        <v>677</v>
      </c>
      <c r="C1" s="66" t="s">
        <v>678</v>
      </c>
      <c r="D1" s="66"/>
      <c r="E1" s="66"/>
      <c r="F1" s="66" t="s">
        <v>679</v>
      </c>
      <c r="G1" s="66"/>
      <c r="H1" s="66"/>
    </row>
    <row r="2" spans="1:8" ht="15.75" thickBot="1">
      <c r="A2" s="61"/>
      <c r="B2" s="60"/>
      <c r="C2" s="17">
        <v>2015</v>
      </c>
      <c r="D2" s="18">
        <v>2030</v>
      </c>
      <c r="E2" s="18">
        <v>2050</v>
      </c>
      <c r="F2" s="17">
        <v>2015</v>
      </c>
      <c r="G2" s="17">
        <v>2030</v>
      </c>
      <c r="H2" s="17">
        <v>2050</v>
      </c>
    </row>
    <row r="3" spans="1:8">
      <c r="A3" s="26" t="s">
        <v>680</v>
      </c>
      <c r="B3" s="27" t="s">
        <v>204</v>
      </c>
      <c r="C3" s="13">
        <v>4397901</v>
      </c>
      <c r="D3" s="13">
        <v>784</v>
      </c>
      <c r="E3" s="13">
        <v>143583</v>
      </c>
      <c r="F3" s="13">
        <v>590586744</v>
      </c>
      <c r="G3" s="13">
        <v>105254</v>
      </c>
      <c r="H3" s="13">
        <v>20939129</v>
      </c>
    </row>
    <row r="4" spans="1:8">
      <c r="A4" s="2" t="s">
        <v>681</v>
      </c>
      <c r="B4" s="28" t="s">
        <v>76</v>
      </c>
      <c r="C4" s="3">
        <v>4924215</v>
      </c>
      <c r="D4" s="3">
        <v>38976</v>
      </c>
      <c r="E4" s="3">
        <v>34662</v>
      </c>
      <c r="F4" s="3">
        <v>1144283109</v>
      </c>
      <c r="G4" s="3">
        <v>1423152</v>
      </c>
      <c r="H4" s="3">
        <v>34662</v>
      </c>
    </row>
    <row r="5" spans="1:8">
      <c r="A5" s="2" t="s">
        <v>682</v>
      </c>
      <c r="B5" s="28" t="s">
        <v>256</v>
      </c>
      <c r="C5" s="3">
        <v>68701421</v>
      </c>
      <c r="D5" s="3">
        <v>930294</v>
      </c>
      <c r="E5" s="3">
        <v>959997</v>
      </c>
      <c r="F5" s="3">
        <v>11408101131</v>
      </c>
      <c r="G5" s="3">
        <v>105867404</v>
      </c>
      <c r="H5" s="3">
        <v>109247602</v>
      </c>
    </row>
    <row r="6" spans="1:8">
      <c r="A6" s="2" t="s">
        <v>683</v>
      </c>
      <c r="B6" s="28" t="s">
        <v>92</v>
      </c>
      <c r="C6" s="3">
        <v>35049678</v>
      </c>
      <c r="D6" s="3">
        <v>2930951</v>
      </c>
      <c r="E6" s="3">
        <v>2679320</v>
      </c>
      <c r="F6" s="3">
        <v>6333295405</v>
      </c>
      <c r="G6" s="3">
        <v>419959469</v>
      </c>
      <c r="H6" s="3">
        <v>304906567</v>
      </c>
    </row>
    <row r="7" spans="1:8" ht="30">
      <c r="A7" s="2" t="s">
        <v>684</v>
      </c>
      <c r="B7" s="28" t="s">
        <v>685</v>
      </c>
      <c r="C7" s="3">
        <v>26993093</v>
      </c>
      <c r="D7" s="3">
        <v>1000918</v>
      </c>
      <c r="E7" s="3">
        <v>23618</v>
      </c>
      <c r="F7" s="3">
        <v>2135090990</v>
      </c>
      <c r="G7" s="3">
        <v>27715897</v>
      </c>
      <c r="H7" s="3">
        <v>23618</v>
      </c>
    </row>
    <row r="8" spans="1:8">
      <c r="A8" s="2" t="s">
        <v>686</v>
      </c>
      <c r="B8" s="28" t="s">
        <v>216</v>
      </c>
      <c r="C8" s="3">
        <v>206840701</v>
      </c>
      <c r="D8" s="3">
        <v>3008389</v>
      </c>
      <c r="E8" s="3">
        <v>0</v>
      </c>
      <c r="F8" s="3">
        <v>3549221661</v>
      </c>
      <c r="G8" s="3">
        <v>10787132</v>
      </c>
      <c r="H8" s="3">
        <v>0</v>
      </c>
    </row>
    <row r="9" spans="1:8" ht="30">
      <c r="A9" s="2" t="s">
        <v>687</v>
      </c>
      <c r="B9" s="28" t="s">
        <v>688</v>
      </c>
      <c r="C9" s="3">
        <v>353774812</v>
      </c>
      <c r="D9" s="3">
        <v>32036917</v>
      </c>
      <c r="E9" s="3">
        <v>0</v>
      </c>
      <c r="F9" s="3">
        <v>4087576715</v>
      </c>
      <c r="G9" s="3">
        <v>40084578</v>
      </c>
      <c r="H9" s="3">
        <v>0</v>
      </c>
    </row>
    <row r="10" spans="1:8">
      <c r="A10" s="5" t="s">
        <v>689</v>
      </c>
      <c r="B10" s="29" t="s">
        <v>690</v>
      </c>
      <c r="C10" s="7">
        <v>1066969286</v>
      </c>
      <c r="D10" s="7">
        <v>242332389</v>
      </c>
      <c r="E10" s="6">
        <v>377511</v>
      </c>
      <c r="F10" s="6">
        <v>11876136482</v>
      </c>
      <c r="G10" s="6">
        <v>708463035</v>
      </c>
      <c r="H10" s="6">
        <v>377511</v>
      </c>
    </row>
    <row r="11" spans="1:8" ht="30">
      <c r="A11" s="5" t="s">
        <v>691</v>
      </c>
      <c r="B11" s="29" t="s">
        <v>692</v>
      </c>
      <c r="C11" s="6">
        <v>178657913</v>
      </c>
      <c r="D11" s="6">
        <v>18262160</v>
      </c>
      <c r="E11" s="6">
        <v>10673852</v>
      </c>
      <c r="F11" s="6">
        <v>7837579508</v>
      </c>
      <c r="G11" s="6">
        <v>1644031272</v>
      </c>
      <c r="H11" s="7">
        <v>1214684409</v>
      </c>
    </row>
    <row r="12" spans="1:8" ht="45">
      <c r="A12" s="5" t="s">
        <v>693</v>
      </c>
      <c r="B12" s="29" t="s">
        <v>694</v>
      </c>
      <c r="C12" s="6">
        <v>340999557</v>
      </c>
      <c r="D12" s="6">
        <v>36689168</v>
      </c>
      <c r="E12" s="7">
        <v>28078462</v>
      </c>
      <c r="F12" s="6">
        <v>11659639724</v>
      </c>
      <c r="G12" s="6">
        <v>1534260703</v>
      </c>
      <c r="H12" s="6">
        <v>34926868</v>
      </c>
    </row>
    <row r="13" spans="1:8">
      <c r="A13" s="5" t="s">
        <v>695</v>
      </c>
      <c r="B13" s="29" t="s">
        <v>100</v>
      </c>
      <c r="C13" s="7">
        <v>725674858</v>
      </c>
      <c r="D13" s="7">
        <v>98137312</v>
      </c>
      <c r="E13" s="7">
        <v>21723544</v>
      </c>
      <c r="F13" s="6">
        <v>3044324894</v>
      </c>
      <c r="G13" s="6">
        <v>441170021</v>
      </c>
      <c r="H13" s="6">
        <v>27021969</v>
      </c>
    </row>
    <row r="14" spans="1:8">
      <c r="A14" s="2" t="s">
        <v>696</v>
      </c>
      <c r="B14" s="28" t="s">
        <v>697</v>
      </c>
      <c r="C14" s="3">
        <v>189745606</v>
      </c>
      <c r="D14" s="3">
        <v>65466980</v>
      </c>
      <c r="E14" s="3">
        <v>14691860</v>
      </c>
      <c r="F14" s="3">
        <v>370394651</v>
      </c>
      <c r="G14" s="3">
        <v>127995421</v>
      </c>
      <c r="H14" s="3">
        <v>18364826</v>
      </c>
    </row>
    <row r="15" spans="1:8">
      <c r="A15" s="2" t="s">
        <v>698</v>
      </c>
      <c r="B15" s="28" t="s">
        <v>699</v>
      </c>
      <c r="C15" s="3">
        <v>44454405</v>
      </c>
      <c r="D15" s="3">
        <v>6071456</v>
      </c>
      <c r="E15" s="3">
        <v>4605603</v>
      </c>
      <c r="F15" s="3">
        <v>1414964117</v>
      </c>
      <c r="G15" s="3">
        <v>508697101</v>
      </c>
      <c r="H15" s="3">
        <v>524117633</v>
      </c>
    </row>
    <row r="16" spans="1:8" ht="90">
      <c r="A16" s="2" t="s">
        <v>700</v>
      </c>
      <c r="B16" s="28" t="s">
        <v>701</v>
      </c>
      <c r="C16" s="3">
        <v>83853396</v>
      </c>
      <c r="D16" s="3">
        <v>5116220</v>
      </c>
      <c r="E16" s="3">
        <v>0</v>
      </c>
      <c r="F16" s="3">
        <v>2991220503</v>
      </c>
      <c r="G16" s="3">
        <v>121475916</v>
      </c>
      <c r="H16" s="3">
        <v>0</v>
      </c>
    </row>
    <row r="17" spans="1:8" ht="30">
      <c r="A17" s="5" t="s">
        <v>702</v>
      </c>
      <c r="B17" s="29" t="s">
        <v>703</v>
      </c>
      <c r="C17" s="6">
        <v>183512060</v>
      </c>
      <c r="D17" s="6">
        <v>29549479</v>
      </c>
      <c r="E17" s="6">
        <v>0</v>
      </c>
      <c r="F17" s="6">
        <v>5529893415</v>
      </c>
      <c r="G17" s="7">
        <v>2958070484</v>
      </c>
      <c r="H17" s="6">
        <v>0</v>
      </c>
    </row>
    <row r="18" spans="1:8" ht="30">
      <c r="A18" s="2" t="s">
        <v>704</v>
      </c>
      <c r="B18" s="28" t="s">
        <v>705</v>
      </c>
      <c r="C18" s="3">
        <v>56161490</v>
      </c>
      <c r="D18" s="3">
        <v>9969803</v>
      </c>
      <c r="E18" s="3">
        <v>0</v>
      </c>
      <c r="F18" s="3">
        <v>3722119042</v>
      </c>
      <c r="G18" s="3">
        <v>419848478</v>
      </c>
      <c r="H18" s="3">
        <v>0</v>
      </c>
    </row>
    <row r="19" spans="1:8" ht="30">
      <c r="A19" s="2" t="s">
        <v>706</v>
      </c>
      <c r="B19" s="28" t="s">
        <v>707</v>
      </c>
      <c r="C19" s="3">
        <v>57485808</v>
      </c>
      <c r="D19" s="3">
        <v>213840</v>
      </c>
      <c r="E19" s="3">
        <v>0</v>
      </c>
      <c r="F19" s="3">
        <v>1656796994</v>
      </c>
      <c r="G19" s="3">
        <v>267300</v>
      </c>
      <c r="H19" s="3">
        <v>0</v>
      </c>
    </row>
    <row r="20" spans="1:8">
      <c r="A20" s="2" t="s">
        <v>708</v>
      </c>
      <c r="B20" s="28" t="s">
        <v>709</v>
      </c>
      <c r="C20" s="3">
        <v>255536927</v>
      </c>
      <c r="D20" s="3">
        <v>53597645</v>
      </c>
      <c r="E20" s="3">
        <v>5945896</v>
      </c>
      <c r="F20" s="3">
        <v>893221736</v>
      </c>
      <c r="G20" s="3">
        <v>261893223</v>
      </c>
      <c r="H20" s="3">
        <v>7396115</v>
      </c>
    </row>
    <row r="21" spans="1:8">
      <c r="A21" s="5" t="s">
        <v>710</v>
      </c>
      <c r="B21" s="29" t="s">
        <v>711</v>
      </c>
      <c r="C21" s="6">
        <v>262732878</v>
      </c>
      <c r="D21" s="7">
        <v>105847710</v>
      </c>
      <c r="E21" s="6">
        <v>0</v>
      </c>
      <c r="F21" s="6">
        <v>10021269088</v>
      </c>
      <c r="G21" s="6">
        <v>487408623</v>
      </c>
      <c r="H21" s="6">
        <v>0</v>
      </c>
    </row>
    <row r="22" spans="1:8">
      <c r="A22" s="2" t="s">
        <v>712</v>
      </c>
      <c r="B22" s="28" t="s">
        <v>713</v>
      </c>
      <c r="C22" s="3">
        <v>0</v>
      </c>
      <c r="D22" s="3">
        <v>0</v>
      </c>
      <c r="E22" s="3">
        <v>0</v>
      </c>
      <c r="F22" s="3">
        <v>0</v>
      </c>
      <c r="G22" s="3">
        <v>0</v>
      </c>
      <c r="H22" s="3">
        <v>0</v>
      </c>
    </row>
    <row r="23" spans="1:8">
      <c r="A23" s="2" t="s">
        <v>714</v>
      </c>
      <c r="B23" s="28" t="s">
        <v>12</v>
      </c>
      <c r="C23" s="3">
        <v>6725832</v>
      </c>
      <c r="D23" s="3">
        <v>387924</v>
      </c>
      <c r="E23" s="3">
        <v>0</v>
      </c>
      <c r="F23" s="3">
        <v>8313659</v>
      </c>
      <c r="G23" s="3">
        <v>478504</v>
      </c>
      <c r="H23" s="3">
        <v>0</v>
      </c>
    </row>
    <row r="24" spans="1:8">
      <c r="A24" s="2" t="s">
        <v>715</v>
      </c>
      <c r="B24" s="28" t="s">
        <v>716</v>
      </c>
      <c r="C24" s="3">
        <v>55601980</v>
      </c>
      <c r="D24" s="3">
        <v>18620800</v>
      </c>
      <c r="E24" s="3">
        <v>0</v>
      </c>
      <c r="F24" s="3">
        <v>1626314149</v>
      </c>
      <c r="G24" s="3">
        <v>1138902064</v>
      </c>
      <c r="H24" s="3">
        <v>0</v>
      </c>
    </row>
    <row r="25" spans="1:8">
      <c r="A25" s="2" t="s">
        <v>717</v>
      </c>
      <c r="B25" s="28" t="s">
        <v>84</v>
      </c>
      <c r="C25" s="3">
        <v>110985477</v>
      </c>
      <c r="D25" s="3">
        <v>4009208</v>
      </c>
      <c r="E25" s="3">
        <v>0</v>
      </c>
      <c r="F25" s="3">
        <v>11417843177</v>
      </c>
      <c r="G25" s="3">
        <v>393235000</v>
      </c>
      <c r="H25" s="3">
        <v>0</v>
      </c>
    </row>
    <row r="26" spans="1:8">
      <c r="A26" s="5" t="s">
        <v>718</v>
      </c>
      <c r="B26" s="29" t="s">
        <v>122</v>
      </c>
      <c r="C26" s="6">
        <v>399514514</v>
      </c>
      <c r="D26" s="6">
        <v>91310988</v>
      </c>
      <c r="E26" s="6">
        <v>6937601</v>
      </c>
      <c r="F26" s="6">
        <v>1310233043</v>
      </c>
      <c r="G26" s="6">
        <v>1265499814</v>
      </c>
      <c r="H26" s="7">
        <v>1143801537</v>
      </c>
    </row>
    <row r="27" spans="1:8">
      <c r="A27" s="2" t="s">
        <v>719</v>
      </c>
      <c r="B27" s="28" t="s">
        <v>124</v>
      </c>
      <c r="C27" s="3">
        <v>33987502</v>
      </c>
      <c r="D27" s="3">
        <v>537721</v>
      </c>
      <c r="E27" s="3">
        <v>24214</v>
      </c>
      <c r="F27" s="3">
        <v>3051377817</v>
      </c>
      <c r="G27" s="3">
        <v>33196734</v>
      </c>
      <c r="H27" s="3">
        <v>24214</v>
      </c>
    </row>
    <row r="28" spans="1:8">
      <c r="A28" s="2" t="s">
        <v>720</v>
      </c>
      <c r="B28" s="28" t="s">
        <v>130</v>
      </c>
      <c r="C28" s="3">
        <v>18643210</v>
      </c>
      <c r="D28" s="3">
        <v>10743614</v>
      </c>
      <c r="E28" s="3">
        <v>39753</v>
      </c>
      <c r="F28" s="3">
        <v>3132624368</v>
      </c>
      <c r="G28" s="3">
        <v>2121352249</v>
      </c>
      <c r="H28" s="3">
        <v>39753</v>
      </c>
    </row>
    <row r="29" spans="1:8" ht="45">
      <c r="A29" s="2" t="s">
        <v>721</v>
      </c>
      <c r="B29" s="28" t="s">
        <v>722</v>
      </c>
      <c r="C29" s="3">
        <v>1242032</v>
      </c>
      <c r="D29" s="3">
        <v>28625</v>
      </c>
      <c r="E29" s="3">
        <v>0</v>
      </c>
      <c r="F29" s="3">
        <v>1521001</v>
      </c>
      <c r="G29" s="3">
        <v>28625</v>
      </c>
      <c r="H29" s="3">
        <v>0</v>
      </c>
    </row>
    <row r="30" spans="1:8">
      <c r="A30" s="2" t="s">
        <v>723</v>
      </c>
      <c r="B30" s="28" t="s">
        <v>152</v>
      </c>
      <c r="C30" s="3">
        <v>44904988</v>
      </c>
      <c r="D30" s="3">
        <v>3771512</v>
      </c>
      <c r="E30" s="3">
        <v>0</v>
      </c>
      <c r="F30" s="3">
        <v>5222091923</v>
      </c>
      <c r="G30" s="3">
        <v>224829314</v>
      </c>
      <c r="H30" s="3">
        <v>0</v>
      </c>
    </row>
    <row r="31" spans="1:8">
      <c r="A31" s="2" t="s">
        <v>724</v>
      </c>
      <c r="B31" s="28" t="s">
        <v>158</v>
      </c>
      <c r="C31" s="3">
        <v>18748534</v>
      </c>
      <c r="D31" s="3">
        <v>20045990</v>
      </c>
      <c r="E31" s="3">
        <v>0</v>
      </c>
      <c r="F31" s="3">
        <v>23435667</v>
      </c>
      <c r="G31" s="3">
        <v>29195310</v>
      </c>
      <c r="H31" s="3">
        <v>0</v>
      </c>
    </row>
    <row r="32" spans="1:8">
      <c r="A32" s="2" t="s">
        <v>725</v>
      </c>
      <c r="B32" s="28" t="s">
        <v>162</v>
      </c>
      <c r="C32" s="3">
        <v>294221</v>
      </c>
      <c r="D32" s="3">
        <v>52254</v>
      </c>
      <c r="E32" s="3">
        <v>0</v>
      </c>
      <c r="F32" s="3">
        <v>294221</v>
      </c>
      <c r="G32" s="3">
        <v>52254</v>
      </c>
      <c r="H32" s="3">
        <v>0</v>
      </c>
    </row>
    <row r="33" spans="1:8">
      <c r="A33" s="2" t="s">
        <v>726</v>
      </c>
      <c r="B33" s="28" t="s">
        <v>188</v>
      </c>
      <c r="C33" s="3">
        <v>40752823</v>
      </c>
      <c r="D33" s="3">
        <v>11195607</v>
      </c>
      <c r="E33" s="3">
        <v>23146</v>
      </c>
      <c r="F33" s="3">
        <v>386020786</v>
      </c>
      <c r="G33" s="3">
        <v>13719298</v>
      </c>
      <c r="H33" s="3">
        <v>23146</v>
      </c>
    </row>
    <row r="34" spans="1:8">
      <c r="A34" s="2" t="s">
        <v>727</v>
      </c>
      <c r="B34" s="28" t="s">
        <v>206</v>
      </c>
      <c r="C34" s="3">
        <v>3035403</v>
      </c>
      <c r="D34" s="3">
        <v>496679</v>
      </c>
      <c r="E34" s="3">
        <v>0</v>
      </c>
      <c r="F34" s="3">
        <v>3794723</v>
      </c>
      <c r="G34" s="3">
        <v>608761</v>
      </c>
      <c r="H34" s="3">
        <v>0</v>
      </c>
    </row>
    <row r="35" spans="1:8">
      <c r="A35" s="2" t="s">
        <v>728</v>
      </c>
      <c r="B35" s="28" t="s">
        <v>234</v>
      </c>
      <c r="C35" s="3">
        <v>75383162</v>
      </c>
      <c r="D35" s="3">
        <v>5584665</v>
      </c>
      <c r="E35" s="3">
        <v>106284</v>
      </c>
      <c r="F35" s="3">
        <v>359812571</v>
      </c>
      <c r="G35" s="3">
        <v>7687705</v>
      </c>
      <c r="H35" s="3">
        <v>106284</v>
      </c>
    </row>
    <row r="36" spans="1:8">
      <c r="A36" s="2" t="s">
        <v>729</v>
      </c>
      <c r="B36" s="28" t="s">
        <v>274</v>
      </c>
      <c r="C36" s="3">
        <v>3948257</v>
      </c>
      <c r="D36" s="3">
        <v>319659</v>
      </c>
      <c r="E36" s="3">
        <v>9329</v>
      </c>
      <c r="F36" s="3">
        <v>125238277</v>
      </c>
      <c r="G36" s="3">
        <v>450109</v>
      </c>
      <c r="H36" s="3">
        <v>9329</v>
      </c>
    </row>
    <row r="37" spans="1:8">
      <c r="A37" s="2" t="s">
        <v>730</v>
      </c>
      <c r="B37" s="28" t="s">
        <v>284</v>
      </c>
      <c r="C37" s="3">
        <v>1314121</v>
      </c>
      <c r="D37" s="3">
        <v>347410</v>
      </c>
      <c r="E37" s="3">
        <v>0</v>
      </c>
      <c r="F37" s="3">
        <v>1436184</v>
      </c>
      <c r="G37" s="3">
        <v>347410</v>
      </c>
      <c r="H37" s="3">
        <v>0</v>
      </c>
    </row>
    <row r="38" spans="1:8">
      <c r="A38" s="2" t="s">
        <v>731</v>
      </c>
      <c r="B38" s="28" t="s">
        <v>298</v>
      </c>
      <c r="C38" s="3">
        <v>27463</v>
      </c>
      <c r="D38" s="3">
        <v>2148948</v>
      </c>
      <c r="E38" s="3">
        <v>0</v>
      </c>
      <c r="F38" s="3">
        <v>27463</v>
      </c>
      <c r="G38" s="3">
        <v>3129764</v>
      </c>
      <c r="H38" s="3">
        <v>0</v>
      </c>
    </row>
    <row r="39" spans="1:8">
      <c r="A39" s="2" t="s">
        <v>732</v>
      </c>
      <c r="B39" s="28" t="s">
        <v>260</v>
      </c>
      <c r="C39" s="3">
        <v>56334567</v>
      </c>
      <c r="D39" s="3">
        <v>8386104</v>
      </c>
      <c r="E39" s="3">
        <v>0</v>
      </c>
      <c r="F39" s="3">
        <v>78953443</v>
      </c>
      <c r="G39" s="3">
        <v>10431495</v>
      </c>
      <c r="H39" s="3">
        <v>0</v>
      </c>
    </row>
    <row r="40" spans="1:8">
      <c r="A40" s="2" t="s">
        <v>733</v>
      </c>
      <c r="B40" s="28" t="s">
        <v>734</v>
      </c>
      <c r="C40" s="3">
        <v>174999139</v>
      </c>
      <c r="D40" s="3">
        <v>792860</v>
      </c>
      <c r="E40" s="3">
        <v>3575791</v>
      </c>
      <c r="F40" s="3">
        <v>3723617812</v>
      </c>
      <c r="G40" s="3">
        <v>13754973</v>
      </c>
      <c r="H40" s="3">
        <v>4447935</v>
      </c>
    </row>
    <row r="41" spans="1:8">
      <c r="A41" s="5" t="s">
        <v>735</v>
      </c>
      <c r="B41" s="29" t="s">
        <v>736</v>
      </c>
      <c r="C41" s="6">
        <v>365984877</v>
      </c>
      <c r="D41" s="6">
        <v>23533380</v>
      </c>
      <c r="E41" s="6">
        <v>7202974</v>
      </c>
      <c r="F41" s="7">
        <v>15080346819</v>
      </c>
      <c r="G41" s="7">
        <v>2851880923</v>
      </c>
      <c r="H41" s="7">
        <v>1187553507</v>
      </c>
    </row>
    <row r="42" spans="1:8">
      <c r="A42" s="2" t="s">
        <v>737</v>
      </c>
      <c r="B42" s="28" t="s">
        <v>738</v>
      </c>
      <c r="C42" s="3">
        <v>102390121</v>
      </c>
      <c r="D42" s="3">
        <v>37588969</v>
      </c>
      <c r="E42" s="3">
        <v>909959</v>
      </c>
      <c r="F42" s="3">
        <v>1035339333</v>
      </c>
      <c r="G42" s="3">
        <v>60972395</v>
      </c>
      <c r="H42" s="3">
        <v>1131900</v>
      </c>
    </row>
    <row r="43" spans="1:8">
      <c r="A43" s="2" t="s">
        <v>739</v>
      </c>
      <c r="B43" s="28" t="s">
        <v>740</v>
      </c>
      <c r="C43" s="3">
        <v>275806417</v>
      </c>
      <c r="D43" s="3">
        <v>26772253</v>
      </c>
      <c r="E43" s="3">
        <v>12935039</v>
      </c>
      <c r="F43" s="3">
        <v>5140010467</v>
      </c>
      <c r="G43" s="3">
        <v>234206766</v>
      </c>
      <c r="H43" s="3">
        <v>18838804</v>
      </c>
    </row>
    <row r="44" spans="1:8">
      <c r="A44" s="5" t="s">
        <v>741</v>
      </c>
      <c r="B44" s="29" t="s">
        <v>742</v>
      </c>
      <c r="C44" s="6">
        <v>101870611</v>
      </c>
      <c r="D44" s="6">
        <v>23320080</v>
      </c>
      <c r="E44" s="7">
        <v>28562648</v>
      </c>
      <c r="F44" s="6">
        <v>7938104743</v>
      </c>
      <c r="G44" s="6">
        <v>97486590</v>
      </c>
      <c r="H44" s="6">
        <v>41599111</v>
      </c>
    </row>
    <row r="45" spans="1:8">
      <c r="A45" s="2" t="s">
        <v>743</v>
      </c>
      <c r="B45" s="28" t="s">
        <v>744</v>
      </c>
      <c r="C45" s="3">
        <v>116063614</v>
      </c>
      <c r="D45" s="3">
        <v>1220435</v>
      </c>
      <c r="E45" s="3">
        <v>0</v>
      </c>
      <c r="F45" s="3">
        <v>5178155063</v>
      </c>
      <c r="G45" s="3">
        <v>17945289</v>
      </c>
      <c r="H45" s="3">
        <v>0</v>
      </c>
    </row>
    <row r="46" spans="1:8">
      <c r="A46" s="2" t="s">
        <v>745</v>
      </c>
      <c r="B46" s="28" t="s">
        <v>746</v>
      </c>
      <c r="C46" s="3">
        <v>34544302</v>
      </c>
      <c r="D46" s="3">
        <v>1011757</v>
      </c>
      <c r="E46" s="3">
        <v>829078</v>
      </c>
      <c r="F46" s="3">
        <v>1217251021</v>
      </c>
      <c r="G46" s="3">
        <v>1564552</v>
      </c>
      <c r="H46" s="3">
        <v>1207482</v>
      </c>
    </row>
    <row r="47" spans="1:8">
      <c r="A47" s="2" t="s">
        <v>747</v>
      </c>
      <c r="B47" s="28" t="s">
        <v>34</v>
      </c>
      <c r="C47" s="3">
        <v>57177919</v>
      </c>
      <c r="D47" s="3">
        <v>13882268</v>
      </c>
      <c r="E47" s="3">
        <v>2652520</v>
      </c>
      <c r="F47" s="3">
        <v>1703645543</v>
      </c>
      <c r="G47" s="3">
        <v>88232878</v>
      </c>
      <c r="H47" s="3">
        <v>3299476</v>
      </c>
    </row>
    <row r="48" spans="1:8" ht="30">
      <c r="A48" s="2" t="s">
        <v>748</v>
      </c>
      <c r="B48" s="28" t="s">
        <v>749</v>
      </c>
      <c r="C48" s="3">
        <v>26758347</v>
      </c>
      <c r="D48" s="3">
        <v>462301</v>
      </c>
      <c r="E48" s="3">
        <v>0</v>
      </c>
      <c r="F48" s="3">
        <v>655210978</v>
      </c>
      <c r="G48" s="3">
        <v>7428421</v>
      </c>
      <c r="H48" s="3">
        <v>0</v>
      </c>
    </row>
    <row r="49" spans="1:8">
      <c r="A49" s="2" t="s">
        <v>750</v>
      </c>
      <c r="B49" s="28" t="s">
        <v>142</v>
      </c>
      <c r="C49" s="3">
        <v>121151649</v>
      </c>
      <c r="D49" s="3">
        <v>10347952</v>
      </c>
      <c r="E49" s="3">
        <v>0</v>
      </c>
      <c r="F49" s="3">
        <v>1204886949</v>
      </c>
      <c r="G49" s="3">
        <v>182341043</v>
      </c>
      <c r="H49" s="3">
        <v>0</v>
      </c>
    </row>
    <row r="50" spans="1:8">
      <c r="A50" s="2" t="s">
        <v>751</v>
      </c>
      <c r="B50" s="28" t="s">
        <v>752</v>
      </c>
      <c r="C50" s="3">
        <v>1221684</v>
      </c>
      <c r="D50" s="3">
        <v>0</v>
      </c>
      <c r="E50" s="3">
        <v>3802100</v>
      </c>
      <c r="F50" s="3">
        <v>151895879</v>
      </c>
      <c r="G50" s="3">
        <v>0</v>
      </c>
      <c r="H50" s="3">
        <v>5537441</v>
      </c>
    </row>
    <row r="51" spans="1:8">
      <c r="A51" s="2" t="s">
        <v>753</v>
      </c>
      <c r="B51" s="28" t="s">
        <v>292</v>
      </c>
      <c r="C51" s="3">
        <v>85422301</v>
      </c>
      <c r="D51" s="3">
        <v>2405420</v>
      </c>
      <c r="E51" s="3">
        <v>562811</v>
      </c>
      <c r="F51" s="3">
        <v>2305943171</v>
      </c>
      <c r="G51" s="3">
        <v>263898912</v>
      </c>
      <c r="H51" s="3">
        <v>64047860</v>
      </c>
    </row>
    <row r="52" spans="1:8">
      <c r="A52" s="2" t="s">
        <v>754</v>
      </c>
      <c r="B52" s="28" t="s">
        <v>278</v>
      </c>
      <c r="C52" s="3">
        <v>7204801</v>
      </c>
      <c r="D52" s="3">
        <v>177117</v>
      </c>
      <c r="E52" s="3">
        <v>0</v>
      </c>
      <c r="F52" s="3">
        <v>837017515</v>
      </c>
      <c r="G52" s="3">
        <v>252517</v>
      </c>
      <c r="H52" s="3">
        <v>0</v>
      </c>
    </row>
    <row r="53" spans="1:8">
      <c r="A53" s="5" t="s">
        <v>755</v>
      </c>
      <c r="B53" s="29" t="s">
        <v>756</v>
      </c>
      <c r="C53" s="6">
        <v>549760331</v>
      </c>
      <c r="D53" s="7">
        <v>216940248</v>
      </c>
      <c r="E53" s="6">
        <v>6338906</v>
      </c>
      <c r="F53" s="7">
        <v>18206076391</v>
      </c>
      <c r="G53" s="7">
        <v>18683557215</v>
      </c>
      <c r="H53" s="7">
        <v>721367465</v>
      </c>
    </row>
    <row r="54" spans="1:8">
      <c r="A54" s="5" t="s">
        <v>757</v>
      </c>
      <c r="B54" s="29" t="s">
        <v>758</v>
      </c>
      <c r="C54" s="7">
        <v>608997215</v>
      </c>
      <c r="D54" s="7">
        <v>127935473</v>
      </c>
      <c r="E54" s="6">
        <v>3099504</v>
      </c>
      <c r="F54" s="7">
        <v>13984372486</v>
      </c>
      <c r="G54" s="7">
        <v>9066605401</v>
      </c>
      <c r="H54" s="6">
        <v>352723549</v>
      </c>
    </row>
    <row r="55" spans="1:8">
      <c r="A55" s="5" t="s">
        <v>759</v>
      </c>
      <c r="B55" s="29" t="s">
        <v>490</v>
      </c>
      <c r="C55" s="6">
        <v>327410162</v>
      </c>
      <c r="D55" s="7">
        <v>124375807</v>
      </c>
      <c r="E55" s="7">
        <v>41640433</v>
      </c>
      <c r="F55" s="7">
        <v>29726871960</v>
      </c>
      <c r="G55" s="7">
        <v>16274478929</v>
      </c>
      <c r="H55" s="7">
        <v>3762505885</v>
      </c>
    </row>
    <row r="56" spans="1:8">
      <c r="A56" s="2" t="s">
        <v>760</v>
      </c>
      <c r="B56" s="28" t="s">
        <v>761</v>
      </c>
      <c r="C56" s="3">
        <v>8913050</v>
      </c>
      <c r="D56" s="3">
        <v>6233025</v>
      </c>
      <c r="E56" s="3">
        <v>1267699</v>
      </c>
      <c r="F56" s="3">
        <v>1615584329</v>
      </c>
      <c r="G56" s="3">
        <v>7710823</v>
      </c>
      <c r="H56" s="3">
        <v>1576894</v>
      </c>
    </row>
    <row r="57" spans="1:8">
      <c r="A57" s="5" t="s">
        <v>762</v>
      </c>
      <c r="B57" s="29" t="s">
        <v>763</v>
      </c>
      <c r="C57" s="6">
        <v>314836959</v>
      </c>
      <c r="D57" s="6">
        <v>59429752</v>
      </c>
      <c r="E57" s="7">
        <v>24449575</v>
      </c>
      <c r="F57" s="6">
        <v>3877731230</v>
      </c>
      <c r="G57" s="6">
        <v>2649439645</v>
      </c>
      <c r="H57" s="7">
        <v>2541437801</v>
      </c>
    </row>
    <row r="58" spans="1:8">
      <c r="A58" s="5" t="s">
        <v>764</v>
      </c>
      <c r="B58" s="29" t="s">
        <v>765</v>
      </c>
      <c r="C58" s="8">
        <v>2680337934</v>
      </c>
      <c r="D58" s="6">
        <v>26660027</v>
      </c>
      <c r="E58" s="6">
        <v>9587859</v>
      </c>
      <c r="F58" s="6">
        <v>6503092453</v>
      </c>
      <c r="G58" s="6">
        <v>51971731</v>
      </c>
      <c r="H58" s="6">
        <v>11926361</v>
      </c>
    </row>
    <row r="59" spans="1:8">
      <c r="A59" s="5" t="s">
        <v>766</v>
      </c>
      <c r="B59" s="29" t="s">
        <v>767</v>
      </c>
      <c r="C59" s="7">
        <v>1205780493</v>
      </c>
      <c r="D59" s="7">
        <v>458374549</v>
      </c>
      <c r="E59" s="7">
        <v>66201888</v>
      </c>
      <c r="F59" s="8">
        <v>34554602736</v>
      </c>
      <c r="G59" s="7">
        <v>19379952978</v>
      </c>
      <c r="H59" s="7">
        <v>7086917201</v>
      </c>
    </row>
    <row r="60" spans="1:8">
      <c r="A60" s="5" t="s">
        <v>768</v>
      </c>
      <c r="B60" s="29" t="s">
        <v>769</v>
      </c>
      <c r="C60" s="7">
        <v>841214448</v>
      </c>
      <c r="D60" s="6">
        <v>26747229</v>
      </c>
      <c r="E60" s="6">
        <v>8691577</v>
      </c>
      <c r="F60" s="6">
        <v>10185849968</v>
      </c>
      <c r="G60" s="6">
        <v>225902653</v>
      </c>
      <c r="H60" s="6">
        <v>10811474</v>
      </c>
    </row>
    <row r="61" spans="1:8">
      <c r="A61" s="5" t="s">
        <v>770</v>
      </c>
      <c r="B61" s="29" t="s">
        <v>771</v>
      </c>
      <c r="C61" s="7">
        <v>1031399213</v>
      </c>
      <c r="D61" s="7">
        <v>101860847</v>
      </c>
      <c r="E61" s="6">
        <v>15315797</v>
      </c>
      <c r="F61" s="7">
        <v>17617587465</v>
      </c>
      <c r="G61" s="7">
        <v>9185793978</v>
      </c>
      <c r="H61" s="7">
        <v>2525113772</v>
      </c>
    </row>
    <row r="62" spans="1:8">
      <c r="A62" s="2" t="s">
        <v>772</v>
      </c>
      <c r="B62" s="28" t="s">
        <v>773</v>
      </c>
      <c r="C62" s="3">
        <v>0</v>
      </c>
      <c r="D62" s="3">
        <v>0</v>
      </c>
      <c r="E62" s="3">
        <v>0</v>
      </c>
      <c r="F62" s="3">
        <v>0</v>
      </c>
      <c r="G62" s="3">
        <v>0</v>
      </c>
      <c r="H62" s="3">
        <v>0</v>
      </c>
    </row>
    <row r="63" spans="1:8">
      <c r="A63" s="2" t="s">
        <v>774</v>
      </c>
      <c r="B63" s="28" t="s">
        <v>775</v>
      </c>
      <c r="C63" s="3">
        <v>343311092</v>
      </c>
      <c r="D63" s="3">
        <v>2460556</v>
      </c>
      <c r="E63" s="3">
        <v>0</v>
      </c>
      <c r="F63" s="3">
        <v>472306647</v>
      </c>
      <c r="G63" s="3">
        <v>3066725</v>
      </c>
      <c r="H63" s="3">
        <v>0</v>
      </c>
    </row>
    <row r="64" spans="1:8">
      <c r="A64" s="2" t="s">
        <v>776</v>
      </c>
      <c r="B64" s="28" t="s">
        <v>777</v>
      </c>
      <c r="C64" s="3">
        <v>72682516</v>
      </c>
      <c r="D64" s="3">
        <v>508722</v>
      </c>
      <c r="E64" s="3">
        <v>0</v>
      </c>
      <c r="F64" s="3">
        <v>125276931</v>
      </c>
      <c r="G64" s="3">
        <v>636588</v>
      </c>
      <c r="H64" s="3">
        <v>0</v>
      </c>
    </row>
    <row r="65" spans="1:8">
      <c r="A65" s="2" t="s">
        <v>778</v>
      </c>
      <c r="B65" s="28" t="s">
        <v>184</v>
      </c>
      <c r="C65" s="3">
        <v>9625726</v>
      </c>
      <c r="D65" s="3">
        <v>136378</v>
      </c>
      <c r="E65" s="3">
        <v>3290101</v>
      </c>
      <c r="F65" s="3">
        <v>11796035</v>
      </c>
      <c r="G65" s="3">
        <v>167127</v>
      </c>
      <c r="H65" s="3">
        <v>4791757</v>
      </c>
    </row>
    <row r="66" spans="1:8">
      <c r="A66" s="2" t="s">
        <v>779</v>
      </c>
      <c r="B66" s="28" t="s">
        <v>198</v>
      </c>
      <c r="C66" s="3">
        <v>22033082</v>
      </c>
      <c r="D66" s="3">
        <v>452546</v>
      </c>
      <c r="E66" s="3">
        <v>0</v>
      </c>
      <c r="F66" s="3">
        <v>29127159</v>
      </c>
      <c r="G66" s="3">
        <v>632070</v>
      </c>
      <c r="H66" s="3">
        <v>0</v>
      </c>
    </row>
    <row r="67" spans="1:8">
      <c r="A67" s="2" t="s">
        <v>780</v>
      </c>
      <c r="B67" s="28" t="s">
        <v>781</v>
      </c>
      <c r="C67" s="3">
        <v>317740118</v>
      </c>
      <c r="D67" s="3">
        <v>21813532</v>
      </c>
      <c r="E67" s="3">
        <v>0</v>
      </c>
      <c r="F67" s="3">
        <v>2351421591</v>
      </c>
      <c r="G67" s="3">
        <v>44634745</v>
      </c>
      <c r="H67" s="3">
        <v>0</v>
      </c>
    </row>
    <row r="68" spans="1:8">
      <c r="A68" s="2" t="s">
        <v>782</v>
      </c>
      <c r="B68" s="28" t="s">
        <v>783</v>
      </c>
      <c r="C68" s="3">
        <v>60507758</v>
      </c>
      <c r="D68" s="3">
        <v>6372962</v>
      </c>
      <c r="E68" s="3">
        <v>0</v>
      </c>
      <c r="F68" s="3">
        <v>135484010</v>
      </c>
      <c r="G68" s="3">
        <v>7965249</v>
      </c>
      <c r="H68" s="3">
        <v>0</v>
      </c>
    </row>
    <row r="69" spans="1:8" ht="30">
      <c r="A69" s="2" t="s">
        <v>784</v>
      </c>
      <c r="B69" s="28" t="s">
        <v>785</v>
      </c>
      <c r="C69" s="3">
        <v>0</v>
      </c>
      <c r="D69" s="3">
        <v>0</v>
      </c>
      <c r="E69" s="3">
        <v>0</v>
      </c>
      <c r="F69" s="3">
        <v>0</v>
      </c>
      <c r="G69" s="3">
        <v>0</v>
      </c>
      <c r="H69" s="3">
        <v>0</v>
      </c>
    </row>
    <row r="70" spans="1:8">
      <c r="A70" s="2" t="s">
        <v>786</v>
      </c>
      <c r="B70" s="28" t="s">
        <v>787</v>
      </c>
      <c r="C70" s="3">
        <v>17004446</v>
      </c>
      <c r="D70" s="3">
        <v>400759</v>
      </c>
      <c r="E70" s="3">
        <v>0</v>
      </c>
      <c r="F70" s="3">
        <v>1281409277</v>
      </c>
      <c r="G70" s="3">
        <v>583928</v>
      </c>
      <c r="H70" s="3">
        <v>0</v>
      </c>
    </row>
    <row r="71" spans="1:8" ht="30">
      <c r="A71" s="5" t="s">
        <v>788</v>
      </c>
      <c r="B71" s="29" t="s">
        <v>789</v>
      </c>
      <c r="C71" s="6">
        <v>125986664</v>
      </c>
      <c r="D71" s="6">
        <v>17131931</v>
      </c>
      <c r="E71" s="6">
        <v>6136130</v>
      </c>
      <c r="F71" s="7">
        <v>13133061822</v>
      </c>
      <c r="G71" s="6">
        <v>2559170894</v>
      </c>
      <c r="H71" s="6">
        <v>7632747</v>
      </c>
    </row>
    <row r="72" spans="1:8">
      <c r="A72" s="2" t="s">
        <v>790</v>
      </c>
      <c r="B72" s="28" t="s">
        <v>791</v>
      </c>
      <c r="C72" s="3">
        <v>8177153</v>
      </c>
      <c r="D72" s="3">
        <v>334027</v>
      </c>
      <c r="E72" s="3">
        <v>719492</v>
      </c>
      <c r="F72" s="3">
        <v>1040104105</v>
      </c>
      <c r="G72" s="3">
        <v>32684937</v>
      </c>
      <c r="H72" s="3">
        <v>894978</v>
      </c>
    </row>
    <row r="73" spans="1:8" ht="30">
      <c r="A73" s="5" t="s">
        <v>792</v>
      </c>
      <c r="B73" s="29" t="s">
        <v>793</v>
      </c>
      <c r="C73" s="6">
        <v>62842381</v>
      </c>
      <c r="D73" s="6">
        <v>34491551</v>
      </c>
      <c r="E73" s="6">
        <v>5512893</v>
      </c>
      <c r="F73" s="6">
        <v>7370845689</v>
      </c>
      <c r="G73" s="7">
        <v>5969545131</v>
      </c>
      <c r="H73" s="6">
        <v>627367238</v>
      </c>
    </row>
    <row r="74" spans="1:8">
      <c r="A74" s="2" t="s">
        <v>794</v>
      </c>
      <c r="B74" s="28" t="s">
        <v>795</v>
      </c>
      <c r="C74" s="3">
        <v>13584340</v>
      </c>
      <c r="D74" s="3">
        <v>1232799</v>
      </c>
      <c r="E74" s="3">
        <v>11998</v>
      </c>
      <c r="F74" s="3">
        <v>426210094</v>
      </c>
      <c r="G74" s="3">
        <v>265072258</v>
      </c>
      <c r="H74" s="3">
        <v>11998</v>
      </c>
    </row>
    <row r="75" spans="1:8">
      <c r="A75" s="2" t="s">
        <v>796</v>
      </c>
      <c r="B75" s="28" t="s">
        <v>214</v>
      </c>
      <c r="C75" s="3">
        <v>31335300</v>
      </c>
      <c r="D75" s="3">
        <v>10370675</v>
      </c>
      <c r="E75" s="3">
        <v>1881408</v>
      </c>
      <c r="F75" s="3">
        <v>5970652959</v>
      </c>
      <c r="G75" s="3">
        <v>2128032931</v>
      </c>
      <c r="H75" s="3">
        <v>214104215</v>
      </c>
    </row>
    <row r="76" spans="1:8">
      <c r="A76" s="2" t="s">
        <v>797</v>
      </c>
      <c r="B76" s="28" t="s">
        <v>192</v>
      </c>
      <c r="C76" s="3">
        <v>1099208</v>
      </c>
      <c r="D76" s="3">
        <v>90856</v>
      </c>
      <c r="E76" s="3">
        <v>124791</v>
      </c>
      <c r="F76" s="3">
        <v>1474741</v>
      </c>
      <c r="G76" s="3">
        <v>117868</v>
      </c>
      <c r="H76" s="3">
        <v>155989</v>
      </c>
    </row>
    <row r="77" spans="1:8">
      <c r="A77" s="2" t="s">
        <v>798</v>
      </c>
      <c r="B77" s="28" t="s">
        <v>266</v>
      </c>
      <c r="C77" s="3">
        <v>228794954</v>
      </c>
      <c r="D77" s="3">
        <v>89809352</v>
      </c>
      <c r="E77" s="3">
        <v>0</v>
      </c>
      <c r="F77" s="3">
        <v>297316569</v>
      </c>
      <c r="G77" s="3">
        <v>113144561</v>
      </c>
      <c r="H77" s="3">
        <v>0</v>
      </c>
    </row>
    <row r="78" spans="1:8">
      <c r="A78" s="2" t="s">
        <v>799</v>
      </c>
      <c r="B78" s="28" t="s">
        <v>800</v>
      </c>
      <c r="C78" s="3">
        <v>0</v>
      </c>
      <c r="D78" s="3">
        <v>0</v>
      </c>
      <c r="E78" s="3">
        <v>0</v>
      </c>
      <c r="F78" s="3">
        <v>0</v>
      </c>
      <c r="G78" s="3">
        <v>0</v>
      </c>
      <c r="H78" s="3">
        <v>0</v>
      </c>
    </row>
    <row r="79" spans="1:8">
      <c r="A79" s="5" t="s">
        <v>801</v>
      </c>
      <c r="B79" s="29" t="s">
        <v>296</v>
      </c>
      <c r="C79" s="6">
        <v>57463702</v>
      </c>
      <c r="D79" s="6">
        <v>24212623</v>
      </c>
      <c r="E79" s="6">
        <v>10576631</v>
      </c>
      <c r="F79" s="6">
        <v>3378078178</v>
      </c>
      <c r="G79" s="7">
        <v>4792068493</v>
      </c>
      <c r="H79" s="6">
        <v>13156297</v>
      </c>
    </row>
    <row r="80" spans="1:8">
      <c r="A80" s="2" t="s">
        <v>802</v>
      </c>
      <c r="B80" s="28" t="s">
        <v>50</v>
      </c>
      <c r="C80" s="3">
        <v>355975</v>
      </c>
      <c r="D80" s="3">
        <v>4</v>
      </c>
      <c r="E80" s="3">
        <v>417472</v>
      </c>
      <c r="F80" s="3">
        <v>85333111</v>
      </c>
      <c r="G80" s="3">
        <v>1041</v>
      </c>
      <c r="H80" s="3">
        <v>608012</v>
      </c>
    </row>
    <row r="81" spans="1:8">
      <c r="A81" s="2" t="s">
        <v>803</v>
      </c>
      <c r="B81" s="28" t="s">
        <v>804</v>
      </c>
      <c r="C81" s="3">
        <v>265665662</v>
      </c>
      <c r="D81" s="3">
        <v>70299777</v>
      </c>
      <c r="E81" s="3">
        <v>0</v>
      </c>
      <c r="F81" s="3">
        <v>937515835</v>
      </c>
      <c r="G81" s="3">
        <v>99724366</v>
      </c>
      <c r="H81" s="3">
        <v>0</v>
      </c>
    </row>
    <row r="82" spans="1:8">
      <c r="A82" s="2" t="s">
        <v>805</v>
      </c>
      <c r="B82" s="28" t="s">
        <v>806</v>
      </c>
      <c r="C82" s="3">
        <v>95434421</v>
      </c>
      <c r="D82" s="3">
        <v>11679609</v>
      </c>
      <c r="E82" s="3">
        <v>0</v>
      </c>
      <c r="F82" s="3">
        <v>484385365</v>
      </c>
      <c r="G82" s="3">
        <v>34930333</v>
      </c>
      <c r="H82" s="3">
        <v>0</v>
      </c>
    </row>
    <row r="83" spans="1:8">
      <c r="A83" s="2" t="s">
        <v>807</v>
      </c>
      <c r="B83" s="28" t="s">
        <v>808</v>
      </c>
      <c r="C83" s="3">
        <v>332514187</v>
      </c>
      <c r="D83" s="3">
        <v>70607237</v>
      </c>
      <c r="E83" s="3">
        <v>7989642</v>
      </c>
      <c r="F83" s="3">
        <v>1239452251</v>
      </c>
      <c r="G83" s="3">
        <v>294963326</v>
      </c>
      <c r="H83" s="3">
        <v>9938335</v>
      </c>
    </row>
    <row r="84" spans="1:8">
      <c r="A84" s="5" t="s">
        <v>809</v>
      </c>
      <c r="B84" s="29" t="s">
        <v>810</v>
      </c>
      <c r="C84" s="6">
        <v>368394374</v>
      </c>
      <c r="D84" s="7">
        <v>107473395</v>
      </c>
      <c r="E84" s="6">
        <v>0</v>
      </c>
      <c r="F84" s="6">
        <v>1372063249</v>
      </c>
      <c r="G84" s="6">
        <v>350241437</v>
      </c>
      <c r="H84" s="6">
        <v>0</v>
      </c>
    </row>
    <row r="85" spans="1:8">
      <c r="A85" s="2" t="s">
        <v>811</v>
      </c>
      <c r="B85" s="28" t="s">
        <v>812</v>
      </c>
      <c r="C85" s="3">
        <v>1371817</v>
      </c>
      <c r="D85" s="3">
        <v>2155</v>
      </c>
      <c r="E85" s="3">
        <v>3849</v>
      </c>
      <c r="F85" s="3">
        <v>1713645</v>
      </c>
      <c r="G85" s="3">
        <v>2155</v>
      </c>
      <c r="H85" s="3">
        <v>3849</v>
      </c>
    </row>
    <row r="86" spans="1:8">
      <c r="A86" s="5" t="s">
        <v>813</v>
      </c>
      <c r="B86" s="29" t="s">
        <v>814</v>
      </c>
      <c r="C86" s="6">
        <v>318257792</v>
      </c>
      <c r="D86" s="6">
        <v>61190155</v>
      </c>
      <c r="E86" s="7">
        <v>22788595</v>
      </c>
      <c r="F86" s="6">
        <v>1486388814</v>
      </c>
      <c r="G86" s="6">
        <v>121980571</v>
      </c>
      <c r="H86" s="6">
        <v>35198689</v>
      </c>
    </row>
    <row r="87" spans="1:8">
      <c r="A87" s="2" t="s">
        <v>815</v>
      </c>
      <c r="B87" s="28" t="s">
        <v>816</v>
      </c>
      <c r="C87" s="3">
        <v>164861565</v>
      </c>
      <c r="D87" s="3">
        <v>59151583</v>
      </c>
      <c r="E87" s="3">
        <v>0</v>
      </c>
      <c r="F87" s="3">
        <v>2209442972</v>
      </c>
      <c r="G87" s="3">
        <v>76007521</v>
      </c>
      <c r="H87" s="3">
        <v>0</v>
      </c>
    </row>
    <row r="88" spans="1:8">
      <c r="A88" s="2" t="s">
        <v>817</v>
      </c>
      <c r="B88" s="28" t="s">
        <v>818</v>
      </c>
      <c r="C88" s="3">
        <v>182396126</v>
      </c>
      <c r="D88" s="3">
        <v>51978983</v>
      </c>
      <c r="E88" s="3">
        <v>17368990</v>
      </c>
      <c r="F88" s="3">
        <v>232871985</v>
      </c>
      <c r="G88" s="3">
        <v>71211060</v>
      </c>
      <c r="H88" s="3">
        <v>28457229</v>
      </c>
    </row>
    <row r="89" spans="1:8">
      <c r="A89" s="2" t="s">
        <v>819</v>
      </c>
      <c r="B89" s="28" t="s">
        <v>820</v>
      </c>
      <c r="C89" s="3">
        <v>263136334</v>
      </c>
      <c r="D89" s="3">
        <v>68689823</v>
      </c>
      <c r="E89" s="3">
        <v>3826102</v>
      </c>
      <c r="F89" s="3">
        <v>362241990</v>
      </c>
      <c r="G89" s="3">
        <v>91927913</v>
      </c>
      <c r="H89" s="3">
        <v>6268659</v>
      </c>
    </row>
    <row r="90" spans="1:8">
      <c r="A90" s="2" t="s">
        <v>821</v>
      </c>
      <c r="B90" s="28" t="s">
        <v>822</v>
      </c>
      <c r="C90" s="3">
        <v>3147679</v>
      </c>
      <c r="D90" s="3">
        <v>588977</v>
      </c>
      <c r="E90" s="3">
        <v>488990</v>
      </c>
      <c r="F90" s="3">
        <v>4035965</v>
      </c>
      <c r="G90" s="3">
        <v>746055</v>
      </c>
      <c r="H90" s="3">
        <v>608256</v>
      </c>
    </row>
    <row r="91" spans="1:8">
      <c r="A91" s="5" t="s">
        <v>823</v>
      </c>
      <c r="B91" s="29" t="s">
        <v>30</v>
      </c>
      <c r="C91" s="6">
        <v>70266996</v>
      </c>
      <c r="D91" s="6">
        <v>20347789</v>
      </c>
      <c r="E91" s="6">
        <v>5561251</v>
      </c>
      <c r="F91" s="6">
        <v>1517613677</v>
      </c>
      <c r="G91" s="6">
        <v>1849317428</v>
      </c>
      <c r="H91" s="7">
        <v>811015698</v>
      </c>
    </row>
    <row r="92" spans="1:8">
      <c r="A92" s="2" t="s">
        <v>824</v>
      </c>
      <c r="B92" s="28" t="s">
        <v>825</v>
      </c>
      <c r="C92" s="3">
        <v>0</v>
      </c>
      <c r="D92" s="3">
        <v>0</v>
      </c>
      <c r="E92" s="3">
        <v>0</v>
      </c>
      <c r="F92" s="3">
        <v>0</v>
      </c>
      <c r="G92" s="3">
        <v>0</v>
      </c>
      <c r="H92" s="3">
        <v>0</v>
      </c>
    </row>
    <row r="93" spans="1:8">
      <c r="A93" s="2" t="s">
        <v>826</v>
      </c>
      <c r="B93" s="28" t="s">
        <v>827</v>
      </c>
      <c r="C93" s="3">
        <v>98480796</v>
      </c>
      <c r="D93" s="3">
        <v>5511868</v>
      </c>
      <c r="E93" s="3">
        <v>2973311</v>
      </c>
      <c r="F93" s="3">
        <v>140009655</v>
      </c>
      <c r="G93" s="3">
        <v>6883338</v>
      </c>
      <c r="H93" s="3">
        <v>3698508</v>
      </c>
    </row>
    <row r="94" spans="1:8">
      <c r="A94" s="2" t="s">
        <v>828</v>
      </c>
      <c r="B94" s="28" t="s">
        <v>829</v>
      </c>
      <c r="C94" s="3">
        <v>91514950</v>
      </c>
      <c r="D94" s="3">
        <v>11919632</v>
      </c>
      <c r="E94" s="3">
        <v>5682330</v>
      </c>
      <c r="F94" s="3">
        <v>132373480</v>
      </c>
      <c r="G94" s="3">
        <v>19310109</v>
      </c>
      <c r="H94" s="3">
        <v>9309890</v>
      </c>
    </row>
    <row r="95" spans="1:8">
      <c r="A95" s="2" t="s">
        <v>830</v>
      </c>
      <c r="B95" s="28" t="s">
        <v>8</v>
      </c>
      <c r="C95" s="3">
        <v>265</v>
      </c>
      <c r="D95" s="3">
        <v>3902872</v>
      </c>
      <c r="E95" s="3">
        <v>0</v>
      </c>
      <c r="F95" s="3">
        <v>265</v>
      </c>
      <c r="G95" s="3">
        <v>5684208</v>
      </c>
      <c r="H95" s="3">
        <v>0</v>
      </c>
    </row>
    <row r="96" spans="1:8">
      <c r="A96" s="2" t="s">
        <v>831</v>
      </c>
      <c r="B96" s="28" t="s">
        <v>252</v>
      </c>
      <c r="C96" s="3">
        <v>1491991</v>
      </c>
      <c r="D96" s="3">
        <v>518838</v>
      </c>
      <c r="E96" s="3">
        <v>526137</v>
      </c>
      <c r="F96" s="3">
        <v>350156863</v>
      </c>
      <c r="G96" s="3">
        <v>29252679</v>
      </c>
      <c r="H96" s="3">
        <v>766274</v>
      </c>
    </row>
    <row r="97" spans="1:8" ht="90">
      <c r="A97" s="2" t="s">
        <v>832</v>
      </c>
      <c r="B97" s="28" t="s">
        <v>833</v>
      </c>
      <c r="C97" s="3">
        <v>839752</v>
      </c>
      <c r="D97" s="3">
        <v>8791</v>
      </c>
      <c r="E97" s="3">
        <v>819983</v>
      </c>
      <c r="F97" s="3">
        <v>51804292</v>
      </c>
      <c r="G97" s="3">
        <v>1000359</v>
      </c>
      <c r="H97" s="3">
        <v>93314031</v>
      </c>
    </row>
    <row r="98" spans="1:8" ht="45">
      <c r="A98" s="2" t="s">
        <v>834</v>
      </c>
      <c r="B98" s="28" t="s">
        <v>835</v>
      </c>
      <c r="C98" s="3">
        <v>16669946</v>
      </c>
      <c r="D98" s="3">
        <v>472608</v>
      </c>
      <c r="E98" s="3">
        <v>20904</v>
      </c>
      <c r="F98" s="3">
        <v>23595065</v>
      </c>
      <c r="G98" s="3">
        <v>674971</v>
      </c>
      <c r="H98" s="3">
        <v>20904</v>
      </c>
    </row>
    <row r="99" spans="1:8">
      <c r="A99" s="2" t="s">
        <v>836</v>
      </c>
      <c r="B99" s="28" t="s">
        <v>837</v>
      </c>
      <c r="C99" s="3">
        <v>0</v>
      </c>
      <c r="D99" s="3">
        <v>0</v>
      </c>
      <c r="E99" s="3">
        <v>0</v>
      </c>
      <c r="F99" s="3">
        <v>0</v>
      </c>
      <c r="G99" s="3">
        <v>0</v>
      </c>
      <c r="H99" s="3">
        <v>0</v>
      </c>
    </row>
    <row r="100" spans="1:8">
      <c r="A100" s="2" t="s">
        <v>838</v>
      </c>
      <c r="B100" s="28" t="s">
        <v>839</v>
      </c>
      <c r="C100" s="3">
        <v>20667050</v>
      </c>
      <c r="D100" s="3">
        <v>8925647</v>
      </c>
      <c r="E100" s="3">
        <v>55832</v>
      </c>
      <c r="F100" s="3">
        <v>1312078873</v>
      </c>
      <c r="G100" s="3">
        <v>149530126</v>
      </c>
      <c r="H100" s="3">
        <v>55832</v>
      </c>
    </row>
    <row r="101" spans="1:8">
      <c r="A101" s="2" t="s">
        <v>840</v>
      </c>
      <c r="B101" s="28" t="s">
        <v>841</v>
      </c>
      <c r="C101" s="3">
        <v>7496013</v>
      </c>
      <c r="D101" s="3">
        <v>1547764</v>
      </c>
      <c r="E101" s="3">
        <v>6572514</v>
      </c>
      <c r="F101" s="3">
        <v>9714231</v>
      </c>
      <c r="G101" s="3">
        <v>1933560</v>
      </c>
      <c r="H101" s="3">
        <v>8215643</v>
      </c>
    </row>
    <row r="102" spans="1:8">
      <c r="A102" s="2" t="s">
        <v>842</v>
      </c>
      <c r="B102" s="28" t="s">
        <v>843</v>
      </c>
      <c r="C102" s="3">
        <v>9620054</v>
      </c>
      <c r="D102" s="3">
        <v>229300</v>
      </c>
      <c r="E102" s="3">
        <v>0</v>
      </c>
      <c r="F102" s="3">
        <v>30884057</v>
      </c>
      <c r="G102" s="3">
        <v>282922</v>
      </c>
      <c r="H102" s="3">
        <v>0</v>
      </c>
    </row>
    <row r="103" spans="1:8">
      <c r="A103" s="2" t="s">
        <v>844</v>
      </c>
      <c r="B103" s="28" t="s">
        <v>845</v>
      </c>
      <c r="C103" s="3">
        <v>0</v>
      </c>
      <c r="D103" s="3">
        <v>0</v>
      </c>
      <c r="E103" s="3">
        <v>0</v>
      </c>
      <c r="F103" s="3">
        <v>0</v>
      </c>
      <c r="G103" s="3">
        <v>0</v>
      </c>
      <c r="H103" s="3">
        <v>0</v>
      </c>
    </row>
    <row r="104" spans="1:8">
      <c r="A104" s="2" t="s">
        <v>846</v>
      </c>
      <c r="B104" s="28" t="s">
        <v>847</v>
      </c>
      <c r="C104" s="3">
        <v>1772099</v>
      </c>
      <c r="D104" s="3">
        <v>0</v>
      </c>
      <c r="E104" s="3">
        <v>376660</v>
      </c>
      <c r="F104" s="3">
        <v>2580914</v>
      </c>
      <c r="G104" s="3">
        <v>0</v>
      </c>
      <c r="H104" s="3">
        <v>548573</v>
      </c>
    </row>
    <row r="105" spans="1:8">
      <c r="A105" s="2" t="s">
        <v>848</v>
      </c>
      <c r="B105" s="28" t="s">
        <v>849</v>
      </c>
      <c r="C105" s="3">
        <v>122708</v>
      </c>
      <c r="D105" s="3">
        <v>2579</v>
      </c>
      <c r="E105" s="3">
        <v>5445372</v>
      </c>
      <c r="F105" s="3">
        <v>150950</v>
      </c>
      <c r="G105" s="3">
        <v>3176</v>
      </c>
      <c r="H105" s="3">
        <v>7930729</v>
      </c>
    </row>
    <row r="106" spans="1:8" ht="30">
      <c r="A106" s="2" t="s">
        <v>850</v>
      </c>
      <c r="B106" s="28" t="s">
        <v>851</v>
      </c>
      <c r="C106" s="3">
        <v>3446283</v>
      </c>
      <c r="D106" s="3">
        <v>1284254</v>
      </c>
      <c r="E106" s="3">
        <v>1703713</v>
      </c>
      <c r="F106" s="3">
        <v>4305865</v>
      </c>
      <c r="G106" s="3">
        <v>1605317</v>
      </c>
      <c r="H106" s="3">
        <v>2129641</v>
      </c>
    </row>
    <row r="107" spans="1:8" ht="90">
      <c r="A107" s="2" t="s">
        <v>852</v>
      </c>
      <c r="B107" s="28" t="s">
        <v>853</v>
      </c>
      <c r="C107" s="3">
        <v>2738451</v>
      </c>
      <c r="D107" s="3">
        <v>332</v>
      </c>
      <c r="E107" s="3">
        <v>6404</v>
      </c>
      <c r="F107" s="3">
        <v>31103613</v>
      </c>
      <c r="G107" s="3">
        <v>332</v>
      </c>
      <c r="H107" s="3">
        <v>6404</v>
      </c>
    </row>
    <row r="108" spans="1:8" ht="30">
      <c r="A108" s="2" t="s">
        <v>854</v>
      </c>
      <c r="B108" s="28" t="s">
        <v>855</v>
      </c>
      <c r="C108" s="3">
        <v>0</v>
      </c>
      <c r="D108" s="3">
        <v>0</v>
      </c>
      <c r="E108" s="3">
        <v>0</v>
      </c>
      <c r="F108" s="3">
        <v>0</v>
      </c>
      <c r="G108" s="3">
        <v>0</v>
      </c>
      <c r="H108" s="3">
        <v>0</v>
      </c>
    </row>
    <row r="109" spans="1:8" ht="30">
      <c r="A109" s="2" t="s">
        <v>856</v>
      </c>
      <c r="B109" s="28" t="s">
        <v>857</v>
      </c>
      <c r="C109" s="3">
        <v>10130818</v>
      </c>
      <c r="D109" s="3">
        <v>375103</v>
      </c>
      <c r="E109" s="3">
        <v>133085</v>
      </c>
      <c r="F109" s="3">
        <v>80206946</v>
      </c>
      <c r="G109" s="3">
        <v>465042</v>
      </c>
      <c r="H109" s="3">
        <v>166356</v>
      </c>
    </row>
    <row r="110" spans="1:8" ht="30">
      <c r="A110" s="2" t="s">
        <v>858</v>
      </c>
      <c r="B110" s="28" t="s">
        <v>859</v>
      </c>
      <c r="C110" s="3">
        <v>350838120</v>
      </c>
      <c r="D110" s="3">
        <v>27633132</v>
      </c>
      <c r="E110" s="3">
        <v>0</v>
      </c>
      <c r="F110" s="3">
        <v>2187960323</v>
      </c>
      <c r="G110" s="3">
        <v>34133316</v>
      </c>
      <c r="H110" s="3">
        <v>0</v>
      </c>
    </row>
    <row r="111" spans="1:8" ht="45">
      <c r="A111" s="2" t="s">
        <v>682</v>
      </c>
      <c r="B111" s="28" t="s">
        <v>860</v>
      </c>
      <c r="C111" s="3">
        <v>17078099</v>
      </c>
      <c r="D111" s="3">
        <v>922</v>
      </c>
      <c r="E111" s="3">
        <v>36537</v>
      </c>
      <c r="F111" s="3">
        <v>20922625</v>
      </c>
      <c r="G111" s="3">
        <v>922</v>
      </c>
      <c r="H111" s="3">
        <v>36537</v>
      </c>
    </row>
    <row r="112" spans="1:8" ht="45">
      <c r="A112" s="2" t="s">
        <v>861</v>
      </c>
      <c r="B112" s="28" t="s">
        <v>862</v>
      </c>
      <c r="C112" s="3">
        <v>8245199</v>
      </c>
      <c r="D112" s="3">
        <v>795</v>
      </c>
      <c r="E112" s="3">
        <v>1320334</v>
      </c>
      <c r="F112" s="3">
        <v>10641442</v>
      </c>
      <c r="G112" s="3">
        <v>975</v>
      </c>
      <c r="H112" s="3">
        <v>1922956</v>
      </c>
    </row>
    <row r="113" spans="1:8" ht="60">
      <c r="A113" s="5" t="s">
        <v>863</v>
      </c>
      <c r="B113" s="29" t="s">
        <v>864</v>
      </c>
      <c r="C113" s="6">
        <v>152007572</v>
      </c>
      <c r="D113" s="6">
        <v>7141262</v>
      </c>
      <c r="E113" s="6">
        <v>4632478</v>
      </c>
      <c r="F113" s="6">
        <v>4419438348</v>
      </c>
      <c r="G113" s="6">
        <v>226423556</v>
      </c>
      <c r="H113" s="7">
        <v>675569738</v>
      </c>
    </row>
    <row r="114" spans="1:8">
      <c r="A114" s="2" t="s">
        <v>865</v>
      </c>
      <c r="B114" s="28" t="s">
        <v>62</v>
      </c>
      <c r="C114" s="3">
        <v>25342441</v>
      </c>
      <c r="D114" s="3">
        <v>6337832</v>
      </c>
      <c r="E114" s="3">
        <v>7566498</v>
      </c>
      <c r="F114" s="3">
        <v>965260289</v>
      </c>
      <c r="G114" s="3">
        <v>86507539</v>
      </c>
      <c r="H114" s="3">
        <v>9458123</v>
      </c>
    </row>
    <row r="115" spans="1:8" ht="30">
      <c r="A115" s="2" t="s">
        <v>866</v>
      </c>
      <c r="B115" s="28" t="s">
        <v>867</v>
      </c>
      <c r="C115" s="3">
        <v>94535383</v>
      </c>
      <c r="D115" s="3">
        <v>4015981</v>
      </c>
      <c r="E115" s="3">
        <v>0</v>
      </c>
      <c r="F115" s="3">
        <v>1741784674</v>
      </c>
      <c r="G115" s="3">
        <v>15784705</v>
      </c>
      <c r="H115" s="3">
        <v>0</v>
      </c>
    </row>
    <row r="116" spans="1:8">
      <c r="A116" s="2" t="s">
        <v>868</v>
      </c>
      <c r="B116" s="28" t="s">
        <v>82</v>
      </c>
      <c r="C116" s="3">
        <v>9006770</v>
      </c>
      <c r="D116" s="3">
        <v>7647</v>
      </c>
      <c r="E116" s="3">
        <v>0</v>
      </c>
      <c r="F116" s="3">
        <v>427086061</v>
      </c>
      <c r="G116" s="3">
        <v>7647</v>
      </c>
      <c r="H116" s="3">
        <v>0</v>
      </c>
    </row>
    <row r="117" spans="1:8">
      <c r="A117" s="2" t="s">
        <v>869</v>
      </c>
      <c r="B117" s="28" t="s">
        <v>212</v>
      </c>
      <c r="C117" s="3">
        <v>27247243</v>
      </c>
      <c r="D117" s="3">
        <v>2542300</v>
      </c>
      <c r="E117" s="3">
        <v>0</v>
      </c>
      <c r="F117" s="3">
        <v>85500917</v>
      </c>
      <c r="G117" s="3">
        <v>3206382</v>
      </c>
      <c r="H117" s="3">
        <v>0</v>
      </c>
    </row>
    <row r="118" spans="1:8">
      <c r="A118" s="2" t="s">
        <v>870</v>
      </c>
      <c r="B118" s="28" t="s">
        <v>871</v>
      </c>
      <c r="C118" s="3">
        <v>2620947</v>
      </c>
      <c r="D118" s="3">
        <v>0</v>
      </c>
      <c r="E118" s="3">
        <v>0</v>
      </c>
      <c r="F118" s="3">
        <v>3258513</v>
      </c>
      <c r="G118" s="3">
        <v>0</v>
      </c>
      <c r="H118" s="3">
        <v>0</v>
      </c>
    </row>
    <row r="119" spans="1:8">
      <c r="A119" s="2" t="s">
        <v>872</v>
      </c>
      <c r="B119" s="28" t="s">
        <v>873</v>
      </c>
      <c r="C119" s="3">
        <v>28685449</v>
      </c>
      <c r="D119" s="3">
        <v>7450503</v>
      </c>
      <c r="E119" s="3">
        <v>0</v>
      </c>
      <c r="F119" s="3">
        <v>445302728</v>
      </c>
      <c r="G119" s="3">
        <v>9267698</v>
      </c>
      <c r="H119" s="3">
        <v>0</v>
      </c>
    </row>
    <row r="120" spans="1:8">
      <c r="A120" s="2" t="s">
        <v>874</v>
      </c>
      <c r="B120" s="28" t="s">
        <v>875</v>
      </c>
      <c r="C120" s="3">
        <v>3755376</v>
      </c>
      <c r="D120" s="3">
        <v>15124</v>
      </c>
      <c r="E120" s="3">
        <v>0</v>
      </c>
      <c r="F120" s="3">
        <v>9761274</v>
      </c>
      <c r="G120" s="3">
        <v>15124</v>
      </c>
      <c r="H120" s="3">
        <v>0</v>
      </c>
    </row>
    <row r="121" spans="1:8">
      <c r="A121" s="2" t="s">
        <v>876</v>
      </c>
      <c r="B121" s="28" t="s">
        <v>877</v>
      </c>
      <c r="C121" s="3">
        <v>54132477</v>
      </c>
      <c r="D121" s="3">
        <v>25788500</v>
      </c>
      <c r="E121" s="3">
        <v>0</v>
      </c>
      <c r="F121" s="3">
        <v>3083157191</v>
      </c>
      <c r="G121" s="3">
        <v>1615737511</v>
      </c>
      <c r="H121" s="3">
        <v>0</v>
      </c>
    </row>
    <row r="122" spans="1:8">
      <c r="A122" s="2" t="s">
        <v>878</v>
      </c>
      <c r="B122" s="28" t="s">
        <v>879</v>
      </c>
      <c r="C122" s="3">
        <v>11892315</v>
      </c>
      <c r="D122" s="3">
        <v>5479438</v>
      </c>
      <c r="E122" s="3">
        <v>0</v>
      </c>
      <c r="F122" s="3">
        <v>95643606</v>
      </c>
      <c r="G122" s="3">
        <v>6821367</v>
      </c>
      <c r="H122" s="3">
        <v>0</v>
      </c>
    </row>
    <row r="123" spans="1:8">
      <c r="A123" s="2" t="s">
        <v>880</v>
      </c>
      <c r="B123" s="28" t="s">
        <v>881</v>
      </c>
      <c r="C123" s="3">
        <v>32361323</v>
      </c>
      <c r="D123" s="3">
        <v>6606812</v>
      </c>
      <c r="E123" s="3">
        <v>7127</v>
      </c>
      <c r="F123" s="3">
        <v>80580171</v>
      </c>
      <c r="G123" s="3">
        <v>31748822</v>
      </c>
      <c r="H123" s="3">
        <v>7127</v>
      </c>
    </row>
    <row r="124" spans="1:8" ht="30">
      <c r="A124" s="2" t="s">
        <v>882</v>
      </c>
      <c r="B124" s="28" t="s">
        <v>883</v>
      </c>
      <c r="C124" s="3">
        <v>9173974</v>
      </c>
      <c r="D124" s="3">
        <v>124532</v>
      </c>
      <c r="E124" s="3">
        <v>0</v>
      </c>
      <c r="F124" s="3">
        <v>1083309019</v>
      </c>
      <c r="G124" s="3">
        <v>15962531</v>
      </c>
      <c r="H124" s="3">
        <v>0</v>
      </c>
    </row>
    <row r="125" spans="1:8">
      <c r="A125" s="2" t="s">
        <v>884</v>
      </c>
      <c r="B125" s="28" t="s">
        <v>885</v>
      </c>
      <c r="C125" s="3">
        <v>100801228</v>
      </c>
      <c r="D125" s="3">
        <v>1657011</v>
      </c>
      <c r="E125" s="3">
        <v>0</v>
      </c>
      <c r="F125" s="3">
        <v>1741054081</v>
      </c>
      <c r="G125" s="3">
        <v>31088806</v>
      </c>
      <c r="H125" s="3">
        <v>44</v>
      </c>
    </row>
    <row r="126" spans="1:8">
      <c r="A126" s="2" t="s">
        <v>886</v>
      </c>
      <c r="B126" s="28" t="s">
        <v>887</v>
      </c>
      <c r="C126" s="3">
        <v>33941603</v>
      </c>
      <c r="D126" s="3">
        <v>3376630</v>
      </c>
      <c r="E126" s="3">
        <v>0</v>
      </c>
      <c r="F126" s="3">
        <v>776963447</v>
      </c>
      <c r="G126" s="3">
        <v>5325838</v>
      </c>
      <c r="H126" s="3">
        <v>0</v>
      </c>
    </row>
    <row r="127" spans="1:8">
      <c r="A127" s="2" t="s">
        <v>888</v>
      </c>
      <c r="B127" s="28" t="s">
        <v>58</v>
      </c>
      <c r="C127" s="3">
        <v>25069583</v>
      </c>
      <c r="D127" s="3">
        <v>459142</v>
      </c>
      <c r="E127" s="3">
        <v>0</v>
      </c>
      <c r="F127" s="3">
        <v>2899039753</v>
      </c>
      <c r="G127" s="3">
        <v>44930692</v>
      </c>
      <c r="H127" s="3">
        <v>0</v>
      </c>
    </row>
    <row r="128" spans="1:8">
      <c r="A128" s="2" t="s">
        <v>889</v>
      </c>
      <c r="B128" s="28" t="s">
        <v>890</v>
      </c>
      <c r="C128" s="3">
        <v>62094886</v>
      </c>
      <c r="D128" s="3">
        <v>3061359</v>
      </c>
      <c r="E128" s="3">
        <v>4797915</v>
      </c>
      <c r="F128" s="3">
        <v>4435719742</v>
      </c>
      <c r="G128" s="3">
        <v>27844793</v>
      </c>
      <c r="H128" s="3">
        <v>6987763</v>
      </c>
    </row>
    <row r="129" spans="1:8">
      <c r="A129" s="5" t="s">
        <v>891</v>
      </c>
      <c r="B129" s="29" t="s">
        <v>892</v>
      </c>
      <c r="C129" s="6">
        <v>125135085</v>
      </c>
      <c r="D129" s="6">
        <v>23555290</v>
      </c>
      <c r="E129" s="6">
        <v>0</v>
      </c>
      <c r="F129" s="7">
        <v>19227917778</v>
      </c>
      <c r="G129" s="7">
        <v>3349473622</v>
      </c>
      <c r="H129" s="6">
        <v>0</v>
      </c>
    </row>
    <row r="130" spans="1:8" ht="30">
      <c r="A130" s="2" t="s">
        <v>893</v>
      </c>
      <c r="B130" s="28" t="s">
        <v>894</v>
      </c>
      <c r="C130" s="3">
        <v>313369348</v>
      </c>
      <c r="D130" s="3">
        <v>19868648</v>
      </c>
      <c r="E130" s="3">
        <v>0</v>
      </c>
      <c r="F130" s="3">
        <v>6289791726</v>
      </c>
      <c r="G130" s="3">
        <v>33263993</v>
      </c>
      <c r="H130" s="3">
        <v>0</v>
      </c>
    </row>
    <row r="131" spans="1:8">
      <c r="A131" s="5" t="s">
        <v>895</v>
      </c>
      <c r="B131" s="29" t="s">
        <v>896</v>
      </c>
      <c r="C131" s="7">
        <v>1291966976</v>
      </c>
      <c r="D131" s="7">
        <v>217741000</v>
      </c>
      <c r="E131" s="7">
        <v>45699773</v>
      </c>
      <c r="F131" s="6">
        <v>11769773862</v>
      </c>
      <c r="G131" s="6">
        <v>387100823</v>
      </c>
      <c r="H131" s="6">
        <v>66557902</v>
      </c>
    </row>
    <row r="132" spans="1:8">
      <c r="A132" s="5" t="s">
        <v>897</v>
      </c>
      <c r="B132" s="29" t="s">
        <v>898</v>
      </c>
      <c r="C132" s="6">
        <v>302721200</v>
      </c>
      <c r="D132" s="6">
        <v>50595585</v>
      </c>
      <c r="E132" s="7">
        <v>24840290</v>
      </c>
      <c r="F132" s="6">
        <v>10788646528</v>
      </c>
      <c r="G132" s="6">
        <v>128783981</v>
      </c>
      <c r="H132" s="6">
        <v>36177807</v>
      </c>
    </row>
    <row r="133" spans="1:8">
      <c r="A133" s="5" t="s">
        <v>899</v>
      </c>
      <c r="B133" s="29" t="s">
        <v>900</v>
      </c>
      <c r="C133" s="7">
        <v>644807618</v>
      </c>
      <c r="D133" s="6">
        <v>70006565</v>
      </c>
      <c r="E133" s="6">
        <v>0</v>
      </c>
      <c r="F133" s="6">
        <v>11031517102</v>
      </c>
      <c r="G133" s="6">
        <v>142321889</v>
      </c>
      <c r="H133" s="6">
        <v>0</v>
      </c>
    </row>
    <row r="134" spans="1:8">
      <c r="A134" s="2" t="s">
        <v>901</v>
      </c>
      <c r="B134" s="28" t="s">
        <v>902</v>
      </c>
      <c r="C134" s="3">
        <v>244473418</v>
      </c>
      <c r="D134" s="3">
        <v>37012667</v>
      </c>
      <c r="E134" s="3">
        <v>7004330</v>
      </c>
      <c r="F134" s="3">
        <v>6088202773</v>
      </c>
      <c r="G134" s="3">
        <v>80292792</v>
      </c>
      <c r="H134" s="3">
        <v>8755413</v>
      </c>
    </row>
    <row r="135" spans="1:8">
      <c r="A135" s="5" t="s">
        <v>903</v>
      </c>
      <c r="B135" s="29" t="s">
        <v>904</v>
      </c>
      <c r="C135" s="7">
        <v>893204489</v>
      </c>
      <c r="D135" s="6">
        <v>63061456</v>
      </c>
      <c r="E135" s="6">
        <v>0</v>
      </c>
      <c r="F135" s="7">
        <v>32723879297</v>
      </c>
      <c r="G135" s="6">
        <v>774920458</v>
      </c>
      <c r="H135" s="6">
        <v>0</v>
      </c>
    </row>
    <row r="136" spans="1:8">
      <c r="A136" s="2" t="s">
        <v>905</v>
      </c>
      <c r="B136" s="28" t="s">
        <v>906</v>
      </c>
      <c r="C136" s="3">
        <v>190227861</v>
      </c>
      <c r="D136" s="3">
        <v>10221262</v>
      </c>
      <c r="E136" s="3">
        <v>0</v>
      </c>
      <c r="F136" s="3">
        <v>6516899800</v>
      </c>
      <c r="G136" s="3">
        <v>14097380</v>
      </c>
      <c r="H136" s="3">
        <v>0</v>
      </c>
    </row>
    <row r="137" spans="1:8">
      <c r="A137" s="5" t="s">
        <v>907</v>
      </c>
      <c r="B137" s="29" t="s">
        <v>908</v>
      </c>
      <c r="C137" s="6">
        <v>417649224</v>
      </c>
      <c r="D137" s="6">
        <v>34641344</v>
      </c>
      <c r="E137" s="7">
        <v>18114829</v>
      </c>
      <c r="F137" s="7">
        <v>12739550188</v>
      </c>
      <c r="G137" s="6">
        <v>2308741078</v>
      </c>
      <c r="H137" s="6">
        <v>22533080</v>
      </c>
    </row>
    <row r="138" spans="1:8">
      <c r="A138" s="2" t="s">
        <v>909</v>
      </c>
      <c r="B138" s="28" t="s">
        <v>910</v>
      </c>
      <c r="C138" s="3">
        <v>227801514</v>
      </c>
      <c r="D138" s="3">
        <v>9566629</v>
      </c>
      <c r="E138" s="3">
        <v>0</v>
      </c>
      <c r="F138" s="3">
        <v>1056697380</v>
      </c>
      <c r="G138" s="3">
        <v>12086140</v>
      </c>
      <c r="H138" s="3">
        <v>0</v>
      </c>
    </row>
    <row r="139" spans="1:8">
      <c r="A139" s="2" t="s">
        <v>911</v>
      </c>
      <c r="B139" s="28" t="s">
        <v>912</v>
      </c>
      <c r="C139" s="3">
        <v>262489352</v>
      </c>
      <c r="D139" s="3">
        <v>7417513</v>
      </c>
      <c r="E139" s="3">
        <v>0</v>
      </c>
      <c r="F139" s="3">
        <v>919880282</v>
      </c>
      <c r="G139" s="3">
        <v>13278961</v>
      </c>
      <c r="H139" s="3">
        <v>0</v>
      </c>
    </row>
    <row r="140" spans="1:8">
      <c r="A140" s="2" t="s">
        <v>913</v>
      </c>
      <c r="B140" s="28" t="s">
        <v>914</v>
      </c>
      <c r="C140" s="3">
        <v>261456373</v>
      </c>
      <c r="D140" s="3">
        <v>10750100</v>
      </c>
      <c r="E140" s="3">
        <v>0</v>
      </c>
      <c r="F140" s="3">
        <v>1046643228</v>
      </c>
      <c r="G140" s="3">
        <v>45959754</v>
      </c>
      <c r="H140" s="3">
        <v>0</v>
      </c>
    </row>
    <row r="141" spans="1:8">
      <c r="A141" s="2" t="s">
        <v>915</v>
      </c>
      <c r="B141" s="28" t="s">
        <v>916</v>
      </c>
      <c r="C141" s="3">
        <v>3909574</v>
      </c>
      <c r="D141" s="3">
        <v>117810</v>
      </c>
      <c r="E141" s="3">
        <v>157678</v>
      </c>
      <c r="F141" s="3">
        <v>5481155</v>
      </c>
      <c r="G141" s="3">
        <v>146544</v>
      </c>
      <c r="H141" s="3">
        <v>196136</v>
      </c>
    </row>
    <row r="142" spans="1:8">
      <c r="A142" s="2" t="s">
        <v>917</v>
      </c>
      <c r="B142" s="28" t="s">
        <v>918</v>
      </c>
      <c r="C142" s="3">
        <v>5736571</v>
      </c>
      <c r="D142" s="3">
        <v>976964</v>
      </c>
      <c r="E142" s="3">
        <v>1858663</v>
      </c>
      <c r="F142" s="3">
        <v>7554103</v>
      </c>
      <c r="G142" s="3">
        <v>1197240</v>
      </c>
      <c r="H142" s="3">
        <v>2706988</v>
      </c>
    </row>
    <row r="143" spans="1:8">
      <c r="A143" s="2" t="s">
        <v>919</v>
      </c>
      <c r="B143" s="28" t="s">
        <v>920</v>
      </c>
      <c r="C143" s="3">
        <v>315828256</v>
      </c>
      <c r="D143" s="3">
        <v>22774246</v>
      </c>
      <c r="E143" s="3">
        <v>0</v>
      </c>
      <c r="F143" s="3">
        <v>3226055624</v>
      </c>
      <c r="G143" s="3">
        <v>255510227</v>
      </c>
      <c r="H143" s="3">
        <v>0</v>
      </c>
    </row>
    <row r="144" spans="1:8">
      <c r="A144" s="2" t="s">
        <v>921</v>
      </c>
      <c r="B144" s="28" t="s">
        <v>922</v>
      </c>
      <c r="C144" s="3">
        <v>56359109</v>
      </c>
      <c r="D144" s="3">
        <v>1058063</v>
      </c>
      <c r="E144" s="3">
        <v>2909184</v>
      </c>
      <c r="F144" s="3">
        <v>340804406</v>
      </c>
      <c r="G144" s="3">
        <v>12084576</v>
      </c>
      <c r="H144" s="3">
        <v>3618741</v>
      </c>
    </row>
    <row r="145" spans="1:8">
      <c r="A145" s="2" t="s">
        <v>923</v>
      </c>
      <c r="B145" s="28" t="s">
        <v>924</v>
      </c>
      <c r="C145" s="3">
        <v>110936098</v>
      </c>
      <c r="D145" s="3">
        <v>42091953</v>
      </c>
      <c r="E145" s="3">
        <v>0</v>
      </c>
      <c r="F145" s="3">
        <v>783611948</v>
      </c>
      <c r="G145" s="3">
        <v>52228462</v>
      </c>
      <c r="H145" s="3">
        <v>0</v>
      </c>
    </row>
    <row r="146" spans="1:8">
      <c r="A146" s="2" t="s">
        <v>925</v>
      </c>
      <c r="B146" s="28" t="s">
        <v>926</v>
      </c>
      <c r="C146" s="3">
        <v>68677281</v>
      </c>
      <c r="D146" s="3">
        <v>3639779</v>
      </c>
      <c r="E146" s="3">
        <v>0</v>
      </c>
      <c r="F146" s="3">
        <v>410433159</v>
      </c>
      <c r="G146" s="3">
        <v>4459013</v>
      </c>
      <c r="H146" s="3">
        <v>0</v>
      </c>
    </row>
    <row r="147" spans="1:8">
      <c r="A147" s="2" t="s">
        <v>927</v>
      </c>
      <c r="B147" s="28" t="s">
        <v>928</v>
      </c>
      <c r="C147" s="3">
        <v>176345809</v>
      </c>
      <c r="D147" s="3">
        <v>21199099</v>
      </c>
      <c r="E147" s="3">
        <v>0</v>
      </c>
      <c r="F147" s="3">
        <v>2084530066</v>
      </c>
      <c r="G147" s="3">
        <v>857660221</v>
      </c>
      <c r="H147" s="3">
        <v>0</v>
      </c>
    </row>
  </sheetData>
  <mergeCells count="4">
    <mergeCell ref="A1:A2"/>
    <mergeCell ref="B1:B2"/>
    <mergeCell ref="C1:E1"/>
    <mergeCell ref="F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7F5DF-A0CB-4F8B-91A0-16B8C265499A}">
  <sheetPr>
    <tabColor theme="6" tint="0.59999389629810485"/>
  </sheetPr>
  <dimension ref="A1:H10"/>
  <sheetViews>
    <sheetView workbookViewId="0">
      <selection sqref="A1:H10"/>
    </sheetView>
  </sheetViews>
  <sheetFormatPr defaultRowHeight="15"/>
  <sheetData>
    <row r="1" spans="1:8">
      <c r="A1" s="62" t="s">
        <v>929</v>
      </c>
      <c r="B1" s="62"/>
      <c r="C1" s="62"/>
      <c r="D1" s="62"/>
      <c r="E1" s="62"/>
      <c r="F1" s="62"/>
      <c r="G1" s="62"/>
      <c r="H1" s="62"/>
    </row>
    <row r="2" spans="1:8">
      <c r="A2" s="62"/>
      <c r="B2" s="62"/>
      <c r="C2" s="62"/>
      <c r="D2" s="62"/>
      <c r="E2" s="62"/>
      <c r="F2" s="62"/>
      <c r="G2" s="62"/>
      <c r="H2" s="62"/>
    </row>
    <row r="3" spans="1:8">
      <c r="A3" s="62"/>
      <c r="B3" s="62"/>
      <c r="C3" s="62"/>
      <c r="D3" s="62"/>
      <c r="E3" s="62"/>
      <c r="F3" s="62"/>
      <c r="G3" s="62"/>
      <c r="H3" s="62"/>
    </row>
    <row r="4" spans="1:8">
      <c r="A4" s="62"/>
      <c r="B4" s="62"/>
      <c r="C4" s="62"/>
      <c r="D4" s="62"/>
      <c r="E4" s="62"/>
      <c r="F4" s="62"/>
      <c r="G4" s="62"/>
      <c r="H4" s="62"/>
    </row>
    <row r="5" spans="1:8">
      <c r="A5" s="62"/>
      <c r="B5" s="62"/>
      <c r="C5" s="62"/>
      <c r="D5" s="62"/>
      <c r="E5" s="62"/>
      <c r="F5" s="62"/>
      <c r="G5" s="62"/>
      <c r="H5" s="62"/>
    </row>
    <row r="6" spans="1:8">
      <c r="A6" s="62"/>
      <c r="B6" s="62"/>
      <c r="C6" s="62"/>
      <c r="D6" s="62"/>
      <c r="E6" s="62"/>
      <c r="F6" s="62"/>
      <c r="G6" s="62"/>
      <c r="H6" s="62"/>
    </row>
    <row r="7" spans="1:8">
      <c r="A7" s="62"/>
      <c r="B7" s="62"/>
      <c r="C7" s="62"/>
      <c r="D7" s="62"/>
      <c r="E7" s="62"/>
      <c r="F7" s="62"/>
      <c r="G7" s="62"/>
      <c r="H7" s="62"/>
    </row>
    <row r="8" spans="1:8">
      <c r="A8" s="62"/>
      <c r="B8" s="62"/>
      <c r="C8" s="62"/>
      <c r="D8" s="62"/>
      <c r="E8" s="62"/>
      <c r="F8" s="62"/>
      <c r="G8" s="62"/>
      <c r="H8" s="62"/>
    </row>
    <row r="9" spans="1:8">
      <c r="A9" s="62"/>
      <c r="B9" s="62"/>
      <c r="C9" s="62"/>
      <c r="D9" s="62"/>
      <c r="E9" s="62"/>
      <c r="F9" s="62"/>
      <c r="G9" s="62"/>
      <c r="H9" s="62"/>
    </row>
    <row r="10" spans="1:8">
      <c r="A10" s="62"/>
      <c r="B10" s="62"/>
      <c r="C10" s="62"/>
      <c r="D10" s="62"/>
      <c r="E10" s="62"/>
      <c r="F10" s="62"/>
      <c r="G10" s="62"/>
      <c r="H10" s="62"/>
    </row>
  </sheetData>
  <mergeCells count="1">
    <mergeCell ref="A1: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Comparison with GWSP</vt:lpstr>
      <vt:lpstr>Metadata</vt:lpstr>
      <vt:lpstr>water_abstraction_EU_EEA</vt:lpstr>
      <vt:lpstr>Water demand per country_Nature</vt:lpstr>
      <vt:lpstr>cooling water_Nature_EU27_sort</vt:lpstr>
      <vt:lpstr>cooling water_calculation_Eu27</vt:lpstr>
      <vt:lpstr>Sheet2</vt:lpstr>
      <vt:lpstr>Country code</vt:lpstr>
      <vt:lpstr>Water consumption per river</vt:lpstr>
      <vt:lpstr>Water withdrawal per river</vt:lpstr>
      <vt:lpstr>Water demand per river-info</vt:lpstr>
      <vt:lpstr>Sensitivity of country cons.</vt:lpstr>
      <vt:lpstr>Sensitivity of country withd.</vt:lpstr>
      <vt:lpstr>Sensitivity of country-info</vt:lpstr>
      <vt:lpstr>Water demand per region</vt:lpstr>
      <vt:lpstr>Water demand per region-info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Alena Lohrmann</dc:creator>
  <cp:lastModifiedBy>Sridharan, Vignesh</cp:lastModifiedBy>
  <dcterms:created xsi:type="dcterms:W3CDTF">2019-09-30T00:05:57Z</dcterms:created>
  <dcterms:modified xsi:type="dcterms:W3CDTF">2025-11-25T18:05:19Z</dcterms:modified>
</cp:coreProperties>
</file>