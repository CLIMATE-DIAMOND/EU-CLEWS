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7" documentId="8_{F5277366-114F-42CC-9CEF-2184A5C1CF14}" xr6:coauthVersionLast="47" xr6:coauthVersionMax="47" xr10:uidLastSave="{2FE49023-9BAB-4987-B42B-2A72D84BB1E3}"/>
  <bookViews>
    <workbookView xWindow="-120" yWindow="-120" windowWidth="29040" windowHeight="15840" activeTab="1" xr2:uid="{00000000-000D-0000-FFFF-FFFF00000000}"/>
  </bookViews>
  <sheets>
    <sheet name="GHG data from Eurostat" sheetId="3" r:id="rId1"/>
    <sheet name="GHG_by country_by emission" sheetId="5" r:id="rId2"/>
    <sheet name="EAR_Model_Input" sheetId="8" state="hidden" r:id="rId3"/>
    <sheet name="EXOE_Model_Input" sheetId="9" state="hidden" r:id="rId4"/>
    <sheet name="Landcover" sheetId="7" state="hidden" r:id="rId5"/>
    <sheet name="Flags 1" sheetId="4" state="hidden" r:id="rId6"/>
  </sheets>
  <definedNames>
    <definedName name="_xlnm._FilterDatabase" localSheetId="2" hidden="1">EAR_Model_Input!$A$1:$G$109</definedName>
    <definedName name="_xlnm._FilterDatabase" localSheetId="0" hidden="1">'GHG data from Eurostat'!$A$10:$FL$130</definedName>
    <definedName name="_xlnm._FilterDatabase" localSheetId="1" hidden="1">'GHG_by country_by emission'!$G$2:$AC$116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6" i="5" l="1"/>
  <c r="BL7" i="5"/>
  <c r="BL8" i="5"/>
  <c r="BL9" i="5"/>
  <c r="BL10" i="5"/>
  <c r="BL11" i="5"/>
  <c r="BL12" i="5"/>
  <c r="BL13" i="5"/>
  <c r="BL14" i="5"/>
  <c r="BL15" i="5"/>
  <c r="BL16" i="5"/>
  <c r="BL17" i="5"/>
  <c r="BL18" i="5"/>
  <c r="BL19" i="5"/>
  <c r="BL20" i="5"/>
  <c r="BL21" i="5"/>
  <c r="BL22" i="5"/>
  <c r="BL23" i="5"/>
  <c r="BL24" i="5"/>
  <c r="BL25" i="5"/>
  <c r="BL26" i="5"/>
  <c r="BL27" i="5"/>
  <c r="BL28" i="5"/>
  <c r="BL29" i="5"/>
  <c r="BL30" i="5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49" i="5"/>
  <c r="BL50" i="5"/>
  <c r="BL51" i="5"/>
  <c r="BL52" i="5"/>
  <c r="BL53" i="5"/>
  <c r="BL54" i="5"/>
  <c r="BL55" i="5"/>
  <c r="BL56" i="5"/>
  <c r="BL57" i="5"/>
  <c r="BL58" i="5"/>
  <c r="BL59" i="5"/>
  <c r="BL60" i="5"/>
  <c r="BL61" i="5"/>
  <c r="BL62" i="5"/>
  <c r="BL63" i="5"/>
  <c r="BL64" i="5"/>
  <c r="BL65" i="5"/>
  <c r="BL66" i="5"/>
  <c r="BL67" i="5"/>
  <c r="BL68" i="5"/>
  <c r="BL69" i="5"/>
  <c r="BL70" i="5"/>
  <c r="BL71" i="5"/>
  <c r="BL72" i="5"/>
  <c r="BL73" i="5"/>
  <c r="BL74" i="5"/>
  <c r="BL75" i="5"/>
  <c r="BL76" i="5"/>
  <c r="BL77" i="5"/>
  <c r="BL78" i="5"/>
  <c r="BL79" i="5"/>
  <c r="BL80" i="5"/>
  <c r="BL81" i="5"/>
  <c r="BL82" i="5"/>
  <c r="BL83" i="5"/>
  <c r="BL84" i="5"/>
  <c r="BL85" i="5"/>
  <c r="BL86" i="5"/>
  <c r="BL87" i="5"/>
  <c r="BL88" i="5"/>
  <c r="BL89" i="5"/>
  <c r="BL90" i="5"/>
  <c r="BL91" i="5"/>
  <c r="BL92" i="5"/>
  <c r="BL93" i="5"/>
  <c r="BL94" i="5"/>
  <c r="BL95" i="5"/>
  <c r="BL96" i="5"/>
  <c r="BL97" i="5"/>
  <c r="BL98" i="5"/>
  <c r="BL99" i="5"/>
  <c r="BL100" i="5"/>
  <c r="BL101" i="5"/>
  <c r="BL102" i="5"/>
  <c r="BL103" i="5"/>
  <c r="BL104" i="5"/>
  <c r="BL105" i="5"/>
  <c r="BL106" i="5"/>
  <c r="BL107" i="5"/>
  <c r="BL108" i="5"/>
  <c r="BL109" i="5"/>
  <c r="BL110" i="5"/>
  <c r="BL111" i="5"/>
  <c r="BL112" i="5"/>
  <c r="BL113" i="5"/>
  <c r="BL114" i="5"/>
  <c r="BL115" i="5"/>
  <c r="BL116" i="5"/>
  <c r="BL5" i="5"/>
  <c r="BJ6" i="5"/>
  <c r="BJ7" i="5"/>
  <c r="BJ8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5" i="5"/>
  <c r="BJ36" i="5"/>
  <c r="BJ37" i="5"/>
  <c r="BJ38" i="5"/>
  <c r="BJ39" i="5"/>
  <c r="BJ40" i="5"/>
  <c r="BJ41" i="5"/>
  <c r="BJ42" i="5"/>
  <c r="BJ43" i="5"/>
  <c r="BJ44" i="5"/>
  <c r="BJ45" i="5"/>
  <c r="BJ46" i="5"/>
  <c r="BJ47" i="5"/>
  <c r="BJ48" i="5"/>
  <c r="BJ49" i="5"/>
  <c r="BJ50" i="5"/>
  <c r="BJ51" i="5"/>
  <c r="BJ52" i="5"/>
  <c r="BJ53" i="5"/>
  <c r="BJ54" i="5"/>
  <c r="BJ55" i="5"/>
  <c r="BJ56" i="5"/>
  <c r="BJ57" i="5"/>
  <c r="BJ58" i="5"/>
  <c r="BJ59" i="5"/>
  <c r="BJ60" i="5"/>
  <c r="BJ61" i="5"/>
  <c r="BJ62" i="5"/>
  <c r="BJ63" i="5"/>
  <c r="BJ64" i="5"/>
  <c r="BJ65" i="5"/>
  <c r="BJ66" i="5"/>
  <c r="BJ67" i="5"/>
  <c r="BJ68" i="5"/>
  <c r="BJ69" i="5"/>
  <c r="BJ70" i="5"/>
  <c r="BJ71" i="5"/>
  <c r="BJ72" i="5"/>
  <c r="BJ73" i="5"/>
  <c r="BJ74" i="5"/>
  <c r="BJ75" i="5"/>
  <c r="BJ76" i="5"/>
  <c r="BJ77" i="5"/>
  <c r="BJ78" i="5"/>
  <c r="BJ79" i="5"/>
  <c r="BJ80" i="5"/>
  <c r="BJ81" i="5"/>
  <c r="BJ82" i="5"/>
  <c r="BJ83" i="5"/>
  <c r="BJ84" i="5"/>
  <c r="BJ85" i="5"/>
  <c r="BJ86" i="5"/>
  <c r="BJ87" i="5"/>
  <c r="BJ88" i="5"/>
  <c r="BJ89" i="5"/>
  <c r="BJ90" i="5"/>
  <c r="BJ91" i="5"/>
  <c r="BJ92" i="5"/>
  <c r="BJ93" i="5"/>
  <c r="BJ94" i="5"/>
  <c r="BJ95" i="5"/>
  <c r="BJ96" i="5"/>
  <c r="BJ97" i="5"/>
  <c r="BJ98" i="5"/>
  <c r="BJ99" i="5"/>
  <c r="BJ100" i="5"/>
  <c r="BJ101" i="5"/>
  <c r="BJ102" i="5"/>
  <c r="BJ103" i="5"/>
  <c r="BJ104" i="5"/>
  <c r="BJ105" i="5"/>
  <c r="BJ106" i="5"/>
  <c r="BJ107" i="5"/>
  <c r="BJ108" i="5"/>
  <c r="BJ109" i="5"/>
  <c r="BJ110" i="5"/>
  <c r="BJ111" i="5"/>
  <c r="BJ112" i="5"/>
  <c r="BJ113" i="5"/>
  <c r="BJ114" i="5"/>
  <c r="BJ115" i="5"/>
  <c r="BJ116" i="5"/>
  <c r="BJ5" i="5"/>
  <c r="BK4" i="5"/>
  <c r="BJ4" i="5"/>
  <c r="BG69" i="5" l="1"/>
  <c r="BH69" i="5"/>
  <c r="BG70" i="5"/>
  <c r="BH70" i="5"/>
  <c r="BG77" i="5"/>
  <c r="BH77" i="5"/>
  <c r="BG78" i="5"/>
  <c r="BH78" i="5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BB86" i="5" s="1"/>
  <c r="BH86" i="5" s="1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4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92" i="5"/>
  <c r="AT93" i="5"/>
  <c r="AT94" i="5"/>
  <c r="AT95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109" i="5"/>
  <c r="AT110" i="5"/>
  <c r="AT111" i="5"/>
  <c r="AT112" i="5"/>
  <c r="AT113" i="5"/>
  <c r="AT114" i="5"/>
  <c r="AT115" i="5"/>
  <c r="AT116" i="5"/>
  <c r="AS6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DV5" i="3"/>
  <c r="AR6" i="5"/>
  <c r="AR7" i="5"/>
  <c r="AR8" i="5"/>
  <c r="AR9" i="5"/>
  <c r="AW9" i="5" s="1"/>
  <c r="AR10" i="5"/>
  <c r="AR11" i="5"/>
  <c r="AR12" i="5"/>
  <c r="AR13" i="5"/>
  <c r="AR14" i="5"/>
  <c r="AR15" i="5"/>
  <c r="AW15" i="5" s="1"/>
  <c r="AR16" i="5"/>
  <c r="AW16" i="5" s="1"/>
  <c r="AR17" i="5"/>
  <c r="AW17" i="5" s="1"/>
  <c r="AR18" i="5"/>
  <c r="AR19" i="5"/>
  <c r="AR20" i="5"/>
  <c r="AW20" i="5" s="1"/>
  <c r="AR21" i="5"/>
  <c r="AW21" i="5" s="1"/>
  <c r="AR22" i="5"/>
  <c r="AR23" i="5"/>
  <c r="AR24" i="5"/>
  <c r="AR25" i="5"/>
  <c r="AW25" i="5" s="1"/>
  <c r="AR26" i="5"/>
  <c r="AR27" i="5"/>
  <c r="AR28" i="5"/>
  <c r="AR29" i="5"/>
  <c r="AR30" i="5"/>
  <c r="AR31" i="5"/>
  <c r="AW31" i="5" s="1"/>
  <c r="AR32" i="5"/>
  <c r="AW32" i="5" s="1"/>
  <c r="AR33" i="5"/>
  <c r="AW33" i="5" s="1"/>
  <c r="AR34" i="5"/>
  <c r="AR35" i="5"/>
  <c r="AR36" i="5"/>
  <c r="AW36" i="5" s="1"/>
  <c r="AR37" i="5"/>
  <c r="AW37" i="5" s="1"/>
  <c r="AR38" i="5"/>
  <c r="AR39" i="5"/>
  <c r="AR40" i="5"/>
  <c r="AR41" i="5"/>
  <c r="AW41" i="5" s="1"/>
  <c r="AR42" i="5"/>
  <c r="AR43" i="5"/>
  <c r="AR44" i="5"/>
  <c r="AR45" i="5"/>
  <c r="AR46" i="5"/>
  <c r="AR47" i="5"/>
  <c r="AW47" i="5" s="1"/>
  <c r="AR48" i="5"/>
  <c r="AW48" i="5" s="1"/>
  <c r="AR49" i="5"/>
  <c r="AW49" i="5" s="1"/>
  <c r="AR50" i="5"/>
  <c r="AR51" i="5"/>
  <c r="AR52" i="5"/>
  <c r="AW52" i="5" s="1"/>
  <c r="AR53" i="5"/>
  <c r="AW53" i="5" s="1"/>
  <c r="AR54" i="5"/>
  <c r="AR55" i="5"/>
  <c r="AR56" i="5"/>
  <c r="AR57" i="5"/>
  <c r="AW57" i="5" s="1"/>
  <c r="AR58" i="5"/>
  <c r="AR59" i="5"/>
  <c r="AR60" i="5"/>
  <c r="AR61" i="5"/>
  <c r="AR62" i="5"/>
  <c r="AR63" i="5"/>
  <c r="AW63" i="5" s="1"/>
  <c r="AR64" i="5"/>
  <c r="AW64" i="5" s="1"/>
  <c r="AR65" i="5"/>
  <c r="AW65" i="5" s="1"/>
  <c r="AR66" i="5"/>
  <c r="AR67" i="5"/>
  <c r="AR68" i="5"/>
  <c r="AW68" i="5" s="1"/>
  <c r="AR69" i="5"/>
  <c r="AW69" i="5" s="1"/>
  <c r="AR70" i="5"/>
  <c r="AR71" i="5"/>
  <c r="AR72" i="5"/>
  <c r="AR73" i="5"/>
  <c r="AW73" i="5" s="1"/>
  <c r="AR74" i="5"/>
  <c r="AR75" i="5"/>
  <c r="AR76" i="5"/>
  <c r="AR77" i="5"/>
  <c r="AR78" i="5"/>
  <c r="AR79" i="5"/>
  <c r="AW79" i="5" s="1"/>
  <c r="AR80" i="5"/>
  <c r="AW80" i="5" s="1"/>
  <c r="AR81" i="5"/>
  <c r="AW81" i="5" s="1"/>
  <c r="AR82" i="5"/>
  <c r="AR83" i="5"/>
  <c r="AR84" i="5"/>
  <c r="AW84" i="5" s="1"/>
  <c r="AR85" i="5"/>
  <c r="AW85" i="5" s="1"/>
  <c r="AR86" i="5"/>
  <c r="AR87" i="5"/>
  <c r="AR88" i="5"/>
  <c r="AR89" i="5"/>
  <c r="AW89" i="5" s="1"/>
  <c r="AR90" i="5"/>
  <c r="AR91" i="5"/>
  <c r="AR92" i="5"/>
  <c r="AR93" i="5"/>
  <c r="AR94" i="5"/>
  <c r="AR95" i="5"/>
  <c r="AW95" i="5" s="1"/>
  <c r="AR96" i="5"/>
  <c r="AW96" i="5" s="1"/>
  <c r="AR97" i="5"/>
  <c r="AW97" i="5" s="1"/>
  <c r="AR98" i="5"/>
  <c r="AR99" i="5"/>
  <c r="AR100" i="5"/>
  <c r="AW100" i="5" s="1"/>
  <c r="AR101" i="5"/>
  <c r="AW101" i="5" s="1"/>
  <c r="AR102" i="5"/>
  <c r="AR103" i="5"/>
  <c r="AR104" i="5"/>
  <c r="AR105" i="5"/>
  <c r="AW105" i="5" s="1"/>
  <c r="AR106" i="5"/>
  <c r="AR107" i="5"/>
  <c r="AR108" i="5"/>
  <c r="AR109" i="5"/>
  <c r="AR110" i="5"/>
  <c r="AR111" i="5"/>
  <c r="AW111" i="5" s="1"/>
  <c r="AR112" i="5"/>
  <c r="AW112" i="5" s="1"/>
  <c r="AR113" i="5"/>
  <c r="AW113" i="5" s="1"/>
  <c r="AR114" i="5"/>
  <c r="AR115" i="5"/>
  <c r="AR116" i="5"/>
  <c r="AW116" i="5" s="1"/>
  <c r="AL6" i="5"/>
  <c r="AM6" i="5"/>
  <c r="AY6" i="5" s="1"/>
  <c r="BE6" i="5" s="1"/>
  <c r="AN6" i="5"/>
  <c r="AZ6" i="5" s="1"/>
  <c r="BF6" i="5" s="1"/>
  <c r="AO6" i="5"/>
  <c r="BA6" i="5" s="1"/>
  <c r="BG6" i="5" s="1"/>
  <c r="AL7" i="5"/>
  <c r="AM7" i="5"/>
  <c r="AN7" i="5"/>
  <c r="AO7" i="5"/>
  <c r="AL8" i="5"/>
  <c r="AM8" i="5"/>
  <c r="AN8" i="5"/>
  <c r="AO8" i="5"/>
  <c r="AL9" i="5"/>
  <c r="AM9" i="5"/>
  <c r="AN9" i="5"/>
  <c r="AO9" i="5"/>
  <c r="AL10" i="5"/>
  <c r="AM10" i="5"/>
  <c r="AN10" i="5"/>
  <c r="AO10" i="5"/>
  <c r="AL11" i="5"/>
  <c r="AM11" i="5"/>
  <c r="AN11" i="5"/>
  <c r="AO11" i="5"/>
  <c r="AL12" i="5"/>
  <c r="AM12" i="5"/>
  <c r="AN12" i="5"/>
  <c r="AO12" i="5"/>
  <c r="AL13" i="5"/>
  <c r="AM13" i="5"/>
  <c r="AN13" i="5"/>
  <c r="AO13" i="5"/>
  <c r="AL14" i="5"/>
  <c r="AM14" i="5"/>
  <c r="AN14" i="5"/>
  <c r="AO14" i="5"/>
  <c r="AL15" i="5"/>
  <c r="AM15" i="5"/>
  <c r="AN15" i="5"/>
  <c r="AO15" i="5"/>
  <c r="AL16" i="5"/>
  <c r="AM16" i="5"/>
  <c r="AN16" i="5"/>
  <c r="AO16" i="5"/>
  <c r="AL17" i="5"/>
  <c r="AX17" i="5" s="1"/>
  <c r="BD17" i="5" s="1"/>
  <c r="AM17" i="5"/>
  <c r="AN17" i="5"/>
  <c r="AO17" i="5"/>
  <c r="AL18" i="5"/>
  <c r="AM18" i="5"/>
  <c r="AN18" i="5"/>
  <c r="AO18" i="5"/>
  <c r="AL19" i="5"/>
  <c r="AM19" i="5"/>
  <c r="AN19" i="5"/>
  <c r="AO19" i="5"/>
  <c r="AL20" i="5"/>
  <c r="AM20" i="5"/>
  <c r="AN20" i="5"/>
  <c r="AO20" i="5"/>
  <c r="AL21" i="5"/>
  <c r="AM21" i="5"/>
  <c r="AN21" i="5"/>
  <c r="AO21" i="5"/>
  <c r="AL22" i="5"/>
  <c r="AM22" i="5"/>
  <c r="AY22" i="5" s="1"/>
  <c r="BE22" i="5" s="1"/>
  <c r="AN22" i="5"/>
  <c r="AZ22" i="5" s="1"/>
  <c r="BF22" i="5" s="1"/>
  <c r="AO22" i="5"/>
  <c r="BA22" i="5" s="1"/>
  <c r="BG22" i="5" s="1"/>
  <c r="AL23" i="5"/>
  <c r="AM23" i="5"/>
  <c r="AN23" i="5"/>
  <c r="AO23" i="5"/>
  <c r="AL24" i="5"/>
  <c r="AM24" i="5"/>
  <c r="AN24" i="5"/>
  <c r="AO24" i="5"/>
  <c r="AL25" i="5"/>
  <c r="AM25" i="5"/>
  <c r="AN25" i="5"/>
  <c r="AO25" i="5"/>
  <c r="AL26" i="5"/>
  <c r="AM26" i="5"/>
  <c r="AN26" i="5"/>
  <c r="AO26" i="5"/>
  <c r="AL27" i="5"/>
  <c r="AM27" i="5"/>
  <c r="AN27" i="5"/>
  <c r="AO27" i="5"/>
  <c r="AL28" i="5"/>
  <c r="AM28" i="5"/>
  <c r="AN28" i="5"/>
  <c r="AO28" i="5"/>
  <c r="AL29" i="5"/>
  <c r="AM29" i="5"/>
  <c r="AN29" i="5"/>
  <c r="AO29" i="5"/>
  <c r="AL30" i="5"/>
  <c r="AM30" i="5"/>
  <c r="AN30" i="5"/>
  <c r="AO30" i="5"/>
  <c r="AL31" i="5"/>
  <c r="AM31" i="5"/>
  <c r="AN31" i="5"/>
  <c r="AO31" i="5"/>
  <c r="AL32" i="5"/>
  <c r="AM32" i="5"/>
  <c r="AN32" i="5"/>
  <c r="AO32" i="5"/>
  <c r="AL33" i="5"/>
  <c r="AX33" i="5" s="1"/>
  <c r="BD33" i="5" s="1"/>
  <c r="AM33" i="5"/>
  <c r="AN33" i="5"/>
  <c r="AO33" i="5"/>
  <c r="AL34" i="5"/>
  <c r="AM34" i="5"/>
  <c r="AN34" i="5"/>
  <c r="AO34" i="5"/>
  <c r="AL35" i="5"/>
  <c r="AM35" i="5"/>
  <c r="AN35" i="5"/>
  <c r="AO35" i="5"/>
  <c r="AL36" i="5"/>
  <c r="AM36" i="5"/>
  <c r="AN36" i="5"/>
  <c r="AO36" i="5"/>
  <c r="AL37" i="5"/>
  <c r="AM37" i="5"/>
  <c r="AN37" i="5"/>
  <c r="AO37" i="5"/>
  <c r="AL38" i="5"/>
  <c r="AM38" i="5"/>
  <c r="AY38" i="5" s="1"/>
  <c r="BE38" i="5" s="1"/>
  <c r="AN38" i="5"/>
  <c r="AZ38" i="5" s="1"/>
  <c r="BF38" i="5" s="1"/>
  <c r="AO38" i="5"/>
  <c r="BA38" i="5" s="1"/>
  <c r="BG38" i="5" s="1"/>
  <c r="AL39" i="5"/>
  <c r="AM39" i="5"/>
  <c r="AN39" i="5"/>
  <c r="AO39" i="5"/>
  <c r="AL40" i="5"/>
  <c r="AM40" i="5"/>
  <c r="AN40" i="5"/>
  <c r="AO40" i="5"/>
  <c r="AL41" i="5"/>
  <c r="AM41" i="5"/>
  <c r="AN41" i="5"/>
  <c r="AO41" i="5"/>
  <c r="AL42" i="5"/>
  <c r="AM42" i="5"/>
  <c r="AN42" i="5"/>
  <c r="AO42" i="5"/>
  <c r="AL43" i="5"/>
  <c r="AM43" i="5"/>
  <c r="AN43" i="5"/>
  <c r="AO43" i="5"/>
  <c r="AL44" i="5"/>
  <c r="AM44" i="5"/>
  <c r="AN44" i="5"/>
  <c r="AO44" i="5"/>
  <c r="AL45" i="5"/>
  <c r="AM45" i="5"/>
  <c r="AN45" i="5"/>
  <c r="AO45" i="5"/>
  <c r="AL46" i="5"/>
  <c r="AM46" i="5"/>
  <c r="AN46" i="5"/>
  <c r="AO46" i="5"/>
  <c r="AL47" i="5"/>
  <c r="AM47" i="5"/>
  <c r="AN47" i="5"/>
  <c r="AO47" i="5"/>
  <c r="AL48" i="5"/>
  <c r="AM48" i="5"/>
  <c r="AN48" i="5"/>
  <c r="AO48" i="5"/>
  <c r="AL49" i="5"/>
  <c r="AX49" i="5" s="1"/>
  <c r="BD49" i="5" s="1"/>
  <c r="AM49" i="5"/>
  <c r="AN49" i="5"/>
  <c r="AO49" i="5"/>
  <c r="AL50" i="5"/>
  <c r="AM50" i="5"/>
  <c r="AN50" i="5"/>
  <c r="AO50" i="5"/>
  <c r="AL51" i="5"/>
  <c r="AM51" i="5"/>
  <c r="AN51" i="5"/>
  <c r="AO51" i="5"/>
  <c r="AL52" i="5"/>
  <c r="AM52" i="5"/>
  <c r="AN52" i="5"/>
  <c r="AO52" i="5"/>
  <c r="AL53" i="5"/>
  <c r="AM53" i="5"/>
  <c r="AN53" i="5"/>
  <c r="AO53" i="5"/>
  <c r="BA53" i="5" s="1"/>
  <c r="BG53" i="5" s="1"/>
  <c r="AL54" i="5"/>
  <c r="AM54" i="5"/>
  <c r="AY54" i="5" s="1"/>
  <c r="BE54" i="5" s="1"/>
  <c r="AN54" i="5"/>
  <c r="AZ54" i="5" s="1"/>
  <c r="BF54" i="5" s="1"/>
  <c r="AO54" i="5"/>
  <c r="BA54" i="5" s="1"/>
  <c r="BG54" i="5" s="1"/>
  <c r="AL55" i="5"/>
  <c r="AM55" i="5"/>
  <c r="AN55" i="5"/>
  <c r="AO55" i="5"/>
  <c r="AL56" i="5"/>
  <c r="AM56" i="5"/>
  <c r="AN56" i="5"/>
  <c r="AO56" i="5"/>
  <c r="AL57" i="5"/>
  <c r="AM57" i="5"/>
  <c r="AN57" i="5"/>
  <c r="AO57" i="5"/>
  <c r="AL58" i="5"/>
  <c r="AM58" i="5"/>
  <c r="AN58" i="5"/>
  <c r="AO58" i="5"/>
  <c r="AL59" i="5"/>
  <c r="AM59" i="5"/>
  <c r="AN59" i="5"/>
  <c r="AO59" i="5"/>
  <c r="AL60" i="5"/>
  <c r="AM60" i="5"/>
  <c r="AN60" i="5"/>
  <c r="AO60" i="5"/>
  <c r="AL61" i="5"/>
  <c r="AM61" i="5"/>
  <c r="AN61" i="5"/>
  <c r="AO61" i="5"/>
  <c r="AL62" i="5"/>
  <c r="AM62" i="5"/>
  <c r="AN62" i="5"/>
  <c r="AO62" i="5"/>
  <c r="AL63" i="5"/>
  <c r="AM63" i="5"/>
  <c r="AN63" i="5"/>
  <c r="AO63" i="5"/>
  <c r="AL64" i="5"/>
  <c r="AM64" i="5"/>
  <c r="AN64" i="5"/>
  <c r="AO64" i="5"/>
  <c r="AL65" i="5"/>
  <c r="AX65" i="5" s="1"/>
  <c r="BD65" i="5" s="1"/>
  <c r="AM65" i="5"/>
  <c r="AN65" i="5"/>
  <c r="AO65" i="5"/>
  <c r="AL66" i="5"/>
  <c r="AM66" i="5"/>
  <c r="AN66" i="5"/>
  <c r="AO66" i="5"/>
  <c r="AL67" i="5"/>
  <c r="AM67" i="5"/>
  <c r="AN67" i="5"/>
  <c r="AO67" i="5"/>
  <c r="AL68" i="5"/>
  <c r="AM68" i="5"/>
  <c r="AN68" i="5"/>
  <c r="AO68" i="5"/>
  <c r="AL69" i="5"/>
  <c r="AM69" i="5"/>
  <c r="AN69" i="5"/>
  <c r="AO69" i="5"/>
  <c r="AL70" i="5"/>
  <c r="AM70" i="5"/>
  <c r="AY70" i="5" s="1"/>
  <c r="BE70" i="5" s="1"/>
  <c r="AN70" i="5"/>
  <c r="AZ70" i="5" s="1"/>
  <c r="BF70" i="5" s="1"/>
  <c r="AO70" i="5"/>
  <c r="AL71" i="5"/>
  <c r="AM71" i="5"/>
  <c r="AN71" i="5"/>
  <c r="AO71" i="5"/>
  <c r="AL72" i="5"/>
  <c r="AM72" i="5"/>
  <c r="AN72" i="5"/>
  <c r="AO72" i="5"/>
  <c r="AL73" i="5"/>
  <c r="AM73" i="5"/>
  <c r="AN73" i="5"/>
  <c r="AZ73" i="5" s="1"/>
  <c r="BF73" i="5" s="1"/>
  <c r="AO73" i="5"/>
  <c r="AL74" i="5"/>
  <c r="AM74" i="5"/>
  <c r="AN74" i="5"/>
  <c r="AO74" i="5"/>
  <c r="AL75" i="5"/>
  <c r="AM75" i="5"/>
  <c r="AN75" i="5"/>
  <c r="AO75" i="5"/>
  <c r="AL76" i="5"/>
  <c r="AM76" i="5"/>
  <c r="AN76" i="5"/>
  <c r="AO76" i="5"/>
  <c r="AL77" i="5"/>
  <c r="AM77" i="5"/>
  <c r="AN77" i="5"/>
  <c r="AO77" i="5"/>
  <c r="AL78" i="5"/>
  <c r="AM78" i="5"/>
  <c r="AN78" i="5"/>
  <c r="AO78" i="5"/>
  <c r="AL79" i="5"/>
  <c r="AM79" i="5"/>
  <c r="AN79" i="5"/>
  <c r="AO79" i="5"/>
  <c r="AL80" i="5"/>
  <c r="AM80" i="5"/>
  <c r="AN80" i="5"/>
  <c r="AO80" i="5"/>
  <c r="AL81" i="5"/>
  <c r="AX81" i="5" s="1"/>
  <c r="BD81" i="5" s="1"/>
  <c r="AM81" i="5"/>
  <c r="AN81" i="5"/>
  <c r="AO81" i="5"/>
  <c r="AL82" i="5"/>
  <c r="AM82" i="5"/>
  <c r="AN82" i="5"/>
  <c r="AO82" i="5"/>
  <c r="AL83" i="5"/>
  <c r="AM83" i="5"/>
  <c r="AN83" i="5"/>
  <c r="AO83" i="5"/>
  <c r="AL84" i="5"/>
  <c r="AM84" i="5"/>
  <c r="AN84" i="5"/>
  <c r="AO84" i="5"/>
  <c r="AL85" i="5"/>
  <c r="AM85" i="5"/>
  <c r="AN85" i="5"/>
  <c r="AO85" i="5"/>
  <c r="BA85" i="5" s="1"/>
  <c r="BG85" i="5" s="1"/>
  <c r="AL86" i="5"/>
  <c r="AM86" i="5"/>
  <c r="AY86" i="5" s="1"/>
  <c r="BE86" i="5" s="1"/>
  <c r="AN86" i="5"/>
  <c r="AZ86" i="5" s="1"/>
  <c r="BF86" i="5" s="1"/>
  <c r="AO86" i="5"/>
  <c r="BA86" i="5" s="1"/>
  <c r="BG86" i="5" s="1"/>
  <c r="AL87" i="5"/>
  <c r="AM87" i="5"/>
  <c r="AN87" i="5"/>
  <c r="AO87" i="5"/>
  <c r="AL88" i="5"/>
  <c r="AM88" i="5"/>
  <c r="AN88" i="5"/>
  <c r="AO88" i="5"/>
  <c r="AL89" i="5"/>
  <c r="AM89" i="5"/>
  <c r="AN89" i="5"/>
  <c r="AZ89" i="5" s="1"/>
  <c r="BF89" i="5" s="1"/>
  <c r="AO89" i="5"/>
  <c r="AL90" i="5"/>
  <c r="AM90" i="5"/>
  <c r="AN90" i="5"/>
  <c r="AO90" i="5"/>
  <c r="AL91" i="5"/>
  <c r="AM91" i="5"/>
  <c r="AN91" i="5"/>
  <c r="AO91" i="5"/>
  <c r="AL92" i="5"/>
  <c r="AM92" i="5"/>
  <c r="AN92" i="5"/>
  <c r="AO92" i="5"/>
  <c r="AL93" i="5"/>
  <c r="AM93" i="5"/>
  <c r="AN93" i="5"/>
  <c r="AO93" i="5"/>
  <c r="AL94" i="5"/>
  <c r="AM94" i="5"/>
  <c r="AN94" i="5"/>
  <c r="AO94" i="5"/>
  <c r="AL95" i="5"/>
  <c r="AM95" i="5"/>
  <c r="AN95" i="5"/>
  <c r="AO95" i="5"/>
  <c r="AL96" i="5"/>
  <c r="AM96" i="5"/>
  <c r="AN96" i="5"/>
  <c r="AO96" i="5"/>
  <c r="AL97" i="5"/>
  <c r="AX97" i="5" s="1"/>
  <c r="BD97" i="5" s="1"/>
  <c r="AM97" i="5"/>
  <c r="AN97" i="5"/>
  <c r="AO97" i="5"/>
  <c r="AL98" i="5"/>
  <c r="AM98" i="5"/>
  <c r="AN98" i="5"/>
  <c r="AO98" i="5"/>
  <c r="AL99" i="5"/>
  <c r="AM99" i="5"/>
  <c r="AN99" i="5"/>
  <c r="AO99" i="5"/>
  <c r="AL100" i="5"/>
  <c r="AM100" i="5"/>
  <c r="AN100" i="5"/>
  <c r="AO100" i="5"/>
  <c r="AL101" i="5"/>
  <c r="AM101" i="5"/>
  <c r="AN101" i="5"/>
  <c r="AO101" i="5"/>
  <c r="BA101" i="5" s="1"/>
  <c r="BG101" i="5" s="1"/>
  <c r="AL102" i="5"/>
  <c r="AM102" i="5"/>
  <c r="AY102" i="5" s="1"/>
  <c r="BE102" i="5" s="1"/>
  <c r="AN102" i="5"/>
  <c r="AZ102" i="5" s="1"/>
  <c r="BF102" i="5" s="1"/>
  <c r="AO102" i="5"/>
  <c r="BA102" i="5" s="1"/>
  <c r="BG102" i="5" s="1"/>
  <c r="AL103" i="5"/>
  <c r="AM103" i="5"/>
  <c r="AY103" i="5" s="1"/>
  <c r="BE103" i="5" s="1"/>
  <c r="AN103" i="5"/>
  <c r="AO103" i="5"/>
  <c r="AL104" i="5"/>
  <c r="AM104" i="5"/>
  <c r="AN104" i="5"/>
  <c r="AO104" i="5"/>
  <c r="AL105" i="5"/>
  <c r="AM105" i="5"/>
  <c r="AN105" i="5"/>
  <c r="AZ105" i="5" s="1"/>
  <c r="BF105" i="5" s="1"/>
  <c r="AO105" i="5"/>
  <c r="AL106" i="5"/>
  <c r="AM106" i="5"/>
  <c r="AN106" i="5"/>
  <c r="AO106" i="5"/>
  <c r="AL107" i="5"/>
  <c r="AM107" i="5"/>
  <c r="AN107" i="5"/>
  <c r="AO107" i="5"/>
  <c r="AL108" i="5"/>
  <c r="AM108" i="5"/>
  <c r="AN108" i="5"/>
  <c r="AO108" i="5"/>
  <c r="AL109" i="5"/>
  <c r="AM109" i="5"/>
  <c r="AN109" i="5"/>
  <c r="AO109" i="5"/>
  <c r="AL110" i="5"/>
  <c r="AM110" i="5"/>
  <c r="AN110" i="5"/>
  <c r="AO110" i="5"/>
  <c r="AL111" i="5"/>
  <c r="AM111" i="5"/>
  <c r="AN111" i="5"/>
  <c r="AO111" i="5"/>
  <c r="AL112" i="5"/>
  <c r="AM112" i="5"/>
  <c r="AN112" i="5"/>
  <c r="AO112" i="5"/>
  <c r="AL113" i="5"/>
  <c r="AX113" i="5" s="1"/>
  <c r="BD113" i="5" s="1"/>
  <c r="AM113" i="5"/>
  <c r="AN113" i="5"/>
  <c r="AO113" i="5"/>
  <c r="AL114" i="5"/>
  <c r="AM114" i="5"/>
  <c r="AN114" i="5"/>
  <c r="AO114" i="5"/>
  <c r="AL115" i="5"/>
  <c r="AM115" i="5"/>
  <c r="AN115" i="5"/>
  <c r="AO115" i="5"/>
  <c r="AL116" i="5"/>
  <c r="AM116" i="5"/>
  <c r="AN116" i="5"/>
  <c r="AO116" i="5"/>
  <c r="AO5" i="5"/>
  <c r="AN5" i="5"/>
  <c r="AM5" i="5"/>
  <c r="AL5" i="5"/>
  <c r="AX116" i="5" l="1"/>
  <c r="BD116" i="5" s="1"/>
  <c r="AX100" i="5"/>
  <c r="BD100" i="5" s="1"/>
  <c r="AX84" i="5"/>
  <c r="BD84" i="5" s="1"/>
  <c r="AX68" i="5"/>
  <c r="BD68" i="5" s="1"/>
  <c r="AX52" i="5"/>
  <c r="BD52" i="5" s="1"/>
  <c r="AX36" i="5"/>
  <c r="BD36" i="5" s="1"/>
  <c r="AX20" i="5"/>
  <c r="BD20" i="5" s="1"/>
  <c r="AW93" i="5"/>
  <c r="AW77" i="5"/>
  <c r="AW61" i="5"/>
  <c r="AW45" i="5"/>
  <c r="AW29" i="5"/>
  <c r="AW13" i="5"/>
  <c r="AY113" i="5"/>
  <c r="BE113" i="5" s="1"/>
  <c r="AY97" i="5"/>
  <c r="BE97" i="5" s="1"/>
  <c r="AY116" i="5"/>
  <c r="BE116" i="5" s="1"/>
  <c r="AY100" i="5"/>
  <c r="BE100" i="5" s="1"/>
  <c r="AY84" i="5"/>
  <c r="BE84" i="5" s="1"/>
  <c r="AY68" i="5"/>
  <c r="BE68" i="5" s="1"/>
  <c r="AY52" i="5"/>
  <c r="BE52" i="5" s="1"/>
  <c r="AY36" i="5"/>
  <c r="BE36" i="5" s="1"/>
  <c r="AY20" i="5"/>
  <c r="BE20" i="5" s="1"/>
  <c r="AW110" i="5"/>
  <c r="AW94" i="5"/>
  <c r="AW78" i="5"/>
  <c r="AW62" i="5"/>
  <c r="AW46" i="5"/>
  <c r="AW30" i="5"/>
  <c r="AW14" i="5"/>
  <c r="AW108" i="5"/>
  <c r="AW76" i="5"/>
  <c r="AW44" i="5"/>
  <c r="AW12" i="5"/>
  <c r="AZ115" i="5"/>
  <c r="BF115" i="5" s="1"/>
  <c r="AZ99" i="5"/>
  <c r="BF99" i="5" s="1"/>
  <c r="AZ83" i="5"/>
  <c r="BF83" i="5" s="1"/>
  <c r="AZ67" i="5"/>
  <c r="BF67" i="5" s="1"/>
  <c r="AW107" i="5"/>
  <c r="AW91" i="5"/>
  <c r="AW75" i="5"/>
  <c r="AW59" i="5"/>
  <c r="AW43" i="5"/>
  <c r="AW27" i="5"/>
  <c r="AW11" i="5"/>
  <c r="AW92" i="5"/>
  <c r="AW60" i="5"/>
  <c r="AW28" i="5"/>
  <c r="AW106" i="5"/>
  <c r="AW90" i="5"/>
  <c r="AW74" i="5"/>
  <c r="AW58" i="5"/>
  <c r="AW42" i="5"/>
  <c r="AW26" i="5"/>
  <c r="AW10" i="5"/>
  <c r="AW109" i="5"/>
  <c r="AW104" i="5"/>
  <c r="AW56" i="5"/>
  <c r="AW24" i="5"/>
  <c r="AW103" i="5"/>
  <c r="AW87" i="5"/>
  <c r="AW71" i="5"/>
  <c r="AW55" i="5"/>
  <c r="AW39" i="5"/>
  <c r="AW23" i="5"/>
  <c r="AW7" i="5"/>
  <c r="AW88" i="5"/>
  <c r="AW72" i="5"/>
  <c r="AW40" i="5"/>
  <c r="AW102" i="5"/>
  <c r="AW86" i="5"/>
  <c r="AW70" i="5"/>
  <c r="AW54" i="5"/>
  <c r="AW38" i="5"/>
  <c r="AW22" i="5"/>
  <c r="AW6" i="5"/>
  <c r="AW8" i="5"/>
  <c r="AW115" i="5"/>
  <c r="AW99" i="5"/>
  <c r="AW83" i="5"/>
  <c r="AW67" i="5"/>
  <c r="AW51" i="5"/>
  <c r="AW35" i="5"/>
  <c r="AW19" i="5"/>
  <c r="AW114" i="5"/>
  <c r="AW98" i="5"/>
  <c r="AW82" i="5"/>
  <c r="AW66" i="5"/>
  <c r="AW50" i="5"/>
  <c r="AW34" i="5"/>
  <c r="AW18" i="5"/>
  <c r="AY106" i="5"/>
  <c r="BE106" i="5" s="1"/>
  <c r="AY90" i="5"/>
  <c r="BE90" i="5" s="1"/>
  <c r="AY74" i="5"/>
  <c r="BE74" i="5" s="1"/>
  <c r="AY58" i="5"/>
  <c r="BE58" i="5" s="1"/>
  <c r="AY42" i="5"/>
  <c r="BE42" i="5" s="1"/>
  <c r="AX106" i="5"/>
  <c r="BD106" i="5" s="1"/>
  <c r="AX90" i="5"/>
  <c r="BD90" i="5" s="1"/>
  <c r="AY92" i="5"/>
  <c r="BE92" i="5" s="1"/>
  <c r="AY76" i="5"/>
  <c r="BE76" i="5" s="1"/>
  <c r="AY60" i="5"/>
  <c r="BE60" i="5" s="1"/>
  <c r="AY108" i="5"/>
  <c r="BE108" i="5" s="1"/>
  <c r="AX108" i="5"/>
  <c r="BD108" i="5" s="1"/>
  <c r="AX92" i="5"/>
  <c r="BD92" i="5" s="1"/>
  <c r="AY111" i="5"/>
  <c r="BE111" i="5" s="1"/>
  <c r="AY95" i="5"/>
  <c r="BE95" i="5" s="1"/>
  <c r="AZ110" i="5"/>
  <c r="BF110" i="5" s="1"/>
  <c r="AZ106" i="5"/>
  <c r="BF106" i="5" s="1"/>
  <c r="AZ94" i="5"/>
  <c r="BF94" i="5" s="1"/>
  <c r="AZ90" i="5"/>
  <c r="BF90" i="5" s="1"/>
  <c r="AZ78" i="5"/>
  <c r="BF78" i="5" s="1"/>
  <c r="AZ74" i="5"/>
  <c r="BF74" i="5" s="1"/>
  <c r="AZ62" i="5"/>
  <c r="BF62" i="5" s="1"/>
  <c r="AZ58" i="5"/>
  <c r="BF58" i="5" s="1"/>
  <c r="AZ46" i="5"/>
  <c r="BF46" i="5" s="1"/>
  <c r="AZ42" i="5"/>
  <c r="BF42" i="5" s="1"/>
  <c r="AZ30" i="5"/>
  <c r="BF30" i="5" s="1"/>
  <c r="AZ14" i="5"/>
  <c r="BF14" i="5" s="1"/>
  <c r="BA109" i="5"/>
  <c r="BG109" i="5" s="1"/>
  <c r="BA93" i="5"/>
  <c r="BG93" i="5" s="1"/>
  <c r="BA61" i="5"/>
  <c r="BG61" i="5" s="1"/>
  <c r="BA45" i="5"/>
  <c r="BG45" i="5" s="1"/>
  <c r="AZ93" i="5"/>
  <c r="BF93" i="5" s="1"/>
  <c r="AZ77" i="5"/>
  <c r="BF77" i="5" s="1"/>
  <c r="AY109" i="5"/>
  <c r="BE109" i="5" s="1"/>
  <c r="AZ75" i="5"/>
  <c r="BF75" i="5" s="1"/>
  <c r="AZ91" i="5"/>
  <c r="BF91" i="5" s="1"/>
  <c r="AY94" i="5"/>
  <c r="BE94" i="5" s="1"/>
  <c r="AY78" i="5"/>
  <c r="BE78" i="5" s="1"/>
  <c r="AY62" i="5"/>
  <c r="BE62" i="5" s="1"/>
  <c r="AZ107" i="5"/>
  <c r="BF107" i="5" s="1"/>
  <c r="AX110" i="5"/>
  <c r="BD110" i="5" s="1"/>
  <c r="AX94" i="5"/>
  <c r="BD94" i="5" s="1"/>
  <c r="AX78" i="5"/>
  <c r="BD78" i="5" s="1"/>
  <c r="AX62" i="5"/>
  <c r="BD62" i="5" s="1"/>
  <c r="AX46" i="5"/>
  <c r="BD46" i="5" s="1"/>
  <c r="AX30" i="5"/>
  <c r="BD30" i="5" s="1"/>
  <c r="AX14" i="5"/>
  <c r="BD14" i="5" s="1"/>
  <c r="AY110" i="5"/>
  <c r="BE110" i="5" s="1"/>
  <c r="AZ61" i="5"/>
  <c r="BF61" i="5" s="1"/>
  <c r="AY93" i="5"/>
  <c r="BE93" i="5" s="1"/>
  <c r="AZ109" i="5"/>
  <c r="BF109" i="5" s="1"/>
  <c r="AY91" i="5"/>
  <c r="BE91" i="5" s="1"/>
  <c r="AY107" i="5"/>
  <c r="BE107" i="5" s="1"/>
  <c r="AZ26" i="5"/>
  <c r="BF26" i="5" s="1"/>
  <c r="AZ10" i="5"/>
  <c r="BF10" i="5" s="1"/>
  <c r="BA73" i="5"/>
  <c r="BG73" i="5" s="1"/>
  <c r="BA41" i="5"/>
  <c r="BG41" i="5" s="1"/>
  <c r="BB102" i="5"/>
  <c r="BH102" i="5" s="1"/>
  <c r="BA105" i="5"/>
  <c r="BG105" i="5" s="1"/>
  <c r="BA89" i="5"/>
  <c r="BG89" i="5" s="1"/>
  <c r="BA57" i="5"/>
  <c r="BG57" i="5" s="1"/>
  <c r="BB34" i="5"/>
  <c r="BH34" i="5" s="1"/>
  <c r="AX74" i="5"/>
  <c r="BD74" i="5" s="1"/>
  <c r="AX58" i="5"/>
  <c r="BD58" i="5" s="1"/>
  <c r="BB87" i="5"/>
  <c r="BH87" i="5" s="1"/>
  <c r="AZ57" i="5"/>
  <c r="BF57" i="5" s="1"/>
  <c r="AY105" i="5"/>
  <c r="BE105" i="5" s="1"/>
  <c r="AY89" i="5"/>
  <c r="BE89" i="5" s="1"/>
  <c r="AY73" i="5"/>
  <c r="BE73" i="5" s="1"/>
  <c r="AY57" i="5"/>
  <c r="BE57" i="5" s="1"/>
  <c r="AY41" i="5"/>
  <c r="BE41" i="5" s="1"/>
  <c r="AY25" i="5"/>
  <c r="BE25" i="5" s="1"/>
  <c r="AY9" i="5"/>
  <c r="BE9" i="5" s="1"/>
  <c r="AX89" i="5"/>
  <c r="BD89" i="5" s="1"/>
  <c r="AX73" i="5"/>
  <c r="BD73" i="5" s="1"/>
  <c r="AX57" i="5"/>
  <c r="BD57" i="5" s="1"/>
  <c r="AX41" i="5"/>
  <c r="BD41" i="5" s="1"/>
  <c r="AX25" i="5"/>
  <c r="BD25" i="5" s="1"/>
  <c r="AX9" i="5"/>
  <c r="BD9" i="5" s="1"/>
  <c r="AX105" i="5"/>
  <c r="BD105" i="5" s="1"/>
  <c r="AZ104" i="5"/>
  <c r="BF104" i="5" s="1"/>
  <c r="AZ88" i="5"/>
  <c r="BF88" i="5" s="1"/>
  <c r="AY104" i="5"/>
  <c r="BE104" i="5" s="1"/>
  <c r="AY88" i="5"/>
  <c r="BE88" i="5" s="1"/>
  <c r="AY72" i="5"/>
  <c r="BE72" i="5" s="1"/>
  <c r="AY44" i="5"/>
  <c r="BE44" i="5" s="1"/>
  <c r="AY28" i="5"/>
  <c r="BE28" i="5" s="1"/>
  <c r="AY12" i="5"/>
  <c r="BE12" i="5" s="1"/>
  <c r="AX76" i="5"/>
  <c r="BD76" i="5" s="1"/>
  <c r="AX60" i="5"/>
  <c r="BD60" i="5" s="1"/>
  <c r="AX44" i="5"/>
  <c r="BD44" i="5" s="1"/>
  <c r="AX28" i="5"/>
  <c r="BD28" i="5" s="1"/>
  <c r="AX12" i="5"/>
  <c r="BD12" i="5" s="1"/>
  <c r="BA103" i="5"/>
  <c r="BG103" i="5" s="1"/>
  <c r="BA87" i="5"/>
  <c r="BG87" i="5" s="1"/>
  <c r="AZ103" i="5"/>
  <c r="BF103" i="5" s="1"/>
  <c r="AZ87" i="5"/>
  <c r="BF87" i="5" s="1"/>
  <c r="AZ59" i="5"/>
  <c r="BF59" i="5" s="1"/>
  <c r="BB103" i="5"/>
  <c r="BH103" i="5" s="1"/>
  <c r="BB83" i="5"/>
  <c r="BH83" i="5" s="1"/>
  <c r="BB67" i="5"/>
  <c r="BH67" i="5" s="1"/>
  <c r="BB51" i="5"/>
  <c r="BH51" i="5" s="1"/>
  <c r="BB35" i="5"/>
  <c r="BH35" i="5" s="1"/>
  <c r="BB19" i="5"/>
  <c r="BH19" i="5" s="1"/>
  <c r="BB66" i="5"/>
  <c r="BH66" i="5" s="1"/>
  <c r="BB50" i="5"/>
  <c r="BH50" i="5" s="1"/>
  <c r="BB18" i="5"/>
  <c r="BH18" i="5" s="1"/>
  <c r="AZ72" i="5"/>
  <c r="BF72" i="5" s="1"/>
  <c r="AZ56" i="5"/>
  <c r="BF56" i="5" s="1"/>
  <c r="AZ40" i="5"/>
  <c r="BF40" i="5" s="1"/>
  <c r="AZ24" i="5"/>
  <c r="BF24" i="5" s="1"/>
  <c r="AZ8" i="5"/>
  <c r="BF8" i="5" s="1"/>
  <c r="AY56" i="5"/>
  <c r="BE56" i="5" s="1"/>
  <c r="AY40" i="5"/>
  <c r="BE40" i="5" s="1"/>
  <c r="AY24" i="5"/>
  <c r="BE24" i="5" s="1"/>
  <c r="AY8" i="5"/>
  <c r="BE8" i="5" s="1"/>
  <c r="BA71" i="5"/>
  <c r="BG71" i="5" s="1"/>
  <c r="BA55" i="5"/>
  <c r="BG55" i="5" s="1"/>
  <c r="BA39" i="5"/>
  <c r="BG39" i="5" s="1"/>
  <c r="BA23" i="5"/>
  <c r="BG23" i="5" s="1"/>
  <c r="BA7" i="5"/>
  <c r="BG7" i="5" s="1"/>
  <c r="AZ71" i="5"/>
  <c r="BF71" i="5" s="1"/>
  <c r="AZ55" i="5"/>
  <c r="BF55" i="5" s="1"/>
  <c r="AZ39" i="5"/>
  <c r="BF39" i="5" s="1"/>
  <c r="AZ23" i="5"/>
  <c r="BF23" i="5" s="1"/>
  <c r="AZ7" i="5"/>
  <c r="BF7" i="5" s="1"/>
  <c r="BB99" i="5"/>
  <c r="BH99" i="5" s="1"/>
  <c r="BB114" i="5"/>
  <c r="BH114" i="5" s="1"/>
  <c r="BB98" i="5"/>
  <c r="BH98" i="5" s="1"/>
  <c r="BB82" i="5"/>
  <c r="BH82" i="5" s="1"/>
  <c r="BB113" i="5"/>
  <c r="BH113" i="5" s="1"/>
  <c r="BB97" i="5"/>
  <c r="BH97" i="5" s="1"/>
  <c r="BB81" i="5"/>
  <c r="BH81" i="5" s="1"/>
  <c r="BB65" i="5"/>
  <c r="BH65" i="5" s="1"/>
  <c r="BB49" i="5"/>
  <c r="BH49" i="5" s="1"/>
  <c r="BB33" i="5"/>
  <c r="BH33" i="5" s="1"/>
  <c r="BB17" i="5"/>
  <c r="BH17" i="5" s="1"/>
  <c r="BB112" i="5"/>
  <c r="BH112" i="5" s="1"/>
  <c r="BB96" i="5"/>
  <c r="BH96" i="5" s="1"/>
  <c r="BB80" i="5"/>
  <c r="BH80" i="5" s="1"/>
  <c r="BB64" i="5"/>
  <c r="BH64" i="5" s="1"/>
  <c r="BB48" i="5"/>
  <c r="BH48" i="5" s="1"/>
  <c r="BB32" i="5"/>
  <c r="BH32" i="5" s="1"/>
  <c r="BB16" i="5"/>
  <c r="BH16" i="5" s="1"/>
  <c r="BB111" i="5"/>
  <c r="BH111" i="5" s="1"/>
  <c r="BB95" i="5"/>
  <c r="BH95" i="5" s="1"/>
  <c r="BB79" i="5"/>
  <c r="BH79" i="5" s="1"/>
  <c r="BB63" i="5"/>
  <c r="BH63" i="5" s="1"/>
  <c r="BB47" i="5"/>
  <c r="BH47" i="5" s="1"/>
  <c r="BB31" i="5"/>
  <c r="BH31" i="5" s="1"/>
  <c r="BB15" i="5"/>
  <c r="BH15" i="5" s="1"/>
  <c r="BA111" i="5"/>
  <c r="BG111" i="5" s="1"/>
  <c r="BA95" i="5"/>
  <c r="BG95" i="5" s="1"/>
  <c r="BA79" i="5"/>
  <c r="BG79" i="5" s="1"/>
  <c r="BA63" i="5"/>
  <c r="BG63" i="5" s="1"/>
  <c r="BA47" i="5"/>
  <c r="BG47" i="5" s="1"/>
  <c r="BA31" i="5"/>
  <c r="BG31" i="5" s="1"/>
  <c r="BA15" i="5"/>
  <c r="BG15" i="5" s="1"/>
  <c r="BB110" i="5"/>
  <c r="BH110" i="5" s="1"/>
  <c r="BB94" i="5"/>
  <c r="BH94" i="5" s="1"/>
  <c r="BB62" i="5"/>
  <c r="BH62" i="5" s="1"/>
  <c r="BB46" i="5"/>
  <c r="BH46" i="5" s="1"/>
  <c r="BB30" i="5"/>
  <c r="BH30" i="5" s="1"/>
  <c r="BB14" i="5"/>
  <c r="BH14" i="5" s="1"/>
  <c r="BB109" i="5"/>
  <c r="BH109" i="5" s="1"/>
  <c r="BB93" i="5"/>
  <c r="BH93" i="5" s="1"/>
  <c r="BB61" i="5"/>
  <c r="BH61" i="5" s="1"/>
  <c r="BB45" i="5"/>
  <c r="BH45" i="5" s="1"/>
  <c r="BB29" i="5"/>
  <c r="BH29" i="5" s="1"/>
  <c r="BB13" i="5"/>
  <c r="BH13" i="5" s="1"/>
  <c r="BB108" i="5"/>
  <c r="BH108" i="5" s="1"/>
  <c r="BB92" i="5"/>
  <c r="BH92" i="5" s="1"/>
  <c r="BB76" i="5"/>
  <c r="BH76" i="5" s="1"/>
  <c r="BB60" i="5"/>
  <c r="BH60" i="5" s="1"/>
  <c r="BB44" i="5"/>
  <c r="BH44" i="5" s="1"/>
  <c r="BB28" i="5"/>
  <c r="BH28" i="5" s="1"/>
  <c r="BB12" i="5"/>
  <c r="BH12" i="5" s="1"/>
  <c r="BB115" i="5"/>
  <c r="BH115" i="5" s="1"/>
  <c r="BB107" i="5"/>
  <c r="BH107" i="5" s="1"/>
  <c r="BB91" i="5"/>
  <c r="BH91" i="5" s="1"/>
  <c r="BB75" i="5"/>
  <c r="BH75" i="5" s="1"/>
  <c r="BB59" i="5"/>
  <c r="BH59" i="5" s="1"/>
  <c r="BB43" i="5"/>
  <c r="BH43" i="5" s="1"/>
  <c r="BB27" i="5"/>
  <c r="BH27" i="5" s="1"/>
  <c r="BB11" i="5"/>
  <c r="BH11" i="5" s="1"/>
  <c r="BB106" i="5"/>
  <c r="BH106" i="5" s="1"/>
  <c r="BB90" i="5"/>
  <c r="BH90" i="5" s="1"/>
  <c r="BB74" i="5"/>
  <c r="BH74" i="5" s="1"/>
  <c r="BB58" i="5"/>
  <c r="BH58" i="5" s="1"/>
  <c r="BB42" i="5"/>
  <c r="BH42" i="5" s="1"/>
  <c r="BB26" i="5"/>
  <c r="BH26" i="5" s="1"/>
  <c r="BB10" i="5"/>
  <c r="BH10" i="5" s="1"/>
  <c r="BB105" i="5"/>
  <c r="BH105" i="5" s="1"/>
  <c r="BB89" i="5"/>
  <c r="BH89" i="5" s="1"/>
  <c r="BB73" i="5"/>
  <c r="BH73" i="5" s="1"/>
  <c r="BB57" i="5"/>
  <c r="BH57" i="5" s="1"/>
  <c r="BB41" i="5"/>
  <c r="BH41" i="5" s="1"/>
  <c r="BB25" i="5"/>
  <c r="BH25" i="5" s="1"/>
  <c r="BB9" i="5"/>
  <c r="BH9" i="5" s="1"/>
  <c r="AY26" i="5"/>
  <c r="BE26" i="5" s="1"/>
  <c r="AY10" i="5"/>
  <c r="BE10" i="5" s="1"/>
  <c r="BB104" i="5"/>
  <c r="BH104" i="5" s="1"/>
  <c r="BB88" i="5"/>
  <c r="BH88" i="5" s="1"/>
  <c r="BB72" i="5"/>
  <c r="BH72" i="5" s="1"/>
  <c r="BB56" i="5"/>
  <c r="BH56" i="5" s="1"/>
  <c r="BB40" i="5"/>
  <c r="BH40" i="5" s="1"/>
  <c r="BB24" i="5"/>
  <c r="BH24" i="5" s="1"/>
  <c r="BB8" i="5"/>
  <c r="BH8" i="5" s="1"/>
  <c r="AX42" i="5"/>
  <c r="BD42" i="5" s="1"/>
  <c r="AX26" i="5"/>
  <c r="BD26" i="5" s="1"/>
  <c r="AX10" i="5"/>
  <c r="BD10" i="5" s="1"/>
  <c r="BB71" i="5"/>
  <c r="BH71" i="5" s="1"/>
  <c r="BB55" i="5"/>
  <c r="BH55" i="5" s="1"/>
  <c r="BB39" i="5"/>
  <c r="BH39" i="5" s="1"/>
  <c r="BB23" i="5"/>
  <c r="BH23" i="5" s="1"/>
  <c r="BB7" i="5"/>
  <c r="BH7" i="5" s="1"/>
  <c r="BB54" i="5"/>
  <c r="BH54" i="5" s="1"/>
  <c r="BB38" i="5"/>
  <c r="BH38" i="5" s="1"/>
  <c r="BB22" i="5"/>
  <c r="BH22" i="5" s="1"/>
  <c r="BB6" i="5"/>
  <c r="BH6" i="5" s="1"/>
  <c r="BB5" i="5"/>
  <c r="BH5" i="5" s="1"/>
  <c r="BB101" i="5"/>
  <c r="BH101" i="5" s="1"/>
  <c r="BB85" i="5"/>
  <c r="BH85" i="5" s="1"/>
  <c r="BB53" i="5"/>
  <c r="BH53" i="5" s="1"/>
  <c r="BB37" i="5"/>
  <c r="BH37" i="5" s="1"/>
  <c r="BB21" i="5"/>
  <c r="BH21" i="5" s="1"/>
  <c r="AY81" i="5"/>
  <c r="BE81" i="5" s="1"/>
  <c r="AY65" i="5"/>
  <c r="BE65" i="5" s="1"/>
  <c r="AY49" i="5"/>
  <c r="BE49" i="5" s="1"/>
  <c r="AY33" i="5"/>
  <c r="BE33" i="5" s="1"/>
  <c r="AY17" i="5"/>
  <c r="BE17" i="5" s="1"/>
  <c r="BB116" i="5"/>
  <c r="BH116" i="5" s="1"/>
  <c r="BB100" i="5"/>
  <c r="BH100" i="5" s="1"/>
  <c r="BB84" i="5"/>
  <c r="BH84" i="5" s="1"/>
  <c r="BB68" i="5"/>
  <c r="BH68" i="5" s="1"/>
  <c r="BB52" i="5"/>
  <c r="BH52" i="5" s="1"/>
  <c r="BB36" i="5"/>
  <c r="BH36" i="5" s="1"/>
  <c r="BB20" i="5"/>
  <c r="BH20" i="5" s="1"/>
  <c r="AX38" i="5"/>
  <c r="BD38" i="5" s="1"/>
  <c r="AX102" i="5"/>
  <c r="BD102" i="5" s="1"/>
  <c r="AZ101" i="5"/>
  <c r="BF101" i="5" s="1"/>
  <c r="AZ85" i="5"/>
  <c r="BF85" i="5" s="1"/>
  <c r="AZ69" i="5"/>
  <c r="BF69" i="5" s="1"/>
  <c r="AZ53" i="5"/>
  <c r="BF53" i="5" s="1"/>
  <c r="AY101" i="5"/>
  <c r="BE101" i="5" s="1"/>
  <c r="AX54" i="5"/>
  <c r="BD54" i="5" s="1"/>
  <c r="AX70" i="5"/>
  <c r="BD70" i="5" s="1"/>
  <c r="AX6" i="5"/>
  <c r="BD6" i="5" s="1"/>
  <c r="AX22" i="5"/>
  <c r="BD22" i="5" s="1"/>
  <c r="AX86" i="5"/>
  <c r="BD86" i="5" s="1"/>
  <c r="BA115" i="5"/>
  <c r="BG115" i="5" s="1"/>
  <c r="AY80" i="5"/>
  <c r="BE80" i="5" s="1"/>
  <c r="AY48" i="5"/>
  <c r="BE48" i="5" s="1"/>
  <c r="AY16" i="5"/>
  <c r="BE16" i="5" s="1"/>
  <c r="AX48" i="5"/>
  <c r="BD48" i="5" s="1"/>
  <c r="AX16" i="5"/>
  <c r="BD16" i="5" s="1"/>
  <c r="BA99" i="5"/>
  <c r="BG99" i="5" s="1"/>
  <c r="BA59" i="5"/>
  <c r="BG59" i="5" s="1"/>
  <c r="BA51" i="5"/>
  <c r="BG51" i="5" s="1"/>
  <c r="AY64" i="5"/>
  <c r="BE64" i="5" s="1"/>
  <c r="AY32" i="5"/>
  <c r="BE32" i="5" s="1"/>
  <c r="AX112" i="5"/>
  <c r="BD112" i="5" s="1"/>
  <c r="AX64" i="5"/>
  <c r="BD64" i="5" s="1"/>
  <c r="BA107" i="5"/>
  <c r="BG107" i="5" s="1"/>
  <c r="BA83" i="5"/>
  <c r="BG83" i="5" s="1"/>
  <c r="AZ95" i="5"/>
  <c r="BF95" i="5" s="1"/>
  <c r="AZ79" i="5"/>
  <c r="BF79" i="5" s="1"/>
  <c r="AZ63" i="5"/>
  <c r="BF63" i="5" s="1"/>
  <c r="AZ47" i="5"/>
  <c r="BF47" i="5" s="1"/>
  <c r="AZ31" i="5"/>
  <c r="BF31" i="5" s="1"/>
  <c r="AZ15" i="5"/>
  <c r="BF15" i="5" s="1"/>
  <c r="AY112" i="5"/>
  <c r="BE112" i="5" s="1"/>
  <c r="BA91" i="5"/>
  <c r="BG91" i="5" s="1"/>
  <c r="AZ111" i="5"/>
  <c r="BF111" i="5" s="1"/>
  <c r="BA75" i="5"/>
  <c r="BG75" i="5" s="1"/>
  <c r="AY96" i="5"/>
  <c r="BE96" i="5" s="1"/>
  <c r="AX96" i="5"/>
  <c r="BD96" i="5" s="1"/>
  <c r="AX32" i="5"/>
  <c r="BD32" i="5" s="1"/>
  <c r="BA67" i="5"/>
  <c r="BG67" i="5" s="1"/>
  <c r="BA110" i="5"/>
  <c r="BG110" i="5" s="1"/>
  <c r="BA94" i="5"/>
  <c r="BG94" i="5" s="1"/>
  <c r="BA62" i="5"/>
  <c r="BG62" i="5" s="1"/>
  <c r="BA46" i="5"/>
  <c r="BG46" i="5" s="1"/>
  <c r="BA30" i="5"/>
  <c r="BG30" i="5" s="1"/>
  <c r="BA14" i="5"/>
  <c r="BG14" i="5" s="1"/>
  <c r="AX80" i="5"/>
  <c r="BD80" i="5" s="1"/>
  <c r="AY85" i="5"/>
  <c r="BE85" i="5" s="1"/>
  <c r="AY77" i="5"/>
  <c r="BE77" i="5" s="1"/>
  <c r="AY69" i="5"/>
  <c r="BE69" i="5" s="1"/>
  <c r="AY61" i="5"/>
  <c r="BE61" i="5" s="1"/>
  <c r="AY53" i="5"/>
  <c r="BE53" i="5" s="1"/>
  <c r="AY45" i="5"/>
  <c r="BE45" i="5" s="1"/>
  <c r="AY37" i="5"/>
  <c r="BE37" i="5" s="1"/>
  <c r="AY29" i="5"/>
  <c r="BE29" i="5" s="1"/>
  <c r="AY21" i="5"/>
  <c r="BE21" i="5" s="1"/>
  <c r="AY13" i="5"/>
  <c r="BE13" i="5" s="1"/>
  <c r="AX109" i="5"/>
  <c r="BD109" i="5" s="1"/>
  <c r="AX101" i="5"/>
  <c r="BD101" i="5" s="1"/>
  <c r="AX85" i="5"/>
  <c r="BD85" i="5" s="1"/>
  <c r="AX77" i="5"/>
  <c r="BD77" i="5" s="1"/>
  <c r="AX69" i="5"/>
  <c r="BD69" i="5" s="1"/>
  <c r="AX61" i="5"/>
  <c r="BD61" i="5" s="1"/>
  <c r="AX45" i="5"/>
  <c r="BD45" i="5" s="1"/>
  <c r="AX29" i="5"/>
  <c r="BD29" i="5" s="1"/>
  <c r="AX93" i="5"/>
  <c r="BD93" i="5" s="1"/>
  <c r="BA43" i="5"/>
  <c r="BG43" i="5" s="1"/>
  <c r="BA27" i="5"/>
  <c r="BG27" i="5" s="1"/>
  <c r="BA11" i="5"/>
  <c r="BG11" i="5" s="1"/>
  <c r="AY87" i="5"/>
  <c r="BE87" i="5" s="1"/>
  <c r="AY79" i="5"/>
  <c r="BE79" i="5" s="1"/>
  <c r="AY75" i="5"/>
  <c r="BE75" i="5" s="1"/>
  <c r="AY71" i="5"/>
  <c r="BE71" i="5" s="1"/>
  <c r="AY63" i="5"/>
  <c r="BE63" i="5" s="1"/>
  <c r="AY59" i="5"/>
  <c r="BE59" i="5" s="1"/>
  <c r="AY55" i="5"/>
  <c r="BE55" i="5" s="1"/>
  <c r="AY47" i="5"/>
  <c r="BE47" i="5" s="1"/>
  <c r="AY43" i="5"/>
  <c r="BE43" i="5" s="1"/>
  <c r="AY39" i="5"/>
  <c r="BE39" i="5" s="1"/>
  <c r="AY31" i="5"/>
  <c r="BE31" i="5" s="1"/>
  <c r="AY27" i="5"/>
  <c r="BE27" i="5" s="1"/>
  <c r="AY23" i="5"/>
  <c r="BE23" i="5" s="1"/>
  <c r="AY15" i="5"/>
  <c r="BE15" i="5" s="1"/>
  <c r="AY11" i="5"/>
  <c r="BE11" i="5" s="1"/>
  <c r="AY7" i="5"/>
  <c r="BE7" i="5" s="1"/>
  <c r="AX111" i="5"/>
  <c r="BD111" i="5" s="1"/>
  <c r="AX107" i="5"/>
  <c r="BD107" i="5" s="1"/>
  <c r="AX95" i="5"/>
  <c r="BD95" i="5" s="1"/>
  <c r="AX91" i="5"/>
  <c r="BD91" i="5" s="1"/>
  <c r="AX79" i="5"/>
  <c r="BD79" i="5" s="1"/>
  <c r="AX75" i="5"/>
  <c r="BD75" i="5" s="1"/>
  <c r="AX63" i="5"/>
  <c r="BD63" i="5" s="1"/>
  <c r="AX47" i="5"/>
  <c r="BD47" i="5" s="1"/>
  <c r="AX31" i="5"/>
  <c r="BD31" i="5" s="1"/>
  <c r="AX15" i="5"/>
  <c r="BD15" i="5" s="1"/>
  <c r="BA37" i="5"/>
  <c r="BG37" i="5" s="1"/>
  <c r="BA29" i="5"/>
  <c r="BG29" i="5" s="1"/>
  <c r="BA25" i="5"/>
  <c r="BG25" i="5" s="1"/>
  <c r="BA21" i="5"/>
  <c r="BG21" i="5" s="1"/>
  <c r="BA13" i="5"/>
  <c r="BG13" i="5" s="1"/>
  <c r="BA9" i="5"/>
  <c r="BG9" i="5" s="1"/>
  <c r="AX53" i="5"/>
  <c r="BD53" i="5" s="1"/>
  <c r="AX37" i="5"/>
  <c r="BD37" i="5" s="1"/>
  <c r="AX21" i="5"/>
  <c r="BD21" i="5" s="1"/>
  <c r="AX13" i="5"/>
  <c r="BD13" i="5" s="1"/>
  <c r="BA35" i="5"/>
  <c r="BG35" i="5" s="1"/>
  <c r="BA19" i="5"/>
  <c r="BG19" i="5" s="1"/>
  <c r="AY46" i="5"/>
  <c r="BE46" i="5" s="1"/>
  <c r="AY30" i="5"/>
  <c r="BE30" i="5" s="1"/>
  <c r="AY14" i="5"/>
  <c r="BE14" i="5" s="1"/>
  <c r="AX104" i="5"/>
  <c r="BD104" i="5" s="1"/>
  <c r="AX88" i="5"/>
  <c r="BD88" i="5" s="1"/>
  <c r="AX72" i="5"/>
  <c r="BD72" i="5" s="1"/>
  <c r="AX56" i="5"/>
  <c r="BD56" i="5" s="1"/>
  <c r="AX40" i="5"/>
  <c r="BD40" i="5" s="1"/>
  <c r="AX24" i="5"/>
  <c r="BD24" i="5" s="1"/>
  <c r="AX8" i="5"/>
  <c r="BD8" i="5" s="1"/>
  <c r="AY115" i="5"/>
  <c r="BE115" i="5" s="1"/>
  <c r="AY99" i="5"/>
  <c r="BE99" i="5" s="1"/>
  <c r="AY83" i="5"/>
  <c r="BE83" i="5" s="1"/>
  <c r="AY67" i="5"/>
  <c r="BE67" i="5" s="1"/>
  <c r="AY51" i="5"/>
  <c r="BE51" i="5" s="1"/>
  <c r="AY35" i="5"/>
  <c r="BE35" i="5" s="1"/>
  <c r="AY19" i="5"/>
  <c r="BE19" i="5" s="1"/>
  <c r="AX115" i="5"/>
  <c r="BD115" i="5" s="1"/>
  <c r="AX99" i="5"/>
  <c r="BD99" i="5" s="1"/>
  <c r="AX83" i="5"/>
  <c r="BD83" i="5" s="1"/>
  <c r="AZ114" i="5"/>
  <c r="BF114" i="5" s="1"/>
  <c r="AZ98" i="5"/>
  <c r="BF98" i="5" s="1"/>
  <c r="AZ82" i="5"/>
  <c r="BF82" i="5" s="1"/>
  <c r="AZ66" i="5"/>
  <c r="BF66" i="5" s="1"/>
  <c r="AZ50" i="5"/>
  <c r="BF50" i="5" s="1"/>
  <c r="AZ34" i="5"/>
  <c r="BF34" i="5" s="1"/>
  <c r="AZ18" i="5"/>
  <c r="BF18" i="5" s="1"/>
  <c r="AY114" i="5"/>
  <c r="BE114" i="5" s="1"/>
  <c r="AY98" i="5"/>
  <c r="BE98" i="5" s="1"/>
  <c r="AY82" i="5"/>
  <c r="BE82" i="5" s="1"/>
  <c r="AY66" i="5"/>
  <c r="BE66" i="5" s="1"/>
  <c r="AY50" i="5"/>
  <c r="BE50" i="5" s="1"/>
  <c r="AX114" i="5"/>
  <c r="BD114" i="5" s="1"/>
  <c r="AX98" i="5"/>
  <c r="BD98" i="5" s="1"/>
  <c r="AX82" i="5"/>
  <c r="BD82" i="5" s="1"/>
  <c r="AX66" i="5"/>
  <c r="BD66" i="5" s="1"/>
  <c r="BA113" i="5"/>
  <c r="BG113" i="5" s="1"/>
  <c r="BA97" i="5"/>
  <c r="BG97" i="5" s="1"/>
  <c r="BA81" i="5"/>
  <c r="BG81" i="5" s="1"/>
  <c r="BA65" i="5"/>
  <c r="BG65" i="5" s="1"/>
  <c r="BA49" i="5"/>
  <c r="BG49" i="5" s="1"/>
  <c r="BA33" i="5"/>
  <c r="BG33" i="5" s="1"/>
  <c r="BA17" i="5"/>
  <c r="BG17" i="5" s="1"/>
  <c r="BA116" i="5"/>
  <c r="BG116" i="5" s="1"/>
  <c r="BA112" i="5"/>
  <c r="BG112" i="5" s="1"/>
  <c r="BA108" i="5"/>
  <c r="BG108" i="5" s="1"/>
  <c r="BA104" i="5"/>
  <c r="BG104" i="5" s="1"/>
  <c r="BA100" i="5"/>
  <c r="BG100" i="5" s="1"/>
  <c r="BA96" i="5"/>
  <c r="BG96" i="5" s="1"/>
  <c r="BA92" i="5"/>
  <c r="BG92" i="5" s="1"/>
  <c r="BA88" i="5"/>
  <c r="BG88" i="5" s="1"/>
  <c r="BA84" i="5"/>
  <c r="BG84" i="5" s="1"/>
  <c r="BA80" i="5"/>
  <c r="BG80" i="5" s="1"/>
  <c r="BA76" i="5"/>
  <c r="BG76" i="5" s="1"/>
  <c r="BA72" i="5"/>
  <c r="BG72" i="5" s="1"/>
  <c r="BA68" i="5"/>
  <c r="BG68" i="5" s="1"/>
  <c r="BA64" i="5"/>
  <c r="BG64" i="5" s="1"/>
  <c r="BA60" i="5"/>
  <c r="BG60" i="5" s="1"/>
  <c r="BA56" i="5"/>
  <c r="BG56" i="5" s="1"/>
  <c r="BA52" i="5"/>
  <c r="BG52" i="5" s="1"/>
  <c r="BA48" i="5"/>
  <c r="BG48" i="5" s="1"/>
  <c r="BA44" i="5"/>
  <c r="BG44" i="5" s="1"/>
  <c r="BA40" i="5"/>
  <c r="BG40" i="5" s="1"/>
  <c r="BA36" i="5"/>
  <c r="BG36" i="5" s="1"/>
  <c r="BA32" i="5"/>
  <c r="BG32" i="5" s="1"/>
  <c r="BA28" i="5"/>
  <c r="BG28" i="5" s="1"/>
  <c r="BA24" i="5"/>
  <c r="BG24" i="5" s="1"/>
  <c r="BA20" i="5"/>
  <c r="BG20" i="5" s="1"/>
  <c r="BA16" i="5"/>
  <c r="BG16" i="5" s="1"/>
  <c r="BA12" i="5"/>
  <c r="BG12" i="5" s="1"/>
  <c r="BA8" i="5"/>
  <c r="BG8" i="5" s="1"/>
  <c r="AZ116" i="5"/>
  <c r="BF116" i="5" s="1"/>
  <c r="AZ112" i="5"/>
  <c r="BF112" i="5" s="1"/>
  <c r="AZ108" i="5"/>
  <c r="BF108" i="5" s="1"/>
  <c r="AZ100" i="5"/>
  <c r="BF100" i="5" s="1"/>
  <c r="AZ96" i="5"/>
  <c r="BF96" i="5" s="1"/>
  <c r="AZ92" i="5"/>
  <c r="BF92" i="5" s="1"/>
  <c r="AZ84" i="5"/>
  <c r="BF84" i="5" s="1"/>
  <c r="AZ80" i="5"/>
  <c r="BF80" i="5" s="1"/>
  <c r="AZ76" i="5"/>
  <c r="BF76" i="5" s="1"/>
  <c r="AZ68" i="5"/>
  <c r="BF68" i="5" s="1"/>
  <c r="AZ64" i="5"/>
  <c r="BF64" i="5" s="1"/>
  <c r="AZ60" i="5"/>
  <c r="BF60" i="5" s="1"/>
  <c r="AZ52" i="5"/>
  <c r="BF52" i="5" s="1"/>
  <c r="AZ48" i="5"/>
  <c r="BF48" i="5" s="1"/>
  <c r="AZ44" i="5"/>
  <c r="BF44" i="5" s="1"/>
  <c r="AZ36" i="5"/>
  <c r="BF36" i="5" s="1"/>
  <c r="AZ32" i="5"/>
  <c r="BF32" i="5" s="1"/>
  <c r="AZ28" i="5"/>
  <c r="BF28" i="5" s="1"/>
  <c r="AZ20" i="5"/>
  <c r="BF20" i="5" s="1"/>
  <c r="AZ16" i="5"/>
  <c r="BF16" i="5" s="1"/>
  <c r="AZ12" i="5"/>
  <c r="BF12" i="5" s="1"/>
  <c r="AZ51" i="5"/>
  <c r="BF51" i="5" s="1"/>
  <c r="AZ43" i="5"/>
  <c r="BF43" i="5" s="1"/>
  <c r="AZ35" i="5"/>
  <c r="BF35" i="5" s="1"/>
  <c r="AZ27" i="5"/>
  <c r="BF27" i="5" s="1"/>
  <c r="AZ19" i="5"/>
  <c r="BF19" i="5" s="1"/>
  <c r="AZ11" i="5"/>
  <c r="BF11" i="5" s="1"/>
  <c r="AX103" i="5"/>
  <c r="BD103" i="5" s="1"/>
  <c r="AX87" i="5"/>
  <c r="BD87" i="5" s="1"/>
  <c r="AX71" i="5"/>
  <c r="BD71" i="5" s="1"/>
  <c r="AX67" i="5"/>
  <c r="BD67" i="5" s="1"/>
  <c r="AX59" i="5"/>
  <c r="BD59" i="5" s="1"/>
  <c r="AX55" i="5"/>
  <c r="BD55" i="5" s="1"/>
  <c r="AX51" i="5"/>
  <c r="BD51" i="5" s="1"/>
  <c r="AX43" i="5"/>
  <c r="BD43" i="5" s="1"/>
  <c r="AX39" i="5"/>
  <c r="BD39" i="5" s="1"/>
  <c r="AX35" i="5"/>
  <c r="BD35" i="5" s="1"/>
  <c r="AX27" i="5"/>
  <c r="BD27" i="5" s="1"/>
  <c r="AX23" i="5"/>
  <c r="BD23" i="5" s="1"/>
  <c r="AX19" i="5"/>
  <c r="BD19" i="5" s="1"/>
  <c r="AX11" i="5"/>
  <c r="BD11" i="5" s="1"/>
  <c r="AX7" i="5"/>
  <c r="BD7" i="5" s="1"/>
  <c r="BA114" i="5"/>
  <c r="BG114" i="5" s="1"/>
  <c r="BA106" i="5"/>
  <c r="BG106" i="5" s="1"/>
  <c r="BA98" i="5"/>
  <c r="BG98" i="5" s="1"/>
  <c r="BA90" i="5"/>
  <c r="BG90" i="5" s="1"/>
  <c r="BA82" i="5"/>
  <c r="BG82" i="5" s="1"/>
  <c r="BA74" i="5"/>
  <c r="BG74" i="5" s="1"/>
  <c r="BA66" i="5"/>
  <c r="BG66" i="5" s="1"/>
  <c r="BA58" i="5"/>
  <c r="BG58" i="5" s="1"/>
  <c r="BA50" i="5"/>
  <c r="BG50" i="5" s="1"/>
  <c r="BA42" i="5"/>
  <c r="BG42" i="5" s="1"/>
  <c r="BA34" i="5"/>
  <c r="BG34" i="5" s="1"/>
  <c r="BA26" i="5"/>
  <c r="BG26" i="5" s="1"/>
  <c r="BA18" i="5"/>
  <c r="BG18" i="5" s="1"/>
  <c r="BA10" i="5"/>
  <c r="BG10" i="5" s="1"/>
  <c r="AY34" i="5"/>
  <c r="BE34" i="5" s="1"/>
  <c r="AY18" i="5"/>
  <c r="BE18" i="5" s="1"/>
  <c r="AX50" i="5"/>
  <c r="BD50" i="5" s="1"/>
  <c r="AX34" i="5"/>
  <c r="BD34" i="5" s="1"/>
  <c r="AX18" i="5"/>
  <c r="BD18" i="5" s="1"/>
  <c r="AZ113" i="5"/>
  <c r="BF113" i="5" s="1"/>
  <c r="AZ97" i="5"/>
  <c r="BF97" i="5" s="1"/>
  <c r="AZ81" i="5"/>
  <c r="BF81" i="5" s="1"/>
  <c r="AZ65" i="5"/>
  <c r="BF65" i="5" s="1"/>
  <c r="AZ49" i="5"/>
  <c r="BF49" i="5" s="1"/>
  <c r="AZ45" i="5"/>
  <c r="BF45" i="5" s="1"/>
  <c r="AZ41" i="5"/>
  <c r="BF41" i="5" s="1"/>
  <c r="AZ37" i="5"/>
  <c r="BF37" i="5" s="1"/>
  <c r="AZ33" i="5"/>
  <c r="BF33" i="5" s="1"/>
  <c r="AZ29" i="5"/>
  <c r="BF29" i="5" s="1"/>
  <c r="AZ25" i="5"/>
  <c r="BF25" i="5" s="1"/>
  <c r="AZ21" i="5"/>
  <c r="BF21" i="5" s="1"/>
  <c r="AZ17" i="5"/>
  <c r="BF17" i="5" s="1"/>
  <c r="AZ13" i="5"/>
  <c r="BF13" i="5" s="1"/>
  <c r="AZ9" i="5"/>
  <c r="BF9" i="5" s="1"/>
  <c r="AU5" i="5"/>
  <c r="BA5" i="5" s="1"/>
  <c r="BG5" i="5" s="1"/>
  <c r="AT5" i="5"/>
  <c r="AZ5" i="5" s="1"/>
  <c r="BF5" i="5" s="1"/>
  <c r="AR5" i="5"/>
  <c r="AS5" i="5"/>
  <c r="AY5" i="5" s="1"/>
  <c r="BE5" i="5" s="1"/>
  <c r="AX5" i="5" l="1"/>
  <c r="BD5" i="5" s="1"/>
  <c r="AW5" i="5"/>
  <c r="R6" i="5"/>
  <c r="R7" i="5"/>
  <c r="R8" i="5"/>
  <c r="V8" i="5" s="1"/>
  <c r="R9" i="5"/>
  <c r="R10" i="5"/>
  <c r="R11" i="5"/>
  <c r="R12" i="5"/>
  <c r="R13" i="5"/>
  <c r="R14" i="5"/>
  <c r="R15" i="5"/>
  <c r="R16" i="5"/>
  <c r="R17" i="5"/>
  <c r="R18" i="5"/>
  <c r="R19" i="5"/>
  <c r="V19" i="5" s="1"/>
  <c r="R20" i="5"/>
  <c r="R21" i="5"/>
  <c r="R22" i="5"/>
  <c r="R23" i="5"/>
  <c r="R24" i="5"/>
  <c r="V24" i="5" s="1"/>
  <c r="R25" i="5"/>
  <c r="R26" i="5"/>
  <c r="R27" i="5"/>
  <c r="R28" i="5"/>
  <c r="R29" i="5"/>
  <c r="R30" i="5"/>
  <c r="R31" i="5"/>
  <c r="R32" i="5"/>
  <c r="R33" i="5"/>
  <c r="R34" i="5"/>
  <c r="R35" i="5"/>
  <c r="V35" i="5" s="1"/>
  <c r="R36" i="5"/>
  <c r="R37" i="5"/>
  <c r="R38" i="5"/>
  <c r="R39" i="5"/>
  <c r="R40" i="5"/>
  <c r="V40" i="5" s="1"/>
  <c r="R41" i="5"/>
  <c r="R42" i="5"/>
  <c r="R43" i="5"/>
  <c r="R44" i="5"/>
  <c r="R45" i="5"/>
  <c r="R46" i="5"/>
  <c r="R47" i="5"/>
  <c r="R48" i="5"/>
  <c r="R49" i="5"/>
  <c r="R50" i="5"/>
  <c r="R51" i="5"/>
  <c r="V51" i="5" s="1"/>
  <c r="R52" i="5"/>
  <c r="R53" i="5"/>
  <c r="R54" i="5"/>
  <c r="R55" i="5"/>
  <c r="R56" i="5"/>
  <c r="V56" i="5" s="1"/>
  <c r="R57" i="5"/>
  <c r="R58" i="5"/>
  <c r="R59" i="5"/>
  <c r="R60" i="5"/>
  <c r="R61" i="5"/>
  <c r="R62" i="5"/>
  <c r="R63" i="5"/>
  <c r="R64" i="5"/>
  <c r="R65" i="5"/>
  <c r="R66" i="5"/>
  <c r="R67" i="5"/>
  <c r="V67" i="5" s="1"/>
  <c r="R68" i="5"/>
  <c r="R69" i="5"/>
  <c r="R70" i="5"/>
  <c r="R71" i="5"/>
  <c r="R72" i="5"/>
  <c r="V72" i="5" s="1"/>
  <c r="R73" i="5"/>
  <c r="R74" i="5"/>
  <c r="R75" i="5"/>
  <c r="R76" i="5"/>
  <c r="R77" i="5"/>
  <c r="R78" i="5"/>
  <c r="R79" i="5"/>
  <c r="R80" i="5"/>
  <c r="R81" i="5"/>
  <c r="R82" i="5"/>
  <c r="R83" i="5"/>
  <c r="V83" i="5" s="1"/>
  <c r="R84" i="5"/>
  <c r="R85" i="5"/>
  <c r="R86" i="5"/>
  <c r="R87" i="5"/>
  <c r="R88" i="5"/>
  <c r="V88" i="5" s="1"/>
  <c r="R89" i="5"/>
  <c r="R90" i="5"/>
  <c r="R91" i="5"/>
  <c r="R92" i="5"/>
  <c r="R93" i="5"/>
  <c r="R94" i="5"/>
  <c r="R95" i="5"/>
  <c r="R96" i="5"/>
  <c r="R97" i="5"/>
  <c r="R98" i="5"/>
  <c r="R99" i="5"/>
  <c r="V99" i="5" s="1"/>
  <c r="R100" i="5"/>
  <c r="R101" i="5"/>
  <c r="R102" i="5"/>
  <c r="R103" i="5"/>
  <c r="R104" i="5"/>
  <c r="V104" i="5" s="1"/>
  <c r="R105" i="5"/>
  <c r="R106" i="5"/>
  <c r="R107" i="5"/>
  <c r="R108" i="5"/>
  <c r="R109" i="5"/>
  <c r="R110" i="5"/>
  <c r="R111" i="5"/>
  <c r="R112" i="5"/>
  <c r="R113" i="5"/>
  <c r="R114" i="5"/>
  <c r="R115" i="5"/>
  <c r="V115" i="5" s="1"/>
  <c r="R116" i="5"/>
  <c r="R5" i="5"/>
  <c r="Q6" i="5"/>
  <c r="S6" i="5"/>
  <c r="T6" i="5"/>
  <c r="Q7" i="5"/>
  <c r="S7" i="5"/>
  <c r="T7" i="5"/>
  <c r="Q8" i="5"/>
  <c r="S8" i="5"/>
  <c r="T8" i="5"/>
  <c r="Q9" i="5"/>
  <c r="S9" i="5"/>
  <c r="T9" i="5"/>
  <c r="Q10" i="5"/>
  <c r="U10" i="5" s="1"/>
  <c r="S10" i="5"/>
  <c r="T10" i="5"/>
  <c r="Q11" i="5"/>
  <c r="S11" i="5"/>
  <c r="T11" i="5"/>
  <c r="Q12" i="5"/>
  <c r="U12" i="5" s="1"/>
  <c r="S12" i="5"/>
  <c r="T12" i="5"/>
  <c r="Q13" i="5"/>
  <c r="S13" i="5"/>
  <c r="T13" i="5"/>
  <c r="Q14" i="5"/>
  <c r="S14" i="5"/>
  <c r="T14" i="5"/>
  <c r="Q15" i="5"/>
  <c r="U15" i="5" s="1"/>
  <c r="S15" i="5"/>
  <c r="T15" i="5"/>
  <c r="Q16" i="5"/>
  <c r="S16" i="5"/>
  <c r="T16" i="5"/>
  <c r="Q17" i="5"/>
  <c r="S17" i="5"/>
  <c r="T17" i="5"/>
  <c r="Q18" i="5"/>
  <c r="S18" i="5"/>
  <c r="T18" i="5"/>
  <c r="Q19" i="5"/>
  <c r="U19" i="5" s="1"/>
  <c r="S19" i="5"/>
  <c r="T19" i="5"/>
  <c r="Q20" i="5"/>
  <c r="U20" i="5" s="1"/>
  <c r="S20" i="5"/>
  <c r="T20" i="5"/>
  <c r="Q21" i="5"/>
  <c r="U21" i="5" s="1"/>
  <c r="S21" i="5"/>
  <c r="T21" i="5"/>
  <c r="Q22" i="5"/>
  <c r="S22" i="5"/>
  <c r="T22" i="5"/>
  <c r="Q23" i="5"/>
  <c r="S23" i="5"/>
  <c r="T23" i="5"/>
  <c r="Q24" i="5"/>
  <c r="S24" i="5"/>
  <c r="T24" i="5"/>
  <c r="Q25" i="5"/>
  <c r="S25" i="5"/>
  <c r="T25" i="5"/>
  <c r="Q26" i="5"/>
  <c r="U26" i="5" s="1"/>
  <c r="S26" i="5"/>
  <c r="T26" i="5"/>
  <c r="Q27" i="5"/>
  <c r="S27" i="5"/>
  <c r="T27" i="5"/>
  <c r="Q28" i="5"/>
  <c r="U28" i="5" s="1"/>
  <c r="S28" i="5"/>
  <c r="T28" i="5"/>
  <c r="Q29" i="5"/>
  <c r="S29" i="5"/>
  <c r="T29" i="5"/>
  <c r="Q30" i="5"/>
  <c r="S30" i="5"/>
  <c r="T30" i="5"/>
  <c r="Q31" i="5"/>
  <c r="U31" i="5" s="1"/>
  <c r="S31" i="5"/>
  <c r="T31" i="5"/>
  <c r="Q32" i="5"/>
  <c r="S32" i="5"/>
  <c r="T32" i="5"/>
  <c r="Q33" i="5"/>
  <c r="S33" i="5"/>
  <c r="T33" i="5"/>
  <c r="Q34" i="5"/>
  <c r="S34" i="5"/>
  <c r="T34" i="5"/>
  <c r="Q35" i="5"/>
  <c r="U35" i="5" s="1"/>
  <c r="S35" i="5"/>
  <c r="T35" i="5"/>
  <c r="Q36" i="5"/>
  <c r="U36" i="5" s="1"/>
  <c r="S36" i="5"/>
  <c r="T36" i="5"/>
  <c r="Q37" i="5"/>
  <c r="U37" i="5" s="1"/>
  <c r="S37" i="5"/>
  <c r="T37" i="5"/>
  <c r="Q38" i="5"/>
  <c r="S38" i="5"/>
  <c r="T38" i="5"/>
  <c r="Q39" i="5"/>
  <c r="S39" i="5"/>
  <c r="T39" i="5"/>
  <c r="Q40" i="5"/>
  <c r="S40" i="5"/>
  <c r="T40" i="5"/>
  <c r="Q41" i="5"/>
  <c r="S41" i="5"/>
  <c r="T41" i="5"/>
  <c r="Q42" i="5"/>
  <c r="U42" i="5" s="1"/>
  <c r="S42" i="5"/>
  <c r="T42" i="5"/>
  <c r="Q43" i="5"/>
  <c r="S43" i="5"/>
  <c r="T43" i="5"/>
  <c r="Q44" i="5"/>
  <c r="U44" i="5" s="1"/>
  <c r="S44" i="5"/>
  <c r="T44" i="5"/>
  <c r="Q45" i="5"/>
  <c r="S45" i="5"/>
  <c r="T45" i="5"/>
  <c r="Q46" i="5"/>
  <c r="S46" i="5"/>
  <c r="T46" i="5"/>
  <c r="Q47" i="5"/>
  <c r="U47" i="5" s="1"/>
  <c r="S47" i="5"/>
  <c r="T47" i="5"/>
  <c r="Q48" i="5"/>
  <c r="S48" i="5"/>
  <c r="T48" i="5"/>
  <c r="Q49" i="5"/>
  <c r="S49" i="5"/>
  <c r="T49" i="5"/>
  <c r="Q50" i="5"/>
  <c r="S50" i="5"/>
  <c r="T50" i="5"/>
  <c r="Q51" i="5"/>
  <c r="U51" i="5" s="1"/>
  <c r="S51" i="5"/>
  <c r="T51" i="5"/>
  <c r="Q52" i="5"/>
  <c r="U52" i="5" s="1"/>
  <c r="S52" i="5"/>
  <c r="T52" i="5"/>
  <c r="Q53" i="5"/>
  <c r="U53" i="5" s="1"/>
  <c r="S53" i="5"/>
  <c r="T53" i="5"/>
  <c r="Q54" i="5"/>
  <c r="S54" i="5"/>
  <c r="T54" i="5"/>
  <c r="Q55" i="5"/>
  <c r="S55" i="5"/>
  <c r="T55" i="5"/>
  <c r="Q56" i="5"/>
  <c r="S56" i="5"/>
  <c r="T56" i="5"/>
  <c r="Q57" i="5"/>
  <c r="S57" i="5"/>
  <c r="T57" i="5"/>
  <c r="Q58" i="5"/>
  <c r="U58" i="5" s="1"/>
  <c r="S58" i="5"/>
  <c r="T58" i="5"/>
  <c r="Q59" i="5"/>
  <c r="S59" i="5"/>
  <c r="T59" i="5"/>
  <c r="Q60" i="5"/>
  <c r="U60" i="5" s="1"/>
  <c r="S60" i="5"/>
  <c r="T60" i="5"/>
  <c r="Q61" i="5"/>
  <c r="S61" i="5"/>
  <c r="T61" i="5"/>
  <c r="Q62" i="5"/>
  <c r="S62" i="5"/>
  <c r="T62" i="5"/>
  <c r="Q63" i="5"/>
  <c r="U63" i="5" s="1"/>
  <c r="S63" i="5"/>
  <c r="T63" i="5"/>
  <c r="Q64" i="5"/>
  <c r="S64" i="5"/>
  <c r="T64" i="5"/>
  <c r="Q65" i="5"/>
  <c r="S65" i="5"/>
  <c r="T65" i="5"/>
  <c r="Q66" i="5"/>
  <c r="S66" i="5"/>
  <c r="T66" i="5"/>
  <c r="Q67" i="5"/>
  <c r="U67" i="5" s="1"/>
  <c r="S67" i="5"/>
  <c r="T67" i="5"/>
  <c r="Q68" i="5"/>
  <c r="U68" i="5" s="1"/>
  <c r="S68" i="5"/>
  <c r="T68" i="5"/>
  <c r="Q69" i="5"/>
  <c r="U69" i="5" s="1"/>
  <c r="S69" i="5"/>
  <c r="T69" i="5"/>
  <c r="Q70" i="5"/>
  <c r="S70" i="5"/>
  <c r="T70" i="5"/>
  <c r="Q71" i="5"/>
  <c r="S71" i="5"/>
  <c r="T71" i="5"/>
  <c r="Q72" i="5"/>
  <c r="S72" i="5"/>
  <c r="T72" i="5"/>
  <c r="Q73" i="5"/>
  <c r="S73" i="5"/>
  <c r="T73" i="5"/>
  <c r="Q74" i="5"/>
  <c r="U74" i="5" s="1"/>
  <c r="S74" i="5"/>
  <c r="T74" i="5"/>
  <c r="Q75" i="5"/>
  <c r="S75" i="5"/>
  <c r="T75" i="5"/>
  <c r="Q76" i="5"/>
  <c r="U76" i="5" s="1"/>
  <c r="S76" i="5"/>
  <c r="T76" i="5"/>
  <c r="Q77" i="5"/>
  <c r="S77" i="5"/>
  <c r="T77" i="5"/>
  <c r="Q78" i="5"/>
  <c r="S78" i="5"/>
  <c r="T78" i="5"/>
  <c r="Q79" i="5"/>
  <c r="U79" i="5" s="1"/>
  <c r="S79" i="5"/>
  <c r="T79" i="5"/>
  <c r="Q80" i="5"/>
  <c r="S80" i="5"/>
  <c r="T80" i="5"/>
  <c r="Q81" i="5"/>
  <c r="S81" i="5"/>
  <c r="T81" i="5"/>
  <c r="Q82" i="5"/>
  <c r="S82" i="5"/>
  <c r="T82" i="5"/>
  <c r="Q83" i="5"/>
  <c r="U83" i="5" s="1"/>
  <c r="S83" i="5"/>
  <c r="T83" i="5"/>
  <c r="Q84" i="5"/>
  <c r="U84" i="5" s="1"/>
  <c r="S84" i="5"/>
  <c r="T84" i="5"/>
  <c r="Q85" i="5"/>
  <c r="U85" i="5" s="1"/>
  <c r="S85" i="5"/>
  <c r="T85" i="5"/>
  <c r="Q86" i="5"/>
  <c r="S86" i="5"/>
  <c r="T86" i="5"/>
  <c r="Q87" i="5"/>
  <c r="S87" i="5"/>
  <c r="T87" i="5"/>
  <c r="Q88" i="5"/>
  <c r="S88" i="5"/>
  <c r="T88" i="5"/>
  <c r="Q89" i="5"/>
  <c r="S89" i="5"/>
  <c r="T89" i="5"/>
  <c r="Q90" i="5"/>
  <c r="U90" i="5" s="1"/>
  <c r="S90" i="5"/>
  <c r="T90" i="5"/>
  <c r="Q91" i="5"/>
  <c r="S91" i="5"/>
  <c r="T91" i="5"/>
  <c r="Q92" i="5"/>
  <c r="U92" i="5" s="1"/>
  <c r="S92" i="5"/>
  <c r="T92" i="5"/>
  <c r="Q93" i="5"/>
  <c r="S93" i="5"/>
  <c r="T93" i="5"/>
  <c r="Q94" i="5"/>
  <c r="S94" i="5"/>
  <c r="T94" i="5"/>
  <c r="Q95" i="5"/>
  <c r="U95" i="5" s="1"/>
  <c r="S95" i="5"/>
  <c r="T95" i="5"/>
  <c r="Q96" i="5"/>
  <c r="S96" i="5"/>
  <c r="T96" i="5"/>
  <c r="Q97" i="5"/>
  <c r="S97" i="5"/>
  <c r="T97" i="5"/>
  <c r="Q98" i="5"/>
  <c r="S98" i="5"/>
  <c r="T98" i="5"/>
  <c r="Q99" i="5"/>
  <c r="U99" i="5" s="1"/>
  <c r="S99" i="5"/>
  <c r="T99" i="5"/>
  <c r="Q100" i="5"/>
  <c r="U100" i="5" s="1"/>
  <c r="S100" i="5"/>
  <c r="T100" i="5"/>
  <c r="Q101" i="5"/>
  <c r="U101" i="5" s="1"/>
  <c r="S101" i="5"/>
  <c r="T101" i="5"/>
  <c r="Q102" i="5"/>
  <c r="S102" i="5"/>
  <c r="T102" i="5"/>
  <c r="Q103" i="5"/>
  <c r="S103" i="5"/>
  <c r="T103" i="5"/>
  <c r="Q104" i="5"/>
  <c r="S104" i="5"/>
  <c r="T104" i="5"/>
  <c r="Q105" i="5"/>
  <c r="S105" i="5"/>
  <c r="T105" i="5"/>
  <c r="Q106" i="5"/>
  <c r="U106" i="5" s="1"/>
  <c r="S106" i="5"/>
  <c r="T106" i="5"/>
  <c r="Q107" i="5"/>
  <c r="S107" i="5"/>
  <c r="T107" i="5"/>
  <c r="Q108" i="5"/>
  <c r="U108" i="5" s="1"/>
  <c r="S108" i="5"/>
  <c r="T108" i="5"/>
  <c r="Q109" i="5"/>
  <c r="S109" i="5"/>
  <c r="T109" i="5"/>
  <c r="Q110" i="5"/>
  <c r="S110" i="5"/>
  <c r="T110" i="5"/>
  <c r="Q111" i="5"/>
  <c r="U111" i="5" s="1"/>
  <c r="S111" i="5"/>
  <c r="T111" i="5"/>
  <c r="Q112" i="5"/>
  <c r="S112" i="5"/>
  <c r="T112" i="5"/>
  <c r="Q113" i="5"/>
  <c r="S113" i="5"/>
  <c r="T113" i="5"/>
  <c r="Q114" i="5"/>
  <c r="S114" i="5"/>
  <c r="T114" i="5"/>
  <c r="Q115" i="5"/>
  <c r="U115" i="5" s="1"/>
  <c r="S115" i="5"/>
  <c r="T115" i="5"/>
  <c r="Q116" i="5"/>
  <c r="U116" i="5" s="1"/>
  <c r="S116" i="5"/>
  <c r="T116" i="5"/>
  <c r="T5" i="5"/>
  <c r="X5" i="5" s="1"/>
  <c r="S5" i="5"/>
  <c r="Q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22" i="5"/>
  <c r="N22" i="5"/>
  <c r="O22" i="5"/>
  <c r="P22" i="5"/>
  <c r="M23" i="5"/>
  <c r="N23" i="5"/>
  <c r="O23" i="5"/>
  <c r="P23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O28" i="5"/>
  <c r="P28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P42" i="5"/>
  <c r="M43" i="5"/>
  <c r="N43" i="5"/>
  <c r="O43" i="5"/>
  <c r="P43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M67" i="5"/>
  <c r="N67" i="5"/>
  <c r="O67" i="5"/>
  <c r="P67" i="5"/>
  <c r="M68" i="5"/>
  <c r="N68" i="5"/>
  <c r="O68" i="5"/>
  <c r="P68" i="5"/>
  <c r="M69" i="5"/>
  <c r="N69" i="5"/>
  <c r="O69" i="5"/>
  <c r="P69" i="5"/>
  <c r="M70" i="5"/>
  <c r="N70" i="5"/>
  <c r="O70" i="5"/>
  <c r="P70" i="5"/>
  <c r="M71" i="5"/>
  <c r="N71" i="5"/>
  <c r="O71" i="5"/>
  <c r="P71" i="5"/>
  <c r="M72" i="5"/>
  <c r="N72" i="5"/>
  <c r="O72" i="5"/>
  <c r="P72" i="5"/>
  <c r="M73" i="5"/>
  <c r="N73" i="5"/>
  <c r="O73" i="5"/>
  <c r="P73" i="5"/>
  <c r="M74" i="5"/>
  <c r="N74" i="5"/>
  <c r="O74" i="5"/>
  <c r="P74" i="5"/>
  <c r="M75" i="5"/>
  <c r="N75" i="5"/>
  <c r="O75" i="5"/>
  <c r="P75" i="5"/>
  <c r="M76" i="5"/>
  <c r="N76" i="5"/>
  <c r="O76" i="5"/>
  <c r="P76" i="5"/>
  <c r="M77" i="5"/>
  <c r="N77" i="5"/>
  <c r="O77" i="5"/>
  <c r="P77" i="5"/>
  <c r="M78" i="5"/>
  <c r="N78" i="5"/>
  <c r="O78" i="5"/>
  <c r="P78" i="5"/>
  <c r="M79" i="5"/>
  <c r="N79" i="5"/>
  <c r="O79" i="5"/>
  <c r="P79" i="5"/>
  <c r="M80" i="5"/>
  <c r="N80" i="5"/>
  <c r="O80" i="5"/>
  <c r="P80" i="5"/>
  <c r="M81" i="5"/>
  <c r="N81" i="5"/>
  <c r="O81" i="5"/>
  <c r="P81" i="5"/>
  <c r="M82" i="5"/>
  <c r="N82" i="5"/>
  <c r="O82" i="5"/>
  <c r="P82" i="5"/>
  <c r="M83" i="5"/>
  <c r="N83" i="5"/>
  <c r="O83" i="5"/>
  <c r="P83" i="5"/>
  <c r="M84" i="5"/>
  <c r="N84" i="5"/>
  <c r="O84" i="5"/>
  <c r="P84" i="5"/>
  <c r="M85" i="5"/>
  <c r="N85" i="5"/>
  <c r="O85" i="5"/>
  <c r="P85" i="5"/>
  <c r="M86" i="5"/>
  <c r="N86" i="5"/>
  <c r="O86" i="5"/>
  <c r="P86" i="5"/>
  <c r="M87" i="5"/>
  <c r="N87" i="5"/>
  <c r="O87" i="5"/>
  <c r="P87" i="5"/>
  <c r="M88" i="5"/>
  <c r="N88" i="5"/>
  <c r="O88" i="5"/>
  <c r="P88" i="5"/>
  <c r="M89" i="5"/>
  <c r="N89" i="5"/>
  <c r="O89" i="5"/>
  <c r="P89" i="5"/>
  <c r="M90" i="5"/>
  <c r="N90" i="5"/>
  <c r="O90" i="5"/>
  <c r="P90" i="5"/>
  <c r="M91" i="5"/>
  <c r="N91" i="5"/>
  <c r="O91" i="5"/>
  <c r="P91" i="5"/>
  <c r="M92" i="5"/>
  <c r="N92" i="5"/>
  <c r="O92" i="5"/>
  <c r="P92" i="5"/>
  <c r="M93" i="5"/>
  <c r="N93" i="5"/>
  <c r="O93" i="5"/>
  <c r="P93" i="5"/>
  <c r="M94" i="5"/>
  <c r="N94" i="5"/>
  <c r="O94" i="5"/>
  <c r="P94" i="5"/>
  <c r="M95" i="5"/>
  <c r="N95" i="5"/>
  <c r="O95" i="5"/>
  <c r="P95" i="5"/>
  <c r="M96" i="5"/>
  <c r="N96" i="5"/>
  <c r="O96" i="5"/>
  <c r="P96" i="5"/>
  <c r="M97" i="5"/>
  <c r="N97" i="5"/>
  <c r="O97" i="5"/>
  <c r="P97" i="5"/>
  <c r="M98" i="5"/>
  <c r="N98" i="5"/>
  <c r="O98" i="5"/>
  <c r="P98" i="5"/>
  <c r="M99" i="5"/>
  <c r="N99" i="5"/>
  <c r="O99" i="5"/>
  <c r="P99" i="5"/>
  <c r="M100" i="5"/>
  <c r="N100" i="5"/>
  <c r="O100" i="5"/>
  <c r="P100" i="5"/>
  <c r="M101" i="5"/>
  <c r="N101" i="5"/>
  <c r="O101" i="5"/>
  <c r="P101" i="5"/>
  <c r="M102" i="5"/>
  <c r="N102" i="5"/>
  <c r="O102" i="5"/>
  <c r="P102" i="5"/>
  <c r="M103" i="5"/>
  <c r="N103" i="5"/>
  <c r="O103" i="5"/>
  <c r="P103" i="5"/>
  <c r="M104" i="5"/>
  <c r="N104" i="5"/>
  <c r="O104" i="5"/>
  <c r="P104" i="5"/>
  <c r="M105" i="5"/>
  <c r="N105" i="5"/>
  <c r="O105" i="5"/>
  <c r="P105" i="5"/>
  <c r="M106" i="5"/>
  <c r="N106" i="5"/>
  <c r="O106" i="5"/>
  <c r="P106" i="5"/>
  <c r="M107" i="5"/>
  <c r="N107" i="5"/>
  <c r="O107" i="5"/>
  <c r="P107" i="5"/>
  <c r="M108" i="5"/>
  <c r="N108" i="5"/>
  <c r="O108" i="5"/>
  <c r="P108" i="5"/>
  <c r="M109" i="5"/>
  <c r="N109" i="5"/>
  <c r="O109" i="5"/>
  <c r="P109" i="5"/>
  <c r="M110" i="5"/>
  <c r="N110" i="5"/>
  <c r="O110" i="5"/>
  <c r="P110" i="5"/>
  <c r="M111" i="5"/>
  <c r="N111" i="5"/>
  <c r="O111" i="5"/>
  <c r="P111" i="5"/>
  <c r="M112" i="5"/>
  <c r="N112" i="5"/>
  <c r="O112" i="5"/>
  <c r="P112" i="5"/>
  <c r="M113" i="5"/>
  <c r="N113" i="5"/>
  <c r="O113" i="5"/>
  <c r="P113" i="5"/>
  <c r="M114" i="5"/>
  <c r="N114" i="5"/>
  <c r="O114" i="5"/>
  <c r="P114" i="5"/>
  <c r="M115" i="5"/>
  <c r="N115" i="5"/>
  <c r="O115" i="5"/>
  <c r="P115" i="5"/>
  <c r="M116" i="5"/>
  <c r="N116" i="5"/>
  <c r="O116" i="5"/>
  <c r="P116" i="5"/>
  <c r="P5" i="5"/>
  <c r="O5" i="5"/>
  <c r="N5" i="5"/>
  <c r="M5" i="5"/>
  <c r="I6" i="5"/>
  <c r="J6" i="5"/>
  <c r="K6" i="5"/>
  <c r="L6" i="5"/>
  <c r="I7" i="5"/>
  <c r="J7" i="5"/>
  <c r="K7" i="5"/>
  <c r="AB7" i="5" s="1"/>
  <c r="AG7" i="5" s="1"/>
  <c r="L7" i="5"/>
  <c r="AC7" i="5" s="1"/>
  <c r="AH7" i="5" s="1"/>
  <c r="I8" i="5"/>
  <c r="J8" i="5"/>
  <c r="K8" i="5"/>
  <c r="L8" i="5"/>
  <c r="AC8" i="5" s="1"/>
  <c r="AH8" i="5" s="1"/>
  <c r="I9" i="5"/>
  <c r="J9" i="5"/>
  <c r="K9" i="5"/>
  <c r="L9" i="5"/>
  <c r="I10" i="5"/>
  <c r="J10" i="5"/>
  <c r="K10" i="5"/>
  <c r="L10" i="5"/>
  <c r="I11" i="5"/>
  <c r="J11" i="5"/>
  <c r="K11" i="5"/>
  <c r="AB11" i="5" s="1"/>
  <c r="AG11" i="5" s="1"/>
  <c r="L11" i="5"/>
  <c r="I12" i="5"/>
  <c r="J12" i="5"/>
  <c r="AA12" i="5" s="1"/>
  <c r="AF12" i="5" s="1"/>
  <c r="K12" i="5"/>
  <c r="L12" i="5"/>
  <c r="AC12" i="5" s="1"/>
  <c r="AH12" i="5" s="1"/>
  <c r="I13" i="5"/>
  <c r="J13" i="5"/>
  <c r="K13" i="5"/>
  <c r="L13" i="5"/>
  <c r="I14" i="5"/>
  <c r="J14" i="5"/>
  <c r="K14" i="5"/>
  <c r="L14" i="5"/>
  <c r="I15" i="5"/>
  <c r="J15" i="5"/>
  <c r="K15" i="5"/>
  <c r="L15" i="5"/>
  <c r="I16" i="5"/>
  <c r="J16" i="5"/>
  <c r="K16" i="5"/>
  <c r="L16" i="5"/>
  <c r="AC16" i="5" s="1"/>
  <c r="AH16" i="5" s="1"/>
  <c r="I17" i="5"/>
  <c r="J17" i="5"/>
  <c r="K17" i="5"/>
  <c r="L17" i="5"/>
  <c r="I18" i="5"/>
  <c r="J18" i="5"/>
  <c r="K18" i="5"/>
  <c r="L18" i="5"/>
  <c r="I19" i="5"/>
  <c r="J19" i="5"/>
  <c r="K19" i="5"/>
  <c r="AB19" i="5" s="1"/>
  <c r="AG19" i="5" s="1"/>
  <c r="L19" i="5"/>
  <c r="I20" i="5"/>
  <c r="J20" i="5"/>
  <c r="K20" i="5"/>
  <c r="L20" i="5"/>
  <c r="I21" i="5"/>
  <c r="J21" i="5"/>
  <c r="K21" i="5"/>
  <c r="L21" i="5"/>
  <c r="I22" i="5"/>
  <c r="J22" i="5"/>
  <c r="K22" i="5"/>
  <c r="L22" i="5"/>
  <c r="I23" i="5"/>
  <c r="J23" i="5"/>
  <c r="K23" i="5"/>
  <c r="AB23" i="5" s="1"/>
  <c r="AG23" i="5" s="1"/>
  <c r="L23" i="5"/>
  <c r="AC23" i="5" s="1"/>
  <c r="AH23" i="5" s="1"/>
  <c r="I24" i="5"/>
  <c r="J24" i="5"/>
  <c r="K24" i="5"/>
  <c r="L24" i="5"/>
  <c r="AC24" i="5" s="1"/>
  <c r="AH24" i="5" s="1"/>
  <c r="I25" i="5"/>
  <c r="J25" i="5"/>
  <c r="K25" i="5"/>
  <c r="L25" i="5"/>
  <c r="I26" i="5"/>
  <c r="J26" i="5"/>
  <c r="K26" i="5"/>
  <c r="L26" i="5"/>
  <c r="I27" i="5"/>
  <c r="J27" i="5"/>
  <c r="AA27" i="5" s="1"/>
  <c r="AF27" i="5" s="1"/>
  <c r="K27" i="5"/>
  <c r="AB27" i="5" s="1"/>
  <c r="AG27" i="5" s="1"/>
  <c r="L27" i="5"/>
  <c r="I28" i="5"/>
  <c r="J28" i="5"/>
  <c r="K28" i="5"/>
  <c r="AB28" i="5" s="1"/>
  <c r="AG28" i="5" s="1"/>
  <c r="L28" i="5"/>
  <c r="AC28" i="5" s="1"/>
  <c r="AH28" i="5" s="1"/>
  <c r="I29" i="5"/>
  <c r="J29" i="5"/>
  <c r="K29" i="5"/>
  <c r="L29" i="5"/>
  <c r="I30" i="5"/>
  <c r="J30" i="5"/>
  <c r="K30" i="5"/>
  <c r="L30" i="5"/>
  <c r="I31" i="5"/>
  <c r="J31" i="5"/>
  <c r="K31" i="5"/>
  <c r="L31" i="5"/>
  <c r="I32" i="5"/>
  <c r="J32" i="5"/>
  <c r="K32" i="5"/>
  <c r="L32" i="5"/>
  <c r="AC32" i="5" s="1"/>
  <c r="AH32" i="5" s="1"/>
  <c r="I33" i="5"/>
  <c r="J33" i="5"/>
  <c r="K33" i="5"/>
  <c r="L33" i="5"/>
  <c r="I34" i="5"/>
  <c r="J34" i="5"/>
  <c r="K34" i="5"/>
  <c r="L34" i="5"/>
  <c r="I35" i="5"/>
  <c r="J35" i="5"/>
  <c r="K35" i="5"/>
  <c r="AB35" i="5" s="1"/>
  <c r="AG35" i="5" s="1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AB39" i="5" s="1"/>
  <c r="AG39" i="5" s="1"/>
  <c r="L39" i="5"/>
  <c r="AC39" i="5" s="1"/>
  <c r="AH39" i="5" s="1"/>
  <c r="I40" i="5"/>
  <c r="J40" i="5"/>
  <c r="K40" i="5"/>
  <c r="L40" i="5"/>
  <c r="AC40" i="5" s="1"/>
  <c r="AH40" i="5" s="1"/>
  <c r="I41" i="5"/>
  <c r="J41" i="5"/>
  <c r="K41" i="5"/>
  <c r="L41" i="5"/>
  <c r="I42" i="5"/>
  <c r="J42" i="5"/>
  <c r="K42" i="5"/>
  <c r="L42" i="5"/>
  <c r="I43" i="5"/>
  <c r="J43" i="5"/>
  <c r="AA43" i="5" s="1"/>
  <c r="AF43" i="5" s="1"/>
  <c r="K43" i="5"/>
  <c r="AB43" i="5" s="1"/>
  <c r="AG43" i="5" s="1"/>
  <c r="L43" i="5"/>
  <c r="I44" i="5"/>
  <c r="J44" i="5"/>
  <c r="AA44" i="5" s="1"/>
  <c r="AF44" i="5" s="1"/>
  <c r="K44" i="5"/>
  <c r="AB44" i="5" s="1"/>
  <c r="AG44" i="5" s="1"/>
  <c r="L44" i="5"/>
  <c r="AC44" i="5" s="1"/>
  <c r="AH44" i="5" s="1"/>
  <c r="I45" i="5"/>
  <c r="J45" i="5"/>
  <c r="K45" i="5"/>
  <c r="L45" i="5"/>
  <c r="I46" i="5"/>
  <c r="J46" i="5"/>
  <c r="K46" i="5"/>
  <c r="L46" i="5"/>
  <c r="I47" i="5"/>
  <c r="J47" i="5"/>
  <c r="K47" i="5"/>
  <c r="L47" i="5"/>
  <c r="I48" i="5"/>
  <c r="J48" i="5"/>
  <c r="K48" i="5"/>
  <c r="L48" i="5"/>
  <c r="AC48" i="5" s="1"/>
  <c r="AH48" i="5" s="1"/>
  <c r="I49" i="5"/>
  <c r="J49" i="5"/>
  <c r="K49" i="5"/>
  <c r="L49" i="5"/>
  <c r="I50" i="5"/>
  <c r="J50" i="5"/>
  <c r="K50" i="5"/>
  <c r="L50" i="5"/>
  <c r="I51" i="5"/>
  <c r="J51" i="5"/>
  <c r="K51" i="5"/>
  <c r="AB51" i="5" s="1"/>
  <c r="AG51" i="5" s="1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AB55" i="5" s="1"/>
  <c r="AG55" i="5" s="1"/>
  <c r="L55" i="5"/>
  <c r="AC55" i="5" s="1"/>
  <c r="AH55" i="5" s="1"/>
  <c r="I56" i="5"/>
  <c r="J56" i="5"/>
  <c r="K56" i="5"/>
  <c r="L56" i="5"/>
  <c r="AC56" i="5" s="1"/>
  <c r="AH56" i="5" s="1"/>
  <c r="I57" i="5"/>
  <c r="J57" i="5"/>
  <c r="K57" i="5"/>
  <c r="L57" i="5"/>
  <c r="I58" i="5"/>
  <c r="J58" i="5"/>
  <c r="K58" i="5"/>
  <c r="L58" i="5"/>
  <c r="I59" i="5"/>
  <c r="J59" i="5"/>
  <c r="AA59" i="5" s="1"/>
  <c r="AF59" i="5" s="1"/>
  <c r="K59" i="5"/>
  <c r="AB59" i="5" s="1"/>
  <c r="AG59" i="5" s="1"/>
  <c r="L59" i="5"/>
  <c r="I60" i="5"/>
  <c r="J60" i="5"/>
  <c r="AA60" i="5" s="1"/>
  <c r="AF60" i="5" s="1"/>
  <c r="K60" i="5"/>
  <c r="AB60" i="5" s="1"/>
  <c r="AG60" i="5" s="1"/>
  <c r="L60" i="5"/>
  <c r="AC60" i="5" s="1"/>
  <c r="AH60" i="5" s="1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AC64" i="5" s="1"/>
  <c r="AH64" i="5" s="1"/>
  <c r="I65" i="5"/>
  <c r="J65" i="5"/>
  <c r="K65" i="5"/>
  <c r="L65" i="5"/>
  <c r="I66" i="5"/>
  <c r="J66" i="5"/>
  <c r="K66" i="5"/>
  <c r="L66" i="5"/>
  <c r="I67" i="5"/>
  <c r="J67" i="5"/>
  <c r="K67" i="5"/>
  <c r="AB67" i="5" s="1"/>
  <c r="AG67" i="5" s="1"/>
  <c r="L67" i="5"/>
  <c r="I68" i="5"/>
  <c r="J68" i="5"/>
  <c r="K68" i="5"/>
  <c r="L68" i="5"/>
  <c r="I69" i="5"/>
  <c r="J69" i="5"/>
  <c r="K69" i="5"/>
  <c r="AB69" i="5" s="1"/>
  <c r="AG69" i="5" s="1"/>
  <c r="L69" i="5"/>
  <c r="I70" i="5"/>
  <c r="J70" i="5"/>
  <c r="K70" i="5"/>
  <c r="L70" i="5"/>
  <c r="I71" i="5"/>
  <c r="J71" i="5"/>
  <c r="K71" i="5"/>
  <c r="AB71" i="5" s="1"/>
  <c r="AG71" i="5" s="1"/>
  <c r="L71" i="5"/>
  <c r="AC71" i="5" s="1"/>
  <c r="AH71" i="5" s="1"/>
  <c r="I72" i="5"/>
  <c r="J72" i="5"/>
  <c r="K72" i="5"/>
  <c r="L72" i="5"/>
  <c r="AC72" i="5" s="1"/>
  <c r="AH72" i="5" s="1"/>
  <c r="I73" i="5"/>
  <c r="J73" i="5"/>
  <c r="K73" i="5"/>
  <c r="L73" i="5"/>
  <c r="I74" i="5"/>
  <c r="J74" i="5"/>
  <c r="K74" i="5"/>
  <c r="L74" i="5"/>
  <c r="I75" i="5"/>
  <c r="J75" i="5"/>
  <c r="AA75" i="5" s="1"/>
  <c r="AF75" i="5" s="1"/>
  <c r="K75" i="5"/>
  <c r="AB75" i="5" s="1"/>
  <c r="AG75" i="5" s="1"/>
  <c r="L75" i="5"/>
  <c r="I76" i="5"/>
  <c r="J76" i="5"/>
  <c r="AA76" i="5" s="1"/>
  <c r="AF76" i="5" s="1"/>
  <c r="K76" i="5"/>
  <c r="AB76" i="5" s="1"/>
  <c r="AG76" i="5" s="1"/>
  <c r="L76" i="5"/>
  <c r="AC76" i="5" s="1"/>
  <c r="AH76" i="5" s="1"/>
  <c r="I77" i="5"/>
  <c r="J77" i="5"/>
  <c r="K77" i="5"/>
  <c r="L77" i="5"/>
  <c r="I78" i="5"/>
  <c r="J78" i="5"/>
  <c r="K78" i="5"/>
  <c r="L78" i="5"/>
  <c r="I79" i="5"/>
  <c r="J79" i="5"/>
  <c r="K79" i="5"/>
  <c r="L79" i="5"/>
  <c r="I80" i="5"/>
  <c r="J80" i="5"/>
  <c r="K80" i="5"/>
  <c r="L80" i="5"/>
  <c r="AC80" i="5" s="1"/>
  <c r="AH80" i="5" s="1"/>
  <c r="I81" i="5"/>
  <c r="J81" i="5"/>
  <c r="K81" i="5"/>
  <c r="L81" i="5"/>
  <c r="I82" i="5"/>
  <c r="J82" i="5"/>
  <c r="K82" i="5"/>
  <c r="L82" i="5"/>
  <c r="I83" i="5"/>
  <c r="J83" i="5"/>
  <c r="K83" i="5"/>
  <c r="AB83" i="5" s="1"/>
  <c r="AG83" i="5" s="1"/>
  <c r="L83" i="5"/>
  <c r="I84" i="5"/>
  <c r="J84" i="5"/>
  <c r="K84" i="5"/>
  <c r="L84" i="5"/>
  <c r="I85" i="5"/>
  <c r="J85" i="5"/>
  <c r="K85" i="5"/>
  <c r="L85" i="5"/>
  <c r="I86" i="5"/>
  <c r="J86" i="5"/>
  <c r="K86" i="5"/>
  <c r="L86" i="5"/>
  <c r="I87" i="5"/>
  <c r="J87" i="5"/>
  <c r="K87" i="5"/>
  <c r="AB87" i="5" s="1"/>
  <c r="AG87" i="5" s="1"/>
  <c r="L87" i="5"/>
  <c r="AC87" i="5" s="1"/>
  <c r="AH87" i="5" s="1"/>
  <c r="I88" i="5"/>
  <c r="J88" i="5"/>
  <c r="K88" i="5"/>
  <c r="L88" i="5"/>
  <c r="AC88" i="5" s="1"/>
  <c r="AH88" i="5" s="1"/>
  <c r="I89" i="5"/>
  <c r="J89" i="5"/>
  <c r="K89" i="5"/>
  <c r="L89" i="5"/>
  <c r="I90" i="5"/>
  <c r="J90" i="5"/>
  <c r="K90" i="5"/>
  <c r="L90" i="5"/>
  <c r="I91" i="5"/>
  <c r="J91" i="5"/>
  <c r="AA91" i="5" s="1"/>
  <c r="AF91" i="5" s="1"/>
  <c r="K91" i="5"/>
  <c r="AB91" i="5" s="1"/>
  <c r="AG91" i="5" s="1"/>
  <c r="L91" i="5"/>
  <c r="I92" i="5"/>
  <c r="J92" i="5"/>
  <c r="AA92" i="5" s="1"/>
  <c r="AF92" i="5" s="1"/>
  <c r="K92" i="5"/>
  <c r="AB92" i="5" s="1"/>
  <c r="AG92" i="5" s="1"/>
  <c r="L92" i="5"/>
  <c r="AC92" i="5" s="1"/>
  <c r="AH92" i="5" s="1"/>
  <c r="I93" i="5"/>
  <c r="J93" i="5"/>
  <c r="K93" i="5"/>
  <c r="L93" i="5"/>
  <c r="I94" i="5"/>
  <c r="J94" i="5"/>
  <c r="K94" i="5"/>
  <c r="L94" i="5"/>
  <c r="I95" i="5"/>
  <c r="J95" i="5"/>
  <c r="K95" i="5"/>
  <c r="L95" i="5"/>
  <c r="I96" i="5"/>
  <c r="J96" i="5"/>
  <c r="K96" i="5"/>
  <c r="L96" i="5"/>
  <c r="AC96" i="5" s="1"/>
  <c r="AH96" i="5" s="1"/>
  <c r="I97" i="5"/>
  <c r="J97" i="5"/>
  <c r="K97" i="5"/>
  <c r="L97" i="5"/>
  <c r="I98" i="5"/>
  <c r="J98" i="5"/>
  <c r="K98" i="5"/>
  <c r="L98" i="5"/>
  <c r="I99" i="5"/>
  <c r="J99" i="5"/>
  <c r="K99" i="5"/>
  <c r="AB99" i="5" s="1"/>
  <c r="AG99" i="5" s="1"/>
  <c r="L99" i="5"/>
  <c r="I100" i="5"/>
  <c r="J100" i="5"/>
  <c r="K100" i="5"/>
  <c r="L100" i="5"/>
  <c r="I101" i="5"/>
  <c r="J101" i="5"/>
  <c r="K101" i="5"/>
  <c r="L101" i="5"/>
  <c r="I102" i="5"/>
  <c r="J102" i="5"/>
  <c r="K102" i="5"/>
  <c r="L102" i="5"/>
  <c r="I103" i="5"/>
  <c r="J103" i="5"/>
  <c r="K103" i="5"/>
  <c r="AB103" i="5" s="1"/>
  <c r="AG103" i="5" s="1"/>
  <c r="L103" i="5"/>
  <c r="AC103" i="5" s="1"/>
  <c r="AH103" i="5" s="1"/>
  <c r="I104" i="5"/>
  <c r="J104" i="5"/>
  <c r="K104" i="5"/>
  <c r="L104" i="5"/>
  <c r="AC104" i="5" s="1"/>
  <c r="AH104" i="5" s="1"/>
  <c r="I105" i="5"/>
  <c r="J105" i="5"/>
  <c r="K105" i="5"/>
  <c r="L105" i="5"/>
  <c r="I106" i="5"/>
  <c r="J106" i="5"/>
  <c r="K106" i="5"/>
  <c r="L106" i="5"/>
  <c r="I107" i="5"/>
  <c r="J107" i="5"/>
  <c r="AA107" i="5" s="1"/>
  <c r="AF107" i="5" s="1"/>
  <c r="K107" i="5"/>
  <c r="AB107" i="5" s="1"/>
  <c r="AG107" i="5" s="1"/>
  <c r="L107" i="5"/>
  <c r="I108" i="5"/>
  <c r="J108" i="5"/>
  <c r="AA108" i="5" s="1"/>
  <c r="AF108" i="5" s="1"/>
  <c r="K108" i="5"/>
  <c r="AB108" i="5" s="1"/>
  <c r="AG108" i="5" s="1"/>
  <c r="L108" i="5"/>
  <c r="AC108" i="5" s="1"/>
  <c r="AH108" i="5" s="1"/>
  <c r="I109" i="5"/>
  <c r="J109" i="5"/>
  <c r="K109" i="5"/>
  <c r="L109" i="5"/>
  <c r="I110" i="5"/>
  <c r="J110" i="5"/>
  <c r="K110" i="5"/>
  <c r="L110" i="5"/>
  <c r="I111" i="5"/>
  <c r="J111" i="5"/>
  <c r="K111" i="5"/>
  <c r="L111" i="5"/>
  <c r="I112" i="5"/>
  <c r="J112" i="5"/>
  <c r="K112" i="5"/>
  <c r="L112" i="5"/>
  <c r="AC112" i="5" s="1"/>
  <c r="AH112" i="5" s="1"/>
  <c r="I113" i="5"/>
  <c r="J113" i="5"/>
  <c r="K113" i="5"/>
  <c r="L113" i="5"/>
  <c r="I114" i="5"/>
  <c r="J114" i="5"/>
  <c r="K114" i="5"/>
  <c r="L114" i="5"/>
  <c r="I115" i="5"/>
  <c r="J115" i="5"/>
  <c r="K115" i="5"/>
  <c r="AB115" i="5" s="1"/>
  <c r="AG115" i="5" s="1"/>
  <c r="L115" i="5"/>
  <c r="I116" i="5"/>
  <c r="J116" i="5"/>
  <c r="K116" i="5"/>
  <c r="L116" i="5"/>
  <c r="L5" i="5"/>
  <c r="K5" i="5"/>
  <c r="J5" i="5"/>
  <c r="I5" i="5"/>
  <c r="X111" i="5" l="1"/>
  <c r="W106" i="5"/>
  <c r="X95" i="5"/>
  <c r="W90" i="5"/>
  <c r="X79" i="5"/>
  <c r="W74" i="5"/>
  <c r="X63" i="5"/>
  <c r="W58" i="5"/>
  <c r="X47" i="5"/>
  <c r="W42" i="5"/>
  <c r="X31" i="5"/>
  <c r="W26" i="5"/>
  <c r="X15" i="5"/>
  <c r="Y15" i="5" s="1"/>
  <c r="W10" i="5"/>
  <c r="X116" i="5"/>
  <c r="W111" i="5"/>
  <c r="X100" i="5"/>
  <c r="W95" i="5"/>
  <c r="Y95" i="5" s="1"/>
  <c r="X84" i="5"/>
  <c r="W79" i="5"/>
  <c r="X68" i="5"/>
  <c r="W63" i="5"/>
  <c r="X52" i="5"/>
  <c r="W47" i="5"/>
  <c r="Y47" i="5" s="1"/>
  <c r="X36" i="5"/>
  <c r="W31" i="5"/>
  <c r="X20" i="5"/>
  <c r="W15" i="5"/>
  <c r="V114" i="5"/>
  <c r="V98" i="5"/>
  <c r="V82" i="5"/>
  <c r="V66" i="5"/>
  <c r="V50" i="5"/>
  <c r="V34" i="5"/>
  <c r="V18" i="5"/>
  <c r="X25" i="5"/>
  <c r="X105" i="5"/>
  <c r="X89" i="5"/>
  <c r="X73" i="5"/>
  <c r="X57" i="5"/>
  <c r="X41" i="5"/>
  <c r="AB104" i="5"/>
  <c r="AG104" i="5" s="1"/>
  <c r="AB88" i="5"/>
  <c r="AG88" i="5" s="1"/>
  <c r="AB72" i="5"/>
  <c r="AG72" i="5" s="1"/>
  <c r="AB40" i="5"/>
  <c r="AG40" i="5" s="1"/>
  <c r="AB24" i="5"/>
  <c r="AG24" i="5" s="1"/>
  <c r="AB8" i="5"/>
  <c r="AG8" i="5" s="1"/>
  <c r="W105" i="5"/>
  <c r="W89" i="5"/>
  <c r="W73" i="5"/>
  <c r="W57" i="5"/>
  <c r="W41" i="5"/>
  <c r="W25" i="5"/>
  <c r="W9" i="5"/>
  <c r="V112" i="5"/>
  <c r="V96" i="5"/>
  <c r="V80" i="5"/>
  <c r="V64" i="5"/>
  <c r="V48" i="5"/>
  <c r="V32" i="5"/>
  <c r="V16" i="5"/>
  <c r="X9" i="5"/>
  <c r="AA28" i="5"/>
  <c r="AF28" i="5" s="1"/>
  <c r="Z104" i="5"/>
  <c r="AE104" i="5" s="1"/>
  <c r="Z88" i="5"/>
  <c r="AE88" i="5" s="1"/>
  <c r="Z72" i="5"/>
  <c r="AE72" i="5" s="1"/>
  <c r="Z56" i="5"/>
  <c r="AE56" i="5" s="1"/>
  <c r="Z40" i="5"/>
  <c r="AE40" i="5" s="1"/>
  <c r="Z24" i="5"/>
  <c r="AE24" i="5" s="1"/>
  <c r="Z8" i="5"/>
  <c r="AE8" i="5" s="1"/>
  <c r="X77" i="5"/>
  <c r="X93" i="5"/>
  <c r="X61" i="5"/>
  <c r="X45" i="5"/>
  <c r="X29" i="5"/>
  <c r="X13" i="5"/>
  <c r="X109" i="5"/>
  <c r="AA87" i="5"/>
  <c r="AF87" i="5" s="1"/>
  <c r="X113" i="5"/>
  <c r="U103" i="5"/>
  <c r="X97" i="5"/>
  <c r="U87" i="5"/>
  <c r="X81" i="5"/>
  <c r="U71" i="5"/>
  <c r="X65" i="5"/>
  <c r="U55" i="5"/>
  <c r="X49" i="5"/>
  <c r="U39" i="5"/>
  <c r="Y39" i="5" s="1"/>
  <c r="X33" i="5"/>
  <c r="U23" i="5"/>
  <c r="X17" i="5"/>
  <c r="U7" i="5"/>
  <c r="W113" i="5"/>
  <c r="W65" i="5"/>
  <c r="W49" i="5"/>
  <c r="W33" i="5"/>
  <c r="W97" i="5"/>
  <c r="W81" i="5"/>
  <c r="W17" i="5"/>
  <c r="W116" i="5"/>
  <c r="W100" i="5"/>
  <c r="W84" i="5"/>
  <c r="W68" i="5"/>
  <c r="W52" i="5"/>
  <c r="W36" i="5"/>
  <c r="Y31" i="5"/>
  <c r="W20" i="5"/>
  <c r="V113" i="5"/>
  <c r="V97" i="5"/>
  <c r="V81" i="5"/>
  <c r="V65" i="5"/>
  <c r="V49" i="5"/>
  <c r="V33" i="5"/>
  <c r="V17" i="5"/>
  <c r="X110" i="5"/>
  <c r="Y84" i="5"/>
  <c r="Y68" i="5"/>
  <c r="X115" i="5"/>
  <c r="W110" i="5"/>
  <c r="U105" i="5"/>
  <c r="X99" i="5"/>
  <c r="W94" i="5"/>
  <c r="U89" i="5"/>
  <c r="X83" i="5"/>
  <c r="W78" i="5"/>
  <c r="U73" i="5"/>
  <c r="X67" i="5"/>
  <c r="W62" i="5"/>
  <c r="U57" i="5"/>
  <c r="Y57" i="5" s="1"/>
  <c r="X51" i="5"/>
  <c r="W46" i="5"/>
  <c r="U41" i="5"/>
  <c r="X35" i="5"/>
  <c r="Y35" i="5" s="1"/>
  <c r="W30" i="5"/>
  <c r="U25" i="5"/>
  <c r="X19" i="5"/>
  <c r="Y19" i="5" s="1"/>
  <c r="W14" i="5"/>
  <c r="U9" i="5"/>
  <c r="V111" i="5"/>
  <c r="V95" i="5"/>
  <c r="V79" i="5"/>
  <c r="Y79" i="5" s="1"/>
  <c r="V63" i="5"/>
  <c r="Y63" i="5" s="1"/>
  <c r="V47" i="5"/>
  <c r="V31" i="5"/>
  <c r="V15" i="5"/>
  <c r="X78" i="5"/>
  <c r="X62" i="5"/>
  <c r="X46" i="5"/>
  <c r="X30" i="5"/>
  <c r="X14" i="5"/>
  <c r="W115" i="5"/>
  <c r="U110" i="5"/>
  <c r="X104" i="5"/>
  <c r="W99" i="5"/>
  <c r="U94" i="5"/>
  <c r="X88" i="5"/>
  <c r="W83" i="5"/>
  <c r="Y83" i="5" s="1"/>
  <c r="U78" i="5"/>
  <c r="X72" i="5"/>
  <c r="W67" i="5"/>
  <c r="U62" i="5"/>
  <c r="X56" i="5"/>
  <c r="W51" i="5"/>
  <c r="U46" i="5"/>
  <c r="Y46" i="5" s="1"/>
  <c r="X40" i="5"/>
  <c r="W35" i="5"/>
  <c r="U30" i="5"/>
  <c r="X24" i="5"/>
  <c r="W19" i="5"/>
  <c r="U14" i="5"/>
  <c r="X8" i="5"/>
  <c r="V110" i="5"/>
  <c r="V94" i="5"/>
  <c r="V78" i="5"/>
  <c r="V62" i="5"/>
  <c r="V46" i="5"/>
  <c r="V30" i="5"/>
  <c r="V14" i="5"/>
  <c r="W104" i="5"/>
  <c r="W72" i="5"/>
  <c r="W40" i="5"/>
  <c r="W8" i="5"/>
  <c r="V77" i="5"/>
  <c r="V61" i="5"/>
  <c r="V29" i="5"/>
  <c r="X114" i="5"/>
  <c r="W109" i="5"/>
  <c r="U104" i="5"/>
  <c r="Y104" i="5" s="1"/>
  <c r="X98" i="5"/>
  <c r="W93" i="5"/>
  <c r="U88" i="5"/>
  <c r="X82" i="5"/>
  <c r="W77" i="5"/>
  <c r="U72" i="5"/>
  <c r="X66" i="5"/>
  <c r="W61" i="5"/>
  <c r="U56" i="5"/>
  <c r="X50" i="5"/>
  <c r="W45" i="5"/>
  <c r="U40" i="5"/>
  <c r="X34" i="5"/>
  <c r="W29" i="5"/>
  <c r="U24" i="5"/>
  <c r="Y24" i="5" s="1"/>
  <c r="X18" i="5"/>
  <c r="W13" i="5"/>
  <c r="U8" i="5"/>
  <c r="V108" i="5"/>
  <c r="V92" i="5"/>
  <c r="V76" i="5"/>
  <c r="V60" i="5"/>
  <c r="V44" i="5"/>
  <c r="Y44" i="5" s="1"/>
  <c r="V28" i="5"/>
  <c r="V12" i="5"/>
  <c r="Y12" i="5" s="1"/>
  <c r="X94" i="5"/>
  <c r="W24" i="5"/>
  <c r="V109" i="5"/>
  <c r="V13" i="5"/>
  <c r="W114" i="5"/>
  <c r="U109" i="5"/>
  <c r="Y109" i="5" s="1"/>
  <c r="X103" i="5"/>
  <c r="W98" i="5"/>
  <c r="U93" i="5"/>
  <c r="X87" i="5"/>
  <c r="W82" i="5"/>
  <c r="U77" i="5"/>
  <c r="X71" i="5"/>
  <c r="W66" i="5"/>
  <c r="U61" i="5"/>
  <c r="X55" i="5"/>
  <c r="W50" i="5"/>
  <c r="U45" i="5"/>
  <c r="X39" i="5"/>
  <c r="W34" i="5"/>
  <c r="U29" i="5"/>
  <c r="Y29" i="5" s="1"/>
  <c r="X23" i="5"/>
  <c r="W18" i="5"/>
  <c r="U13" i="5"/>
  <c r="X7" i="5"/>
  <c r="V107" i="5"/>
  <c r="V91" i="5"/>
  <c r="V75" i="5"/>
  <c r="V59" i="5"/>
  <c r="V43" i="5"/>
  <c r="V27" i="5"/>
  <c r="V11" i="5"/>
  <c r="Y99" i="5"/>
  <c r="W88" i="5"/>
  <c r="Y67" i="5"/>
  <c r="W56" i="5"/>
  <c r="V93" i="5"/>
  <c r="V45" i="5"/>
  <c r="Z115" i="5"/>
  <c r="AE115" i="5" s="1"/>
  <c r="Z99" i="5"/>
  <c r="AE99" i="5" s="1"/>
  <c r="Z83" i="5"/>
  <c r="AE83" i="5" s="1"/>
  <c r="Z67" i="5"/>
  <c r="AE67" i="5" s="1"/>
  <c r="Z51" i="5"/>
  <c r="AE51" i="5" s="1"/>
  <c r="Z35" i="5"/>
  <c r="AE35" i="5" s="1"/>
  <c r="U114" i="5"/>
  <c r="X108" i="5"/>
  <c r="W103" i="5"/>
  <c r="U98" i="5"/>
  <c r="Y98" i="5" s="1"/>
  <c r="X92" i="5"/>
  <c r="W87" i="5"/>
  <c r="U82" i="5"/>
  <c r="X76" i="5"/>
  <c r="W71" i="5"/>
  <c r="Y71" i="5" s="1"/>
  <c r="U66" i="5"/>
  <c r="Y66" i="5" s="1"/>
  <c r="X60" i="5"/>
  <c r="W55" i="5"/>
  <c r="U50" i="5"/>
  <c r="X44" i="5"/>
  <c r="W39" i="5"/>
  <c r="U34" i="5"/>
  <c r="X28" i="5"/>
  <c r="Y28" i="5" s="1"/>
  <c r="W23" i="5"/>
  <c r="U18" i="5"/>
  <c r="X12" i="5"/>
  <c r="W7" i="5"/>
  <c r="V106" i="5"/>
  <c r="V90" i="5"/>
  <c r="V74" i="5"/>
  <c r="V58" i="5"/>
  <c r="Y58" i="5" s="1"/>
  <c r="V42" i="5"/>
  <c r="Y42" i="5" s="1"/>
  <c r="V26" i="5"/>
  <c r="V10" i="5"/>
  <c r="W108" i="5"/>
  <c r="Y55" i="5"/>
  <c r="W12" i="5"/>
  <c r="V73" i="5"/>
  <c r="V41" i="5"/>
  <c r="X102" i="5"/>
  <c r="X22" i="5"/>
  <c r="U113" i="5"/>
  <c r="Y113" i="5" s="1"/>
  <c r="X107" i="5"/>
  <c r="W102" i="5"/>
  <c r="U97" i="5"/>
  <c r="X91" i="5"/>
  <c r="W86" i="5"/>
  <c r="U81" i="5"/>
  <c r="X75" i="5"/>
  <c r="W70" i="5"/>
  <c r="U65" i="5"/>
  <c r="Y65" i="5" s="1"/>
  <c r="X59" i="5"/>
  <c r="W54" i="5"/>
  <c r="U49" i="5"/>
  <c r="Y49" i="5" s="1"/>
  <c r="X43" i="5"/>
  <c r="W38" i="5"/>
  <c r="U33" i="5"/>
  <c r="X27" i="5"/>
  <c r="W22" i="5"/>
  <c r="U17" i="5"/>
  <c r="X11" i="5"/>
  <c r="W6" i="5"/>
  <c r="V103" i="5"/>
  <c r="Y103" i="5" s="1"/>
  <c r="V87" i="5"/>
  <c r="V71" i="5"/>
  <c r="V55" i="5"/>
  <c r="V39" i="5"/>
  <c r="V23" i="5"/>
  <c r="V7" i="5"/>
  <c r="W92" i="5"/>
  <c r="V89" i="5"/>
  <c r="V25" i="5"/>
  <c r="Y108" i="5"/>
  <c r="X86" i="5"/>
  <c r="X6" i="5"/>
  <c r="X112" i="5"/>
  <c r="W107" i="5"/>
  <c r="U102" i="5"/>
  <c r="X96" i="5"/>
  <c r="W91" i="5"/>
  <c r="U86" i="5"/>
  <c r="X80" i="5"/>
  <c r="W75" i="5"/>
  <c r="U70" i="5"/>
  <c r="X64" i="5"/>
  <c r="W59" i="5"/>
  <c r="U54" i="5"/>
  <c r="X48" i="5"/>
  <c r="W43" i="5"/>
  <c r="U38" i="5"/>
  <c r="X32" i="5"/>
  <c r="W27" i="5"/>
  <c r="U22" i="5"/>
  <c r="X16" i="5"/>
  <c r="W11" i="5"/>
  <c r="U6" i="5"/>
  <c r="V102" i="5"/>
  <c r="V86" i="5"/>
  <c r="V70" i="5"/>
  <c r="V54" i="5"/>
  <c r="V38" i="5"/>
  <c r="V22" i="5"/>
  <c r="V6" i="5"/>
  <c r="W28" i="5"/>
  <c r="V57" i="5"/>
  <c r="X70" i="5"/>
  <c r="U5" i="5"/>
  <c r="W112" i="5"/>
  <c r="U107" i="5"/>
  <c r="X101" i="5"/>
  <c r="W96" i="5"/>
  <c r="U91" i="5"/>
  <c r="X85" i="5"/>
  <c r="W80" i="5"/>
  <c r="U75" i="5"/>
  <c r="Y75" i="5" s="1"/>
  <c r="X69" i="5"/>
  <c r="W64" i="5"/>
  <c r="U59" i="5"/>
  <c r="X53" i="5"/>
  <c r="W48" i="5"/>
  <c r="U43" i="5"/>
  <c r="X37" i="5"/>
  <c r="W32" i="5"/>
  <c r="U27" i="5"/>
  <c r="X21" i="5"/>
  <c r="W16" i="5"/>
  <c r="U11" i="5"/>
  <c r="V5" i="5"/>
  <c r="V101" i="5"/>
  <c r="Y101" i="5" s="1"/>
  <c r="V85" i="5"/>
  <c r="V69" i="5"/>
  <c r="V53" i="5"/>
  <c r="Y53" i="5" s="1"/>
  <c r="V37" i="5"/>
  <c r="V21" i="5"/>
  <c r="W76" i="5"/>
  <c r="W60" i="5"/>
  <c r="Y60" i="5" s="1"/>
  <c r="W44" i="5"/>
  <c r="V105" i="5"/>
  <c r="V9" i="5"/>
  <c r="X54" i="5"/>
  <c r="X38" i="5"/>
  <c r="W5" i="5"/>
  <c r="U112" i="5"/>
  <c r="X106" i="5"/>
  <c r="W101" i="5"/>
  <c r="U96" i="5"/>
  <c r="X90" i="5"/>
  <c r="W85" i="5"/>
  <c r="U80" i="5"/>
  <c r="X74" i="5"/>
  <c r="W69" i="5"/>
  <c r="U64" i="5"/>
  <c r="X58" i="5"/>
  <c r="W53" i="5"/>
  <c r="U48" i="5"/>
  <c r="X42" i="5"/>
  <c r="W37" i="5"/>
  <c r="U32" i="5"/>
  <c r="X26" i="5"/>
  <c r="Y26" i="5" s="1"/>
  <c r="W21" i="5"/>
  <c r="U16" i="5"/>
  <c r="X10" i="5"/>
  <c r="V116" i="5"/>
  <c r="Y116" i="5" s="1"/>
  <c r="V100" i="5"/>
  <c r="V84" i="5"/>
  <c r="V68" i="5"/>
  <c r="V52" i="5"/>
  <c r="Y52" i="5" s="1"/>
  <c r="V36" i="5"/>
  <c r="V20" i="5"/>
  <c r="Y20" i="5" s="1"/>
  <c r="AC107" i="5"/>
  <c r="AH107" i="5" s="1"/>
  <c r="AC91" i="5"/>
  <c r="AH91" i="5" s="1"/>
  <c r="AC75" i="5"/>
  <c r="AH75" i="5" s="1"/>
  <c r="AC59" i="5"/>
  <c r="AH59" i="5" s="1"/>
  <c r="AC43" i="5"/>
  <c r="AH43" i="5" s="1"/>
  <c r="AC27" i="5"/>
  <c r="AH27" i="5" s="1"/>
  <c r="AC11" i="5"/>
  <c r="AH11" i="5" s="1"/>
  <c r="AA71" i="5"/>
  <c r="AF71" i="5" s="1"/>
  <c r="AA55" i="5"/>
  <c r="AF55" i="5" s="1"/>
  <c r="AA39" i="5"/>
  <c r="AF39" i="5" s="1"/>
  <c r="AA23" i="5"/>
  <c r="AF23" i="5" s="1"/>
  <c r="AA7" i="5"/>
  <c r="AF7" i="5" s="1"/>
  <c r="AA103" i="5"/>
  <c r="AF103" i="5" s="1"/>
  <c r="AB70" i="5"/>
  <c r="AG70" i="5" s="1"/>
  <c r="AB56" i="5"/>
  <c r="AG56" i="5" s="1"/>
  <c r="Z103" i="5"/>
  <c r="AE103" i="5" s="1"/>
  <c r="Z87" i="5"/>
  <c r="AE87" i="5" s="1"/>
  <c r="Z71" i="5"/>
  <c r="AE71" i="5" s="1"/>
  <c r="Z55" i="5"/>
  <c r="AE55" i="5" s="1"/>
  <c r="AB96" i="5"/>
  <c r="AG96" i="5" s="1"/>
  <c r="AB80" i="5"/>
  <c r="AG80" i="5" s="1"/>
  <c r="AB64" i="5"/>
  <c r="AG64" i="5" s="1"/>
  <c r="AB48" i="5"/>
  <c r="AG48" i="5" s="1"/>
  <c r="AB32" i="5"/>
  <c r="AG32" i="5" s="1"/>
  <c r="AB16" i="5"/>
  <c r="AG16" i="5" s="1"/>
  <c r="AA104" i="5"/>
  <c r="AF104" i="5" s="1"/>
  <c r="AA88" i="5"/>
  <c r="AF88" i="5" s="1"/>
  <c r="AA72" i="5"/>
  <c r="AF72" i="5" s="1"/>
  <c r="AA56" i="5"/>
  <c r="AF56" i="5" s="1"/>
  <c r="AA40" i="5"/>
  <c r="AF40" i="5" s="1"/>
  <c r="AA24" i="5"/>
  <c r="AF24" i="5" s="1"/>
  <c r="AA8" i="5"/>
  <c r="AF8" i="5" s="1"/>
  <c r="Z108" i="5"/>
  <c r="AE108" i="5" s="1"/>
  <c r="Z92" i="5"/>
  <c r="AE92" i="5" s="1"/>
  <c r="Z76" i="5"/>
  <c r="AE76" i="5" s="1"/>
  <c r="Z60" i="5"/>
  <c r="AE60" i="5" s="1"/>
  <c r="Z44" i="5"/>
  <c r="AE44" i="5" s="1"/>
  <c r="Z28" i="5"/>
  <c r="AE28" i="5" s="1"/>
  <c r="Z12" i="5"/>
  <c r="AE12" i="5" s="1"/>
  <c r="AB112" i="5"/>
  <c r="AG112" i="5" s="1"/>
  <c r="Z107" i="5"/>
  <c r="AE107" i="5" s="1"/>
  <c r="Z75" i="5"/>
  <c r="AE75" i="5" s="1"/>
  <c r="Z59" i="5"/>
  <c r="AE59" i="5" s="1"/>
  <c r="Z43" i="5"/>
  <c r="AE43" i="5" s="1"/>
  <c r="Z27" i="5"/>
  <c r="AE27" i="5" s="1"/>
  <c r="Z11" i="5"/>
  <c r="AE11" i="5" s="1"/>
  <c r="Z91" i="5"/>
  <c r="AE91" i="5" s="1"/>
  <c r="AB12" i="5"/>
  <c r="AG12" i="5" s="1"/>
  <c r="AA116" i="5"/>
  <c r="AF116" i="5" s="1"/>
  <c r="AA100" i="5"/>
  <c r="AF100" i="5" s="1"/>
  <c r="AA84" i="5"/>
  <c r="AF84" i="5" s="1"/>
  <c r="AA68" i="5"/>
  <c r="AF68" i="5" s="1"/>
  <c r="AA52" i="5"/>
  <c r="AF52" i="5" s="1"/>
  <c r="AA36" i="5"/>
  <c r="AF36" i="5" s="1"/>
  <c r="AA20" i="5"/>
  <c r="AF20" i="5" s="1"/>
  <c r="Z64" i="5"/>
  <c r="AE64" i="5" s="1"/>
  <c r="Z48" i="5"/>
  <c r="AE48" i="5" s="1"/>
  <c r="Z32" i="5"/>
  <c r="AE32" i="5" s="1"/>
  <c r="Z16" i="5"/>
  <c r="AE16" i="5" s="1"/>
  <c r="Z112" i="5"/>
  <c r="AE112" i="5" s="1"/>
  <c r="Z96" i="5"/>
  <c r="AE96" i="5" s="1"/>
  <c r="Z80" i="5"/>
  <c r="AE80" i="5" s="1"/>
  <c r="AA11" i="5"/>
  <c r="AF11" i="5" s="1"/>
  <c r="Z39" i="5"/>
  <c r="AE39" i="5" s="1"/>
  <c r="Z23" i="5"/>
  <c r="AE23" i="5" s="1"/>
  <c r="Z7" i="5"/>
  <c r="AE7" i="5" s="1"/>
  <c r="AB116" i="5"/>
  <c r="AG116" i="5" s="1"/>
  <c r="AB84" i="5"/>
  <c r="AG84" i="5" s="1"/>
  <c r="AB68" i="5"/>
  <c r="AG68" i="5" s="1"/>
  <c r="AB52" i="5"/>
  <c r="AG52" i="5" s="1"/>
  <c r="AB36" i="5"/>
  <c r="AG36" i="5" s="1"/>
  <c r="AB20" i="5"/>
  <c r="AG20" i="5" s="1"/>
  <c r="AB100" i="5"/>
  <c r="AG100" i="5" s="1"/>
  <c r="Z79" i="5"/>
  <c r="AE79" i="5" s="1"/>
  <c r="Z63" i="5"/>
  <c r="AE63" i="5" s="1"/>
  <c r="Z47" i="5"/>
  <c r="AE47" i="5" s="1"/>
  <c r="Z31" i="5"/>
  <c r="AE31" i="5" s="1"/>
  <c r="Z15" i="5"/>
  <c r="AE15" i="5" s="1"/>
  <c r="Z111" i="5"/>
  <c r="AE111" i="5" s="1"/>
  <c r="Z95" i="5"/>
  <c r="AE95" i="5" s="1"/>
  <c r="Z100" i="5"/>
  <c r="AE100" i="5" s="1"/>
  <c r="Z84" i="5"/>
  <c r="AE84" i="5" s="1"/>
  <c r="Z68" i="5"/>
  <c r="AE68" i="5" s="1"/>
  <c r="Z52" i="5"/>
  <c r="AE52" i="5" s="1"/>
  <c r="Z36" i="5"/>
  <c r="AE36" i="5" s="1"/>
  <c r="Z20" i="5"/>
  <c r="AE20" i="5" s="1"/>
  <c r="AA48" i="5"/>
  <c r="AF48" i="5" s="1"/>
  <c r="AC99" i="5"/>
  <c r="AH99" i="5" s="1"/>
  <c r="AC83" i="5"/>
  <c r="AH83" i="5" s="1"/>
  <c r="AC67" i="5"/>
  <c r="AH67" i="5" s="1"/>
  <c r="AC51" i="5"/>
  <c r="AH51" i="5" s="1"/>
  <c r="AC35" i="5"/>
  <c r="AH35" i="5" s="1"/>
  <c r="AC19" i="5"/>
  <c r="AH19" i="5" s="1"/>
  <c r="AC115" i="5"/>
  <c r="AH115" i="5" s="1"/>
  <c r="AA95" i="5"/>
  <c r="AF95" i="5" s="1"/>
  <c r="AA79" i="5"/>
  <c r="AF79" i="5" s="1"/>
  <c r="AA63" i="5"/>
  <c r="AF63" i="5" s="1"/>
  <c r="AA47" i="5"/>
  <c r="AF47" i="5" s="1"/>
  <c r="AA31" i="5"/>
  <c r="AF31" i="5" s="1"/>
  <c r="AA15" i="5"/>
  <c r="AF15" i="5" s="1"/>
  <c r="AA64" i="5"/>
  <c r="AF64" i="5" s="1"/>
  <c r="AA96" i="5"/>
  <c r="AF96" i="5" s="1"/>
  <c r="AA112" i="5"/>
  <c r="AF112" i="5" s="1"/>
  <c r="Z116" i="5"/>
  <c r="AE116" i="5" s="1"/>
  <c r="AA80" i="5"/>
  <c r="AF80" i="5" s="1"/>
  <c r="AA16" i="5"/>
  <c r="AF16" i="5" s="1"/>
  <c r="AA111" i="5"/>
  <c r="AF111" i="5" s="1"/>
  <c r="AA32" i="5"/>
  <c r="AF32" i="5" s="1"/>
  <c r="Z19" i="5"/>
  <c r="AE19" i="5" s="1"/>
  <c r="AC100" i="5"/>
  <c r="AH100" i="5" s="1"/>
  <c r="AC84" i="5"/>
  <c r="AH84" i="5" s="1"/>
  <c r="AC68" i="5"/>
  <c r="AH68" i="5" s="1"/>
  <c r="AC52" i="5"/>
  <c r="AH52" i="5" s="1"/>
  <c r="AC36" i="5"/>
  <c r="AH36" i="5" s="1"/>
  <c r="AC20" i="5"/>
  <c r="AH20" i="5" s="1"/>
  <c r="AC95" i="5"/>
  <c r="AH95" i="5" s="1"/>
  <c r="AC79" i="5"/>
  <c r="AH79" i="5" s="1"/>
  <c r="AC63" i="5"/>
  <c r="AH63" i="5" s="1"/>
  <c r="AC47" i="5"/>
  <c r="AH47" i="5" s="1"/>
  <c r="AC31" i="5"/>
  <c r="AH31" i="5" s="1"/>
  <c r="AC15" i="5"/>
  <c r="AH15" i="5" s="1"/>
  <c r="AC111" i="5"/>
  <c r="AH111" i="5" s="1"/>
  <c r="AB95" i="5"/>
  <c r="AG95" i="5" s="1"/>
  <c r="AB79" i="5"/>
  <c r="AG79" i="5" s="1"/>
  <c r="AB63" i="5"/>
  <c r="AG63" i="5" s="1"/>
  <c r="AB47" i="5"/>
  <c r="AG47" i="5" s="1"/>
  <c r="AB31" i="5"/>
  <c r="AG31" i="5" s="1"/>
  <c r="AB15" i="5"/>
  <c r="AG15" i="5" s="1"/>
  <c r="AB111" i="5"/>
  <c r="AG111" i="5" s="1"/>
  <c r="AA83" i="5"/>
  <c r="AF83" i="5" s="1"/>
  <c r="AA67" i="5"/>
  <c r="AF67" i="5" s="1"/>
  <c r="AA51" i="5"/>
  <c r="AF51" i="5" s="1"/>
  <c r="AA35" i="5"/>
  <c r="AF35" i="5" s="1"/>
  <c r="AA19" i="5"/>
  <c r="AF19" i="5" s="1"/>
  <c r="AA115" i="5"/>
  <c r="AF115" i="5" s="1"/>
  <c r="AC116" i="5"/>
  <c r="AH116" i="5" s="1"/>
  <c r="AA99" i="5"/>
  <c r="AF99" i="5" s="1"/>
  <c r="AA41" i="5"/>
  <c r="AF41" i="5" s="1"/>
  <c r="AC5" i="5"/>
  <c r="AH5" i="5" s="1"/>
  <c r="Z113" i="5"/>
  <c r="AE113" i="5" s="1"/>
  <c r="Z109" i="5"/>
  <c r="AE109" i="5" s="1"/>
  <c r="Z105" i="5"/>
  <c r="AE105" i="5" s="1"/>
  <c r="Z101" i="5"/>
  <c r="AE101" i="5" s="1"/>
  <c r="Z97" i="5"/>
  <c r="AE97" i="5" s="1"/>
  <c r="Z93" i="5"/>
  <c r="AE93" i="5" s="1"/>
  <c r="Z89" i="5"/>
  <c r="AE89" i="5" s="1"/>
  <c r="Z85" i="5"/>
  <c r="AE85" i="5" s="1"/>
  <c r="Z81" i="5"/>
  <c r="AE81" i="5" s="1"/>
  <c r="Z77" i="5"/>
  <c r="AE77" i="5" s="1"/>
  <c r="Z73" i="5"/>
  <c r="AE73" i="5" s="1"/>
  <c r="Z69" i="5"/>
  <c r="AE69" i="5" s="1"/>
  <c r="Z65" i="5"/>
  <c r="AE65" i="5" s="1"/>
  <c r="Z61" i="5"/>
  <c r="AE61" i="5" s="1"/>
  <c r="Z57" i="5"/>
  <c r="AE57" i="5" s="1"/>
  <c r="Z53" i="5"/>
  <c r="AE53" i="5" s="1"/>
  <c r="Z49" i="5"/>
  <c r="AE49" i="5" s="1"/>
  <c r="Z45" i="5"/>
  <c r="AE45" i="5" s="1"/>
  <c r="Z41" i="5"/>
  <c r="AE41" i="5" s="1"/>
  <c r="Z37" i="5"/>
  <c r="AE37" i="5" s="1"/>
  <c r="Z33" i="5"/>
  <c r="AE33" i="5" s="1"/>
  <c r="Z29" i="5"/>
  <c r="AE29" i="5" s="1"/>
  <c r="Z25" i="5"/>
  <c r="AE25" i="5" s="1"/>
  <c r="Z21" i="5"/>
  <c r="AE21" i="5" s="1"/>
  <c r="Z17" i="5"/>
  <c r="AE17" i="5" s="1"/>
  <c r="Z13" i="5"/>
  <c r="AE13" i="5" s="1"/>
  <c r="Z9" i="5"/>
  <c r="AE9" i="5" s="1"/>
  <c r="AA77" i="5"/>
  <c r="AF77" i="5" s="1"/>
  <c r="AA85" i="5"/>
  <c r="AF85" i="5" s="1"/>
  <c r="AA29" i="5"/>
  <c r="AF29" i="5" s="1"/>
  <c r="AA89" i="5"/>
  <c r="AF89" i="5" s="1"/>
  <c r="AA33" i="5"/>
  <c r="AF33" i="5" s="1"/>
  <c r="AA45" i="5"/>
  <c r="AF45" i="5" s="1"/>
  <c r="AA109" i="5"/>
  <c r="AF109" i="5" s="1"/>
  <c r="AA57" i="5"/>
  <c r="AF57" i="5" s="1"/>
  <c r="AA101" i="5"/>
  <c r="AF101" i="5" s="1"/>
  <c r="AA61" i="5"/>
  <c r="AF61" i="5" s="1"/>
  <c r="AA17" i="5"/>
  <c r="AF17" i="5" s="1"/>
  <c r="AA97" i="5"/>
  <c r="AF97" i="5" s="1"/>
  <c r="AA49" i="5"/>
  <c r="AF49" i="5" s="1"/>
  <c r="AA9" i="5"/>
  <c r="AF9" i="5" s="1"/>
  <c r="AA81" i="5"/>
  <c r="AF81" i="5" s="1"/>
  <c r="AA13" i="5"/>
  <c r="AF13" i="5" s="1"/>
  <c r="AC90" i="5"/>
  <c r="AH90" i="5" s="1"/>
  <c r="AC86" i="5"/>
  <c r="AH86" i="5" s="1"/>
  <c r="AC78" i="5"/>
  <c r="AH78" i="5" s="1"/>
  <c r="AC70" i="5"/>
  <c r="AH70" i="5" s="1"/>
  <c r="AC62" i="5"/>
  <c r="AH62" i="5" s="1"/>
  <c r="AC58" i="5"/>
  <c r="AH58" i="5" s="1"/>
  <c r="AC46" i="5"/>
  <c r="AH46" i="5" s="1"/>
  <c r="AC42" i="5"/>
  <c r="AH42" i="5" s="1"/>
  <c r="AC38" i="5"/>
  <c r="AH38" i="5" s="1"/>
  <c r="AC34" i="5"/>
  <c r="AH34" i="5" s="1"/>
  <c r="AC30" i="5"/>
  <c r="AH30" i="5" s="1"/>
  <c r="AC26" i="5"/>
  <c r="AH26" i="5" s="1"/>
  <c r="AC22" i="5"/>
  <c r="AH22" i="5" s="1"/>
  <c r="AC18" i="5"/>
  <c r="AH18" i="5" s="1"/>
  <c r="AC14" i="5"/>
  <c r="AH14" i="5" s="1"/>
  <c r="AC10" i="5"/>
  <c r="AH10" i="5" s="1"/>
  <c r="AC6" i="5"/>
  <c r="AH6" i="5" s="1"/>
  <c r="AA113" i="5"/>
  <c r="AF113" i="5" s="1"/>
  <c r="AA65" i="5"/>
  <c r="AF65" i="5" s="1"/>
  <c r="AA21" i="5"/>
  <c r="AF21" i="5" s="1"/>
  <c r="AC106" i="5"/>
  <c r="AH106" i="5" s="1"/>
  <c r="AC94" i="5"/>
  <c r="AH94" i="5" s="1"/>
  <c r="AC54" i="5"/>
  <c r="AH54" i="5" s="1"/>
  <c r="AB114" i="5"/>
  <c r="AG114" i="5" s="1"/>
  <c r="AB110" i="5"/>
  <c r="AG110" i="5" s="1"/>
  <c r="AB106" i="5"/>
  <c r="AG106" i="5" s="1"/>
  <c r="AB102" i="5"/>
  <c r="AG102" i="5" s="1"/>
  <c r="AB98" i="5"/>
  <c r="AG98" i="5" s="1"/>
  <c r="AB94" i="5"/>
  <c r="AG94" i="5" s="1"/>
  <c r="AB90" i="5"/>
  <c r="AG90" i="5" s="1"/>
  <c r="AB86" i="5"/>
  <c r="AG86" i="5" s="1"/>
  <c r="AB82" i="5"/>
  <c r="AG82" i="5" s="1"/>
  <c r="AB78" i="5"/>
  <c r="AG78" i="5" s="1"/>
  <c r="AB74" i="5"/>
  <c r="AG74" i="5" s="1"/>
  <c r="AB66" i="5"/>
  <c r="AG66" i="5" s="1"/>
  <c r="AB62" i="5"/>
  <c r="AG62" i="5" s="1"/>
  <c r="AB58" i="5"/>
  <c r="AG58" i="5" s="1"/>
  <c r="AB54" i="5"/>
  <c r="AG54" i="5" s="1"/>
  <c r="AB50" i="5"/>
  <c r="AG50" i="5" s="1"/>
  <c r="AB46" i="5"/>
  <c r="AG46" i="5" s="1"/>
  <c r="AB42" i="5"/>
  <c r="AG42" i="5" s="1"/>
  <c r="AB38" i="5"/>
  <c r="AG38" i="5" s="1"/>
  <c r="AB34" i="5"/>
  <c r="AG34" i="5" s="1"/>
  <c r="AB30" i="5"/>
  <c r="AG30" i="5" s="1"/>
  <c r="AB26" i="5"/>
  <c r="AG26" i="5" s="1"/>
  <c r="AB22" i="5"/>
  <c r="AG22" i="5" s="1"/>
  <c r="AB18" i="5"/>
  <c r="AG18" i="5" s="1"/>
  <c r="AB14" i="5"/>
  <c r="AG14" i="5" s="1"/>
  <c r="AB10" i="5"/>
  <c r="AG10" i="5" s="1"/>
  <c r="AB6" i="5"/>
  <c r="AG6" i="5" s="1"/>
  <c r="AA105" i="5"/>
  <c r="AF105" i="5" s="1"/>
  <c r="AA69" i="5"/>
  <c r="AF69" i="5" s="1"/>
  <c r="AA25" i="5"/>
  <c r="AF25" i="5" s="1"/>
  <c r="AC110" i="5"/>
  <c r="AH110" i="5" s="1"/>
  <c r="AC98" i="5"/>
  <c r="AH98" i="5" s="1"/>
  <c r="AC50" i="5"/>
  <c r="AH50" i="5" s="1"/>
  <c r="AA114" i="5"/>
  <c r="AF114" i="5" s="1"/>
  <c r="AA110" i="5"/>
  <c r="AF110" i="5" s="1"/>
  <c r="AA106" i="5"/>
  <c r="AF106" i="5" s="1"/>
  <c r="AA102" i="5"/>
  <c r="AF102" i="5" s="1"/>
  <c r="AA98" i="5"/>
  <c r="AF98" i="5" s="1"/>
  <c r="AA94" i="5"/>
  <c r="AF94" i="5" s="1"/>
  <c r="AA90" i="5"/>
  <c r="AF90" i="5" s="1"/>
  <c r="AA86" i="5"/>
  <c r="AF86" i="5" s="1"/>
  <c r="AA82" i="5"/>
  <c r="AF82" i="5" s="1"/>
  <c r="AA78" i="5"/>
  <c r="AF78" i="5" s="1"/>
  <c r="AA74" i="5"/>
  <c r="AF74" i="5" s="1"/>
  <c r="AA70" i="5"/>
  <c r="AF70" i="5" s="1"/>
  <c r="AA66" i="5"/>
  <c r="AF66" i="5" s="1"/>
  <c r="AA62" i="5"/>
  <c r="AF62" i="5" s="1"/>
  <c r="AA58" i="5"/>
  <c r="AF58" i="5" s="1"/>
  <c r="AA54" i="5"/>
  <c r="AF54" i="5" s="1"/>
  <c r="AA50" i="5"/>
  <c r="AF50" i="5" s="1"/>
  <c r="AA46" i="5"/>
  <c r="AF46" i="5" s="1"/>
  <c r="AA42" i="5"/>
  <c r="AF42" i="5" s="1"/>
  <c r="AA38" i="5"/>
  <c r="AF38" i="5" s="1"/>
  <c r="AA34" i="5"/>
  <c r="AF34" i="5" s="1"/>
  <c r="AA30" i="5"/>
  <c r="AF30" i="5" s="1"/>
  <c r="AA26" i="5"/>
  <c r="AF26" i="5" s="1"/>
  <c r="AA22" i="5"/>
  <c r="AF22" i="5" s="1"/>
  <c r="AA18" i="5"/>
  <c r="AF18" i="5" s="1"/>
  <c r="AA14" i="5"/>
  <c r="AF14" i="5" s="1"/>
  <c r="AA10" i="5"/>
  <c r="AF10" i="5" s="1"/>
  <c r="AA6" i="5"/>
  <c r="AF6" i="5" s="1"/>
  <c r="AA93" i="5"/>
  <c r="AF93" i="5" s="1"/>
  <c r="AA53" i="5"/>
  <c r="AF53" i="5" s="1"/>
  <c r="AC82" i="5"/>
  <c r="AH82" i="5" s="1"/>
  <c r="Z114" i="5"/>
  <c r="AE114" i="5" s="1"/>
  <c r="Z110" i="5"/>
  <c r="AE110" i="5" s="1"/>
  <c r="Z106" i="5"/>
  <c r="AE106" i="5" s="1"/>
  <c r="Z102" i="5"/>
  <c r="AE102" i="5" s="1"/>
  <c r="Z98" i="5"/>
  <c r="AE98" i="5" s="1"/>
  <c r="Z94" i="5"/>
  <c r="AE94" i="5" s="1"/>
  <c r="Z90" i="5"/>
  <c r="AE90" i="5" s="1"/>
  <c r="Z86" i="5"/>
  <c r="AE86" i="5" s="1"/>
  <c r="Z82" i="5"/>
  <c r="AE82" i="5" s="1"/>
  <c r="Z78" i="5"/>
  <c r="AE78" i="5" s="1"/>
  <c r="Z74" i="5"/>
  <c r="AE74" i="5" s="1"/>
  <c r="Z70" i="5"/>
  <c r="AE70" i="5" s="1"/>
  <c r="Z66" i="5"/>
  <c r="AE66" i="5" s="1"/>
  <c r="Z62" i="5"/>
  <c r="AE62" i="5" s="1"/>
  <c r="Z58" i="5"/>
  <c r="AE58" i="5" s="1"/>
  <c r="Z54" i="5"/>
  <c r="AE54" i="5" s="1"/>
  <c r="Z50" i="5"/>
  <c r="AE50" i="5" s="1"/>
  <c r="Z46" i="5"/>
  <c r="AE46" i="5" s="1"/>
  <c r="Z42" i="5"/>
  <c r="AE42" i="5" s="1"/>
  <c r="Z38" i="5"/>
  <c r="AE38" i="5" s="1"/>
  <c r="Z34" i="5"/>
  <c r="AE34" i="5" s="1"/>
  <c r="Z30" i="5"/>
  <c r="AE30" i="5" s="1"/>
  <c r="Z26" i="5"/>
  <c r="AE26" i="5" s="1"/>
  <c r="Z22" i="5"/>
  <c r="AE22" i="5" s="1"/>
  <c r="Z18" i="5"/>
  <c r="AE18" i="5" s="1"/>
  <c r="Z14" i="5"/>
  <c r="AE14" i="5" s="1"/>
  <c r="Z10" i="5"/>
  <c r="AE10" i="5" s="1"/>
  <c r="Z6" i="5"/>
  <c r="AE6" i="5" s="1"/>
  <c r="AA37" i="5"/>
  <c r="AF37" i="5" s="1"/>
  <c r="AC114" i="5"/>
  <c r="AH114" i="5" s="1"/>
  <c r="AC66" i="5"/>
  <c r="AH66" i="5" s="1"/>
  <c r="Z5" i="5"/>
  <c r="AE5" i="5" s="1"/>
  <c r="AC113" i="5"/>
  <c r="AH113" i="5" s="1"/>
  <c r="AC109" i="5"/>
  <c r="AH109" i="5" s="1"/>
  <c r="AC105" i="5"/>
  <c r="AH105" i="5" s="1"/>
  <c r="AC101" i="5"/>
  <c r="AH101" i="5" s="1"/>
  <c r="AC97" i="5"/>
  <c r="AH97" i="5" s="1"/>
  <c r="AC93" i="5"/>
  <c r="AH93" i="5" s="1"/>
  <c r="AC89" i="5"/>
  <c r="AH89" i="5" s="1"/>
  <c r="AC85" i="5"/>
  <c r="AH85" i="5" s="1"/>
  <c r="AC81" i="5"/>
  <c r="AH81" i="5" s="1"/>
  <c r="AC77" i="5"/>
  <c r="AH77" i="5" s="1"/>
  <c r="AC73" i="5"/>
  <c r="AH73" i="5" s="1"/>
  <c r="AC69" i="5"/>
  <c r="AH69" i="5" s="1"/>
  <c r="AC65" i="5"/>
  <c r="AH65" i="5" s="1"/>
  <c r="AC61" i="5"/>
  <c r="AH61" i="5" s="1"/>
  <c r="AC57" i="5"/>
  <c r="AH57" i="5" s="1"/>
  <c r="AC53" i="5"/>
  <c r="AH53" i="5" s="1"/>
  <c r="AC49" i="5"/>
  <c r="AH49" i="5" s="1"/>
  <c r="AC45" i="5"/>
  <c r="AH45" i="5" s="1"/>
  <c r="AC41" i="5"/>
  <c r="AH41" i="5" s="1"/>
  <c r="AC37" i="5"/>
  <c r="AH37" i="5" s="1"/>
  <c r="AC33" i="5"/>
  <c r="AH33" i="5" s="1"/>
  <c r="AC29" i="5"/>
  <c r="AH29" i="5" s="1"/>
  <c r="AC25" i="5"/>
  <c r="AH25" i="5" s="1"/>
  <c r="AC21" i="5"/>
  <c r="AH21" i="5" s="1"/>
  <c r="AC17" i="5"/>
  <c r="AH17" i="5" s="1"/>
  <c r="AC13" i="5"/>
  <c r="AH13" i="5" s="1"/>
  <c r="AC9" i="5"/>
  <c r="AH9" i="5" s="1"/>
  <c r="AB5" i="5"/>
  <c r="AG5" i="5" s="1"/>
  <c r="AA73" i="5"/>
  <c r="AF73" i="5" s="1"/>
  <c r="AC102" i="5"/>
  <c r="AH102" i="5" s="1"/>
  <c r="AC74" i="5"/>
  <c r="AH74" i="5" s="1"/>
  <c r="AA5" i="5"/>
  <c r="AF5" i="5" s="1"/>
  <c r="AB113" i="5"/>
  <c r="AG113" i="5" s="1"/>
  <c r="AB109" i="5"/>
  <c r="AG109" i="5" s="1"/>
  <c r="AB105" i="5"/>
  <c r="AG105" i="5" s="1"/>
  <c r="AB101" i="5"/>
  <c r="AG101" i="5" s="1"/>
  <c r="AB97" i="5"/>
  <c r="AG97" i="5" s="1"/>
  <c r="AB93" i="5"/>
  <c r="AG93" i="5" s="1"/>
  <c r="AB89" i="5"/>
  <c r="AG89" i="5" s="1"/>
  <c r="AB85" i="5"/>
  <c r="AG85" i="5" s="1"/>
  <c r="AB81" i="5"/>
  <c r="AG81" i="5" s="1"/>
  <c r="AB77" i="5"/>
  <c r="AG77" i="5" s="1"/>
  <c r="AB73" i="5"/>
  <c r="AG73" i="5" s="1"/>
  <c r="AB65" i="5"/>
  <c r="AG65" i="5" s="1"/>
  <c r="AB61" i="5"/>
  <c r="AG61" i="5" s="1"/>
  <c r="AB57" i="5"/>
  <c r="AG57" i="5" s="1"/>
  <c r="AB53" i="5"/>
  <c r="AG53" i="5" s="1"/>
  <c r="AB49" i="5"/>
  <c r="AG49" i="5" s="1"/>
  <c r="AB45" i="5"/>
  <c r="AG45" i="5" s="1"/>
  <c r="AB41" i="5"/>
  <c r="AG41" i="5" s="1"/>
  <c r="AB37" i="5"/>
  <c r="AG37" i="5" s="1"/>
  <c r="AB33" i="5"/>
  <c r="AG33" i="5" s="1"/>
  <c r="AB29" i="5"/>
  <c r="AG29" i="5" s="1"/>
  <c r="AB25" i="5"/>
  <c r="AG25" i="5" s="1"/>
  <c r="AB21" i="5"/>
  <c r="AG21" i="5" s="1"/>
  <c r="AB17" i="5"/>
  <c r="AG17" i="5" s="1"/>
  <c r="AB13" i="5"/>
  <c r="AG13" i="5" s="1"/>
  <c r="AB9" i="5"/>
  <c r="AG9" i="5" s="1"/>
  <c r="Y97" i="5" l="1"/>
  <c r="Y17" i="5"/>
  <c r="Y90" i="5"/>
  <c r="Y82" i="5"/>
  <c r="Y111" i="5"/>
  <c r="Y36" i="5"/>
  <c r="Y106" i="5"/>
  <c r="Y45" i="5"/>
  <c r="Y74" i="5"/>
  <c r="Y33" i="5"/>
  <c r="Y105" i="5"/>
  <c r="Y21" i="5"/>
  <c r="Y54" i="5"/>
  <c r="Y61" i="5"/>
  <c r="Y100" i="5"/>
  <c r="Y37" i="5"/>
  <c r="Y115" i="5"/>
  <c r="Y69" i="5"/>
  <c r="Y70" i="5"/>
  <c r="Y7" i="5"/>
  <c r="Y51" i="5"/>
  <c r="Y85" i="5"/>
  <c r="Y23" i="5"/>
  <c r="Y76" i="5"/>
  <c r="Y91" i="5"/>
  <c r="Y32" i="5"/>
  <c r="Y11" i="5"/>
  <c r="Y10" i="5"/>
  <c r="Y8" i="5"/>
  <c r="Y92" i="5"/>
  <c r="Y112" i="5"/>
  <c r="Y88" i="5"/>
  <c r="Y87" i="5"/>
  <c r="Y81" i="5"/>
  <c r="Y48" i="5"/>
  <c r="Y18" i="5"/>
  <c r="Y62" i="5"/>
  <c r="Y41" i="5"/>
  <c r="Y114" i="5"/>
  <c r="Y64" i="5"/>
  <c r="Y86" i="5"/>
  <c r="Y107" i="5"/>
  <c r="Y6" i="5"/>
  <c r="Y25" i="5"/>
  <c r="Y34" i="5"/>
  <c r="Y27" i="5"/>
  <c r="Y40" i="5"/>
  <c r="Y80" i="5"/>
  <c r="Y5" i="5"/>
  <c r="Y102" i="5"/>
  <c r="Y50" i="5"/>
  <c r="Y94" i="5"/>
  <c r="Y73" i="5"/>
  <c r="Y22" i="5"/>
  <c r="Y77" i="5"/>
  <c r="Y14" i="5"/>
  <c r="Y78" i="5"/>
  <c r="Y43" i="5"/>
  <c r="Y56" i="5"/>
  <c r="Y96" i="5"/>
  <c r="Y110" i="5"/>
  <c r="Y89" i="5"/>
  <c r="Y16" i="5"/>
  <c r="Y38" i="5"/>
  <c r="Y93" i="5"/>
  <c r="Y30" i="5"/>
  <c r="Y9" i="5"/>
  <c r="Y59" i="5"/>
  <c r="Y13" i="5"/>
  <c r="Y7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tc={5F267164-0F1E-4CE5-956D-796F452305B9}</author>
    <author>tc={7E12DBD7-37E2-4C3A-B5B9-9A202AD5EEEE}</author>
    <author>tc={C1E3BE93-24AE-4769-ADD1-1D73A8C4EBDF}</author>
    <author>tc={B2CF3253-096C-4ED1-B3A6-D3C65653141E}</author>
    <author>tc={8FC61765-DBB4-4F0C-8E76-A99C666F5040}</author>
    <author>tc={F58B4710-8910-416F-9D5D-A9E1CCC039DE}</author>
  </authors>
  <commentList>
    <comment ref="AS4" authorId="0" shapeId="0" xr:uid="{5F267164-0F1E-4CE5-956D-796F452305B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Forests do not include the emissions from the land converted to forests.</t>
      </text>
    </comment>
    <comment ref="AT4" authorId="1" shapeId="0" xr:uid="{7E12DBD7-37E2-4C3A-B5B9-9A202AD5EEEE}">
      <text>
        <t>[Threaded comment]
Your version of Excel allows you to read this threaded comment; however, any edits to it will get removed if the file is opened in a newer version of Excel. Learn more: https://go.microsoft.com/fwlink/?linkid=870924
Comment:
    Grasslands do not include the emissions from the land converted to grasslands.</t>
      </text>
    </comment>
    <comment ref="AY4" authorId="2" shapeId="0" xr:uid="{C1E3BE93-24AE-4769-ADD1-1D73A8C4EBD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Forests do not include the emissions from the land converted to forests.</t>
      </text>
    </comment>
    <comment ref="AZ4" authorId="3" shapeId="0" xr:uid="{B2CF3253-096C-4ED1-B3A6-D3C65653141E}">
      <text>
        <t>[Threaded comment]
Your version of Excel allows you to read this threaded comment; however, any edits to it will get removed if the file is opened in a newer version of Excel. Learn more: https://go.microsoft.com/fwlink/?linkid=870924
Comment:
    Grasslands do not include the emissions from the land converted to grasslands.</t>
      </text>
    </comment>
    <comment ref="BE4" authorId="4" shapeId="0" xr:uid="{8FC61765-DBB4-4F0C-8E76-A99C666F504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Forests do not include the emissions from the land converted to forests.</t>
      </text>
    </comment>
    <comment ref="BF4" authorId="5" shapeId="0" xr:uid="{F58B4710-8910-416F-9D5D-A9E1CCC039DE}">
      <text>
        <t>[Threaded comment]
Your version of Excel allows you to read this threaded comment; however, any edits to it will get removed if the file is opened in a newer version of Excel. Learn more: https://go.microsoft.com/fwlink/?linkid=870924
Comment:
    Grasslands do not include the emissions from the land converted to grasslands.</t>
      </text>
    </comment>
  </commentList>
</comments>
</file>

<file path=xl/sharedStrings.xml><?xml version="1.0" encoding="utf-8"?>
<sst xmlns="http://schemas.openxmlformats.org/spreadsheetml/2006/main" count="22584" uniqueCount="276">
  <si>
    <t>Greenhouse gas emissions by source sector [env_air_gge__custom_18145251]</t>
  </si>
  <si>
    <t>08/05/2025 23:00</t>
  </si>
  <si>
    <t>Time frequency</t>
  </si>
  <si>
    <t>Unit of measure</t>
  </si>
  <si>
    <t>Annual</t>
  </si>
  <si>
    <t>Million tonnes</t>
  </si>
  <si>
    <t>Greenhouse gases (CO2, N2O in CO2 equivalent, CH4 in CO2 equivalent, HFC in CO2 equivalent, PFC in CO2 equivalent, SF6 in CO2 equivalent, NF3 in CO2 equivalent)</t>
  </si>
  <si>
    <t>Carbon dioxide</t>
  </si>
  <si>
    <t>Methane</t>
  </si>
  <si>
    <t>Nitrous oxide</t>
  </si>
  <si>
    <t>Total (excluding memo items)</t>
  </si>
  <si>
    <t>Total (excluding LULUCF and memo items)</t>
  </si>
  <si>
    <t>Energy</t>
  </si>
  <si>
    <t>Fuel combustion - sectoral approach</t>
  </si>
  <si>
    <t>Fuel combustion in energy industries</t>
  </si>
  <si>
    <t>Fuel combustion in public electricity and heat production</t>
  </si>
  <si>
    <t>Fuel combustion in petroleum refining</t>
  </si>
  <si>
    <t>Fuel combustion in manufacture of solid fuels and other energy industries</t>
  </si>
  <si>
    <t>Fuel combustion in manufacturing industries and construction</t>
  </si>
  <si>
    <t>Fuel combustion in manufacture of iron and steel</t>
  </si>
  <si>
    <t>Fuel combustion in manufacture of non-ferrous metals</t>
  </si>
  <si>
    <t>Fuel combustion in manufacture of chemicals</t>
  </si>
  <si>
    <t>Fuel combustion in manufacture of pulp, paper and printing</t>
  </si>
  <si>
    <t>Fuel combustion in manufacture of food, beverages and tobacco</t>
  </si>
  <si>
    <t>Fuel combustion in manufacture of non-metallic mineral products</t>
  </si>
  <si>
    <t>Fuel combustion in other manufacturing industries and construction</t>
  </si>
  <si>
    <t>Fuel combustion in transport</t>
  </si>
  <si>
    <t>Fuel combustion in domestic aviation</t>
  </si>
  <si>
    <t>Fuel combustion in road transport</t>
  </si>
  <si>
    <t>Fuel combustion in cars</t>
  </si>
  <si>
    <t>Fuel combustion in light duty trucks</t>
  </si>
  <si>
    <t>Fuel combustion in heavy duty trucks and buses</t>
  </si>
  <si>
    <t>Fuel combustion in motorcycles</t>
  </si>
  <si>
    <t>Fuel combustion in other road transportation</t>
  </si>
  <si>
    <t>Fuel combustion in railways</t>
  </si>
  <si>
    <t>Fuel combustion in domestic navigation</t>
  </si>
  <si>
    <t>Fuel combustion in other transport</t>
  </si>
  <si>
    <t>Other fuel combustion sectors</t>
  </si>
  <si>
    <t>Fuel combustion in commercial and institutional sector</t>
  </si>
  <si>
    <t>Fuel combustion by households</t>
  </si>
  <si>
    <t>Fuel combustion in agriculture, forestry and fishing</t>
  </si>
  <si>
    <t>Other fuel combustion sectors n.e.c.</t>
  </si>
  <si>
    <t>Stationary fuel combustion sectors n.e.c.</t>
  </si>
  <si>
    <t>Mobile fuel combustion sectors n.e.c.</t>
  </si>
  <si>
    <t>Fuels - fugitive emissions</t>
  </si>
  <si>
    <t>Solid fuels - fugitive emissions</t>
  </si>
  <si>
    <t>Oil, natural gas and other energy production - fugitive emissions</t>
  </si>
  <si>
    <t>Transport and storage of CO2 (memo item)</t>
  </si>
  <si>
    <t>International bunkers (memo item)</t>
  </si>
  <si>
    <t>International aviation (memo item)</t>
  </si>
  <si>
    <t>International navigation (memo item)</t>
  </si>
  <si>
    <t>Multilateral operations (memo item)</t>
  </si>
  <si>
    <t>Biomass - CO2 emissions (memo item)</t>
  </si>
  <si>
    <t>Industrial processes and product use</t>
  </si>
  <si>
    <t>Mineral industry</t>
  </si>
  <si>
    <t>Cement production</t>
  </si>
  <si>
    <t>Lime production</t>
  </si>
  <si>
    <t>Glass production</t>
  </si>
  <si>
    <t>Other process uses of carbonates</t>
  </si>
  <si>
    <t>Chemical industry</t>
  </si>
  <si>
    <t>Ammonia production</t>
  </si>
  <si>
    <t>Nitric acid production</t>
  </si>
  <si>
    <t>Adipic acid production</t>
  </si>
  <si>
    <t>Caprolactam, glyoxal and glyoxylic acid production</t>
  </si>
  <si>
    <t>Carbide production</t>
  </si>
  <si>
    <t>Titanium dioxide production</t>
  </si>
  <si>
    <t>Soda ash production</t>
  </si>
  <si>
    <t>Petrochemical and carbon black production</t>
  </si>
  <si>
    <t>Fluorochemical production</t>
  </si>
  <si>
    <t>Other chemical industry</t>
  </si>
  <si>
    <t>Metal industry</t>
  </si>
  <si>
    <t>Iron and steel production</t>
  </si>
  <si>
    <t>Ferroalloys production</t>
  </si>
  <si>
    <t>Aluminium production</t>
  </si>
  <si>
    <t>Magnesium production</t>
  </si>
  <si>
    <t>Lead production</t>
  </si>
  <si>
    <t>Zinc production</t>
  </si>
  <si>
    <t>Other metal industry</t>
  </si>
  <si>
    <t>Non-energy products from fuels and solvent use</t>
  </si>
  <si>
    <t>Lubricant use</t>
  </si>
  <si>
    <t>Paraffin wax use</t>
  </si>
  <si>
    <t>Other non-energy product use</t>
  </si>
  <si>
    <t>Electronics industry</t>
  </si>
  <si>
    <t>Integrated circuit or semiconductor production</t>
  </si>
  <si>
    <t>TFT flat panel display production</t>
  </si>
  <si>
    <t>Photovoltaic</t>
  </si>
  <si>
    <t>Heat transfer fluid</t>
  </si>
  <si>
    <t>Other electronics industry</t>
  </si>
  <si>
    <t>Product uses as substitutes for ozone depleting substances</t>
  </si>
  <si>
    <t>Refrigeration and air conditioning</t>
  </si>
  <si>
    <t>Foam blowing agent use</t>
  </si>
  <si>
    <t>Fire protection</t>
  </si>
  <si>
    <t>Aerosol use</t>
  </si>
  <si>
    <t>Solvent use</t>
  </si>
  <si>
    <t>Other applications of substitutes for ozone depleting substances</t>
  </si>
  <si>
    <t>Other product manufacture and use</t>
  </si>
  <si>
    <t>Other industrial process and product use</t>
  </si>
  <si>
    <t>Agriculture</t>
  </si>
  <si>
    <t>Enteric fermentation</t>
  </si>
  <si>
    <t>Enteric fermentation of cattle</t>
  </si>
  <si>
    <t>Enteric fermentation of sheep</t>
  </si>
  <si>
    <t>Enteric fermentation of swine</t>
  </si>
  <si>
    <t>Enteric fermentation of other livestock</t>
  </si>
  <si>
    <t>Manure management</t>
  </si>
  <si>
    <t>Cattle manure management</t>
  </si>
  <si>
    <t>Sheep manure management</t>
  </si>
  <si>
    <t>Swine manure management</t>
  </si>
  <si>
    <t>Other livestock manure management</t>
  </si>
  <si>
    <t>Manure management - indirect N2O emissions</t>
  </si>
  <si>
    <t>Rice cultivation</t>
  </si>
  <si>
    <t>Irrigated rice cultivation</t>
  </si>
  <si>
    <t>Rainfed rice cultivation</t>
  </si>
  <si>
    <t>Deep water rice cultivation</t>
  </si>
  <si>
    <t>Other rice cultivation</t>
  </si>
  <si>
    <t>Managed agricultural soils</t>
  </si>
  <si>
    <t>Managed agricultural soils - direct N2O emissions</t>
  </si>
  <si>
    <t>Managed agricultural soils - indirect N2O emissions</t>
  </si>
  <si>
    <t>Prescribed burning of savannas</t>
  </si>
  <si>
    <t>Field burning of agricultural residues</t>
  </si>
  <si>
    <t>Field burning of cereals residues</t>
  </si>
  <si>
    <t>Field burning of pulses residues</t>
  </si>
  <si>
    <t>Field burning of tubers and roots residues</t>
  </si>
  <si>
    <t>Field burning of sugar cane residues</t>
  </si>
  <si>
    <t>Field burning of other agricultural residues</t>
  </si>
  <si>
    <t>Liming</t>
  </si>
  <si>
    <t>Urea application</t>
  </si>
  <si>
    <t>Other carbon-containing fertilizers</t>
  </si>
  <si>
    <t>Other agriculture</t>
  </si>
  <si>
    <t>Land use, land use change, and forestry (LULUCF)</t>
  </si>
  <si>
    <t>Forest land</t>
  </si>
  <si>
    <t>Drainage and rewetting and other management of organic and mineral soils related to forest land - emissions and removals</t>
  </si>
  <si>
    <t>Unconverted forest land</t>
  </si>
  <si>
    <t>Land converted to forest land</t>
  </si>
  <si>
    <t>Cropland</t>
  </si>
  <si>
    <t>Drainage and rewetting and other management of organic and mineral soils related to cropland - emissions and removals</t>
  </si>
  <si>
    <t>Unconverted cropland</t>
  </si>
  <si>
    <t>Land converted to cropland</t>
  </si>
  <si>
    <t>Grassland</t>
  </si>
  <si>
    <t>Drainage and rewetting and other management of organic and mineral soils related to grassland - emissions and removals</t>
  </si>
  <si>
    <t>Unconverted grassland</t>
  </si>
  <si>
    <t>Land converted to grassland</t>
  </si>
  <si>
    <t>Wetlands</t>
  </si>
  <si>
    <t>Drainage and rewetting and other management of organic and mineral soils related to wetlands - emissions and removals</t>
  </si>
  <si>
    <t>Unconverted wetlands</t>
  </si>
  <si>
    <t>Land converted to wetlands</t>
  </si>
  <si>
    <t>Settlements</t>
  </si>
  <si>
    <t>Biomass burning in settlements</t>
  </si>
  <si>
    <t>Unconverted settlements</t>
  </si>
  <si>
    <t>Land converted to settlements</t>
  </si>
  <si>
    <t>Other land</t>
  </si>
  <si>
    <t>Land converted to other land</t>
  </si>
  <si>
    <t>Nitrogen mineralization and immobilization in other land - direct N2O emissions</t>
  </si>
  <si>
    <t>Biomass burning on other land</t>
  </si>
  <si>
    <t>Harvested wood products</t>
  </si>
  <si>
    <t>Other land use, land use change, and forestry</t>
  </si>
  <si>
    <t>Waste management</t>
  </si>
  <si>
    <t>Solid waste disposal</t>
  </si>
  <si>
    <t>Managed waste disposal sites</t>
  </si>
  <si>
    <t>Unmanaged waste disposal sites</t>
  </si>
  <si>
    <t>Uncategorized waste disposal sites</t>
  </si>
  <si>
    <t>Biological treatment of solid waste</t>
  </si>
  <si>
    <t>Waste composting</t>
  </si>
  <si>
    <t>Anaerobic digestion at biogas facilities</t>
  </si>
  <si>
    <t>Incineration and open burning of waste</t>
  </si>
  <si>
    <t>Waste incineration</t>
  </si>
  <si>
    <t>Open burning of waste</t>
  </si>
  <si>
    <t>Wastewater treatment and discharge</t>
  </si>
  <si>
    <t>Domestic wastewater</t>
  </si>
  <si>
    <t>Industrial wastewater</t>
  </si>
  <si>
    <t>Other wastewater</t>
  </si>
  <si>
    <t>Other disposal</t>
  </si>
  <si>
    <t>Long-term storage of carbon in waste disposal sites</t>
  </si>
  <si>
    <t>Annual change in total long-term carbon storage</t>
  </si>
  <si>
    <t>Annual change in total long-term carbon storage in harvested wood products HWP waste</t>
  </si>
  <si>
    <t>Other sectors</t>
  </si>
  <si>
    <t>Indirect CO2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</si>
  <si>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</si>
  <si>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</si>
  <si>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</si>
  <si>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</si>
  <si>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</si>
  <si>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</si>
  <si>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</si>
  <si>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</si>
  <si>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</si>
  <si>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</si>
  <si>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</si>
  <si>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</si>
  <si>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</si>
  <si>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</si>
  <si>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</si>
  <si>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</si>
  <si>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</si>
  <si>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</si>
  <si>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</si>
  <si>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</si>
  <si>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</si>
  <si>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</si>
  <si>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</si>
  <si>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</si>
  <si>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</si>
  <si>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</si>
  <si>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</si>
  <si>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</si>
  <si>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</si>
  <si>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</si>
  <si>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2018</t>
  </si>
  <si>
    <t>Data extracted on 23/09/2025 14:52:11 from [ESTAT]</t>
  </si>
  <si>
    <t xml:space="preserve">Dataset: </t>
  </si>
  <si>
    <t xml:space="preserve">Last updated: </t>
  </si>
  <si>
    <t>TIME</t>
  </si>
  <si>
    <t>SRC_CRF (Labels)</t>
  </si>
  <si>
    <t>GEO (Labels)</t>
  </si>
  <si>
    <t>AIRPOL (Labels)</t>
  </si>
  <si>
    <t/>
  </si>
  <si>
    <t>Special value</t>
  </si>
  <si>
    <t>not available</t>
  </si>
  <si>
    <t>d</t>
  </si>
  <si>
    <t>m</t>
  </si>
  <si>
    <t>C</t>
  </si>
  <si>
    <t>Observation flags:</t>
  </si>
  <si>
    <t>definition differs (see metadata)</t>
  </si>
  <si>
    <t>missing value; data cannot exist</t>
  </si>
  <si>
    <t>Confidentiality flags:</t>
  </si>
  <si>
    <t>confidential</t>
  </si>
  <si>
    <t>Countries</t>
  </si>
  <si>
    <t>Pigs</t>
  </si>
  <si>
    <t>Poultry</t>
  </si>
  <si>
    <t>Sheep and goat</t>
  </si>
  <si>
    <t>Units (Million Livestock Units) Million LSUs</t>
  </si>
  <si>
    <t>Bovines</t>
  </si>
  <si>
    <t>CH4</t>
  </si>
  <si>
    <t>N2O</t>
  </si>
  <si>
    <t>CO2</t>
  </si>
  <si>
    <t>Forest</t>
  </si>
  <si>
    <t>Grasslands</t>
  </si>
  <si>
    <t>LANDCOVER (Labels)</t>
  </si>
  <si>
    <t>Total land cover</t>
  </si>
  <si>
    <t>Calculated total</t>
  </si>
  <si>
    <t>Artificial land</t>
  </si>
  <si>
    <t>Woodland</t>
  </si>
  <si>
    <t>Shrubland</t>
  </si>
  <si>
    <t>Bare land</t>
  </si>
  <si>
    <t>Water</t>
  </si>
  <si>
    <t>Wetland</t>
  </si>
  <si>
    <t xml:space="preserve"> </t>
  </si>
  <si>
    <t>GHG from EU (million tonnes)</t>
  </si>
  <si>
    <t>Area (1000 sq km)</t>
  </si>
  <si>
    <t>Geography</t>
  </si>
  <si>
    <t>Emission</t>
  </si>
  <si>
    <t>Enteric fermentation (Million tonnes)</t>
  </si>
  <si>
    <t>Manure (Million Tonnes)</t>
  </si>
  <si>
    <t>CO2e &amp; CO2  (million tonnes/1000 sq km),                     CH4  &amp; N2O (Thousand tonnes/1000 sq km)</t>
  </si>
  <si>
    <t>**L000CRP000</t>
  </si>
  <si>
    <t>**L000FOR000</t>
  </si>
  <si>
    <t>**L000GRS000</t>
  </si>
  <si>
    <t>**L000WET000</t>
  </si>
  <si>
    <t>**L000SHR000</t>
  </si>
  <si>
    <t>Country</t>
  </si>
  <si>
    <t>**CO2</t>
  </si>
  <si>
    <t>**CH4</t>
  </si>
  <si>
    <t>**N2O</t>
  </si>
  <si>
    <t>CO2e</t>
  </si>
  <si>
    <t>**CO2e</t>
  </si>
  <si>
    <t>**L000LVSPIG</t>
  </si>
  <si>
    <t>**L000LVSBOV</t>
  </si>
  <si>
    <t>**L000LVSPOU</t>
  </si>
  <si>
    <t>**L000LVSSHP</t>
  </si>
  <si>
    <t>Exogenous emissions</t>
  </si>
  <si>
    <t>Harvested Woodstock</t>
  </si>
  <si>
    <t>Total Livestock Emissions                                                                          CO2e &amp; CO2  (million tonnes), CH4  &amp; N2O (Thousand tonnes)</t>
  </si>
  <si>
    <t>Livestock Emissions                                                                                          CO2e &amp; CO2  (million tonnes/million LSUs), CH4  &amp; N2O (Thousand tonnes/million LSUs)</t>
  </si>
  <si>
    <t>Rounded (4 digit) Livestock Emissions                                                                                          CO2e &amp; CO2  (million tonnes/million LSUs), CH4  &amp; N2O (Thousand tonnes/million LSUs)</t>
  </si>
  <si>
    <t>Rounded (4 digit)                                                                      CO2e &amp; CO2  (million tonnes/1000 sq km),                     CH4  &amp; N2O (Thousand tonnes/1000 sq km)</t>
  </si>
  <si>
    <t>Source</t>
  </si>
  <si>
    <t>https://ec.europa.eu/eurostat/databrowser/product/page/env_air_gge__custom_18145251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</si>
</sst>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color indexed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7" borderId="2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0" fontId="2" fillId="0" borderId="0" xfId="0" applyFont="1" applyAlignment="1">
      <alignment horizontal="right" vertical="center" shrinkToFit="1"/>
    </xf>
    <xf numFmtId="0" fontId="2" fillId="6" borderId="0" xfId="0" applyFont="1" applyFill="1" applyAlignment="1">
      <alignment horizontal="right" vertical="center" shrinkToFit="1"/>
    </xf>
    <xf numFmtId="0" fontId="3" fillId="9" borderId="2" xfId="0" applyFont="1" applyFill="1" applyBorder="1" applyAlignment="1">
      <alignment horizontal="left" vertical="center"/>
    </xf>
    <xf numFmtId="164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0" fontId="4" fillId="0" borderId="1" xfId="0" applyFont="1" applyBorder="1"/>
    <xf numFmtId="0" fontId="0" fillId="8" borderId="1" xfId="0" applyFill="1" applyBorder="1"/>
    <xf numFmtId="164" fontId="0" fillId="8" borderId="1" xfId="0" applyNumberFormat="1" applyFill="1" applyBorder="1"/>
    <xf numFmtId="0" fontId="0" fillId="8" borderId="0" xfId="0" applyFill="1"/>
    <xf numFmtId="0" fontId="4" fillId="8" borderId="0" xfId="0" applyFont="1" applyFill="1"/>
    <xf numFmtId="0" fontId="4" fillId="0" borderId="4" xfId="0" applyFont="1" applyBorder="1"/>
    <xf numFmtId="0" fontId="4" fillId="0" borderId="7" xfId="0" applyFont="1" applyBorder="1"/>
    <xf numFmtId="0" fontId="0" fillId="10" borderId="1" xfId="0" applyFill="1" applyBorder="1"/>
    <xf numFmtId="165" fontId="0" fillId="10" borderId="1" xfId="0" applyNumberFormat="1" applyFill="1" applyBorder="1"/>
    <xf numFmtId="165" fontId="0" fillId="10" borderId="0" xfId="0" applyNumberFormat="1" applyFill="1"/>
    <xf numFmtId="0" fontId="0" fillId="10" borderId="0" xfId="0" applyFill="1"/>
    <xf numFmtId="164" fontId="0" fillId="10" borderId="1" xfId="0" applyNumberFormat="1" applyFill="1" applyBorder="1"/>
    <xf numFmtId="164" fontId="0" fillId="10" borderId="8" xfId="0" applyNumberFormat="1" applyFill="1" applyBorder="1"/>
    <xf numFmtId="0" fontId="1" fillId="8" borderId="2" xfId="0" applyFont="1" applyFill="1" applyBorder="1" applyAlignment="1">
      <alignment horizontal="left" vertical="center"/>
    </xf>
    <xf numFmtId="0" fontId="2" fillId="8" borderId="0" xfId="0" applyFont="1" applyFill="1" applyAlignment="1">
      <alignment horizontal="right" vertical="center" shrinkToFit="1"/>
    </xf>
    <xf numFmtId="0" fontId="3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idharan, Vignesh" id="{0BEE3AAE-3948-4AD0-8CD1-E7A12975F36D}" userId="S::vsridhar@ic.ac.uk::9cb15688-0b55-4a8e-b3e1-d3a9303ecd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S4" dT="2025-09-24T09:46:40.52" personId="{0BEE3AAE-3948-4AD0-8CD1-E7A12975F36D}" id="{5F267164-0F1E-4CE5-956D-796F452305B9}">
    <text>Forests do not include the emissions from the land converted to forests.</text>
  </threadedComment>
  <threadedComment ref="AT4" dT="2025-09-24T10:05:07.38" personId="{0BEE3AAE-3948-4AD0-8CD1-E7A12975F36D}" id="{7E12DBD7-37E2-4C3A-B5B9-9A202AD5EEEE}">
    <text>Grasslands do not include the emissions from the land converted to grasslands.</text>
  </threadedComment>
  <threadedComment ref="AY4" dT="2025-09-24T09:46:40.52" personId="{0BEE3AAE-3948-4AD0-8CD1-E7A12975F36D}" id="{C1E3BE93-24AE-4769-ADD1-1D73A8C4EBDF}">
    <text>Forests do not include the emissions from the land converted to forests.</text>
  </threadedComment>
  <threadedComment ref="AZ4" dT="2025-09-24T10:05:07.38" personId="{0BEE3AAE-3948-4AD0-8CD1-E7A12975F36D}" id="{B2CF3253-096C-4ED1-B3A6-D3C65653141E}">
    <text>Grasslands do not include the emissions from the land converted to grasslands.</text>
  </threadedComment>
  <threadedComment ref="BE4" dT="2025-09-24T09:46:40.52" personId="{0BEE3AAE-3948-4AD0-8CD1-E7A12975F36D}" id="{8FC61765-DBB4-4F0C-8E76-A99C666F5040}">
    <text>Forests do not include the emissions from the land converted to forests.</text>
  </threadedComment>
  <threadedComment ref="BF4" dT="2025-09-24T10:05:07.38" personId="{0BEE3AAE-3948-4AD0-8CD1-E7A12975F36D}" id="{F58B4710-8910-416F-9D5D-A9E1CCC039DE}">
    <text>Grasslands do not include the emissions from the land converted to grasslands.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L133"/>
  <sheetViews>
    <sheetView workbookViewId="0">
      <pane xSplit="2" ySplit="10" topLeftCell="FE11" activePane="bottomRight" state="frozen"/>
      <selection pane="topRight"/>
      <selection pane="bottomLeft"/>
      <selection pane="bottomRight" activeCell="FF36" sqref="FF36"/>
    </sheetView>
  </sheetViews>
  <sheetFormatPr defaultColWidth="26.42578125" defaultRowHeight="11.45" customHeight="1" x14ac:dyDescent="0.25"/>
  <cols>
    <col min="2" max="2" width="19.7109375" customWidth="1"/>
    <col min="5" max="89" width="0" hidden="1" customWidth="1"/>
    <col min="101" max="101" width="39.5703125" bestFit="1" customWidth="1"/>
    <col min="123" max="123" width="56.5703125" customWidth="1"/>
  </cols>
  <sheetData>
    <row r="1" spans="1:168" ht="11.45" customHeight="1" x14ac:dyDescent="0.25">
      <c r="A1" s="2" t="s">
        <v>207</v>
      </c>
    </row>
    <row r="2" spans="1:168" ht="11.45" customHeight="1" x14ac:dyDescent="0.25">
      <c r="A2" s="2" t="s">
        <v>208</v>
      </c>
      <c r="B2" s="1" t="s">
        <v>0</v>
      </c>
    </row>
    <row r="3" spans="1:168" ht="11.45" customHeight="1" x14ac:dyDescent="0.25">
      <c r="A3" s="2" t="s">
        <v>209</v>
      </c>
      <c r="B3" s="2" t="s">
        <v>1</v>
      </c>
    </row>
    <row r="4" spans="1:168" ht="11.45" customHeight="1" x14ac:dyDescent="0.25">
      <c r="A4" s="2" t="s">
        <v>274</v>
      </c>
      <c r="B4" t="s">
        <v>275</v>
      </c>
    </row>
    <row r="5" spans="1:168" ht="11.45" customHeight="1" x14ac:dyDescent="0.25">
      <c r="A5" s="1" t="s">
        <v>2</v>
      </c>
      <c r="B5" s="2" t="s">
        <v>4</v>
      </c>
      <c r="DV5">
        <f>DU11/(77/3)</f>
        <v>-2.3009692207792209</v>
      </c>
    </row>
    <row r="6" spans="1:168" ht="11.45" customHeight="1" x14ac:dyDescent="0.25">
      <c r="A6" s="1" t="s">
        <v>3</v>
      </c>
      <c r="B6" s="2" t="s">
        <v>5</v>
      </c>
    </row>
    <row r="8" spans="1:168" ht="11.45" customHeight="1" x14ac:dyDescent="0.25">
      <c r="A8" s="34" t="s">
        <v>210</v>
      </c>
      <c r="B8" s="34" t="s">
        <v>210</v>
      </c>
      <c r="C8" s="35" t="s">
        <v>206</v>
      </c>
      <c r="D8" s="35" t="s">
        <v>206</v>
      </c>
      <c r="E8" s="35" t="s">
        <v>206</v>
      </c>
      <c r="F8" s="35" t="s">
        <v>206</v>
      </c>
      <c r="G8" s="35" t="s">
        <v>206</v>
      </c>
      <c r="H8" s="35" t="s">
        <v>206</v>
      </c>
      <c r="I8" s="35" t="s">
        <v>206</v>
      </c>
      <c r="J8" s="35" t="s">
        <v>206</v>
      </c>
      <c r="K8" s="35" t="s">
        <v>206</v>
      </c>
      <c r="L8" s="35" t="s">
        <v>206</v>
      </c>
      <c r="M8" s="35" t="s">
        <v>206</v>
      </c>
      <c r="N8" s="35" t="s">
        <v>206</v>
      </c>
      <c r="O8" s="35" t="s">
        <v>206</v>
      </c>
      <c r="P8" s="35" t="s">
        <v>206</v>
      </c>
      <c r="Q8" s="35" t="s">
        <v>206</v>
      </c>
      <c r="R8" s="35" t="s">
        <v>206</v>
      </c>
      <c r="S8" s="35" t="s">
        <v>206</v>
      </c>
      <c r="T8" s="35" t="s">
        <v>206</v>
      </c>
      <c r="U8" s="35" t="s">
        <v>206</v>
      </c>
      <c r="V8" s="35" t="s">
        <v>206</v>
      </c>
      <c r="W8" s="35" t="s">
        <v>206</v>
      </c>
      <c r="X8" s="35" t="s">
        <v>206</v>
      </c>
      <c r="Y8" s="35" t="s">
        <v>206</v>
      </c>
      <c r="Z8" s="35" t="s">
        <v>206</v>
      </c>
      <c r="AA8" s="35" t="s">
        <v>206</v>
      </c>
      <c r="AB8" s="35" t="s">
        <v>206</v>
      </c>
      <c r="AC8" s="35" t="s">
        <v>206</v>
      </c>
      <c r="AD8" s="35" t="s">
        <v>206</v>
      </c>
      <c r="AE8" s="35" t="s">
        <v>206</v>
      </c>
      <c r="AF8" s="35" t="s">
        <v>206</v>
      </c>
      <c r="AG8" s="35" t="s">
        <v>206</v>
      </c>
      <c r="AH8" s="35" t="s">
        <v>206</v>
      </c>
      <c r="AI8" s="35" t="s">
        <v>206</v>
      </c>
      <c r="AJ8" s="35" t="s">
        <v>206</v>
      </c>
      <c r="AK8" s="35" t="s">
        <v>206</v>
      </c>
      <c r="AL8" s="35" t="s">
        <v>206</v>
      </c>
      <c r="AM8" s="35" t="s">
        <v>206</v>
      </c>
      <c r="AN8" s="35" t="s">
        <v>206</v>
      </c>
      <c r="AO8" s="35" t="s">
        <v>206</v>
      </c>
      <c r="AP8" s="35" t="s">
        <v>206</v>
      </c>
      <c r="AQ8" s="35" t="s">
        <v>206</v>
      </c>
      <c r="AR8" s="35" t="s">
        <v>206</v>
      </c>
      <c r="AS8" s="35" t="s">
        <v>206</v>
      </c>
      <c r="AT8" s="35" t="s">
        <v>206</v>
      </c>
      <c r="AU8" s="35" t="s">
        <v>206</v>
      </c>
      <c r="AV8" s="35" t="s">
        <v>206</v>
      </c>
      <c r="AW8" s="35" t="s">
        <v>206</v>
      </c>
      <c r="AX8" s="35" t="s">
        <v>206</v>
      </c>
      <c r="AY8" s="35" t="s">
        <v>206</v>
      </c>
      <c r="AZ8" s="35" t="s">
        <v>206</v>
      </c>
      <c r="BA8" s="35" t="s">
        <v>206</v>
      </c>
      <c r="BB8" s="35" t="s">
        <v>206</v>
      </c>
      <c r="BC8" s="35" t="s">
        <v>206</v>
      </c>
      <c r="BD8" s="35" t="s">
        <v>206</v>
      </c>
      <c r="BE8" s="35" t="s">
        <v>206</v>
      </c>
      <c r="BF8" s="35" t="s">
        <v>206</v>
      </c>
      <c r="BG8" s="35" t="s">
        <v>206</v>
      </c>
      <c r="BH8" s="35" t="s">
        <v>206</v>
      </c>
      <c r="BI8" s="35" t="s">
        <v>206</v>
      </c>
      <c r="BJ8" s="35" t="s">
        <v>206</v>
      </c>
      <c r="BK8" s="35" t="s">
        <v>206</v>
      </c>
      <c r="BL8" s="35" t="s">
        <v>206</v>
      </c>
      <c r="BM8" s="35" t="s">
        <v>206</v>
      </c>
      <c r="BN8" s="35" t="s">
        <v>206</v>
      </c>
      <c r="BO8" s="35" t="s">
        <v>206</v>
      </c>
      <c r="BP8" s="35" t="s">
        <v>206</v>
      </c>
      <c r="BQ8" s="35" t="s">
        <v>206</v>
      </c>
      <c r="BR8" s="35" t="s">
        <v>206</v>
      </c>
      <c r="BS8" s="35" t="s">
        <v>206</v>
      </c>
      <c r="BT8" s="35" t="s">
        <v>206</v>
      </c>
      <c r="BU8" s="35" t="s">
        <v>206</v>
      </c>
      <c r="BV8" s="35" t="s">
        <v>206</v>
      </c>
      <c r="BW8" s="35" t="s">
        <v>206</v>
      </c>
      <c r="BX8" s="35" t="s">
        <v>206</v>
      </c>
      <c r="BY8" s="35" t="s">
        <v>206</v>
      </c>
      <c r="BZ8" s="35" t="s">
        <v>206</v>
      </c>
      <c r="CA8" s="35" t="s">
        <v>206</v>
      </c>
      <c r="CB8" s="35" t="s">
        <v>206</v>
      </c>
      <c r="CC8" s="35" t="s">
        <v>206</v>
      </c>
      <c r="CD8" s="35" t="s">
        <v>206</v>
      </c>
      <c r="CE8" s="35" t="s">
        <v>206</v>
      </c>
      <c r="CF8" s="35" t="s">
        <v>206</v>
      </c>
      <c r="CG8" s="35" t="s">
        <v>206</v>
      </c>
      <c r="CH8" s="35" t="s">
        <v>206</v>
      </c>
      <c r="CI8" s="35" t="s">
        <v>206</v>
      </c>
      <c r="CJ8" s="35" t="s">
        <v>206</v>
      </c>
      <c r="CK8" s="35" t="s">
        <v>206</v>
      </c>
      <c r="CL8" s="35" t="s">
        <v>206</v>
      </c>
      <c r="CM8" s="35" t="s">
        <v>206</v>
      </c>
      <c r="CN8" s="35" t="s">
        <v>206</v>
      </c>
      <c r="CO8" s="35" t="s">
        <v>206</v>
      </c>
      <c r="CP8" s="35" t="s">
        <v>206</v>
      </c>
      <c r="CQ8" s="35" t="s">
        <v>206</v>
      </c>
      <c r="CR8" s="35" t="s">
        <v>206</v>
      </c>
      <c r="CS8" s="35" t="s">
        <v>206</v>
      </c>
      <c r="CT8" s="35" t="s">
        <v>206</v>
      </c>
      <c r="CU8" s="35" t="s">
        <v>206</v>
      </c>
      <c r="CV8" s="35" t="s">
        <v>206</v>
      </c>
      <c r="CW8" s="35" t="s">
        <v>206</v>
      </c>
      <c r="CX8" s="35" t="s">
        <v>206</v>
      </c>
      <c r="CY8" s="35" t="s">
        <v>206</v>
      </c>
      <c r="CZ8" s="35" t="s">
        <v>206</v>
      </c>
      <c r="DA8" s="35" t="s">
        <v>206</v>
      </c>
      <c r="DB8" s="35" t="s">
        <v>206</v>
      </c>
      <c r="DC8" s="35" t="s">
        <v>206</v>
      </c>
      <c r="DD8" s="35" t="s">
        <v>206</v>
      </c>
      <c r="DE8" s="35" t="s">
        <v>206</v>
      </c>
      <c r="DF8" s="35" t="s">
        <v>206</v>
      </c>
      <c r="DG8" s="35" t="s">
        <v>206</v>
      </c>
      <c r="DH8" s="35" t="s">
        <v>206</v>
      </c>
      <c r="DI8" s="35" t="s">
        <v>206</v>
      </c>
      <c r="DJ8" s="35" t="s">
        <v>206</v>
      </c>
      <c r="DK8" s="35" t="s">
        <v>206</v>
      </c>
      <c r="DL8" s="35" t="s">
        <v>206</v>
      </c>
      <c r="DM8" s="35" t="s">
        <v>206</v>
      </c>
      <c r="DN8" s="35" t="s">
        <v>206</v>
      </c>
      <c r="DO8" s="35" t="s">
        <v>206</v>
      </c>
      <c r="DP8" s="35" t="s">
        <v>206</v>
      </c>
      <c r="DQ8" s="35" t="s">
        <v>206</v>
      </c>
      <c r="DR8" s="35" t="s">
        <v>206</v>
      </c>
      <c r="DS8" s="35" t="s">
        <v>206</v>
      </c>
      <c r="DT8" s="35" t="s">
        <v>206</v>
      </c>
      <c r="DU8" s="35" t="s">
        <v>206</v>
      </c>
      <c r="DV8" s="35" t="s">
        <v>206</v>
      </c>
      <c r="DW8" s="35" t="s">
        <v>206</v>
      </c>
      <c r="DX8" s="35" t="s">
        <v>206</v>
      </c>
      <c r="DY8" s="35" t="s">
        <v>206</v>
      </c>
      <c r="DZ8" s="35" t="s">
        <v>206</v>
      </c>
      <c r="EA8" s="35" t="s">
        <v>206</v>
      </c>
      <c r="EB8" s="35" t="s">
        <v>206</v>
      </c>
      <c r="EC8" s="35" t="s">
        <v>206</v>
      </c>
      <c r="ED8" s="35" t="s">
        <v>206</v>
      </c>
      <c r="EE8" s="35" t="s">
        <v>206</v>
      </c>
      <c r="EF8" s="35" t="s">
        <v>206</v>
      </c>
      <c r="EG8" s="35" t="s">
        <v>206</v>
      </c>
      <c r="EH8" s="35" t="s">
        <v>206</v>
      </c>
      <c r="EI8" s="35" t="s">
        <v>206</v>
      </c>
      <c r="EJ8" s="35" t="s">
        <v>206</v>
      </c>
      <c r="EK8" s="35" t="s">
        <v>206</v>
      </c>
      <c r="EL8" s="35" t="s">
        <v>206</v>
      </c>
      <c r="EM8" s="35" t="s">
        <v>206</v>
      </c>
      <c r="EN8" s="35" t="s">
        <v>206</v>
      </c>
      <c r="EO8" s="35" t="s">
        <v>206</v>
      </c>
      <c r="EP8" s="35" t="s">
        <v>206</v>
      </c>
      <c r="EQ8" s="35" t="s">
        <v>206</v>
      </c>
      <c r="ER8" s="35" t="s">
        <v>206</v>
      </c>
      <c r="ES8" s="35" t="s">
        <v>206</v>
      </c>
      <c r="ET8" s="35" t="s">
        <v>206</v>
      </c>
      <c r="EU8" s="35" t="s">
        <v>206</v>
      </c>
      <c r="EV8" s="35" t="s">
        <v>206</v>
      </c>
      <c r="EW8" s="35" t="s">
        <v>206</v>
      </c>
      <c r="EX8" s="35" t="s">
        <v>206</v>
      </c>
      <c r="EY8" s="35" t="s">
        <v>206</v>
      </c>
      <c r="EZ8" s="35" t="s">
        <v>206</v>
      </c>
      <c r="FA8" s="35" t="s">
        <v>206</v>
      </c>
      <c r="FB8" s="35" t="s">
        <v>206</v>
      </c>
      <c r="FC8" s="35" t="s">
        <v>206</v>
      </c>
      <c r="FD8" s="35" t="s">
        <v>206</v>
      </c>
      <c r="FE8" s="35" t="s">
        <v>206</v>
      </c>
      <c r="FF8" s="35" t="s">
        <v>206</v>
      </c>
      <c r="FG8" s="35" t="s">
        <v>206</v>
      </c>
      <c r="FH8" s="35" t="s">
        <v>206</v>
      </c>
      <c r="FI8" s="35" t="s">
        <v>206</v>
      </c>
      <c r="FJ8" s="35" t="s">
        <v>206</v>
      </c>
      <c r="FK8" s="35" t="s">
        <v>206</v>
      </c>
      <c r="FL8" s="35" t="s">
        <v>206</v>
      </c>
    </row>
    <row r="9" spans="1:168" ht="11.45" customHeight="1" x14ac:dyDescent="0.25">
      <c r="A9" s="34" t="s">
        <v>211</v>
      </c>
      <c r="B9" s="34" t="s">
        <v>211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  <c r="Q9" s="3" t="s">
        <v>24</v>
      </c>
      <c r="R9" s="3" t="s">
        <v>25</v>
      </c>
      <c r="S9" s="3" t="s">
        <v>26</v>
      </c>
      <c r="T9" s="3" t="s">
        <v>27</v>
      </c>
      <c r="U9" s="3" t="s">
        <v>28</v>
      </c>
      <c r="V9" s="3" t="s">
        <v>29</v>
      </c>
      <c r="W9" s="3" t="s">
        <v>30</v>
      </c>
      <c r="X9" s="3" t="s">
        <v>31</v>
      </c>
      <c r="Y9" s="3" t="s">
        <v>32</v>
      </c>
      <c r="Z9" s="3" t="s">
        <v>33</v>
      </c>
      <c r="AA9" s="3" t="s">
        <v>34</v>
      </c>
      <c r="AB9" s="3" t="s">
        <v>35</v>
      </c>
      <c r="AC9" s="3" t="s">
        <v>36</v>
      </c>
      <c r="AD9" s="3" t="s">
        <v>37</v>
      </c>
      <c r="AE9" s="3" t="s">
        <v>38</v>
      </c>
      <c r="AF9" s="3" t="s">
        <v>39</v>
      </c>
      <c r="AG9" s="3" t="s">
        <v>40</v>
      </c>
      <c r="AH9" s="3" t="s">
        <v>41</v>
      </c>
      <c r="AI9" s="3" t="s">
        <v>42</v>
      </c>
      <c r="AJ9" s="3" t="s">
        <v>43</v>
      </c>
      <c r="AK9" s="3" t="s">
        <v>44</v>
      </c>
      <c r="AL9" s="3" t="s">
        <v>45</v>
      </c>
      <c r="AM9" s="3" t="s">
        <v>46</v>
      </c>
      <c r="AN9" s="3" t="s">
        <v>47</v>
      </c>
      <c r="AO9" s="3" t="s">
        <v>48</v>
      </c>
      <c r="AP9" s="3" t="s">
        <v>49</v>
      </c>
      <c r="AQ9" s="3" t="s">
        <v>50</v>
      </c>
      <c r="AR9" s="3" t="s">
        <v>51</v>
      </c>
      <c r="AS9" s="3" t="s">
        <v>52</v>
      </c>
      <c r="AT9" s="3" t="s">
        <v>53</v>
      </c>
      <c r="AU9" s="3" t="s">
        <v>54</v>
      </c>
      <c r="AV9" s="3" t="s">
        <v>55</v>
      </c>
      <c r="AW9" s="3" t="s">
        <v>56</v>
      </c>
      <c r="AX9" s="3" t="s">
        <v>57</v>
      </c>
      <c r="AY9" s="3" t="s">
        <v>58</v>
      </c>
      <c r="AZ9" s="3" t="s">
        <v>59</v>
      </c>
      <c r="BA9" s="3" t="s">
        <v>60</v>
      </c>
      <c r="BB9" s="3" t="s">
        <v>61</v>
      </c>
      <c r="BC9" s="3" t="s">
        <v>62</v>
      </c>
      <c r="BD9" s="3" t="s">
        <v>63</v>
      </c>
      <c r="BE9" s="3" t="s">
        <v>64</v>
      </c>
      <c r="BF9" s="3" t="s">
        <v>65</v>
      </c>
      <c r="BG9" s="3" t="s">
        <v>66</v>
      </c>
      <c r="BH9" s="3" t="s">
        <v>67</v>
      </c>
      <c r="BI9" s="3" t="s">
        <v>68</v>
      </c>
      <c r="BJ9" s="3" t="s">
        <v>69</v>
      </c>
      <c r="BK9" s="3" t="s">
        <v>70</v>
      </c>
      <c r="BL9" s="3" t="s">
        <v>71</v>
      </c>
      <c r="BM9" s="3" t="s">
        <v>72</v>
      </c>
      <c r="BN9" s="3" t="s">
        <v>73</v>
      </c>
      <c r="BO9" s="3" t="s">
        <v>74</v>
      </c>
      <c r="BP9" s="3" t="s">
        <v>75</v>
      </c>
      <c r="BQ9" s="3" t="s">
        <v>76</v>
      </c>
      <c r="BR9" s="3" t="s">
        <v>77</v>
      </c>
      <c r="BS9" s="3" t="s">
        <v>78</v>
      </c>
      <c r="BT9" s="3" t="s">
        <v>79</v>
      </c>
      <c r="BU9" s="3" t="s">
        <v>80</v>
      </c>
      <c r="BV9" s="3" t="s">
        <v>81</v>
      </c>
      <c r="BW9" s="3" t="s">
        <v>82</v>
      </c>
      <c r="BX9" s="3" t="s">
        <v>83</v>
      </c>
      <c r="BY9" s="3" t="s">
        <v>84</v>
      </c>
      <c r="BZ9" s="3" t="s">
        <v>85</v>
      </c>
      <c r="CA9" s="3" t="s">
        <v>86</v>
      </c>
      <c r="CB9" s="3" t="s">
        <v>87</v>
      </c>
      <c r="CC9" s="3" t="s">
        <v>88</v>
      </c>
      <c r="CD9" s="3" t="s">
        <v>89</v>
      </c>
      <c r="CE9" s="3" t="s">
        <v>90</v>
      </c>
      <c r="CF9" s="3" t="s">
        <v>91</v>
      </c>
      <c r="CG9" s="3" t="s">
        <v>92</v>
      </c>
      <c r="CH9" s="3" t="s">
        <v>93</v>
      </c>
      <c r="CI9" s="3" t="s">
        <v>94</v>
      </c>
      <c r="CJ9" s="3" t="s">
        <v>95</v>
      </c>
      <c r="CK9" s="3" t="s">
        <v>96</v>
      </c>
      <c r="CL9" s="3" t="s">
        <v>97</v>
      </c>
      <c r="CM9" s="11" t="s">
        <v>98</v>
      </c>
      <c r="CN9" s="11" t="s">
        <v>99</v>
      </c>
      <c r="CO9" s="11" t="s">
        <v>100</v>
      </c>
      <c r="CP9" s="11" t="s">
        <v>101</v>
      </c>
      <c r="CQ9" s="11" t="s">
        <v>102</v>
      </c>
      <c r="CR9" s="11" t="s">
        <v>103</v>
      </c>
      <c r="CS9" s="11" t="s">
        <v>104</v>
      </c>
      <c r="CT9" s="11" t="s">
        <v>105</v>
      </c>
      <c r="CU9" s="11" t="s">
        <v>106</v>
      </c>
      <c r="CV9" s="11" t="s">
        <v>107</v>
      </c>
      <c r="CW9" s="11" t="s">
        <v>108</v>
      </c>
      <c r="CX9" s="11" t="s">
        <v>109</v>
      </c>
      <c r="CY9" s="11" t="s">
        <v>110</v>
      </c>
      <c r="CZ9" s="11" t="s">
        <v>111</v>
      </c>
      <c r="DA9" s="11" t="s">
        <v>112</v>
      </c>
      <c r="DB9" s="11" t="s">
        <v>113</v>
      </c>
      <c r="DC9" s="11" t="s">
        <v>114</v>
      </c>
      <c r="DD9" s="11" t="s">
        <v>115</v>
      </c>
      <c r="DE9" s="11" t="s">
        <v>116</v>
      </c>
      <c r="DF9" s="11" t="s">
        <v>117</v>
      </c>
      <c r="DG9" s="11" t="s">
        <v>118</v>
      </c>
      <c r="DH9" s="11" t="s">
        <v>119</v>
      </c>
      <c r="DI9" s="11" t="s">
        <v>120</v>
      </c>
      <c r="DJ9" s="11" t="s">
        <v>121</v>
      </c>
      <c r="DK9" s="11" t="s">
        <v>122</v>
      </c>
      <c r="DL9" s="11" t="s">
        <v>123</v>
      </c>
      <c r="DM9" s="11" t="s">
        <v>124</v>
      </c>
      <c r="DN9" s="11" t="s">
        <v>125</v>
      </c>
      <c r="DO9" s="11" t="s">
        <v>126</v>
      </c>
      <c r="DP9" s="11" t="s">
        <v>127</v>
      </c>
      <c r="DQ9" s="3" t="s">
        <v>128</v>
      </c>
      <c r="DR9" s="11" t="s">
        <v>129</v>
      </c>
      <c r="DS9" s="11" t="s">
        <v>130</v>
      </c>
      <c r="DT9" s="11" t="s">
        <v>131</v>
      </c>
      <c r="DU9" s="15" t="s">
        <v>132</v>
      </c>
      <c r="DV9" s="11" t="s">
        <v>133</v>
      </c>
      <c r="DW9" s="11" t="s">
        <v>134</v>
      </c>
      <c r="DX9" s="11" t="s">
        <v>135</v>
      </c>
      <c r="DY9" s="11" t="s">
        <v>136</v>
      </c>
      <c r="DZ9" s="11" t="s">
        <v>137</v>
      </c>
      <c r="EA9" s="11" t="s">
        <v>138</v>
      </c>
      <c r="EB9" s="11" t="s">
        <v>139</v>
      </c>
      <c r="EC9" s="15" t="s">
        <v>140</v>
      </c>
      <c r="ED9" s="11" t="s">
        <v>141</v>
      </c>
      <c r="EE9" s="11" t="s">
        <v>142</v>
      </c>
      <c r="EF9" s="11" t="s">
        <v>143</v>
      </c>
      <c r="EG9" s="11" t="s">
        <v>144</v>
      </c>
      <c r="EH9" s="15" t="s">
        <v>145</v>
      </c>
      <c r="EI9" s="15" t="s">
        <v>146</v>
      </c>
      <c r="EJ9" s="15" t="s">
        <v>147</v>
      </c>
      <c r="EK9" s="15" t="s">
        <v>148</v>
      </c>
      <c r="EL9" s="11" t="s">
        <v>149</v>
      </c>
      <c r="EM9" s="11" t="s">
        <v>150</v>
      </c>
      <c r="EN9" s="11" t="s">
        <v>151</v>
      </c>
      <c r="EO9" s="11" t="s">
        <v>152</v>
      </c>
      <c r="EP9" s="11" t="s">
        <v>153</v>
      </c>
      <c r="EQ9" s="15" t="s">
        <v>154</v>
      </c>
      <c r="ER9" s="3" t="s">
        <v>155</v>
      </c>
      <c r="ES9" s="3" t="s">
        <v>156</v>
      </c>
      <c r="ET9" s="3" t="s">
        <v>157</v>
      </c>
      <c r="EU9" s="3" t="s">
        <v>158</v>
      </c>
      <c r="EV9" s="3" t="s">
        <v>159</v>
      </c>
      <c r="EW9" s="3" t="s">
        <v>160</v>
      </c>
      <c r="EX9" s="3" t="s">
        <v>161</v>
      </c>
      <c r="EY9" s="3" t="s">
        <v>162</v>
      </c>
      <c r="EZ9" s="3" t="s">
        <v>163</v>
      </c>
      <c r="FA9" s="3" t="s">
        <v>164</v>
      </c>
      <c r="FB9" s="3" t="s">
        <v>165</v>
      </c>
      <c r="FC9" s="3" t="s">
        <v>166</v>
      </c>
      <c r="FD9" s="3" t="s">
        <v>167</v>
      </c>
      <c r="FE9" s="3" t="s">
        <v>168</v>
      </c>
      <c r="FF9" s="3" t="s">
        <v>169</v>
      </c>
      <c r="FG9" s="3" t="s">
        <v>170</v>
      </c>
      <c r="FH9" s="3" t="s">
        <v>171</v>
      </c>
      <c r="FI9" s="3" t="s">
        <v>172</v>
      </c>
      <c r="FJ9" s="3" t="s">
        <v>173</v>
      </c>
      <c r="FK9" s="3" t="s">
        <v>174</v>
      </c>
      <c r="FL9" s="3" t="s">
        <v>175</v>
      </c>
    </row>
    <row r="10" spans="1:168" ht="11.45" customHeight="1" x14ac:dyDescent="0.25">
      <c r="A10" s="4" t="s">
        <v>212</v>
      </c>
      <c r="B10" s="4" t="s">
        <v>213</v>
      </c>
      <c r="C10" s="6" t="s">
        <v>214</v>
      </c>
      <c r="D10" s="6" t="s">
        <v>214</v>
      </c>
      <c r="E10" s="6" t="s">
        <v>214</v>
      </c>
      <c r="F10" s="6" t="s">
        <v>214</v>
      </c>
      <c r="G10" s="6" t="s">
        <v>214</v>
      </c>
      <c r="H10" s="6" t="s">
        <v>214</v>
      </c>
      <c r="I10" s="6" t="s">
        <v>214</v>
      </c>
      <c r="J10" s="6" t="s">
        <v>214</v>
      </c>
      <c r="K10" s="6" t="s">
        <v>214</v>
      </c>
      <c r="L10" s="6" t="s">
        <v>214</v>
      </c>
      <c r="M10" s="6" t="s">
        <v>214</v>
      </c>
      <c r="N10" s="6" t="s">
        <v>214</v>
      </c>
      <c r="O10" s="6" t="s">
        <v>214</v>
      </c>
      <c r="P10" s="6" t="s">
        <v>214</v>
      </c>
      <c r="Q10" s="6" t="s">
        <v>214</v>
      </c>
      <c r="R10" s="6" t="s">
        <v>214</v>
      </c>
      <c r="S10" s="6" t="s">
        <v>214</v>
      </c>
      <c r="T10" s="6" t="s">
        <v>214</v>
      </c>
      <c r="U10" s="6" t="s">
        <v>214</v>
      </c>
      <c r="V10" s="6" t="s">
        <v>214</v>
      </c>
      <c r="W10" s="6" t="s">
        <v>214</v>
      </c>
      <c r="X10" s="6" t="s">
        <v>214</v>
      </c>
      <c r="Y10" s="6" t="s">
        <v>214</v>
      </c>
      <c r="Z10" s="6" t="s">
        <v>214</v>
      </c>
      <c r="AA10" s="6" t="s">
        <v>214</v>
      </c>
      <c r="AB10" s="6" t="s">
        <v>214</v>
      </c>
      <c r="AC10" s="6" t="s">
        <v>214</v>
      </c>
      <c r="AD10" s="6" t="s">
        <v>214</v>
      </c>
      <c r="AE10" s="6" t="s">
        <v>214</v>
      </c>
      <c r="AF10" s="6" t="s">
        <v>214</v>
      </c>
      <c r="AG10" s="6" t="s">
        <v>214</v>
      </c>
      <c r="AH10" s="6" t="s">
        <v>214</v>
      </c>
      <c r="AI10" s="6" t="s">
        <v>214</v>
      </c>
      <c r="AJ10" s="6" t="s">
        <v>214</v>
      </c>
      <c r="AK10" s="6" t="s">
        <v>214</v>
      </c>
      <c r="AL10" s="6" t="s">
        <v>214</v>
      </c>
      <c r="AM10" s="6" t="s">
        <v>214</v>
      </c>
      <c r="AN10" s="6" t="s">
        <v>214</v>
      </c>
      <c r="AO10" s="6" t="s">
        <v>214</v>
      </c>
      <c r="AP10" s="6" t="s">
        <v>214</v>
      </c>
      <c r="AQ10" s="6" t="s">
        <v>214</v>
      </c>
      <c r="AR10" s="6" t="s">
        <v>214</v>
      </c>
      <c r="AS10" s="6" t="s">
        <v>214</v>
      </c>
      <c r="AT10" s="6" t="s">
        <v>214</v>
      </c>
      <c r="AU10" s="6" t="s">
        <v>214</v>
      </c>
      <c r="AV10" s="6" t="s">
        <v>214</v>
      </c>
      <c r="AW10" s="6" t="s">
        <v>214</v>
      </c>
      <c r="AX10" s="6" t="s">
        <v>214</v>
      </c>
      <c r="AY10" s="6" t="s">
        <v>214</v>
      </c>
      <c r="AZ10" s="6" t="s">
        <v>214</v>
      </c>
      <c r="BA10" s="6" t="s">
        <v>214</v>
      </c>
      <c r="BB10" s="6" t="s">
        <v>214</v>
      </c>
      <c r="BC10" s="6" t="s">
        <v>214</v>
      </c>
      <c r="BD10" s="6" t="s">
        <v>214</v>
      </c>
      <c r="BE10" s="6" t="s">
        <v>214</v>
      </c>
      <c r="BF10" s="6" t="s">
        <v>214</v>
      </c>
      <c r="BG10" s="6" t="s">
        <v>214</v>
      </c>
      <c r="BH10" s="6" t="s">
        <v>214</v>
      </c>
      <c r="BI10" s="6" t="s">
        <v>214</v>
      </c>
      <c r="BJ10" s="6" t="s">
        <v>214</v>
      </c>
      <c r="BK10" s="6" t="s">
        <v>214</v>
      </c>
      <c r="BL10" s="6" t="s">
        <v>214</v>
      </c>
      <c r="BM10" s="6" t="s">
        <v>214</v>
      </c>
      <c r="BN10" s="6" t="s">
        <v>214</v>
      </c>
      <c r="BO10" s="6" t="s">
        <v>214</v>
      </c>
      <c r="BP10" s="6" t="s">
        <v>214</v>
      </c>
      <c r="BQ10" s="6" t="s">
        <v>214</v>
      </c>
      <c r="BR10" s="6" t="s">
        <v>214</v>
      </c>
      <c r="BS10" s="6" t="s">
        <v>214</v>
      </c>
      <c r="BT10" s="6" t="s">
        <v>214</v>
      </c>
      <c r="BU10" s="6" t="s">
        <v>214</v>
      </c>
      <c r="BV10" s="6" t="s">
        <v>214</v>
      </c>
      <c r="BW10" s="6" t="s">
        <v>214</v>
      </c>
      <c r="BX10" s="6" t="s">
        <v>214</v>
      </c>
      <c r="BY10" s="6" t="s">
        <v>214</v>
      </c>
      <c r="BZ10" s="6" t="s">
        <v>214</v>
      </c>
      <c r="CA10" s="6" t="s">
        <v>214</v>
      </c>
      <c r="CB10" s="6" t="s">
        <v>214</v>
      </c>
      <c r="CC10" s="6" t="s">
        <v>214</v>
      </c>
      <c r="CD10" s="6" t="s">
        <v>214</v>
      </c>
      <c r="CE10" s="6" t="s">
        <v>214</v>
      </c>
      <c r="CF10" s="6" t="s">
        <v>214</v>
      </c>
      <c r="CG10" s="6" t="s">
        <v>214</v>
      </c>
      <c r="CH10" s="6" t="s">
        <v>214</v>
      </c>
      <c r="CI10" s="6" t="s">
        <v>214</v>
      </c>
      <c r="CJ10" s="6" t="s">
        <v>214</v>
      </c>
      <c r="CK10" s="6" t="s">
        <v>214</v>
      </c>
      <c r="CL10" s="6" t="s">
        <v>214</v>
      </c>
      <c r="CM10" s="6" t="s">
        <v>214</v>
      </c>
      <c r="CN10" s="6" t="s">
        <v>214</v>
      </c>
      <c r="CO10" s="6" t="s">
        <v>214</v>
      </c>
      <c r="CP10" s="6" t="s">
        <v>214</v>
      </c>
      <c r="CQ10" s="6" t="s">
        <v>214</v>
      </c>
      <c r="CR10" s="6" t="s">
        <v>214</v>
      </c>
      <c r="CS10" s="6" t="s">
        <v>214</v>
      </c>
      <c r="CT10" s="6" t="s">
        <v>214</v>
      </c>
      <c r="CU10" s="6" t="s">
        <v>214</v>
      </c>
      <c r="CV10" s="6" t="s">
        <v>214</v>
      </c>
      <c r="CW10" s="6" t="s">
        <v>214</v>
      </c>
      <c r="CX10" s="6" t="s">
        <v>214</v>
      </c>
      <c r="CY10" s="6" t="s">
        <v>214</v>
      </c>
      <c r="CZ10" s="6" t="s">
        <v>214</v>
      </c>
      <c r="DA10" s="6" t="s">
        <v>214</v>
      </c>
      <c r="DB10" s="6" t="s">
        <v>214</v>
      </c>
      <c r="DC10" s="6" t="s">
        <v>214</v>
      </c>
      <c r="DD10" s="6" t="s">
        <v>214</v>
      </c>
      <c r="DE10" s="6" t="s">
        <v>214</v>
      </c>
      <c r="DF10" s="6" t="s">
        <v>214</v>
      </c>
      <c r="DG10" s="6" t="s">
        <v>214</v>
      </c>
      <c r="DH10" s="6" t="s">
        <v>214</v>
      </c>
      <c r="DI10" s="6" t="s">
        <v>214</v>
      </c>
      <c r="DJ10" s="6" t="s">
        <v>214</v>
      </c>
      <c r="DK10" s="6" t="s">
        <v>214</v>
      </c>
      <c r="DL10" s="6" t="s">
        <v>214</v>
      </c>
      <c r="DM10" s="6" t="s">
        <v>214</v>
      </c>
      <c r="DN10" s="6" t="s">
        <v>214</v>
      </c>
      <c r="DO10" s="6" t="s">
        <v>214</v>
      </c>
      <c r="DP10" s="6" t="s">
        <v>214</v>
      </c>
      <c r="DQ10" s="6" t="s">
        <v>214</v>
      </c>
      <c r="DR10" s="6" t="s">
        <v>214</v>
      </c>
      <c r="DS10" s="6" t="s">
        <v>214</v>
      </c>
      <c r="DT10" s="6" t="s">
        <v>214</v>
      </c>
      <c r="DU10" s="6" t="s">
        <v>214</v>
      </c>
      <c r="DV10" s="6" t="s">
        <v>214</v>
      </c>
      <c r="DW10" s="6" t="s">
        <v>214</v>
      </c>
      <c r="DX10" s="6" t="s">
        <v>214</v>
      </c>
      <c r="DY10" s="6" t="s">
        <v>214</v>
      </c>
      <c r="DZ10" s="6" t="s">
        <v>214</v>
      </c>
      <c r="EA10" s="6" t="s">
        <v>214</v>
      </c>
      <c r="EB10" s="6" t="s">
        <v>214</v>
      </c>
      <c r="EC10" s="6" t="s">
        <v>214</v>
      </c>
      <c r="ED10" s="6" t="s">
        <v>214</v>
      </c>
      <c r="EE10" s="6" t="s">
        <v>214</v>
      </c>
      <c r="EF10" s="6" t="s">
        <v>214</v>
      </c>
      <c r="EG10" s="6" t="s">
        <v>214</v>
      </c>
      <c r="EH10" s="6" t="s">
        <v>214</v>
      </c>
      <c r="EI10" s="6" t="s">
        <v>214</v>
      </c>
      <c r="EJ10" s="6" t="s">
        <v>214</v>
      </c>
      <c r="EK10" s="6" t="s">
        <v>214</v>
      </c>
      <c r="EL10" s="6" t="s">
        <v>214</v>
      </c>
      <c r="EM10" s="6" t="s">
        <v>214</v>
      </c>
      <c r="EN10" s="6" t="s">
        <v>214</v>
      </c>
      <c r="EO10" s="6" t="s">
        <v>214</v>
      </c>
      <c r="EP10" s="6" t="s">
        <v>214</v>
      </c>
      <c r="EQ10" s="6" t="s">
        <v>214</v>
      </c>
      <c r="ER10" s="6" t="s">
        <v>214</v>
      </c>
      <c r="ES10" s="6" t="s">
        <v>214</v>
      </c>
      <c r="ET10" s="6" t="s">
        <v>214</v>
      </c>
      <c r="EU10" s="6" t="s">
        <v>214</v>
      </c>
      <c r="EV10" s="6" t="s">
        <v>214</v>
      </c>
      <c r="EW10" s="6" t="s">
        <v>214</v>
      </c>
      <c r="EX10" s="6" t="s">
        <v>214</v>
      </c>
      <c r="EY10" s="6" t="s">
        <v>214</v>
      </c>
      <c r="EZ10" s="6" t="s">
        <v>214</v>
      </c>
      <c r="FA10" s="6" t="s">
        <v>214</v>
      </c>
      <c r="FB10" s="6" t="s">
        <v>214</v>
      </c>
      <c r="FC10" s="6" t="s">
        <v>214</v>
      </c>
      <c r="FD10" s="6" t="s">
        <v>214</v>
      </c>
      <c r="FE10" s="6" t="s">
        <v>214</v>
      </c>
      <c r="FF10" s="6" t="s">
        <v>214</v>
      </c>
      <c r="FG10" s="6" t="s">
        <v>214</v>
      </c>
      <c r="FH10" s="6" t="s">
        <v>214</v>
      </c>
      <c r="FI10" s="6" t="s">
        <v>214</v>
      </c>
      <c r="FJ10" s="6" t="s">
        <v>214</v>
      </c>
      <c r="FK10" s="6" t="s">
        <v>214</v>
      </c>
      <c r="FL10" s="6" t="s">
        <v>214</v>
      </c>
    </row>
    <row r="11" spans="1:168" ht="11.45" customHeight="1" x14ac:dyDescent="0.25">
      <c r="A11" s="5" t="s">
        <v>176</v>
      </c>
      <c r="B11" s="5" t="s">
        <v>6</v>
      </c>
      <c r="C11" s="13">
        <v>3546.7561599999999</v>
      </c>
      <c r="D11" s="13">
        <v>3749.8847700000001</v>
      </c>
      <c r="E11" s="13">
        <v>2901.96738</v>
      </c>
      <c r="F11" s="13">
        <v>2827.4780799999999</v>
      </c>
      <c r="G11" s="13">
        <v>1024.2749699999999</v>
      </c>
      <c r="H11" s="13">
        <v>883.98896000000002</v>
      </c>
      <c r="I11" s="13">
        <v>99.749290000000002</v>
      </c>
      <c r="J11" s="13">
        <v>40.536720000000003</v>
      </c>
      <c r="K11" s="13">
        <v>429.8956</v>
      </c>
      <c r="L11" s="13">
        <v>82.544399999999996</v>
      </c>
      <c r="M11" s="13">
        <v>8.5661900000000006</v>
      </c>
      <c r="N11" s="13">
        <v>61.071869999999997</v>
      </c>
      <c r="O11" s="13">
        <v>23.666149999999998</v>
      </c>
      <c r="P11" s="13">
        <v>36.711030000000001</v>
      </c>
      <c r="Q11" s="13">
        <v>87.153949999999995</v>
      </c>
      <c r="R11" s="13">
        <v>128.12606</v>
      </c>
      <c r="S11" s="13">
        <v>830.88806</v>
      </c>
      <c r="T11" s="13">
        <v>14.63443</v>
      </c>
      <c r="U11" s="13">
        <v>787.80670999999995</v>
      </c>
      <c r="V11" s="13">
        <v>483.14697999999999</v>
      </c>
      <c r="W11" s="13">
        <v>85.944329999999994</v>
      </c>
      <c r="X11" s="13">
        <v>209.12551999999999</v>
      </c>
      <c r="Y11" s="13">
        <v>9.4781399999999998</v>
      </c>
      <c r="Z11" s="13">
        <v>0.11174000000000001</v>
      </c>
      <c r="AA11" s="13">
        <v>4.1284200000000002</v>
      </c>
      <c r="AB11" s="13">
        <v>18.13082</v>
      </c>
      <c r="AC11" s="13">
        <v>6.1876800000000003</v>
      </c>
      <c r="AD11" s="13">
        <v>536.69506999999999</v>
      </c>
      <c r="AE11" s="13">
        <v>124.31231</v>
      </c>
      <c r="AF11" s="13">
        <v>333.72367000000003</v>
      </c>
      <c r="AG11" s="13">
        <v>78.659090000000006</v>
      </c>
      <c r="AH11" s="13">
        <v>5.7243899999999996</v>
      </c>
      <c r="AI11" s="13">
        <v>3.51383</v>
      </c>
      <c r="AJ11" s="13">
        <v>2.2105600000000001</v>
      </c>
      <c r="AK11" s="13">
        <v>74.4893</v>
      </c>
      <c r="AL11" s="13">
        <v>34.93627</v>
      </c>
      <c r="AM11" s="13">
        <v>39.55303</v>
      </c>
      <c r="AN11" s="13">
        <v>0</v>
      </c>
      <c r="AO11" s="13">
        <v>267.43164999999999</v>
      </c>
      <c r="AP11" s="13">
        <v>130.06639000000001</v>
      </c>
      <c r="AQ11" s="13">
        <v>137.36526000000001</v>
      </c>
      <c r="AR11" s="13">
        <v>2.1700000000000001E-3</v>
      </c>
      <c r="AS11" s="13">
        <v>561.67781000000002</v>
      </c>
      <c r="AT11" s="13">
        <v>344.12963000000002</v>
      </c>
      <c r="AU11" s="13">
        <v>106.59063</v>
      </c>
      <c r="AV11" s="13">
        <v>73.607950000000002</v>
      </c>
      <c r="AW11" s="13">
        <v>18.578700000000001</v>
      </c>
      <c r="AX11" s="13">
        <v>3.9608599999999998</v>
      </c>
      <c r="AY11" s="13">
        <v>10.443110000000001</v>
      </c>
      <c r="AZ11" s="13">
        <v>66.653409999999994</v>
      </c>
      <c r="BA11" s="13">
        <v>20.815480000000001</v>
      </c>
      <c r="BB11" s="13">
        <v>3.0222600000000002</v>
      </c>
      <c r="BC11" s="13">
        <v>0.37171999999999999</v>
      </c>
      <c r="BD11" s="13">
        <v>1.70305</v>
      </c>
      <c r="BE11" s="13">
        <v>0.27703</v>
      </c>
      <c r="BF11" s="13">
        <v>0.12046</v>
      </c>
      <c r="BG11" s="13">
        <v>2.0579299999999998</v>
      </c>
      <c r="BH11" s="13">
        <v>16.713419999999999</v>
      </c>
      <c r="BI11" s="13">
        <v>3.4770599999999998</v>
      </c>
      <c r="BJ11" s="13">
        <v>18.094999999999999</v>
      </c>
      <c r="BK11" s="13">
        <v>78.773219999999995</v>
      </c>
      <c r="BL11" s="13">
        <v>69.798599999999993</v>
      </c>
      <c r="BM11" s="13">
        <v>3.0581900000000002</v>
      </c>
      <c r="BN11" s="13">
        <v>3.754</v>
      </c>
      <c r="BO11" s="13">
        <v>0.12103999999999999</v>
      </c>
      <c r="BP11" s="13">
        <v>0.20094000000000001</v>
      </c>
      <c r="BQ11" s="13">
        <v>1.0608299999999999</v>
      </c>
      <c r="BR11" s="13">
        <v>0.32874999999999999</v>
      </c>
      <c r="BS11" s="13">
        <v>6.6138700000000004</v>
      </c>
      <c r="BT11" s="13">
        <v>2.3056700000000001</v>
      </c>
      <c r="BU11" s="13">
        <v>1.0788800000000001</v>
      </c>
      <c r="BV11" s="13">
        <v>3.22933</v>
      </c>
      <c r="BW11" s="13">
        <v>0.78349999999999997</v>
      </c>
      <c r="BX11" s="13">
        <v>0.76063000000000003</v>
      </c>
      <c r="BY11" s="13">
        <v>0</v>
      </c>
      <c r="BZ11" s="13">
        <v>3.0000000000000001E-5</v>
      </c>
      <c r="CA11" s="13">
        <v>2.2839999999999999E-2</v>
      </c>
      <c r="CB11" s="13">
        <v>0</v>
      </c>
      <c r="CC11" s="13">
        <v>75.216949999999997</v>
      </c>
      <c r="CD11" s="13">
        <v>67.910839999999993</v>
      </c>
      <c r="CE11" s="13">
        <v>2.0456599999999998</v>
      </c>
      <c r="CF11" s="13">
        <v>2.4173100000000001</v>
      </c>
      <c r="CG11" s="13">
        <v>2.6212800000000001</v>
      </c>
      <c r="CH11" s="13">
        <v>4.5179999999999998E-2</v>
      </c>
      <c r="CI11" s="13">
        <v>0.17666999999999999</v>
      </c>
      <c r="CJ11" s="13">
        <v>9.1565600000000007</v>
      </c>
      <c r="CK11" s="13">
        <v>0.34150000000000003</v>
      </c>
      <c r="CL11" s="13">
        <v>386.08819</v>
      </c>
      <c r="CM11" s="13">
        <v>185.93477999999999</v>
      </c>
      <c r="CN11" s="13">
        <v>158.85768999999999</v>
      </c>
      <c r="CO11" s="13">
        <v>16.141970000000001</v>
      </c>
      <c r="CP11" s="13">
        <v>4.54657</v>
      </c>
      <c r="CQ11" s="13">
        <v>6.3885699999999996</v>
      </c>
      <c r="CR11" s="13">
        <v>66.442269999999994</v>
      </c>
      <c r="CS11" s="13">
        <v>31.036000000000001</v>
      </c>
      <c r="CT11" s="13">
        <v>1.3736200000000001</v>
      </c>
      <c r="CU11" s="13">
        <v>22.489159999999998</v>
      </c>
      <c r="CV11" s="13">
        <v>4.2940300000000002</v>
      </c>
      <c r="CW11" s="13">
        <v>7.24946</v>
      </c>
      <c r="CX11" s="13">
        <v>2.9222999999999999</v>
      </c>
      <c r="CY11" s="13">
        <v>2.9222999999999999</v>
      </c>
      <c r="CZ11" s="13">
        <v>0</v>
      </c>
      <c r="DA11" s="13">
        <v>0</v>
      </c>
      <c r="DB11" s="13">
        <v>0</v>
      </c>
      <c r="DC11" s="13">
        <v>118.49518999999999</v>
      </c>
      <c r="DD11" s="13">
        <v>93.468959999999996</v>
      </c>
      <c r="DE11" s="13">
        <v>25.026230000000002</v>
      </c>
      <c r="DF11" s="13">
        <v>0</v>
      </c>
      <c r="DG11" s="13">
        <v>0.54327000000000003</v>
      </c>
      <c r="DH11" s="13">
        <v>0.48321999999999998</v>
      </c>
      <c r="DI11" s="13">
        <v>3.4000000000000002E-4</v>
      </c>
      <c r="DJ11" s="13">
        <v>4.7499999999999999E-3</v>
      </c>
      <c r="DK11" s="13">
        <v>1.81E-3</v>
      </c>
      <c r="DL11" s="13">
        <v>5.3150000000000003E-2</v>
      </c>
      <c r="DM11" s="13">
        <v>4.9777100000000001</v>
      </c>
      <c r="DN11" s="13">
        <v>4.2564000000000002</v>
      </c>
      <c r="DO11" s="13">
        <v>0.86711000000000005</v>
      </c>
      <c r="DP11" s="13">
        <v>1.6491499999999999</v>
      </c>
      <c r="DQ11" s="13">
        <v>-203.12861000000001</v>
      </c>
      <c r="DR11" s="13">
        <v>-267.38612000000001</v>
      </c>
      <c r="DS11" s="13">
        <v>7.5812200000000001</v>
      </c>
      <c r="DT11" s="13">
        <v>-208.32791</v>
      </c>
      <c r="DU11" s="13">
        <v>-59.058210000000003</v>
      </c>
      <c r="DV11" s="13">
        <v>39.130980000000001</v>
      </c>
      <c r="DW11" s="13">
        <v>1.7805899999999999</v>
      </c>
      <c r="DX11" s="13">
        <v>15.4884</v>
      </c>
      <c r="DY11" s="13">
        <v>23.642589999999998</v>
      </c>
      <c r="DZ11" s="13">
        <v>11.65156</v>
      </c>
      <c r="EA11" s="13">
        <v>5.5119600000000002</v>
      </c>
      <c r="EB11" s="13">
        <v>30.671209999999999</v>
      </c>
      <c r="EC11" s="13">
        <v>-19.019639999999999</v>
      </c>
      <c r="ED11" s="13">
        <v>24.86138</v>
      </c>
      <c r="EE11" s="13">
        <v>10.77777</v>
      </c>
      <c r="EF11" s="13">
        <v>21.842140000000001</v>
      </c>
      <c r="EG11" s="13">
        <v>3.01925</v>
      </c>
      <c r="EH11" s="13">
        <v>26.334800000000001</v>
      </c>
      <c r="EI11" s="13">
        <v>0.68596999999999997</v>
      </c>
      <c r="EJ11" s="13">
        <v>2.2173799999999999</v>
      </c>
      <c r="EK11" s="13">
        <v>24.117419999999999</v>
      </c>
      <c r="EL11" s="13">
        <v>1.82741</v>
      </c>
      <c r="EM11" s="13">
        <v>1.82741</v>
      </c>
      <c r="EN11" s="13">
        <v>4.1079999999999998E-2</v>
      </c>
      <c r="EO11" s="13">
        <v>2.1000000000000001E-4</v>
      </c>
      <c r="EP11" s="13">
        <v>-40.066969999999998</v>
      </c>
      <c r="EQ11" s="13">
        <v>0.29733999999999999</v>
      </c>
      <c r="ER11" s="13">
        <v>113.8402</v>
      </c>
      <c r="ES11" s="13">
        <v>77.582049999999995</v>
      </c>
      <c r="ET11" s="13">
        <v>66.095060000000004</v>
      </c>
      <c r="EU11" s="13">
        <v>11.235799999999999</v>
      </c>
      <c r="EV11" s="13">
        <v>0.25119999999999998</v>
      </c>
      <c r="EW11" s="13">
        <v>6.1758600000000001</v>
      </c>
      <c r="EX11" s="13">
        <v>4.60494</v>
      </c>
      <c r="EY11" s="13">
        <v>1.5709200000000001</v>
      </c>
      <c r="EZ11" s="13">
        <v>3.30646</v>
      </c>
      <c r="FA11" s="13">
        <v>2.2479200000000001</v>
      </c>
      <c r="FB11" s="13">
        <v>1.05854</v>
      </c>
      <c r="FC11" s="13">
        <v>26.717479999999998</v>
      </c>
      <c r="FD11" s="13">
        <v>20.043340000000001</v>
      </c>
      <c r="FE11" s="13">
        <v>6.5487599999999997</v>
      </c>
      <c r="FF11" s="13">
        <v>0.12537000000000001</v>
      </c>
      <c r="FG11" s="13">
        <v>5.8349999999999999E-2</v>
      </c>
      <c r="FH11" s="13">
        <v>222.14315999999999</v>
      </c>
      <c r="FI11" s="13">
        <v>2.0517599999999998</v>
      </c>
      <c r="FJ11" s="13">
        <v>1.10372</v>
      </c>
      <c r="FK11" s="13">
        <v>0</v>
      </c>
      <c r="FL11" s="13">
        <v>3.8593600000000001</v>
      </c>
    </row>
    <row r="12" spans="1:168" s="22" customFormat="1" ht="11.45" customHeight="1" x14ac:dyDescent="0.25">
      <c r="A12" s="32" t="s">
        <v>176</v>
      </c>
      <c r="B12" s="32" t="s">
        <v>7</v>
      </c>
      <c r="C12" s="33">
        <v>2834.9584</v>
      </c>
      <c r="D12" s="33">
        <v>3062.5580399999999</v>
      </c>
      <c r="E12" s="33">
        <v>2798.7460900000001</v>
      </c>
      <c r="F12" s="33">
        <v>2776.5611199999998</v>
      </c>
      <c r="G12" s="33">
        <v>1014.74927</v>
      </c>
      <c r="H12" s="33">
        <v>875.24582999999996</v>
      </c>
      <c r="I12" s="33">
        <v>99.372309999999999</v>
      </c>
      <c r="J12" s="33">
        <v>40.131129999999999</v>
      </c>
      <c r="K12" s="33">
        <v>424.17883999999998</v>
      </c>
      <c r="L12" s="33">
        <v>82.120999999999995</v>
      </c>
      <c r="M12" s="33">
        <v>8.5341100000000001</v>
      </c>
      <c r="N12" s="33">
        <v>60.374090000000002</v>
      </c>
      <c r="O12" s="33">
        <v>22.951840000000001</v>
      </c>
      <c r="P12" s="33">
        <v>36.052289999999999</v>
      </c>
      <c r="Q12" s="33">
        <v>86.021249999999995</v>
      </c>
      <c r="R12" s="33">
        <v>126.10576</v>
      </c>
      <c r="S12" s="33">
        <v>821.90026</v>
      </c>
      <c r="T12" s="33">
        <v>14.51178</v>
      </c>
      <c r="U12" s="33">
        <v>779.48748000000001</v>
      </c>
      <c r="V12" s="33">
        <v>478.52112</v>
      </c>
      <c r="W12" s="33">
        <v>85.209969999999998</v>
      </c>
      <c r="X12" s="33">
        <v>206.49319</v>
      </c>
      <c r="Y12" s="33">
        <v>9.1672499999999992</v>
      </c>
      <c r="Z12" s="33">
        <v>9.5960000000000004E-2</v>
      </c>
      <c r="AA12" s="33">
        <v>3.9240499999999998</v>
      </c>
      <c r="AB12" s="33">
        <v>17.838570000000001</v>
      </c>
      <c r="AC12" s="33">
        <v>6.1383700000000001</v>
      </c>
      <c r="AD12" s="33">
        <v>510.05847</v>
      </c>
      <c r="AE12" s="33">
        <v>122.94423999999999</v>
      </c>
      <c r="AF12" s="33">
        <v>313.79036000000002</v>
      </c>
      <c r="AG12" s="33">
        <v>73.323869999999999</v>
      </c>
      <c r="AH12" s="33">
        <v>5.6742900000000001</v>
      </c>
      <c r="AI12" s="33">
        <v>3.4911599999999998</v>
      </c>
      <c r="AJ12" s="33">
        <v>2.1831299999999998</v>
      </c>
      <c r="AK12" s="33">
        <v>22.18497</v>
      </c>
      <c r="AL12" s="33">
        <v>4.0514700000000001</v>
      </c>
      <c r="AM12" s="33">
        <v>18.133500000000002</v>
      </c>
      <c r="AN12" s="33">
        <v>0</v>
      </c>
      <c r="AO12" s="33">
        <v>265.04023999999998</v>
      </c>
      <c r="AP12" s="33">
        <v>129.05629999999999</v>
      </c>
      <c r="AQ12" s="33">
        <v>135.98393999999999</v>
      </c>
      <c r="AR12" s="33">
        <v>2.16E-3</v>
      </c>
      <c r="AS12" s="33">
        <v>561.67781000000002</v>
      </c>
      <c r="AT12" s="33">
        <v>247.66218000000001</v>
      </c>
      <c r="AU12" s="33">
        <v>106.59063</v>
      </c>
      <c r="AV12" s="33">
        <v>73.607950000000002</v>
      </c>
      <c r="AW12" s="33">
        <v>18.578700000000001</v>
      </c>
      <c r="AX12" s="33">
        <v>3.9608599999999998</v>
      </c>
      <c r="AY12" s="33">
        <v>10.443110000000001</v>
      </c>
      <c r="AZ12" s="33">
        <v>56.317509999999999</v>
      </c>
      <c r="BA12" s="33">
        <v>20.811979999999998</v>
      </c>
      <c r="BB12" s="33">
        <v>0</v>
      </c>
      <c r="BC12" s="33">
        <v>2.2950000000000002E-2</v>
      </c>
      <c r="BD12" s="33">
        <v>0</v>
      </c>
      <c r="BE12" s="33">
        <v>0.26534999999999997</v>
      </c>
      <c r="BF12" s="33">
        <v>0.12046</v>
      </c>
      <c r="BG12" s="33">
        <v>2.0579299999999998</v>
      </c>
      <c r="BH12" s="33">
        <v>15.47588</v>
      </c>
      <c r="BI12" s="33">
        <v>0</v>
      </c>
      <c r="BJ12" s="33">
        <v>17.562950000000001</v>
      </c>
      <c r="BK12" s="33">
        <v>77.8964</v>
      </c>
      <c r="BL12" s="33">
        <v>69.621380000000002</v>
      </c>
      <c r="BM12" s="33">
        <v>3.0360399999999998</v>
      </c>
      <c r="BN12" s="33">
        <v>3.2721100000000001</v>
      </c>
      <c r="BO12" s="33">
        <v>0</v>
      </c>
      <c r="BP12" s="33">
        <v>0.20094000000000001</v>
      </c>
      <c r="BQ12" s="33">
        <v>1.0608299999999999</v>
      </c>
      <c r="BR12" s="33">
        <v>0.25423000000000001</v>
      </c>
      <c r="BS12" s="33">
        <v>6.6080699999999997</v>
      </c>
      <c r="BT12" s="33">
        <v>2.3020800000000001</v>
      </c>
      <c r="BU12" s="33">
        <v>1.07717</v>
      </c>
      <c r="BV12" s="33">
        <v>3.2288199999999998</v>
      </c>
      <c r="BW12" s="33">
        <v>0</v>
      </c>
      <c r="BX12" s="33">
        <v>0</v>
      </c>
      <c r="BY12" s="33">
        <v>0</v>
      </c>
      <c r="BZ12" s="33">
        <v>0</v>
      </c>
      <c r="CA12" s="33">
        <v>0</v>
      </c>
      <c r="CB12" s="33">
        <v>0</v>
      </c>
      <c r="CC12" s="33">
        <v>0</v>
      </c>
      <c r="CD12" s="33">
        <v>0</v>
      </c>
      <c r="CE12" s="33">
        <v>0</v>
      </c>
      <c r="CF12" s="33">
        <v>0</v>
      </c>
      <c r="CG12" s="33">
        <v>0</v>
      </c>
      <c r="CH12" s="33">
        <v>0</v>
      </c>
      <c r="CI12" s="33">
        <v>0</v>
      </c>
      <c r="CJ12" s="33">
        <v>0.12584000000000001</v>
      </c>
      <c r="CK12" s="33">
        <v>0.12374</v>
      </c>
      <c r="CL12" s="33">
        <v>10.10122</v>
      </c>
      <c r="CM12" s="33">
        <v>0</v>
      </c>
      <c r="CN12" s="33">
        <v>0</v>
      </c>
      <c r="CO12" s="33">
        <v>0</v>
      </c>
      <c r="CP12" s="33">
        <v>0</v>
      </c>
      <c r="CQ12" s="33">
        <v>0</v>
      </c>
      <c r="CR12" s="33">
        <v>0</v>
      </c>
      <c r="CS12" s="33">
        <v>0</v>
      </c>
      <c r="CT12" s="33">
        <v>0</v>
      </c>
      <c r="CU12" s="33">
        <v>0</v>
      </c>
      <c r="CV12" s="33">
        <v>0</v>
      </c>
      <c r="CW12" s="33">
        <v>0</v>
      </c>
      <c r="CX12" s="33">
        <v>0</v>
      </c>
      <c r="CY12" s="33">
        <v>0</v>
      </c>
      <c r="CZ12" s="33">
        <v>0</v>
      </c>
      <c r="DA12" s="33">
        <v>0</v>
      </c>
      <c r="DB12" s="33">
        <v>0</v>
      </c>
      <c r="DC12" s="33">
        <v>0</v>
      </c>
      <c r="DD12" s="33">
        <v>0</v>
      </c>
      <c r="DE12" s="33">
        <v>0</v>
      </c>
      <c r="DF12" s="33">
        <v>0</v>
      </c>
      <c r="DG12" s="33">
        <v>0</v>
      </c>
      <c r="DH12" s="33">
        <v>0</v>
      </c>
      <c r="DI12" s="33">
        <v>0</v>
      </c>
      <c r="DJ12" s="33">
        <v>0</v>
      </c>
      <c r="DK12" s="33">
        <v>0</v>
      </c>
      <c r="DL12" s="33">
        <v>0</v>
      </c>
      <c r="DM12" s="33">
        <v>4.9777100000000001</v>
      </c>
      <c r="DN12" s="33">
        <v>4.2564000000000002</v>
      </c>
      <c r="DO12" s="33">
        <v>0.86711000000000005</v>
      </c>
      <c r="DP12" s="33">
        <v>0</v>
      </c>
      <c r="DQ12" s="33">
        <v>-227.59963999999999</v>
      </c>
      <c r="DR12" s="33">
        <v>-274.15580999999997</v>
      </c>
      <c r="DS12" s="33">
        <v>1.7714099999999999</v>
      </c>
      <c r="DT12" s="33">
        <v>-214.59318999999999</v>
      </c>
      <c r="DU12" s="33">
        <v>-59.562620000000003</v>
      </c>
      <c r="DV12" s="33">
        <v>36.847880000000004</v>
      </c>
      <c r="DW12" s="33">
        <v>1.1047800000000001</v>
      </c>
      <c r="DX12" s="33">
        <v>14.755699999999999</v>
      </c>
      <c r="DY12" s="33">
        <v>22.092179999999999</v>
      </c>
      <c r="DZ12" s="33">
        <v>8.4529399999999999</v>
      </c>
      <c r="EA12" s="33">
        <v>2.87656</v>
      </c>
      <c r="EB12" s="33">
        <v>27.927060000000001</v>
      </c>
      <c r="EC12" s="33">
        <v>-19.474119999999999</v>
      </c>
      <c r="ED12" s="33">
        <v>16.217659999999999</v>
      </c>
      <c r="EE12" s="33">
        <v>2.2837499999999999</v>
      </c>
      <c r="EF12" s="33">
        <v>13.463139999999999</v>
      </c>
      <c r="EG12" s="33">
        <v>2.7545299999999999</v>
      </c>
      <c r="EH12" s="33">
        <v>23.271409999999999</v>
      </c>
      <c r="EI12" s="33">
        <v>0.54454999999999998</v>
      </c>
      <c r="EJ12" s="33">
        <v>2.0248900000000001</v>
      </c>
      <c r="EK12" s="33">
        <v>21.24652</v>
      </c>
      <c r="EL12" s="33">
        <v>1.7808900000000001</v>
      </c>
      <c r="EM12" s="33">
        <v>1.7808900000000001</v>
      </c>
      <c r="EN12" s="33">
        <v>0</v>
      </c>
      <c r="EO12" s="33">
        <v>0</v>
      </c>
      <c r="EP12" s="33">
        <v>-40.066969999999998</v>
      </c>
      <c r="EQ12" s="33">
        <v>5.2359999999999997E-2</v>
      </c>
      <c r="ER12" s="33">
        <v>2.18919</v>
      </c>
      <c r="ES12" s="33">
        <v>0</v>
      </c>
      <c r="ET12" s="33">
        <v>0</v>
      </c>
      <c r="EU12" s="33">
        <v>0</v>
      </c>
      <c r="EV12" s="33">
        <v>0</v>
      </c>
      <c r="EW12" s="33">
        <v>0</v>
      </c>
      <c r="EX12" s="33">
        <v>0</v>
      </c>
      <c r="EY12" s="33">
        <v>0</v>
      </c>
      <c r="EZ12" s="33">
        <v>2.1712699999999998</v>
      </c>
      <c r="FA12" s="33">
        <v>2.1359400000000002</v>
      </c>
      <c r="FB12" s="33">
        <v>3.533E-2</v>
      </c>
      <c r="FC12" s="33">
        <v>0</v>
      </c>
      <c r="FD12" s="33">
        <v>0</v>
      </c>
      <c r="FE12" s="33">
        <v>0</v>
      </c>
      <c r="FF12" s="33">
        <v>0</v>
      </c>
      <c r="FG12" s="33">
        <v>1.7919999999999998E-2</v>
      </c>
      <c r="FH12" s="33">
        <v>222.14315999999999</v>
      </c>
      <c r="FI12" s="33">
        <v>2.0517599999999998</v>
      </c>
      <c r="FJ12" s="33">
        <v>1.10372</v>
      </c>
      <c r="FK12" s="33">
        <v>0</v>
      </c>
      <c r="FL12" s="33">
        <v>3.8593600000000001</v>
      </c>
    </row>
    <row r="13" spans="1:168" ht="11.45" customHeight="1" x14ac:dyDescent="0.25">
      <c r="A13" s="5" t="s">
        <v>176</v>
      </c>
      <c r="B13" s="5" t="s">
        <v>8</v>
      </c>
      <c r="C13" s="13">
        <v>15.47622</v>
      </c>
      <c r="D13" s="13">
        <v>14.96245</v>
      </c>
      <c r="E13" s="13">
        <v>2.8395100000000002</v>
      </c>
      <c r="F13" s="13">
        <v>0.97253999999999996</v>
      </c>
      <c r="G13" s="13">
        <v>0.12997</v>
      </c>
      <c r="H13" s="13">
        <v>0.12003999999999999</v>
      </c>
      <c r="I13" s="13">
        <v>2.6700000000000001E-3</v>
      </c>
      <c r="J13" s="13">
        <v>7.2700000000000004E-3</v>
      </c>
      <c r="K13" s="13">
        <v>8.6419999999999997E-2</v>
      </c>
      <c r="L13" s="13">
        <v>5.4000000000000003E-3</v>
      </c>
      <c r="M13" s="13">
        <v>5.5000000000000003E-4</v>
      </c>
      <c r="N13" s="13">
        <v>1.8450000000000001E-2</v>
      </c>
      <c r="O13" s="13">
        <v>1.0319999999999999E-2</v>
      </c>
      <c r="P13" s="13">
        <v>1.7930000000000001E-2</v>
      </c>
      <c r="Q13" s="13">
        <v>1.034E-2</v>
      </c>
      <c r="R13" s="13">
        <v>2.3179999999999999E-2</v>
      </c>
      <c r="S13" s="13">
        <v>4.6960000000000002E-2</v>
      </c>
      <c r="T13" s="13">
        <v>2.9E-4</v>
      </c>
      <c r="U13" s="13">
        <v>4.3139999999999998E-2</v>
      </c>
      <c r="V13" s="13">
        <v>2.6179999999999998E-2</v>
      </c>
      <c r="W13" s="13">
        <v>1.8799999999999999E-3</v>
      </c>
      <c r="X13" s="13">
        <v>5.4799999999999996E-3</v>
      </c>
      <c r="Y13" s="13">
        <v>9.5200000000000007E-3</v>
      </c>
      <c r="Z13" s="13">
        <v>8.0000000000000007E-5</v>
      </c>
      <c r="AA13" s="13">
        <v>2.7E-4</v>
      </c>
      <c r="AB13" s="13">
        <v>2.7899999999999999E-3</v>
      </c>
      <c r="AC13" s="13">
        <v>4.6999999999999999E-4</v>
      </c>
      <c r="AD13" s="13">
        <v>0.70879999999999999</v>
      </c>
      <c r="AE13" s="13">
        <v>2.8570000000000002E-2</v>
      </c>
      <c r="AF13" s="13">
        <v>0.59862000000000004</v>
      </c>
      <c r="AG13" s="13">
        <v>8.1600000000000006E-2</v>
      </c>
      <c r="AH13" s="13">
        <v>3.8999999999999999E-4</v>
      </c>
      <c r="AI13" s="13">
        <v>2.7999999999999998E-4</v>
      </c>
      <c r="AJ13" s="13">
        <v>1.2E-4</v>
      </c>
      <c r="AK13" s="13">
        <v>1.86696</v>
      </c>
      <c r="AL13" s="13">
        <v>1.1030199999999999</v>
      </c>
      <c r="AM13" s="13">
        <v>0.76393999999999995</v>
      </c>
      <c r="AN13" s="13">
        <v>0</v>
      </c>
      <c r="AO13" s="13">
        <v>1.0489999999999999E-2</v>
      </c>
      <c r="AP13" s="13">
        <v>8.7000000000000001E-4</v>
      </c>
      <c r="AQ13" s="13">
        <v>9.6200000000000001E-3</v>
      </c>
      <c r="AR13" s="13">
        <v>0</v>
      </c>
      <c r="AS13" s="13">
        <v>0</v>
      </c>
      <c r="AT13" s="13">
        <v>5.9819999999999998E-2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4.895E-2</v>
      </c>
      <c r="BA13" s="13">
        <v>1.1E-4</v>
      </c>
      <c r="BB13" s="13">
        <v>0</v>
      </c>
      <c r="BC13" s="13">
        <v>0</v>
      </c>
      <c r="BD13" s="13">
        <v>0</v>
      </c>
      <c r="BE13" s="13">
        <v>4.2000000000000002E-4</v>
      </c>
      <c r="BF13" s="13">
        <v>0</v>
      </c>
      <c r="BG13" s="13">
        <v>0</v>
      </c>
      <c r="BH13" s="13">
        <v>4.4200000000000003E-2</v>
      </c>
      <c r="BI13" s="13">
        <v>0</v>
      </c>
      <c r="BJ13" s="13">
        <v>4.2300000000000003E-3</v>
      </c>
      <c r="BK13" s="13">
        <v>7.1199999999999996E-3</v>
      </c>
      <c r="BL13" s="13">
        <v>6.3299999999999997E-3</v>
      </c>
      <c r="BM13" s="13">
        <v>7.9000000000000001E-4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5.0000000000000002E-5</v>
      </c>
      <c r="BT13" s="13">
        <v>2.0000000000000002E-5</v>
      </c>
      <c r="BU13" s="13">
        <v>1.0000000000000001E-5</v>
      </c>
      <c r="BV13" s="13">
        <v>2.0000000000000002E-5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3.3700000000000002E-3</v>
      </c>
      <c r="CK13" s="13">
        <v>3.3E-4</v>
      </c>
      <c r="CL13" s="13">
        <v>8.5020199999999999</v>
      </c>
      <c r="CM13" s="13">
        <v>6.64053</v>
      </c>
      <c r="CN13" s="13">
        <v>5.6734900000000001</v>
      </c>
      <c r="CO13" s="13">
        <v>0.57650000000000001</v>
      </c>
      <c r="CP13" s="13">
        <v>0.16238</v>
      </c>
      <c r="CQ13" s="13">
        <v>0.22816</v>
      </c>
      <c r="CR13" s="13">
        <v>1.68964</v>
      </c>
      <c r="CS13" s="13">
        <v>0.83074999999999999</v>
      </c>
      <c r="CT13" s="13">
        <v>2.9899999999999999E-2</v>
      </c>
      <c r="CU13" s="13">
        <v>0.73919999999999997</v>
      </c>
      <c r="CV13" s="13">
        <v>8.9779999999999999E-2</v>
      </c>
      <c r="CW13" s="13">
        <v>0</v>
      </c>
      <c r="CX13" s="13">
        <v>0.10437</v>
      </c>
      <c r="CY13" s="13">
        <v>0.10437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1.512E-2</v>
      </c>
      <c r="DH13" s="13">
        <v>1.355E-2</v>
      </c>
      <c r="DI13" s="13">
        <v>1.0000000000000001E-5</v>
      </c>
      <c r="DJ13" s="13">
        <v>1.2E-4</v>
      </c>
      <c r="DK13" s="13">
        <v>5.0000000000000002E-5</v>
      </c>
      <c r="DL13" s="13">
        <v>1.39E-3</v>
      </c>
      <c r="DM13" s="13">
        <v>0</v>
      </c>
      <c r="DN13" s="13">
        <v>0</v>
      </c>
      <c r="DO13" s="13">
        <v>0</v>
      </c>
      <c r="DP13" s="13">
        <v>5.237E-2</v>
      </c>
      <c r="DQ13" s="13">
        <v>0.51376999999999995</v>
      </c>
      <c r="DR13" s="13">
        <v>6.83E-2</v>
      </c>
      <c r="DS13" s="13">
        <v>5.4530000000000002E-2</v>
      </c>
      <c r="DT13" s="13">
        <v>6.6290000000000002E-2</v>
      </c>
      <c r="DU13" s="13">
        <v>2.0100000000000001E-3</v>
      </c>
      <c r="DV13" s="13">
        <v>3.1189999999999999E-2</v>
      </c>
      <c r="DW13" s="13">
        <v>2.4140000000000002E-2</v>
      </c>
      <c r="DX13" s="13">
        <v>2.462E-2</v>
      </c>
      <c r="DY13" s="13">
        <v>6.5700000000000003E-3</v>
      </c>
      <c r="DZ13" s="13">
        <v>0.10122</v>
      </c>
      <c r="EA13" s="13">
        <v>9.1950000000000004E-2</v>
      </c>
      <c r="EB13" s="13">
        <v>9.1980000000000006E-2</v>
      </c>
      <c r="EC13" s="13">
        <v>9.2399999999999999E-3</v>
      </c>
      <c r="ED13" s="13">
        <v>0.29835</v>
      </c>
      <c r="EE13" s="13">
        <v>0.29622999999999999</v>
      </c>
      <c r="EF13" s="13">
        <v>0.29196</v>
      </c>
      <c r="EG13" s="13">
        <v>6.3899999999999998E-3</v>
      </c>
      <c r="EH13" s="13">
        <v>5.9500000000000004E-3</v>
      </c>
      <c r="EI13" s="13">
        <v>4.9699999999999996E-3</v>
      </c>
      <c r="EJ13" s="13">
        <v>4.2100000000000002E-3</v>
      </c>
      <c r="EK13" s="13">
        <v>1.75E-3</v>
      </c>
      <c r="EL13" s="13">
        <v>1.0000000000000001E-5</v>
      </c>
      <c r="EM13" s="13">
        <v>1.0000000000000001E-5</v>
      </c>
      <c r="EN13" s="13">
        <v>0</v>
      </c>
      <c r="EO13" s="13">
        <v>1.0000000000000001E-5</v>
      </c>
      <c r="EP13" s="13">
        <v>0</v>
      </c>
      <c r="EQ13" s="13">
        <v>8.7500000000000008E-3</v>
      </c>
      <c r="ER13" s="13">
        <v>3.5611100000000002</v>
      </c>
      <c r="ES13" s="13">
        <v>2.7707899999999999</v>
      </c>
      <c r="ET13" s="13">
        <v>2.3605399999999999</v>
      </c>
      <c r="EU13" s="13">
        <v>0.40128000000000003</v>
      </c>
      <c r="EV13" s="13">
        <v>8.9700000000000005E-3</v>
      </c>
      <c r="EW13" s="13">
        <v>0.15558</v>
      </c>
      <c r="EX13" s="13">
        <v>0.1021</v>
      </c>
      <c r="EY13" s="13">
        <v>5.348E-2</v>
      </c>
      <c r="EZ13" s="13">
        <v>2.2769999999999999E-2</v>
      </c>
      <c r="FA13" s="13">
        <v>6.9999999999999999E-4</v>
      </c>
      <c r="FB13" s="13">
        <v>2.2069999999999999E-2</v>
      </c>
      <c r="FC13" s="13">
        <v>0.61160000000000003</v>
      </c>
      <c r="FD13" s="13">
        <v>0.40709000000000001</v>
      </c>
      <c r="FE13" s="13">
        <v>0.20163</v>
      </c>
      <c r="FF13" s="13">
        <v>2.8700000000000002E-3</v>
      </c>
      <c r="FG13" s="13">
        <v>3.6000000000000002E-4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</row>
    <row r="14" spans="1:168" ht="11.45" customHeight="1" x14ac:dyDescent="0.25">
      <c r="A14" s="5" t="s">
        <v>176</v>
      </c>
      <c r="B14" s="5" t="s">
        <v>9</v>
      </c>
      <c r="C14" s="14">
        <v>0.72326000000000001</v>
      </c>
      <c r="D14" s="14">
        <v>0.68520000000000003</v>
      </c>
      <c r="E14" s="14">
        <v>8.949E-2</v>
      </c>
      <c r="F14" s="14">
        <v>8.9380000000000001E-2</v>
      </c>
      <c r="G14" s="14">
        <v>2.2210000000000001E-2</v>
      </c>
      <c r="H14" s="14">
        <v>2.0310000000000002E-2</v>
      </c>
      <c r="I14" s="14">
        <v>1.14E-3</v>
      </c>
      <c r="J14" s="14">
        <v>7.6000000000000004E-4</v>
      </c>
      <c r="K14" s="14">
        <v>1.244E-2</v>
      </c>
      <c r="L14" s="14">
        <v>1.0300000000000001E-3</v>
      </c>
      <c r="M14" s="14">
        <v>6.0000000000000002E-5</v>
      </c>
      <c r="N14" s="14">
        <v>6.8000000000000005E-4</v>
      </c>
      <c r="O14" s="14">
        <v>1.6000000000000001E-3</v>
      </c>
      <c r="P14" s="14">
        <v>5.9000000000000003E-4</v>
      </c>
      <c r="Q14" s="14">
        <v>3.1800000000000001E-3</v>
      </c>
      <c r="R14" s="14">
        <v>5.1700000000000001E-3</v>
      </c>
      <c r="S14" s="14">
        <v>2.895E-2</v>
      </c>
      <c r="T14" s="14">
        <v>4.2999999999999999E-4</v>
      </c>
      <c r="U14" s="14">
        <v>2.683E-2</v>
      </c>
      <c r="V14" s="14">
        <v>1.469E-2</v>
      </c>
      <c r="W14" s="14">
        <v>2.5699999999999998E-3</v>
      </c>
      <c r="X14" s="14">
        <v>9.3500000000000007E-3</v>
      </c>
      <c r="Y14" s="14">
        <v>1.7000000000000001E-4</v>
      </c>
      <c r="Z14" s="14">
        <v>5.0000000000000002E-5</v>
      </c>
      <c r="AA14" s="14">
        <v>7.3999999999999999E-4</v>
      </c>
      <c r="AB14" s="14">
        <v>8.0999999999999996E-4</v>
      </c>
      <c r="AC14" s="14">
        <v>1.3999999999999999E-4</v>
      </c>
      <c r="AD14" s="14">
        <v>2.562E-2</v>
      </c>
      <c r="AE14" s="14">
        <v>2.14E-3</v>
      </c>
      <c r="AF14" s="14">
        <v>1.197E-2</v>
      </c>
      <c r="AG14" s="14">
        <v>1.1509999999999999E-2</v>
      </c>
      <c r="AH14" s="14">
        <v>1.4999999999999999E-4</v>
      </c>
      <c r="AI14" s="14">
        <v>6.0000000000000002E-5</v>
      </c>
      <c r="AJ14" s="14">
        <v>9.0000000000000006E-5</v>
      </c>
      <c r="AK14" s="14">
        <v>1.1E-4</v>
      </c>
      <c r="AL14" s="14">
        <v>0</v>
      </c>
      <c r="AM14" s="14">
        <v>1.1E-4</v>
      </c>
      <c r="AN14" s="14">
        <v>0</v>
      </c>
      <c r="AO14" s="14">
        <v>7.92E-3</v>
      </c>
      <c r="AP14" s="14">
        <v>3.7200000000000002E-3</v>
      </c>
      <c r="AQ14" s="14">
        <v>4.1999999999999997E-3</v>
      </c>
      <c r="AR14" s="14">
        <v>0</v>
      </c>
      <c r="AS14" s="14">
        <v>0</v>
      </c>
      <c r="AT14" s="14">
        <v>3.0159999999999999E-2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2.0709999999999999E-2</v>
      </c>
      <c r="BA14" s="14">
        <v>0</v>
      </c>
      <c r="BB14" s="14">
        <v>1.14E-2</v>
      </c>
      <c r="BC14" s="14">
        <v>1.32E-3</v>
      </c>
      <c r="BD14" s="14">
        <v>6.43E-3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1.56E-3</v>
      </c>
      <c r="BK14" s="14">
        <v>6.0000000000000002E-5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6.0000000000000002E-5</v>
      </c>
      <c r="BS14" s="14">
        <v>2.0000000000000002E-5</v>
      </c>
      <c r="BT14" s="14">
        <v>1.0000000000000001E-5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9.0900000000000009E-3</v>
      </c>
      <c r="CK14" s="14">
        <v>2.9E-4</v>
      </c>
      <c r="CL14" s="14">
        <v>0.52049000000000001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7.22E-2</v>
      </c>
      <c r="CS14" s="14">
        <v>2.9340000000000001E-2</v>
      </c>
      <c r="CT14" s="14">
        <v>2.0200000000000001E-3</v>
      </c>
      <c r="CU14" s="14">
        <v>6.7600000000000004E-3</v>
      </c>
      <c r="CV14" s="14">
        <v>6.7200000000000003E-3</v>
      </c>
      <c r="CW14" s="14">
        <v>2.7359999999999999E-2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0.44714999999999999</v>
      </c>
      <c r="DD14" s="14">
        <v>0.35271000000000002</v>
      </c>
      <c r="DE14" s="14">
        <v>9.4439999999999996E-2</v>
      </c>
      <c r="DF14" s="14">
        <v>0</v>
      </c>
      <c r="DG14" s="14">
        <v>4.4999999999999999E-4</v>
      </c>
      <c r="DH14" s="14">
        <v>3.8999999999999999E-4</v>
      </c>
      <c r="DI14" s="14">
        <v>0</v>
      </c>
      <c r="DJ14" s="14">
        <v>1.0000000000000001E-5</v>
      </c>
      <c r="DK14" s="14">
        <v>0</v>
      </c>
      <c r="DL14" s="14">
        <v>5.0000000000000002E-5</v>
      </c>
      <c r="DM14" s="14">
        <v>0</v>
      </c>
      <c r="DN14" s="14">
        <v>0</v>
      </c>
      <c r="DO14" s="14">
        <v>0</v>
      </c>
      <c r="DP14" s="14">
        <v>6.8999999999999997E-4</v>
      </c>
      <c r="DQ14" s="14">
        <v>3.8059999999999997E-2</v>
      </c>
      <c r="DR14" s="14">
        <v>1.8329999999999999E-2</v>
      </c>
      <c r="DS14" s="14">
        <v>1.6160000000000001E-2</v>
      </c>
      <c r="DT14" s="14">
        <v>1.6639999999999999E-2</v>
      </c>
      <c r="DU14" s="14">
        <v>1.6900000000000001E-3</v>
      </c>
      <c r="DV14" s="14">
        <v>5.3200000000000001E-3</v>
      </c>
      <c r="DW14" s="14">
        <v>0</v>
      </c>
      <c r="DX14" s="14">
        <v>1.6000000000000001E-4</v>
      </c>
      <c r="DY14" s="14">
        <v>5.1599999999999997E-3</v>
      </c>
      <c r="DZ14" s="14">
        <v>1.3799999999999999E-3</v>
      </c>
      <c r="EA14" s="14">
        <v>2.3000000000000001E-4</v>
      </c>
      <c r="EB14" s="14">
        <v>6.4000000000000005E-4</v>
      </c>
      <c r="EC14" s="14">
        <v>7.3999999999999999E-4</v>
      </c>
      <c r="ED14" s="14">
        <v>1.09E-3</v>
      </c>
      <c r="EE14" s="14">
        <v>7.5000000000000002E-4</v>
      </c>
      <c r="EF14" s="14">
        <v>7.6999999999999996E-4</v>
      </c>
      <c r="EG14" s="14">
        <v>3.2000000000000003E-4</v>
      </c>
      <c r="EH14" s="14">
        <v>1.093E-2</v>
      </c>
      <c r="EI14" s="14">
        <v>1.0000000000000001E-5</v>
      </c>
      <c r="EJ14" s="14">
        <v>2.7999999999999998E-4</v>
      </c>
      <c r="EK14" s="14">
        <v>1.065E-2</v>
      </c>
      <c r="EL14" s="14">
        <v>1.7000000000000001E-4</v>
      </c>
      <c r="EM14" s="14">
        <v>1.7000000000000001E-4</v>
      </c>
      <c r="EN14" s="14">
        <v>1.6000000000000001E-4</v>
      </c>
      <c r="EO14" s="14">
        <v>0</v>
      </c>
      <c r="EP14" s="14">
        <v>0</v>
      </c>
      <c r="EQ14" s="14">
        <v>0</v>
      </c>
      <c r="ER14" s="14">
        <v>4.5060000000000003E-2</v>
      </c>
      <c r="ES14" s="14">
        <v>0</v>
      </c>
      <c r="ET14" s="14">
        <v>0</v>
      </c>
      <c r="EU14" s="14">
        <v>0</v>
      </c>
      <c r="EV14" s="14">
        <v>0</v>
      </c>
      <c r="EW14" s="14">
        <v>6.8700000000000002E-3</v>
      </c>
      <c r="EX14" s="14">
        <v>6.5900000000000004E-3</v>
      </c>
      <c r="EY14" s="14">
        <v>2.7999999999999998E-4</v>
      </c>
      <c r="EZ14" s="14">
        <v>1.8799999999999999E-3</v>
      </c>
      <c r="FA14" s="14">
        <v>3.5E-4</v>
      </c>
      <c r="FB14" s="14">
        <v>1.5299999999999999E-3</v>
      </c>
      <c r="FC14" s="14">
        <v>3.6200000000000003E-2</v>
      </c>
      <c r="FD14" s="14">
        <v>3.2620000000000003E-2</v>
      </c>
      <c r="FE14" s="14">
        <v>3.4099999999999998E-3</v>
      </c>
      <c r="FF14" s="14">
        <v>1.7000000000000001E-4</v>
      </c>
      <c r="FG14" s="14">
        <v>1.1E-4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</row>
    <row r="15" spans="1:168" ht="11.45" customHeight="1" x14ac:dyDescent="0.25">
      <c r="A15" s="5" t="s">
        <v>177</v>
      </c>
      <c r="B15" s="5" t="s">
        <v>6</v>
      </c>
      <c r="C15" s="13">
        <v>116.74231</v>
      </c>
      <c r="D15" s="13">
        <v>117.36547</v>
      </c>
      <c r="E15" s="13">
        <v>85.623220000000003</v>
      </c>
      <c r="F15" s="13">
        <v>84.898809999999997</v>
      </c>
      <c r="G15" s="13">
        <v>19.584599999999998</v>
      </c>
      <c r="H15" s="13">
        <v>14.859260000000001</v>
      </c>
      <c r="I15" s="13">
        <v>4.5690299999999997</v>
      </c>
      <c r="J15" s="13">
        <v>0.15631</v>
      </c>
      <c r="K15" s="13">
        <v>14.19772</v>
      </c>
      <c r="L15" s="13">
        <v>1.34545</v>
      </c>
      <c r="M15" s="13">
        <v>0.44541999999999998</v>
      </c>
      <c r="N15" s="13">
        <v>3.9232800000000001</v>
      </c>
      <c r="O15" s="13">
        <v>0.52500999999999998</v>
      </c>
      <c r="P15" s="13">
        <v>2.43329</v>
      </c>
      <c r="Q15" s="13">
        <v>3.5244599999999999</v>
      </c>
      <c r="R15" s="13">
        <v>2.00082</v>
      </c>
      <c r="S15" s="13">
        <v>26.3005</v>
      </c>
      <c r="T15" s="13">
        <v>1.328E-2</v>
      </c>
      <c r="U15" s="13">
        <v>25.349820000000001</v>
      </c>
      <c r="V15" s="13">
        <v>14.4094</v>
      </c>
      <c r="W15" s="13">
        <v>3.1329899999999999</v>
      </c>
      <c r="X15" s="13">
        <v>7.6500899999999996</v>
      </c>
      <c r="Y15" s="13">
        <v>0.15662000000000001</v>
      </c>
      <c r="Z15" s="13">
        <v>7.2000000000000005E-4</v>
      </c>
      <c r="AA15" s="13">
        <v>8.4409999999999999E-2</v>
      </c>
      <c r="AB15" s="13">
        <v>0.45337</v>
      </c>
      <c r="AC15" s="13">
        <v>0.39962999999999999</v>
      </c>
      <c r="AD15" s="13">
        <v>24.700430000000001</v>
      </c>
      <c r="AE15" s="13">
        <v>5.8750099999999996</v>
      </c>
      <c r="AF15" s="13">
        <v>16.396129999999999</v>
      </c>
      <c r="AG15" s="13">
        <v>2.4292899999999999</v>
      </c>
      <c r="AH15" s="13">
        <v>0.11556</v>
      </c>
      <c r="AI15" s="13">
        <v>0</v>
      </c>
      <c r="AJ15" s="13">
        <v>0.11556</v>
      </c>
      <c r="AK15" s="13">
        <v>0.72441</v>
      </c>
      <c r="AL15" s="13">
        <v>4.5589999999999999E-2</v>
      </c>
      <c r="AM15" s="13">
        <v>0.67881999999999998</v>
      </c>
      <c r="AN15" s="13">
        <v>0</v>
      </c>
      <c r="AO15" s="13">
        <v>35.686799999999998</v>
      </c>
      <c r="AP15" s="13">
        <v>5.18309</v>
      </c>
      <c r="AQ15" s="13">
        <v>30.503710000000002</v>
      </c>
      <c r="AR15" s="13">
        <v>0</v>
      </c>
      <c r="AS15" s="13">
        <v>12.26092</v>
      </c>
      <c r="AT15" s="13">
        <v>21.24173</v>
      </c>
      <c r="AU15" s="13">
        <v>4.4405599999999996</v>
      </c>
      <c r="AV15" s="13">
        <v>2.5343800000000001</v>
      </c>
      <c r="AW15" s="13">
        <v>1.5629599999999999</v>
      </c>
      <c r="AX15" s="13">
        <v>0.15779000000000001</v>
      </c>
      <c r="AY15" s="13">
        <v>0.18543000000000001</v>
      </c>
      <c r="AZ15" s="13">
        <v>9.4062900000000003</v>
      </c>
      <c r="BA15" s="13">
        <v>1.1457299999999999</v>
      </c>
      <c r="BB15" s="13">
        <v>0.22569</v>
      </c>
      <c r="BC15" s="13">
        <v>0</v>
      </c>
      <c r="BD15" s="13">
        <v>0.47604999999999997</v>
      </c>
      <c r="BE15" s="13">
        <v>0</v>
      </c>
      <c r="BF15" s="13">
        <v>6.8949999999999997E-2</v>
      </c>
      <c r="BG15" s="13">
        <v>0</v>
      </c>
      <c r="BH15" s="13">
        <v>3.8516900000000001</v>
      </c>
      <c r="BI15" s="13">
        <v>1.4832000000000001</v>
      </c>
      <c r="BJ15" s="13">
        <v>2.1549900000000002</v>
      </c>
      <c r="BK15" s="13">
        <v>4.2531299999999996</v>
      </c>
      <c r="BL15" s="13">
        <v>4.1410600000000004</v>
      </c>
      <c r="BM15" s="13">
        <v>0</v>
      </c>
      <c r="BN15" s="13">
        <v>0</v>
      </c>
      <c r="BO15" s="13">
        <v>0</v>
      </c>
      <c r="BP15" s="13">
        <v>0</v>
      </c>
      <c r="BQ15" s="13">
        <v>9.2999999999999992E-3</v>
      </c>
      <c r="BR15" s="13">
        <v>0.10277</v>
      </c>
      <c r="BS15" s="13">
        <v>0.13077</v>
      </c>
      <c r="BT15" s="13">
        <v>8.9120000000000005E-2</v>
      </c>
      <c r="BU15" s="13">
        <v>1.0200000000000001E-2</v>
      </c>
      <c r="BV15" s="13">
        <v>3.1449999999999999E-2</v>
      </c>
      <c r="BW15" s="13">
        <v>1.9539999999999998E-2</v>
      </c>
      <c r="BX15" s="13">
        <v>1.9429999999999999E-2</v>
      </c>
      <c r="BY15" s="13">
        <v>0</v>
      </c>
      <c r="BZ15" s="13">
        <v>0</v>
      </c>
      <c r="CA15" s="13">
        <v>1.1E-4</v>
      </c>
      <c r="CB15" s="13">
        <v>0</v>
      </c>
      <c r="CC15" s="13">
        <v>2.8226</v>
      </c>
      <c r="CD15" s="13">
        <v>2.7101700000000002</v>
      </c>
      <c r="CE15" s="13">
        <v>5.4199999999999998E-2</v>
      </c>
      <c r="CF15" s="13">
        <v>1.2409999999999999E-2</v>
      </c>
      <c r="CG15" s="13">
        <v>4.582E-2</v>
      </c>
      <c r="CH15" s="13">
        <v>0</v>
      </c>
      <c r="CI15" s="13">
        <v>0</v>
      </c>
      <c r="CJ15" s="13">
        <v>0.14441999999999999</v>
      </c>
      <c r="CK15" s="13">
        <v>2.4410000000000001E-2</v>
      </c>
      <c r="CL15" s="13">
        <v>9.0102799999999998</v>
      </c>
      <c r="CM15" s="13">
        <v>4.5332600000000003</v>
      </c>
      <c r="CN15" s="13">
        <v>4.1915899999999997</v>
      </c>
      <c r="CO15" s="13">
        <v>2.2100000000000002E-2</v>
      </c>
      <c r="CP15" s="13">
        <v>0.26645000000000002</v>
      </c>
      <c r="CQ15" s="13">
        <v>5.3120000000000001E-2</v>
      </c>
      <c r="CR15" s="13">
        <v>1.8144199999999999</v>
      </c>
      <c r="CS15" s="13">
        <v>0.93694999999999995</v>
      </c>
      <c r="CT15" s="13">
        <v>1.32E-3</v>
      </c>
      <c r="CU15" s="13">
        <v>0.63902999999999999</v>
      </c>
      <c r="CV15" s="13">
        <v>5.7930000000000002E-2</v>
      </c>
      <c r="CW15" s="13">
        <v>0.17918000000000001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2.4855399999999999</v>
      </c>
      <c r="DD15" s="13">
        <v>1.7508600000000001</v>
      </c>
      <c r="DE15" s="13">
        <v>0.73468999999999995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0.13170999999999999</v>
      </c>
      <c r="DN15" s="13">
        <v>4.5350000000000001E-2</v>
      </c>
      <c r="DO15" s="13">
        <v>0</v>
      </c>
      <c r="DP15" s="13">
        <v>0</v>
      </c>
      <c r="DQ15" s="13">
        <v>-0.62316000000000005</v>
      </c>
      <c r="DR15" s="13">
        <v>-2.0071699999999999</v>
      </c>
      <c r="DS15" s="13">
        <v>0</v>
      </c>
      <c r="DT15" s="13">
        <v>-1.45014</v>
      </c>
      <c r="DU15" s="13">
        <v>-0.55703999999999998</v>
      </c>
      <c r="DV15" s="13">
        <v>0.84704999999999997</v>
      </c>
      <c r="DW15" s="13">
        <v>0</v>
      </c>
      <c r="DX15" s="13">
        <v>0.34123999999999999</v>
      </c>
      <c r="DY15" s="13">
        <v>0.50580999999999998</v>
      </c>
      <c r="DZ15" s="13">
        <v>0.10501000000000001</v>
      </c>
      <c r="EA15" s="13">
        <v>0</v>
      </c>
      <c r="EB15" s="13">
        <v>0.11387</v>
      </c>
      <c r="EC15" s="13">
        <v>-8.8599999999999998E-3</v>
      </c>
      <c r="ED15" s="13">
        <v>8.3499999999999998E-3</v>
      </c>
      <c r="EE15" s="13">
        <v>0</v>
      </c>
      <c r="EF15" s="13">
        <v>0</v>
      </c>
      <c r="EG15" s="13">
        <v>8.3499999999999998E-3</v>
      </c>
      <c r="EH15" s="13">
        <v>0.51324999999999998</v>
      </c>
      <c r="EI15" s="13">
        <v>0</v>
      </c>
      <c r="EJ15" s="13">
        <v>0</v>
      </c>
      <c r="EK15" s="13">
        <v>0.51324999999999998</v>
      </c>
      <c r="EL15" s="13">
        <v>0</v>
      </c>
      <c r="EM15" s="13">
        <v>0</v>
      </c>
      <c r="EN15" s="13">
        <v>0</v>
      </c>
      <c r="EO15" s="13">
        <v>0</v>
      </c>
      <c r="EP15" s="13">
        <v>-8.9639999999999997E-2</v>
      </c>
      <c r="EQ15" s="13">
        <v>0</v>
      </c>
      <c r="ER15" s="13">
        <v>1.4902500000000001</v>
      </c>
      <c r="ES15" s="13">
        <v>0.78505000000000003</v>
      </c>
      <c r="ET15" s="13">
        <v>0.78505000000000003</v>
      </c>
      <c r="EU15" s="13">
        <v>0</v>
      </c>
      <c r="EV15" s="13">
        <v>0</v>
      </c>
      <c r="EW15" s="13">
        <v>4.9250000000000002E-2</v>
      </c>
      <c r="EX15" s="13">
        <v>4.9250000000000002E-2</v>
      </c>
      <c r="EY15" s="13">
        <v>0</v>
      </c>
      <c r="EZ15" s="13">
        <v>0.28742000000000001</v>
      </c>
      <c r="FA15" s="13">
        <v>0.28742000000000001</v>
      </c>
      <c r="FB15" s="13">
        <v>0</v>
      </c>
      <c r="FC15" s="13">
        <v>0.36853000000000002</v>
      </c>
      <c r="FD15" s="13">
        <v>0.36853000000000002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</row>
    <row r="16" spans="1:168" ht="11.45" customHeight="1" x14ac:dyDescent="0.25">
      <c r="A16" s="5" t="s">
        <v>177</v>
      </c>
      <c r="B16" s="5" t="s">
        <v>7</v>
      </c>
      <c r="C16" s="14">
        <v>99.578639999999993</v>
      </c>
      <c r="D16" s="14">
        <v>100.25637</v>
      </c>
      <c r="E16" s="14">
        <v>83.804100000000005</v>
      </c>
      <c r="F16" s="14">
        <v>83.682860000000005</v>
      </c>
      <c r="G16" s="14">
        <v>19.41713</v>
      </c>
      <c r="H16" s="14">
        <v>14.76301</v>
      </c>
      <c r="I16" s="14">
        <v>4.5021000000000004</v>
      </c>
      <c r="J16" s="14">
        <v>0.15201999999999999</v>
      </c>
      <c r="K16" s="14">
        <v>13.982469999999999</v>
      </c>
      <c r="L16" s="14">
        <v>1.2652699999999999</v>
      </c>
      <c r="M16" s="14">
        <v>0.44401000000000002</v>
      </c>
      <c r="N16" s="14">
        <v>3.8844599999999998</v>
      </c>
      <c r="O16" s="14">
        <v>0.51131000000000004</v>
      </c>
      <c r="P16" s="14">
        <v>2.4190299999999998</v>
      </c>
      <c r="Q16" s="14">
        <v>3.4908000000000001</v>
      </c>
      <c r="R16" s="14">
        <v>1.9676</v>
      </c>
      <c r="S16" s="14">
        <v>26.032990000000002</v>
      </c>
      <c r="T16" s="14">
        <v>1.1259999999999999E-2</v>
      </c>
      <c r="U16" s="14">
        <v>25.093800000000002</v>
      </c>
      <c r="V16" s="14">
        <v>14.295030000000001</v>
      </c>
      <c r="W16" s="14">
        <v>3.1107900000000002</v>
      </c>
      <c r="X16" s="14">
        <v>7.5342599999999997</v>
      </c>
      <c r="Y16" s="14">
        <v>0.153</v>
      </c>
      <c r="Z16" s="14">
        <v>7.2000000000000005E-4</v>
      </c>
      <c r="AA16" s="14">
        <v>8.208E-2</v>
      </c>
      <c r="AB16" s="14">
        <v>0.44975999999999999</v>
      </c>
      <c r="AC16" s="14">
        <v>0.39609</v>
      </c>
      <c r="AD16" s="14">
        <v>24.135929999999998</v>
      </c>
      <c r="AE16" s="14">
        <v>5.8225800000000003</v>
      </c>
      <c r="AF16" s="14">
        <v>16.056570000000001</v>
      </c>
      <c r="AG16" s="14">
        <v>2.2567900000000001</v>
      </c>
      <c r="AH16" s="14">
        <v>0.11433</v>
      </c>
      <c r="AI16" s="14">
        <v>0</v>
      </c>
      <c r="AJ16" s="14">
        <v>0.11433</v>
      </c>
      <c r="AK16" s="14">
        <v>0.12125</v>
      </c>
      <c r="AL16" s="14">
        <v>0</v>
      </c>
      <c r="AM16" s="14">
        <v>0.12125</v>
      </c>
      <c r="AN16" s="14">
        <v>0</v>
      </c>
      <c r="AO16" s="14">
        <v>35.433630000000001</v>
      </c>
      <c r="AP16" s="14">
        <v>5.1442100000000002</v>
      </c>
      <c r="AQ16" s="14">
        <v>30.28942</v>
      </c>
      <c r="AR16" s="14">
        <v>0</v>
      </c>
      <c r="AS16" s="14">
        <v>12.26092</v>
      </c>
      <c r="AT16" s="14">
        <v>15.98795</v>
      </c>
      <c r="AU16" s="14">
        <v>4.4405599999999996</v>
      </c>
      <c r="AV16" s="14">
        <v>2.5343800000000001</v>
      </c>
      <c r="AW16" s="14">
        <v>1.5629599999999999</v>
      </c>
      <c r="AX16" s="14">
        <v>0.15779000000000001</v>
      </c>
      <c r="AY16" s="14">
        <v>0.18543000000000001</v>
      </c>
      <c r="AZ16" s="14">
        <v>7.15829</v>
      </c>
      <c r="BA16" s="14">
        <v>1.1457200000000001</v>
      </c>
      <c r="BB16" s="14">
        <v>0</v>
      </c>
      <c r="BC16" s="14">
        <v>0</v>
      </c>
      <c r="BD16" s="14">
        <v>0</v>
      </c>
      <c r="BE16" s="14">
        <v>0</v>
      </c>
      <c r="BF16" s="14">
        <v>6.8949999999999997E-2</v>
      </c>
      <c r="BG16" s="14">
        <v>0</v>
      </c>
      <c r="BH16" s="14">
        <v>3.8516900000000001</v>
      </c>
      <c r="BI16" s="14">
        <v>0</v>
      </c>
      <c r="BJ16" s="14">
        <v>2.09192</v>
      </c>
      <c r="BK16" s="14">
        <v>4.2339200000000003</v>
      </c>
      <c r="BL16" s="14">
        <v>4.1218500000000002</v>
      </c>
      <c r="BM16" s="14">
        <v>0</v>
      </c>
      <c r="BN16" s="14">
        <v>0</v>
      </c>
      <c r="BO16" s="14">
        <v>0</v>
      </c>
      <c r="BP16" s="14">
        <v>0</v>
      </c>
      <c r="BQ16" s="14">
        <v>9.2999999999999992E-3</v>
      </c>
      <c r="BR16" s="14">
        <v>0.10277</v>
      </c>
      <c r="BS16" s="14">
        <v>0.13077</v>
      </c>
      <c r="BT16" s="14">
        <v>8.9120000000000005E-2</v>
      </c>
      <c r="BU16" s="14">
        <v>1.0200000000000001E-2</v>
      </c>
      <c r="BV16" s="14">
        <v>3.1449999999999999E-2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2.4410000000000001E-2</v>
      </c>
      <c r="CL16" s="14">
        <v>0.17706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0.13170999999999999</v>
      </c>
      <c r="DN16" s="14">
        <v>4.5350000000000001E-2</v>
      </c>
      <c r="DO16" s="14">
        <v>0</v>
      </c>
      <c r="DP16" s="14">
        <v>0</v>
      </c>
      <c r="DQ16" s="14">
        <v>-0.67774000000000001</v>
      </c>
      <c r="DR16" s="14">
        <v>-2.00718</v>
      </c>
      <c r="DS16" s="14">
        <v>0</v>
      </c>
      <c r="DT16" s="14">
        <v>-1.45014</v>
      </c>
      <c r="DU16" s="14">
        <v>-0.55705000000000005</v>
      </c>
      <c r="DV16" s="14">
        <v>0.81462999999999997</v>
      </c>
      <c r="DW16" s="14">
        <v>0</v>
      </c>
      <c r="DX16" s="14">
        <v>0.34123999999999999</v>
      </c>
      <c r="DY16" s="14">
        <v>0.47338999999999998</v>
      </c>
      <c r="DZ16" s="14">
        <v>0.10337</v>
      </c>
      <c r="EA16" s="14">
        <v>0</v>
      </c>
      <c r="EB16" s="14">
        <v>0.11387</v>
      </c>
      <c r="EC16" s="14">
        <v>-1.0500000000000001E-2</v>
      </c>
      <c r="ED16" s="14">
        <v>8.1600000000000006E-3</v>
      </c>
      <c r="EE16" s="14">
        <v>0</v>
      </c>
      <c r="EF16" s="14">
        <v>0</v>
      </c>
      <c r="EG16" s="14">
        <v>8.1600000000000006E-3</v>
      </c>
      <c r="EH16" s="14">
        <v>0.49292000000000002</v>
      </c>
      <c r="EI16" s="14">
        <v>0</v>
      </c>
      <c r="EJ16" s="14">
        <v>0</v>
      </c>
      <c r="EK16" s="14">
        <v>0.49292000000000002</v>
      </c>
      <c r="EL16" s="14">
        <v>0</v>
      </c>
      <c r="EM16" s="14">
        <v>0</v>
      </c>
      <c r="EN16" s="14">
        <v>0</v>
      </c>
      <c r="EO16" s="14">
        <v>0</v>
      </c>
      <c r="EP16" s="14">
        <v>-8.9639999999999997E-2</v>
      </c>
      <c r="EQ16" s="14">
        <v>0</v>
      </c>
      <c r="ER16" s="14">
        <v>0.28726000000000002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0.28726000000000002</v>
      </c>
      <c r="FA16" s="14">
        <v>0.28726000000000002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</row>
    <row r="17" spans="1:168" ht="11.45" customHeight="1" x14ac:dyDescent="0.25">
      <c r="A17" s="5" t="s">
        <v>177</v>
      </c>
      <c r="B17" s="5" t="s">
        <v>8</v>
      </c>
      <c r="C17" s="13">
        <v>0.29348000000000002</v>
      </c>
      <c r="D17" s="13">
        <v>0.29348000000000002</v>
      </c>
      <c r="E17" s="13">
        <v>4.1520000000000001E-2</v>
      </c>
      <c r="F17" s="13">
        <v>1.9980000000000001E-2</v>
      </c>
      <c r="G17" s="13">
        <v>1.0200000000000001E-3</v>
      </c>
      <c r="H17" s="13">
        <v>8.7000000000000001E-4</v>
      </c>
      <c r="I17" s="13">
        <v>0</v>
      </c>
      <c r="J17" s="13">
        <v>1.4999999999999999E-4</v>
      </c>
      <c r="K17" s="13">
        <v>1.81E-3</v>
      </c>
      <c r="L17" s="13">
        <v>4.0000000000000003E-5</v>
      </c>
      <c r="M17" s="13">
        <v>2.0000000000000002E-5</v>
      </c>
      <c r="N17" s="13">
        <v>6.2E-4</v>
      </c>
      <c r="O17" s="13">
        <v>1.6000000000000001E-4</v>
      </c>
      <c r="P17" s="13">
        <v>3.6999999999999999E-4</v>
      </c>
      <c r="Q17" s="13">
        <v>2.4000000000000001E-4</v>
      </c>
      <c r="R17" s="13">
        <v>3.6000000000000002E-4</v>
      </c>
      <c r="S17" s="13">
        <v>6.0999999999999997E-4</v>
      </c>
      <c r="T17" s="13">
        <v>0</v>
      </c>
      <c r="U17" s="13">
        <v>5.8E-4</v>
      </c>
      <c r="V17" s="13">
        <v>3.6999999999999999E-4</v>
      </c>
      <c r="W17" s="13">
        <v>1.0000000000000001E-5</v>
      </c>
      <c r="X17" s="13">
        <v>1E-4</v>
      </c>
      <c r="Y17" s="13">
        <v>1E-4</v>
      </c>
      <c r="Z17" s="13">
        <v>0</v>
      </c>
      <c r="AA17" s="13">
        <v>1.0000000000000001E-5</v>
      </c>
      <c r="AB17" s="13">
        <v>2.0000000000000002E-5</v>
      </c>
      <c r="AC17" s="13">
        <v>1.0000000000000001E-5</v>
      </c>
      <c r="AD17" s="13">
        <v>1.653E-2</v>
      </c>
      <c r="AE17" s="13">
        <v>1.1900000000000001E-3</v>
      </c>
      <c r="AF17" s="13">
        <v>1.035E-2</v>
      </c>
      <c r="AG17" s="13">
        <v>4.9899999999999996E-3</v>
      </c>
      <c r="AH17" s="13">
        <v>1.0000000000000001E-5</v>
      </c>
      <c r="AI17" s="13">
        <v>0</v>
      </c>
      <c r="AJ17" s="13">
        <v>1.0000000000000001E-5</v>
      </c>
      <c r="AK17" s="13">
        <v>2.154E-2</v>
      </c>
      <c r="AL17" s="13">
        <v>1.6299999999999999E-3</v>
      </c>
      <c r="AM17" s="13">
        <v>1.9910000000000001E-2</v>
      </c>
      <c r="AN17" s="13">
        <v>0</v>
      </c>
      <c r="AO17" s="13">
        <v>2.3000000000000001E-4</v>
      </c>
      <c r="AP17" s="13">
        <v>3.0000000000000001E-5</v>
      </c>
      <c r="AQ17" s="13">
        <v>2.0000000000000001E-4</v>
      </c>
      <c r="AR17" s="13">
        <v>0</v>
      </c>
      <c r="AS17" s="13">
        <v>0</v>
      </c>
      <c r="AT17" s="13">
        <v>1.64E-3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9.5E-4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9.5E-4</v>
      </c>
      <c r="BK17" s="13">
        <v>6.8999999999999997E-4</v>
      </c>
      <c r="BL17" s="13">
        <v>6.8999999999999997E-4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0.21165999999999999</v>
      </c>
      <c r="CM17" s="13">
        <v>0.16189999999999999</v>
      </c>
      <c r="CN17" s="13">
        <v>0.1497</v>
      </c>
      <c r="CO17" s="13">
        <v>7.9000000000000001E-4</v>
      </c>
      <c r="CP17" s="13">
        <v>9.5200000000000007E-3</v>
      </c>
      <c r="CQ17" s="13">
        <v>1.9E-3</v>
      </c>
      <c r="CR17" s="13">
        <v>4.9759999999999999E-2</v>
      </c>
      <c r="CS17" s="13">
        <v>2.6950000000000002E-2</v>
      </c>
      <c r="CT17" s="13">
        <v>2.0000000000000002E-5</v>
      </c>
      <c r="CU17" s="13">
        <v>2.1399999999999999E-2</v>
      </c>
      <c r="CV17" s="13">
        <v>1.39E-3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3.8670000000000003E-2</v>
      </c>
      <c r="ES17" s="13">
        <v>2.8039999999999999E-2</v>
      </c>
      <c r="ET17" s="13">
        <v>2.8039999999999999E-2</v>
      </c>
      <c r="EU17" s="13">
        <v>0</v>
      </c>
      <c r="EV17" s="13">
        <v>0</v>
      </c>
      <c r="EW17" s="13">
        <v>8.0000000000000004E-4</v>
      </c>
      <c r="EX17" s="13">
        <v>8.0000000000000004E-4</v>
      </c>
      <c r="EY17" s="13">
        <v>0</v>
      </c>
      <c r="EZ17" s="13">
        <v>0</v>
      </c>
      <c r="FA17" s="13">
        <v>0</v>
      </c>
      <c r="FB17" s="13">
        <v>0</v>
      </c>
      <c r="FC17" s="13">
        <v>9.8300000000000002E-3</v>
      </c>
      <c r="FD17" s="13">
        <v>9.8300000000000002E-3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</row>
    <row r="18" spans="1:168" ht="11.45" customHeight="1" x14ac:dyDescent="0.25">
      <c r="A18" s="5" t="s">
        <v>177</v>
      </c>
      <c r="B18" s="5" t="s">
        <v>9</v>
      </c>
      <c r="C18" s="14">
        <v>1.7100000000000001E-2</v>
      </c>
      <c r="D18" s="14">
        <v>1.6889999999999999E-2</v>
      </c>
      <c r="E18" s="14">
        <v>2.48E-3</v>
      </c>
      <c r="F18" s="14">
        <v>2.48E-3</v>
      </c>
      <c r="G18" s="14">
        <v>5.1999999999999995E-4</v>
      </c>
      <c r="H18" s="14">
        <v>2.7E-4</v>
      </c>
      <c r="I18" s="14">
        <v>2.5000000000000001E-4</v>
      </c>
      <c r="J18" s="14">
        <v>0</v>
      </c>
      <c r="K18" s="14">
        <v>6.2E-4</v>
      </c>
      <c r="L18" s="14">
        <v>2.9999999999999997E-4</v>
      </c>
      <c r="M18" s="14">
        <v>0</v>
      </c>
      <c r="N18" s="14">
        <v>8.0000000000000007E-5</v>
      </c>
      <c r="O18" s="14">
        <v>3.0000000000000001E-5</v>
      </c>
      <c r="P18" s="14">
        <v>2.0000000000000002E-5</v>
      </c>
      <c r="Q18" s="14">
        <v>1E-4</v>
      </c>
      <c r="R18" s="14">
        <v>9.0000000000000006E-5</v>
      </c>
      <c r="S18" s="14">
        <v>9.3999999999999997E-4</v>
      </c>
      <c r="T18" s="14">
        <v>1.0000000000000001E-5</v>
      </c>
      <c r="U18" s="14">
        <v>8.9999999999999998E-4</v>
      </c>
      <c r="V18" s="14">
        <v>3.8999999999999999E-4</v>
      </c>
      <c r="W18" s="14">
        <v>8.0000000000000007E-5</v>
      </c>
      <c r="X18" s="14">
        <v>4.2999999999999999E-4</v>
      </c>
      <c r="Y18" s="14">
        <v>0</v>
      </c>
      <c r="Z18" s="14">
        <v>0</v>
      </c>
      <c r="AA18" s="14">
        <v>1.0000000000000001E-5</v>
      </c>
      <c r="AB18" s="14">
        <v>1.0000000000000001E-5</v>
      </c>
      <c r="AC18" s="14">
        <v>1.0000000000000001E-5</v>
      </c>
      <c r="AD18" s="14">
        <v>3.8000000000000002E-4</v>
      </c>
      <c r="AE18" s="14">
        <v>6.9999999999999994E-5</v>
      </c>
      <c r="AF18" s="14">
        <v>1.9000000000000001E-4</v>
      </c>
      <c r="AG18" s="14">
        <v>1.2E-4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9.3000000000000005E-4</v>
      </c>
      <c r="AP18" s="14">
        <v>1.3999999999999999E-4</v>
      </c>
      <c r="AQ18" s="14">
        <v>7.9000000000000001E-4</v>
      </c>
      <c r="AR18" s="14">
        <v>0</v>
      </c>
      <c r="AS18" s="14">
        <v>0</v>
      </c>
      <c r="AT18" s="14">
        <v>2.99E-3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2.7899999999999999E-3</v>
      </c>
      <c r="BA18" s="14">
        <v>0</v>
      </c>
      <c r="BB18" s="14">
        <v>8.4999999999999995E-4</v>
      </c>
      <c r="BC18" s="14">
        <v>0</v>
      </c>
      <c r="BD18" s="14">
        <v>1.8E-3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1.3999999999999999E-4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2.0000000000000001E-4</v>
      </c>
      <c r="CK18" s="14">
        <v>0</v>
      </c>
      <c r="CL18" s="14">
        <v>1.0970000000000001E-2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1.5900000000000001E-3</v>
      </c>
      <c r="CS18" s="14">
        <v>6.8999999999999997E-4</v>
      </c>
      <c r="CT18" s="14">
        <v>0</v>
      </c>
      <c r="CU18" s="14">
        <v>1.4999999999999999E-4</v>
      </c>
      <c r="CV18" s="14">
        <v>6.9999999999999994E-5</v>
      </c>
      <c r="CW18" s="14">
        <v>6.8000000000000005E-4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9.3799999999999994E-3</v>
      </c>
      <c r="DD18" s="14">
        <v>6.6100000000000004E-3</v>
      </c>
      <c r="DE18" s="14">
        <v>2.7699999999999999E-3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2.1000000000000001E-4</v>
      </c>
      <c r="DR18" s="14">
        <v>0</v>
      </c>
      <c r="DS18" s="14">
        <v>0</v>
      </c>
      <c r="DT18" s="14">
        <v>0</v>
      </c>
      <c r="DU18" s="14">
        <v>0</v>
      </c>
      <c r="DV18" s="14">
        <v>1.2E-4</v>
      </c>
      <c r="DW18" s="14">
        <v>0</v>
      </c>
      <c r="DX18" s="14">
        <v>0</v>
      </c>
      <c r="DY18" s="14">
        <v>1.2E-4</v>
      </c>
      <c r="DZ18" s="14">
        <v>1.0000000000000001E-5</v>
      </c>
      <c r="EA18" s="14">
        <v>0</v>
      </c>
      <c r="EB18" s="14">
        <v>0</v>
      </c>
      <c r="EC18" s="14">
        <v>1.0000000000000001E-5</v>
      </c>
      <c r="ED18" s="14">
        <v>0</v>
      </c>
      <c r="EE18" s="14">
        <v>0</v>
      </c>
      <c r="EF18" s="14">
        <v>0</v>
      </c>
      <c r="EG18" s="14">
        <v>0</v>
      </c>
      <c r="EH18" s="14">
        <v>8.0000000000000007E-5</v>
      </c>
      <c r="EI18" s="14">
        <v>0</v>
      </c>
      <c r="EJ18" s="14">
        <v>0</v>
      </c>
      <c r="EK18" s="14">
        <v>8.0000000000000007E-5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4.4999999999999999E-4</v>
      </c>
      <c r="ES18" s="14">
        <v>0</v>
      </c>
      <c r="ET18" s="14">
        <v>0</v>
      </c>
      <c r="EU18" s="14">
        <v>0</v>
      </c>
      <c r="EV18" s="14">
        <v>0</v>
      </c>
      <c r="EW18" s="14">
        <v>1E-4</v>
      </c>
      <c r="EX18" s="14">
        <v>1E-4</v>
      </c>
      <c r="EY18" s="14">
        <v>0</v>
      </c>
      <c r="EZ18" s="14">
        <v>0</v>
      </c>
      <c r="FA18" s="14">
        <v>0</v>
      </c>
      <c r="FB18" s="14">
        <v>0</v>
      </c>
      <c r="FC18" s="14">
        <v>3.5E-4</v>
      </c>
      <c r="FD18" s="14">
        <v>3.5E-4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</row>
    <row r="19" spans="1:168" ht="11.45" customHeight="1" x14ac:dyDescent="0.25">
      <c r="A19" s="5" t="s">
        <v>178</v>
      </c>
      <c r="B19" s="5" t="s">
        <v>6</v>
      </c>
      <c r="C19" s="13">
        <v>45.787329999999997</v>
      </c>
      <c r="D19" s="13">
        <v>55.294829999999997</v>
      </c>
      <c r="E19" s="13">
        <v>41.344670000000001</v>
      </c>
      <c r="F19" s="13">
        <v>39.359259999999999</v>
      </c>
      <c r="G19" s="13">
        <v>23.536760000000001</v>
      </c>
      <c r="H19" s="13">
        <v>22.709510000000002</v>
      </c>
      <c r="I19" s="13">
        <v>0.82155</v>
      </c>
      <c r="J19" s="13">
        <v>5.7099999999999998E-3</v>
      </c>
      <c r="K19" s="13">
        <v>4.2735599999999998</v>
      </c>
      <c r="L19" s="13">
        <v>0.12983</v>
      </c>
      <c r="M19" s="13">
        <v>0.20554</v>
      </c>
      <c r="N19" s="13">
        <v>1.54373</v>
      </c>
      <c r="O19" s="13">
        <v>0.11634</v>
      </c>
      <c r="P19" s="13">
        <v>0.24068000000000001</v>
      </c>
      <c r="Q19" s="13">
        <v>1.1524300000000001</v>
      </c>
      <c r="R19" s="13">
        <v>0.88502000000000003</v>
      </c>
      <c r="S19" s="13">
        <v>9.6532400000000003</v>
      </c>
      <c r="T19" s="13">
        <v>2.214E-2</v>
      </c>
      <c r="U19" s="13">
        <v>9.26844</v>
      </c>
      <c r="V19" s="13">
        <v>5.7724799999999998</v>
      </c>
      <c r="W19" s="13">
        <v>1.41008</v>
      </c>
      <c r="X19" s="13">
        <v>2.0541800000000001</v>
      </c>
      <c r="Y19" s="13">
        <v>3.1690000000000003E-2</v>
      </c>
      <c r="Z19" s="13">
        <v>0</v>
      </c>
      <c r="AA19" s="13">
        <v>3.7810000000000003E-2</v>
      </c>
      <c r="AB19" s="13">
        <v>5.1399999999999996E-3</v>
      </c>
      <c r="AC19" s="13">
        <v>0.31972</v>
      </c>
      <c r="AD19" s="13">
        <v>1.86456</v>
      </c>
      <c r="AE19" s="13">
        <v>0.35335</v>
      </c>
      <c r="AF19" s="13">
        <v>1.00962</v>
      </c>
      <c r="AG19" s="13">
        <v>0.50158999999999998</v>
      </c>
      <c r="AH19" s="13">
        <v>3.1130000000000001E-2</v>
      </c>
      <c r="AI19" s="13">
        <v>0</v>
      </c>
      <c r="AJ19" s="13">
        <v>3.1130000000000001E-2</v>
      </c>
      <c r="AK19" s="13">
        <v>1.9854099999999999</v>
      </c>
      <c r="AL19" s="13">
        <v>1.03688</v>
      </c>
      <c r="AM19" s="13">
        <v>0.94852999999999998</v>
      </c>
      <c r="AN19" s="13">
        <v>0</v>
      </c>
      <c r="AO19" s="13">
        <v>1.0779000000000001</v>
      </c>
      <c r="AP19" s="13">
        <v>0.81855</v>
      </c>
      <c r="AQ19" s="13">
        <v>0.25935000000000002</v>
      </c>
      <c r="AR19" s="13">
        <v>0</v>
      </c>
      <c r="AS19" s="13">
        <v>7.5761099999999999</v>
      </c>
      <c r="AT19" s="13">
        <v>4.8900600000000001</v>
      </c>
      <c r="AU19" s="13">
        <v>2.4785200000000001</v>
      </c>
      <c r="AV19" s="13">
        <v>1.2235</v>
      </c>
      <c r="AW19" s="13">
        <v>0.25172</v>
      </c>
      <c r="AX19" s="13">
        <v>7.9399999999999998E-2</v>
      </c>
      <c r="AY19" s="13">
        <v>0.92390000000000005</v>
      </c>
      <c r="AZ19" s="13">
        <v>1.4427700000000001</v>
      </c>
      <c r="BA19" s="13">
        <v>0.78400000000000003</v>
      </c>
      <c r="BB19" s="13">
        <v>0.10283</v>
      </c>
      <c r="BC19" s="13">
        <v>0</v>
      </c>
      <c r="BD19" s="13">
        <v>0</v>
      </c>
      <c r="BE19" s="13">
        <v>5.1500000000000001E-3</v>
      </c>
      <c r="BF19" s="13">
        <v>0</v>
      </c>
      <c r="BG19" s="13">
        <v>0.55078000000000005</v>
      </c>
      <c r="BH19" s="13">
        <v>0</v>
      </c>
      <c r="BI19" s="13">
        <v>0</v>
      </c>
      <c r="BJ19" s="13">
        <v>0</v>
      </c>
      <c r="BK19" s="13">
        <v>0.18611</v>
      </c>
      <c r="BL19" s="13">
        <v>3.5380000000000002E-2</v>
      </c>
      <c r="BM19" s="13">
        <v>0</v>
      </c>
      <c r="BN19" s="13">
        <v>0</v>
      </c>
      <c r="BO19" s="13">
        <v>0</v>
      </c>
      <c r="BP19" s="13">
        <v>8.7799999999999996E-3</v>
      </c>
      <c r="BQ19" s="13">
        <v>0.14194999999999999</v>
      </c>
      <c r="BR19" s="13">
        <v>0</v>
      </c>
      <c r="BS19" s="13">
        <v>1.54E-2</v>
      </c>
      <c r="BT19" s="13">
        <v>1.1480000000000001E-2</v>
      </c>
      <c r="BU19" s="13">
        <v>5.5999999999999995E-4</v>
      </c>
      <c r="BV19" s="13">
        <v>3.3600000000000001E-3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0.71894999999999998</v>
      </c>
      <c r="CD19" s="13">
        <v>0.68437000000000003</v>
      </c>
      <c r="CE19" s="13">
        <v>1.4540000000000001E-2</v>
      </c>
      <c r="CF19" s="13">
        <v>7.7499999999999999E-3</v>
      </c>
      <c r="CG19" s="13">
        <v>1.2290000000000001E-2</v>
      </c>
      <c r="CH19" s="13">
        <v>0</v>
      </c>
      <c r="CI19" s="13">
        <v>0</v>
      </c>
      <c r="CJ19" s="13">
        <v>4.8309999999999999E-2</v>
      </c>
      <c r="CK19" s="13">
        <v>0</v>
      </c>
      <c r="CL19" s="13">
        <v>5.8796900000000001</v>
      </c>
      <c r="CM19" s="13">
        <v>1.64191</v>
      </c>
      <c r="CN19" s="13">
        <v>1.2535000000000001</v>
      </c>
      <c r="CO19" s="13">
        <v>0.27633999999999997</v>
      </c>
      <c r="CP19" s="13">
        <v>2.6200000000000001E-2</v>
      </c>
      <c r="CQ19" s="13">
        <v>8.5870000000000002E-2</v>
      </c>
      <c r="CR19" s="13">
        <v>0.61380999999999997</v>
      </c>
      <c r="CS19" s="13">
        <v>0.32797999999999999</v>
      </c>
      <c r="CT19" s="13">
        <v>2.1760000000000002E-2</v>
      </c>
      <c r="CU19" s="13">
        <v>7.8090000000000007E-2</v>
      </c>
      <c r="CV19" s="13">
        <v>8.2629999999999995E-2</v>
      </c>
      <c r="CW19" s="13">
        <v>0.10335</v>
      </c>
      <c r="CX19" s="13">
        <v>0.111</v>
      </c>
      <c r="CY19" s="13">
        <v>0.111</v>
      </c>
      <c r="CZ19" s="13">
        <v>0</v>
      </c>
      <c r="DA19" s="13">
        <v>0</v>
      </c>
      <c r="DB19" s="13">
        <v>0</v>
      </c>
      <c r="DC19" s="13">
        <v>3.3997099999999998</v>
      </c>
      <c r="DD19" s="13">
        <v>2.6716899999999999</v>
      </c>
      <c r="DE19" s="13">
        <v>0.72802</v>
      </c>
      <c r="DF19" s="13">
        <v>0</v>
      </c>
      <c r="DG19" s="13">
        <v>3.7130000000000003E-2</v>
      </c>
      <c r="DH19" s="13">
        <v>2.8289999999999999E-2</v>
      </c>
      <c r="DI19" s="13">
        <v>6.9999999999999994E-5</v>
      </c>
      <c r="DJ19" s="13">
        <v>9.0000000000000006E-5</v>
      </c>
      <c r="DK19" s="13">
        <v>0</v>
      </c>
      <c r="DL19" s="13">
        <v>8.6899999999999998E-3</v>
      </c>
      <c r="DM19" s="13">
        <v>2.477E-2</v>
      </c>
      <c r="DN19" s="13">
        <v>5.1369999999999999E-2</v>
      </c>
      <c r="DO19" s="13">
        <v>0</v>
      </c>
      <c r="DP19" s="13">
        <v>0</v>
      </c>
      <c r="DQ19" s="13">
        <v>-9.5075000000000003</v>
      </c>
      <c r="DR19" s="13">
        <v>-8.5276999999999994</v>
      </c>
      <c r="DS19" s="13">
        <v>0</v>
      </c>
      <c r="DT19" s="13">
        <v>-8.2371099999999995</v>
      </c>
      <c r="DU19" s="13">
        <v>-0.29059000000000001</v>
      </c>
      <c r="DV19" s="13">
        <v>0.81901999999999997</v>
      </c>
      <c r="DW19" s="13">
        <v>0</v>
      </c>
      <c r="DX19" s="13">
        <v>0.34255000000000002</v>
      </c>
      <c r="DY19" s="13">
        <v>0.47647</v>
      </c>
      <c r="DZ19" s="13">
        <v>-0.82747000000000004</v>
      </c>
      <c r="EA19" s="13">
        <v>0</v>
      </c>
      <c r="EB19" s="13">
        <v>0.10067</v>
      </c>
      <c r="EC19" s="13">
        <v>-0.92813999999999997</v>
      </c>
      <c r="ED19" s="13">
        <v>9.9659999999999999E-2</v>
      </c>
      <c r="EE19" s="13">
        <v>0</v>
      </c>
      <c r="EF19" s="13">
        <v>0</v>
      </c>
      <c r="EG19" s="13">
        <v>9.9659999999999999E-2</v>
      </c>
      <c r="EH19" s="13">
        <v>0.16167999999999999</v>
      </c>
      <c r="EI19" s="13">
        <v>0</v>
      </c>
      <c r="EJ19" s="13">
        <v>0</v>
      </c>
      <c r="EK19" s="13">
        <v>0.16167999999999999</v>
      </c>
      <c r="EL19" s="13">
        <v>0</v>
      </c>
      <c r="EM19" s="13">
        <v>0</v>
      </c>
      <c r="EN19" s="13">
        <v>0</v>
      </c>
      <c r="EO19" s="13">
        <v>0</v>
      </c>
      <c r="EP19" s="13">
        <v>-1.2326900000000001</v>
      </c>
      <c r="EQ19" s="13">
        <v>0</v>
      </c>
      <c r="ER19" s="13">
        <v>3.1122100000000001</v>
      </c>
      <c r="ES19" s="13">
        <v>2.4607399999999999</v>
      </c>
      <c r="ET19" s="13">
        <v>1.18049</v>
      </c>
      <c r="EU19" s="13">
        <v>1.2802500000000001</v>
      </c>
      <c r="EV19" s="13">
        <v>0</v>
      </c>
      <c r="EW19" s="13">
        <v>1.0070000000000001E-2</v>
      </c>
      <c r="EX19" s="13">
        <v>0.01</v>
      </c>
      <c r="EY19" s="13">
        <v>6.9999999999999994E-5</v>
      </c>
      <c r="EZ19" s="13">
        <v>7.2300000000000003E-3</v>
      </c>
      <c r="FA19" s="13">
        <v>7.2300000000000003E-3</v>
      </c>
      <c r="FB19" s="13">
        <v>0</v>
      </c>
      <c r="FC19" s="13">
        <v>0.63417999999999997</v>
      </c>
      <c r="FD19" s="13">
        <v>0.39921000000000001</v>
      </c>
      <c r="FE19" s="13">
        <v>0.23496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6.8199999999999997E-2</v>
      </c>
    </row>
    <row r="20" spans="1:168" ht="11.45" customHeight="1" x14ac:dyDescent="0.25">
      <c r="A20" s="5" t="s">
        <v>178</v>
      </c>
      <c r="B20" s="5" t="s">
        <v>7</v>
      </c>
      <c r="C20" s="14">
        <v>33.955889999999997</v>
      </c>
      <c r="D20" s="14">
        <v>43.57152</v>
      </c>
      <c r="E20" s="14">
        <v>39.381320000000002</v>
      </c>
      <c r="F20" s="14">
        <v>38.669870000000003</v>
      </c>
      <c r="G20" s="14">
        <v>23.416589999999999</v>
      </c>
      <c r="H20" s="14">
        <v>22.59028</v>
      </c>
      <c r="I20" s="14">
        <v>0.82062000000000002</v>
      </c>
      <c r="J20" s="14">
        <v>5.6899999999999997E-3</v>
      </c>
      <c r="K20" s="14">
        <v>4.23177</v>
      </c>
      <c r="L20" s="14">
        <v>0.12970000000000001</v>
      </c>
      <c r="M20" s="14">
        <v>0.20498</v>
      </c>
      <c r="N20" s="14">
        <v>1.5385800000000001</v>
      </c>
      <c r="O20" s="14">
        <v>0.10678</v>
      </c>
      <c r="P20" s="14">
        <v>0.23841999999999999</v>
      </c>
      <c r="Q20" s="14">
        <v>1.14557</v>
      </c>
      <c r="R20" s="14">
        <v>0.86773999999999996</v>
      </c>
      <c r="S20" s="14">
        <v>9.5450700000000008</v>
      </c>
      <c r="T20" s="14">
        <v>2.197E-2</v>
      </c>
      <c r="U20" s="14">
        <v>9.1643500000000007</v>
      </c>
      <c r="V20" s="14">
        <v>5.7054299999999998</v>
      </c>
      <c r="W20" s="14">
        <v>1.3993199999999999</v>
      </c>
      <c r="X20" s="14">
        <v>2.0291800000000002</v>
      </c>
      <c r="Y20" s="14">
        <v>3.0419999999999999E-2</v>
      </c>
      <c r="Z20" s="14">
        <v>0</v>
      </c>
      <c r="AA20" s="14">
        <v>3.4250000000000003E-2</v>
      </c>
      <c r="AB20" s="14">
        <v>5.0899999999999999E-3</v>
      </c>
      <c r="AC20" s="14">
        <v>0.31940000000000002</v>
      </c>
      <c r="AD20" s="14">
        <v>1.44553</v>
      </c>
      <c r="AE20" s="14">
        <v>0.31417</v>
      </c>
      <c r="AF20" s="14">
        <v>0.67410999999999999</v>
      </c>
      <c r="AG20" s="14">
        <v>0.45724999999999999</v>
      </c>
      <c r="AH20" s="14">
        <v>3.09E-2</v>
      </c>
      <c r="AI20" s="14">
        <v>0</v>
      </c>
      <c r="AJ20" s="14">
        <v>3.09E-2</v>
      </c>
      <c r="AK20" s="14">
        <v>0.71145000000000003</v>
      </c>
      <c r="AL20" s="14">
        <v>2.5010000000000001E-2</v>
      </c>
      <c r="AM20" s="14">
        <v>0.68644000000000005</v>
      </c>
      <c r="AN20" s="14">
        <v>0</v>
      </c>
      <c r="AO20" s="14">
        <v>1.0693699999999999</v>
      </c>
      <c r="AP20" s="14">
        <v>0.81250999999999995</v>
      </c>
      <c r="AQ20" s="14">
        <v>0.25686999999999999</v>
      </c>
      <c r="AR20" s="14">
        <v>0</v>
      </c>
      <c r="AS20" s="14">
        <v>7.5761099999999999</v>
      </c>
      <c r="AT20" s="14">
        <v>4.0391000000000004</v>
      </c>
      <c r="AU20" s="14">
        <v>2.4785200000000001</v>
      </c>
      <c r="AV20" s="14">
        <v>1.2235</v>
      </c>
      <c r="AW20" s="14">
        <v>0.25172</v>
      </c>
      <c r="AX20" s="14">
        <v>7.9399999999999998E-2</v>
      </c>
      <c r="AY20" s="14">
        <v>0.92390000000000005</v>
      </c>
      <c r="AZ20" s="14">
        <v>1.3399300000000001</v>
      </c>
      <c r="BA20" s="14">
        <v>0.78400000000000003</v>
      </c>
      <c r="BB20" s="14">
        <v>0</v>
      </c>
      <c r="BC20" s="14">
        <v>0</v>
      </c>
      <c r="BD20" s="14">
        <v>0</v>
      </c>
      <c r="BE20" s="14">
        <v>5.1500000000000001E-3</v>
      </c>
      <c r="BF20" s="14">
        <v>0</v>
      </c>
      <c r="BG20" s="14">
        <v>0.55078000000000005</v>
      </c>
      <c r="BH20" s="14">
        <v>0</v>
      </c>
      <c r="BI20" s="14">
        <v>0</v>
      </c>
      <c r="BJ20" s="14">
        <v>0</v>
      </c>
      <c r="BK20" s="14">
        <v>0.18611</v>
      </c>
      <c r="BL20" s="14">
        <v>3.5380000000000002E-2</v>
      </c>
      <c r="BM20" s="14">
        <v>0</v>
      </c>
      <c r="BN20" s="14">
        <v>0</v>
      </c>
      <c r="BO20" s="14">
        <v>0</v>
      </c>
      <c r="BP20" s="14">
        <v>8.7799999999999996E-3</v>
      </c>
      <c r="BQ20" s="14">
        <v>0.14194999999999999</v>
      </c>
      <c r="BR20" s="14">
        <v>0</v>
      </c>
      <c r="BS20" s="14">
        <v>1.54E-2</v>
      </c>
      <c r="BT20" s="14">
        <v>1.1480000000000001E-2</v>
      </c>
      <c r="BU20" s="14">
        <v>5.5999999999999995E-4</v>
      </c>
      <c r="BV20" s="14">
        <v>3.3600000000000001E-3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1.9130000000000001E-2</v>
      </c>
      <c r="CK20" s="14">
        <v>0</v>
      </c>
      <c r="CL20" s="14">
        <v>7.6139999999999999E-2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2.477E-2</v>
      </c>
      <c r="DN20" s="14">
        <v>5.1369999999999999E-2</v>
      </c>
      <c r="DO20" s="14">
        <v>0</v>
      </c>
      <c r="DP20" s="14">
        <v>0</v>
      </c>
      <c r="DQ20" s="14">
        <v>-9.6156299999999995</v>
      </c>
      <c r="DR20" s="14">
        <v>-8.5359700000000007</v>
      </c>
      <c r="DS20" s="14">
        <v>0</v>
      </c>
      <c r="DT20" s="14">
        <v>-8.2427600000000005</v>
      </c>
      <c r="DU20" s="14">
        <v>-0.29321000000000003</v>
      </c>
      <c r="DV20" s="14">
        <v>0.75963000000000003</v>
      </c>
      <c r="DW20" s="14">
        <v>0</v>
      </c>
      <c r="DX20" s="14">
        <v>0.34255000000000002</v>
      </c>
      <c r="DY20" s="14">
        <v>0.41709000000000002</v>
      </c>
      <c r="DZ20" s="14">
        <v>-0.84279000000000004</v>
      </c>
      <c r="EA20" s="14">
        <v>0</v>
      </c>
      <c r="EB20" s="14">
        <v>8.5339999999999999E-2</v>
      </c>
      <c r="EC20" s="14">
        <v>-0.92813999999999997</v>
      </c>
      <c r="ED20" s="14">
        <v>8.7590000000000001E-2</v>
      </c>
      <c r="EE20" s="14">
        <v>0</v>
      </c>
      <c r="EF20" s="14">
        <v>0</v>
      </c>
      <c r="EG20" s="14">
        <v>8.7590000000000001E-2</v>
      </c>
      <c r="EH20" s="14">
        <v>0.14860000000000001</v>
      </c>
      <c r="EI20" s="14">
        <v>0</v>
      </c>
      <c r="EJ20" s="14">
        <v>0</v>
      </c>
      <c r="EK20" s="14">
        <v>0.14860000000000001</v>
      </c>
      <c r="EL20" s="14">
        <v>0</v>
      </c>
      <c r="EM20" s="14">
        <v>0</v>
      </c>
      <c r="EN20" s="14">
        <v>0</v>
      </c>
      <c r="EO20" s="14">
        <v>0</v>
      </c>
      <c r="EP20" s="14">
        <v>-1.2326900000000001</v>
      </c>
      <c r="EQ20" s="14">
        <v>0</v>
      </c>
      <c r="ER20" s="14">
        <v>6.77E-3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6.77E-3</v>
      </c>
      <c r="FA20" s="14">
        <v>6.77E-3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6.8199999999999997E-2</v>
      </c>
    </row>
    <row r="21" spans="1:168" ht="11.45" customHeight="1" x14ac:dyDescent="0.25">
      <c r="A21" s="5" t="s">
        <v>178</v>
      </c>
      <c r="B21" s="5" t="s">
        <v>8</v>
      </c>
      <c r="C21" s="13">
        <v>0.24232000000000001</v>
      </c>
      <c r="D21" s="13">
        <v>0.24218999999999999</v>
      </c>
      <c r="E21" s="13">
        <v>5.9799999999999999E-2</v>
      </c>
      <c r="F21" s="13">
        <v>1.4330000000000001E-2</v>
      </c>
      <c r="G21" s="13">
        <v>7.2999999999999996E-4</v>
      </c>
      <c r="H21" s="13">
        <v>7.2000000000000005E-4</v>
      </c>
      <c r="I21" s="13">
        <v>2.0000000000000002E-5</v>
      </c>
      <c r="J21" s="13">
        <v>0</v>
      </c>
      <c r="K21" s="13">
        <v>5.4000000000000001E-4</v>
      </c>
      <c r="L21" s="13">
        <v>0</v>
      </c>
      <c r="M21" s="13">
        <v>1.0000000000000001E-5</v>
      </c>
      <c r="N21" s="13">
        <v>6.9999999999999994E-5</v>
      </c>
      <c r="O21" s="13">
        <v>1.4999999999999999E-4</v>
      </c>
      <c r="P21" s="13">
        <v>4.0000000000000003E-5</v>
      </c>
      <c r="Q21" s="13">
        <v>1.1E-4</v>
      </c>
      <c r="R21" s="13">
        <v>1.7000000000000001E-4</v>
      </c>
      <c r="S21" s="13">
        <v>8.8999999999999995E-4</v>
      </c>
      <c r="T21" s="13">
        <v>0</v>
      </c>
      <c r="U21" s="13">
        <v>8.8000000000000003E-4</v>
      </c>
      <c r="V21" s="13">
        <v>5.9999999999999995E-4</v>
      </c>
      <c r="W21" s="13">
        <v>3.0000000000000001E-5</v>
      </c>
      <c r="X21" s="13">
        <v>2.2000000000000001E-4</v>
      </c>
      <c r="Y21" s="13">
        <v>4.0000000000000003E-5</v>
      </c>
      <c r="Z21" s="13">
        <v>0</v>
      </c>
      <c r="AA21" s="13">
        <v>0</v>
      </c>
      <c r="AB21" s="13">
        <v>0</v>
      </c>
      <c r="AC21" s="13">
        <v>1.0000000000000001E-5</v>
      </c>
      <c r="AD21" s="13">
        <v>1.2160000000000001E-2</v>
      </c>
      <c r="AE21" s="13">
        <v>1.24E-3</v>
      </c>
      <c r="AF21" s="13">
        <v>1.074E-2</v>
      </c>
      <c r="AG21" s="13">
        <v>1.9000000000000001E-4</v>
      </c>
      <c r="AH21" s="13">
        <v>0</v>
      </c>
      <c r="AI21" s="13">
        <v>0</v>
      </c>
      <c r="AJ21" s="13">
        <v>0</v>
      </c>
      <c r="AK21" s="13">
        <v>4.5469999999999997E-2</v>
      </c>
      <c r="AL21" s="13">
        <v>3.6139999999999999E-2</v>
      </c>
      <c r="AM21" s="13">
        <v>9.3299999999999998E-3</v>
      </c>
      <c r="AN21" s="13">
        <v>0</v>
      </c>
      <c r="AO21" s="13">
        <v>3.0000000000000001E-5</v>
      </c>
      <c r="AP21" s="13">
        <v>1.0000000000000001E-5</v>
      </c>
      <c r="AQ21" s="13">
        <v>2.0000000000000002E-5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7.6340000000000005E-2</v>
      </c>
      <c r="CM21" s="13">
        <v>5.8639999999999998E-2</v>
      </c>
      <c r="CN21" s="13">
        <v>4.4769999999999997E-2</v>
      </c>
      <c r="CO21" s="13">
        <v>9.8700000000000003E-3</v>
      </c>
      <c r="CP21" s="13">
        <v>9.3999999999999997E-4</v>
      </c>
      <c r="CQ21" s="13">
        <v>3.0699999999999998E-3</v>
      </c>
      <c r="CR21" s="13">
        <v>1.265E-2</v>
      </c>
      <c r="CS21" s="13">
        <v>9.1000000000000004E-3</v>
      </c>
      <c r="CT21" s="13">
        <v>2.9E-4</v>
      </c>
      <c r="CU21" s="13">
        <v>2.7399999999999998E-3</v>
      </c>
      <c r="CV21" s="13">
        <v>5.1999999999999995E-4</v>
      </c>
      <c r="CW21" s="13">
        <v>0</v>
      </c>
      <c r="CX21" s="13">
        <v>3.96E-3</v>
      </c>
      <c r="CY21" s="13">
        <v>3.96E-3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1.09E-3</v>
      </c>
      <c r="DH21" s="13">
        <v>8.8000000000000003E-4</v>
      </c>
      <c r="DI21" s="13">
        <v>0</v>
      </c>
      <c r="DJ21" s="13">
        <v>0</v>
      </c>
      <c r="DK21" s="13">
        <v>0</v>
      </c>
      <c r="DL21" s="13">
        <v>2.0000000000000001E-4</v>
      </c>
      <c r="DM21" s="13">
        <v>0</v>
      </c>
      <c r="DN21" s="13">
        <v>0</v>
      </c>
      <c r="DO21" s="13">
        <v>0</v>
      </c>
      <c r="DP21" s="13">
        <v>0</v>
      </c>
      <c r="DQ21" s="13">
        <v>1.3999999999999999E-4</v>
      </c>
      <c r="DR21" s="13">
        <v>1.3999999999999999E-4</v>
      </c>
      <c r="DS21" s="13">
        <v>0</v>
      </c>
      <c r="DT21" s="13">
        <v>1.2999999999999999E-4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0.10604</v>
      </c>
      <c r="ES21" s="13">
        <v>8.788E-2</v>
      </c>
      <c r="ET21" s="13">
        <v>4.2160000000000003E-2</v>
      </c>
      <c r="EU21" s="13">
        <v>4.5719999999999997E-2</v>
      </c>
      <c r="EV21" s="13">
        <v>0</v>
      </c>
      <c r="EW21" s="13">
        <v>2.3000000000000001E-4</v>
      </c>
      <c r="EX21" s="13">
        <v>2.3000000000000001E-4</v>
      </c>
      <c r="EY21" s="13">
        <v>0</v>
      </c>
      <c r="EZ21" s="13">
        <v>0</v>
      </c>
      <c r="FA21" s="13">
        <v>0</v>
      </c>
      <c r="FB21" s="13">
        <v>0</v>
      </c>
      <c r="FC21" s="13">
        <v>1.7930000000000001E-2</v>
      </c>
      <c r="FD21" s="13">
        <v>9.5399999999999999E-3</v>
      </c>
      <c r="FE21" s="13">
        <v>8.3899999999999999E-3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</row>
    <row r="22" spans="1:168" ht="11.45" customHeight="1" x14ac:dyDescent="0.25">
      <c r="A22" s="5" t="s">
        <v>178</v>
      </c>
      <c r="B22" s="5" t="s">
        <v>9</v>
      </c>
      <c r="C22" s="14">
        <v>1.626E-2</v>
      </c>
      <c r="D22" s="14">
        <v>1.5869999999999999E-2</v>
      </c>
      <c r="E22" s="14">
        <v>1.09E-3</v>
      </c>
      <c r="F22" s="14">
        <v>1.09E-3</v>
      </c>
      <c r="G22" s="14">
        <v>3.8000000000000002E-4</v>
      </c>
      <c r="H22" s="14">
        <v>3.6999999999999999E-4</v>
      </c>
      <c r="I22" s="14">
        <v>0</v>
      </c>
      <c r="J22" s="14">
        <v>0</v>
      </c>
      <c r="K22" s="14">
        <v>1E-4</v>
      </c>
      <c r="L22" s="14">
        <v>0</v>
      </c>
      <c r="M22" s="14">
        <v>0</v>
      </c>
      <c r="N22" s="14">
        <v>1.0000000000000001E-5</v>
      </c>
      <c r="O22" s="14">
        <v>2.0000000000000002E-5</v>
      </c>
      <c r="P22" s="14">
        <v>0</v>
      </c>
      <c r="Q22" s="14">
        <v>1.0000000000000001E-5</v>
      </c>
      <c r="R22" s="14">
        <v>5.0000000000000002E-5</v>
      </c>
      <c r="S22" s="14">
        <v>3.1E-4</v>
      </c>
      <c r="T22" s="14">
        <v>0</v>
      </c>
      <c r="U22" s="14">
        <v>2.9999999999999997E-4</v>
      </c>
      <c r="V22" s="14">
        <v>1.9000000000000001E-4</v>
      </c>
      <c r="W22" s="14">
        <v>4.0000000000000003E-5</v>
      </c>
      <c r="X22" s="14">
        <v>6.9999999999999994E-5</v>
      </c>
      <c r="Y22" s="14">
        <v>0</v>
      </c>
      <c r="Z22" s="14">
        <v>0</v>
      </c>
      <c r="AA22" s="14">
        <v>1.0000000000000001E-5</v>
      </c>
      <c r="AB22" s="14">
        <v>0</v>
      </c>
      <c r="AC22" s="14">
        <v>0</v>
      </c>
      <c r="AD22" s="14">
        <v>2.9999999999999997E-4</v>
      </c>
      <c r="AE22" s="14">
        <v>2.0000000000000002E-5</v>
      </c>
      <c r="AF22" s="14">
        <v>1.2999999999999999E-4</v>
      </c>
      <c r="AG22" s="14">
        <v>1.4999999999999999E-4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3.0000000000000001E-5</v>
      </c>
      <c r="AP22" s="14">
        <v>2.0000000000000002E-5</v>
      </c>
      <c r="AQ22" s="14">
        <v>1.0000000000000001E-5</v>
      </c>
      <c r="AR22" s="14">
        <v>0</v>
      </c>
      <c r="AS22" s="14">
        <v>0</v>
      </c>
      <c r="AT22" s="14">
        <v>4.2999999999999999E-4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3.8999999999999999E-4</v>
      </c>
      <c r="BA22" s="14">
        <v>0</v>
      </c>
      <c r="BB22" s="14">
        <v>3.8999999999999999E-4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4.0000000000000003E-5</v>
      </c>
      <c r="CK22" s="14">
        <v>0</v>
      </c>
      <c r="CL22" s="14">
        <v>1.383E-2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9.7999999999999997E-4</v>
      </c>
      <c r="CS22" s="14">
        <v>2.7999999999999998E-4</v>
      </c>
      <c r="CT22" s="14">
        <v>5.0000000000000002E-5</v>
      </c>
      <c r="CU22" s="14">
        <v>0</v>
      </c>
      <c r="CV22" s="14">
        <v>2.5999999999999998E-4</v>
      </c>
      <c r="CW22" s="14">
        <v>3.8999999999999999E-4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1.2829999999999999E-2</v>
      </c>
      <c r="DD22" s="14">
        <v>1.008E-2</v>
      </c>
      <c r="DE22" s="14">
        <v>2.7499999999999998E-3</v>
      </c>
      <c r="DF22" s="14">
        <v>0</v>
      </c>
      <c r="DG22" s="14">
        <v>3.0000000000000001E-5</v>
      </c>
      <c r="DH22" s="14">
        <v>1.0000000000000001E-5</v>
      </c>
      <c r="DI22" s="14">
        <v>0</v>
      </c>
      <c r="DJ22" s="14">
        <v>0</v>
      </c>
      <c r="DK22" s="14">
        <v>0</v>
      </c>
      <c r="DL22" s="14">
        <v>1.0000000000000001E-5</v>
      </c>
      <c r="DM22" s="14">
        <v>0</v>
      </c>
      <c r="DN22" s="14">
        <v>0</v>
      </c>
      <c r="DO22" s="14">
        <v>0</v>
      </c>
      <c r="DP22" s="14">
        <v>0</v>
      </c>
      <c r="DQ22" s="14">
        <v>3.8999999999999999E-4</v>
      </c>
      <c r="DR22" s="14">
        <v>2.0000000000000002E-5</v>
      </c>
      <c r="DS22" s="14">
        <v>0</v>
      </c>
      <c r="DT22" s="14">
        <v>1.0000000000000001E-5</v>
      </c>
      <c r="DU22" s="14">
        <v>1.0000000000000001E-5</v>
      </c>
      <c r="DV22" s="14">
        <v>2.2000000000000001E-4</v>
      </c>
      <c r="DW22" s="14">
        <v>0</v>
      </c>
      <c r="DX22" s="14">
        <v>0</v>
      </c>
      <c r="DY22" s="14">
        <v>2.2000000000000001E-4</v>
      </c>
      <c r="DZ22" s="14">
        <v>6.0000000000000002E-5</v>
      </c>
      <c r="EA22" s="14">
        <v>0</v>
      </c>
      <c r="EB22" s="14">
        <v>6.0000000000000002E-5</v>
      </c>
      <c r="EC22" s="14">
        <v>0</v>
      </c>
      <c r="ED22" s="14">
        <v>5.0000000000000002E-5</v>
      </c>
      <c r="EE22" s="14">
        <v>0</v>
      </c>
      <c r="EF22" s="14">
        <v>0</v>
      </c>
      <c r="EG22" s="14">
        <v>5.0000000000000002E-5</v>
      </c>
      <c r="EH22" s="14">
        <v>5.0000000000000002E-5</v>
      </c>
      <c r="EI22" s="14">
        <v>0</v>
      </c>
      <c r="EJ22" s="14">
        <v>0</v>
      </c>
      <c r="EK22" s="14">
        <v>5.0000000000000002E-5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5.1000000000000004E-4</v>
      </c>
      <c r="ES22" s="14">
        <v>0</v>
      </c>
      <c r="ET22" s="14">
        <v>0</v>
      </c>
      <c r="EU22" s="14">
        <v>0</v>
      </c>
      <c r="EV22" s="14">
        <v>0</v>
      </c>
      <c r="EW22" s="14">
        <v>1.0000000000000001E-5</v>
      </c>
      <c r="EX22" s="14">
        <v>1.0000000000000001E-5</v>
      </c>
      <c r="EY22" s="14">
        <v>0</v>
      </c>
      <c r="EZ22" s="14">
        <v>0</v>
      </c>
      <c r="FA22" s="14">
        <v>0</v>
      </c>
      <c r="FB22" s="14">
        <v>0</v>
      </c>
      <c r="FC22" s="14">
        <v>5.0000000000000001E-4</v>
      </c>
      <c r="FD22" s="14">
        <v>5.0000000000000001E-4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</row>
    <row r="23" spans="1:168" ht="11.45" customHeight="1" x14ac:dyDescent="0.25">
      <c r="A23" s="5" t="s">
        <v>179</v>
      </c>
      <c r="B23" s="5" t="s">
        <v>6</v>
      </c>
      <c r="C23" s="13">
        <v>125.67952</v>
      </c>
      <c r="D23" s="13">
        <v>126.94927</v>
      </c>
      <c r="E23" s="13">
        <v>97.882239999999996</v>
      </c>
      <c r="F23" s="13">
        <v>95.510289999999998</v>
      </c>
      <c r="G23" s="13">
        <v>52.933599999999998</v>
      </c>
      <c r="H23" s="13">
        <v>46.582970000000003</v>
      </c>
      <c r="I23" s="13">
        <v>0.50546000000000002</v>
      </c>
      <c r="J23" s="13">
        <v>5.84518</v>
      </c>
      <c r="K23" s="13">
        <v>10.220660000000001</v>
      </c>
      <c r="L23" s="13">
        <v>2.00332</v>
      </c>
      <c r="M23" s="13">
        <v>0.15275</v>
      </c>
      <c r="N23" s="13">
        <v>1.8590899999999999</v>
      </c>
      <c r="O23" s="13">
        <v>0.44095000000000001</v>
      </c>
      <c r="P23" s="13">
        <v>0.98748999999999998</v>
      </c>
      <c r="Q23" s="13">
        <v>2.7747999999999999</v>
      </c>
      <c r="R23" s="13">
        <v>2.0022600000000002</v>
      </c>
      <c r="S23" s="13">
        <v>18.825220000000002</v>
      </c>
      <c r="T23" s="13">
        <v>2.1909999999999999E-2</v>
      </c>
      <c r="U23" s="13">
        <v>18.503640000000001</v>
      </c>
      <c r="V23" s="13">
        <v>10.60473</v>
      </c>
      <c r="W23" s="13">
        <v>2.0726399999999998</v>
      </c>
      <c r="X23" s="13">
        <v>5.70106</v>
      </c>
      <c r="Y23" s="13">
        <v>0.12520999999999999</v>
      </c>
      <c r="Z23" s="13">
        <v>0</v>
      </c>
      <c r="AA23" s="13">
        <v>0.25755</v>
      </c>
      <c r="AB23" s="13">
        <v>9.5300000000000003E-3</v>
      </c>
      <c r="AC23" s="13">
        <v>3.2590000000000001E-2</v>
      </c>
      <c r="AD23" s="13">
        <v>13.21645</v>
      </c>
      <c r="AE23" s="13">
        <v>2.7911700000000002</v>
      </c>
      <c r="AF23" s="13">
        <v>9.2122899999999994</v>
      </c>
      <c r="AG23" s="13">
        <v>1.2129799999999999</v>
      </c>
      <c r="AH23" s="13">
        <v>0.31435999999999997</v>
      </c>
      <c r="AI23" s="13">
        <v>0</v>
      </c>
      <c r="AJ23" s="13">
        <v>0.31435999999999997</v>
      </c>
      <c r="AK23" s="13">
        <v>2.3719600000000001</v>
      </c>
      <c r="AL23" s="13">
        <v>1.6917500000000001</v>
      </c>
      <c r="AM23" s="13">
        <v>0.68020000000000003</v>
      </c>
      <c r="AN23" s="13">
        <v>0</v>
      </c>
      <c r="AO23" s="13">
        <v>1.2566200000000001</v>
      </c>
      <c r="AP23" s="13">
        <v>1.2566200000000001</v>
      </c>
      <c r="AQ23" s="13">
        <v>0</v>
      </c>
      <c r="AR23" s="13">
        <v>0</v>
      </c>
      <c r="AS23" s="13">
        <v>17.090219999999999</v>
      </c>
      <c r="AT23" s="13">
        <v>16.26812</v>
      </c>
      <c r="AU23" s="13">
        <v>3.5051600000000001</v>
      </c>
      <c r="AV23" s="13">
        <v>1.86754</v>
      </c>
      <c r="AW23" s="13">
        <v>0.74936999999999998</v>
      </c>
      <c r="AX23" s="13">
        <v>0.14768000000000001</v>
      </c>
      <c r="AY23" s="13">
        <v>0.74056999999999995</v>
      </c>
      <c r="AZ23" s="13">
        <v>2.0444900000000001</v>
      </c>
      <c r="BA23" s="13">
        <v>0.58560000000000001</v>
      </c>
      <c r="BB23" s="13">
        <v>0.11224000000000001</v>
      </c>
      <c r="BC23" s="13">
        <v>0</v>
      </c>
      <c r="BD23" s="13">
        <v>6.4360000000000001E-2</v>
      </c>
      <c r="BE23" s="13">
        <v>0</v>
      </c>
      <c r="BF23" s="13">
        <v>0</v>
      </c>
      <c r="BG23" s="13">
        <v>0</v>
      </c>
      <c r="BH23" s="13">
        <v>1.07484</v>
      </c>
      <c r="BI23" s="13">
        <v>0</v>
      </c>
      <c r="BJ23" s="13">
        <v>0.20744000000000001</v>
      </c>
      <c r="BK23" s="13">
        <v>6.4665499999999998</v>
      </c>
      <c r="BL23" s="13">
        <v>6.4506699999999997</v>
      </c>
      <c r="BM23" s="13">
        <v>5.1799999999999997E-3</v>
      </c>
      <c r="BN23" s="13">
        <v>0</v>
      </c>
      <c r="BO23" s="13">
        <v>0</v>
      </c>
      <c r="BP23" s="13">
        <v>1.0030000000000001E-2</v>
      </c>
      <c r="BQ23" s="13">
        <v>6.7000000000000002E-4</v>
      </c>
      <c r="BR23" s="13">
        <v>0</v>
      </c>
      <c r="BS23" s="13">
        <v>0.16067000000000001</v>
      </c>
      <c r="BT23" s="13">
        <v>0.12851000000000001</v>
      </c>
      <c r="BU23" s="13">
        <v>9.4299999999999991E-3</v>
      </c>
      <c r="BV23" s="13">
        <v>2.273E-2</v>
      </c>
      <c r="BW23" s="13">
        <v>5.9300000000000004E-3</v>
      </c>
      <c r="BX23" s="13">
        <v>5.9300000000000004E-3</v>
      </c>
      <c r="BY23" s="13">
        <v>0</v>
      </c>
      <c r="BZ23" s="13">
        <v>0</v>
      </c>
      <c r="CA23" s="13">
        <v>0</v>
      </c>
      <c r="CB23" s="13">
        <v>0</v>
      </c>
      <c r="CC23" s="13">
        <v>3.81643</v>
      </c>
      <c r="CD23" s="13">
        <v>3.7829199999999998</v>
      </c>
      <c r="CE23" s="13">
        <v>6.2100000000000002E-3</v>
      </c>
      <c r="CF23" s="13">
        <v>2.5090000000000001E-2</v>
      </c>
      <c r="CG23" s="13">
        <v>2.2100000000000002E-3</v>
      </c>
      <c r="CH23" s="13">
        <v>0</v>
      </c>
      <c r="CI23" s="13">
        <v>0</v>
      </c>
      <c r="CJ23" s="13">
        <v>0.26827000000000001</v>
      </c>
      <c r="CK23" s="13">
        <v>6.0999999999999997E-4</v>
      </c>
      <c r="CL23" s="13">
        <v>6.82538</v>
      </c>
      <c r="CM23" s="13">
        <v>3.5295899999999998</v>
      </c>
      <c r="CN23" s="13">
        <v>3.3950100000000001</v>
      </c>
      <c r="CO23" s="13">
        <v>4.904E-2</v>
      </c>
      <c r="CP23" s="13">
        <v>6.3320000000000001E-2</v>
      </c>
      <c r="CQ23" s="13">
        <v>2.222E-2</v>
      </c>
      <c r="CR23" s="13">
        <v>0.78095999999999999</v>
      </c>
      <c r="CS23" s="13">
        <v>0.36668000000000001</v>
      </c>
      <c r="CT23" s="13">
        <v>3.3800000000000002E-3</v>
      </c>
      <c r="CU23" s="13">
        <v>0.10841000000000001</v>
      </c>
      <c r="CV23" s="13">
        <v>0.10355</v>
      </c>
      <c r="CW23" s="13">
        <v>0.19894000000000001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2.1659899999999999</v>
      </c>
      <c r="DD23" s="13">
        <v>1.3594200000000001</v>
      </c>
      <c r="DE23" s="13">
        <v>0.80657000000000001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0.16336999999999999</v>
      </c>
      <c r="DN23" s="13">
        <v>0.18547</v>
      </c>
      <c r="DO23" s="13">
        <v>0</v>
      </c>
      <c r="DP23" s="13">
        <v>0</v>
      </c>
      <c r="DQ23" s="13">
        <v>-1.2697400000000001</v>
      </c>
      <c r="DR23" s="13">
        <v>0.35298000000000002</v>
      </c>
      <c r="DS23" s="13">
        <v>0</v>
      </c>
      <c r="DT23" s="13">
        <v>0.89578000000000002</v>
      </c>
      <c r="DU23" s="13">
        <v>-0.54279999999999995</v>
      </c>
      <c r="DV23" s="13">
        <v>3.8649999999999997E-2</v>
      </c>
      <c r="DW23" s="13">
        <v>0</v>
      </c>
      <c r="DX23" s="13">
        <v>-3.8300000000000001E-3</v>
      </c>
      <c r="DY23" s="13">
        <v>4.249E-2</v>
      </c>
      <c r="DZ23" s="13">
        <v>-0.49782999999999999</v>
      </c>
      <c r="EA23" s="13">
        <v>0</v>
      </c>
      <c r="EB23" s="13">
        <v>-0.27866000000000002</v>
      </c>
      <c r="EC23" s="13">
        <v>-0.21915999999999999</v>
      </c>
      <c r="ED23" s="13">
        <v>2.6259999999999999E-2</v>
      </c>
      <c r="EE23" s="13">
        <v>0</v>
      </c>
      <c r="EF23" s="13">
        <v>0</v>
      </c>
      <c r="EG23" s="13">
        <v>2.6259999999999999E-2</v>
      </c>
      <c r="EH23" s="13">
        <v>0.23830999999999999</v>
      </c>
      <c r="EI23" s="13">
        <v>0</v>
      </c>
      <c r="EJ23" s="13">
        <v>0</v>
      </c>
      <c r="EK23" s="13">
        <v>0.23830999999999999</v>
      </c>
      <c r="EL23" s="13">
        <v>0</v>
      </c>
      <c r="EM23" s="13">
        <v>0</v>
      </c>
      <c r="EN23" s="13">
        <v>0</v>
      </c>
      <c r="EO23" s="13">
        <v>0</v>
      </c>
      <c r="EP23" s="13">
        <v>-1.4281299999999999</v>
      </c>
      <c r="EQ23" s="13">
        <v>0</v>
      </c>
      <c r="ER23" s="13">
        <v>5.4092500000000001</v>
      </c>
      <c r="ES23" s="13">
        <v>3.6130800000000001</v>
      </c>
      <c r="ET23" s="13">
        <v>3.6130800000000001</v>
      </c>
      <c r="EU23" s="13">
        <v>0</v>
      </c>
      <c r="EV23" s="13">
        <v>0</v>
      </c>
      <c r="EW23" s="13">
        <v>0.55262</v>
      </c>
      <c r="EX23" s="13">
        <v>0.16131999999999999</v>
      </c>
      <c r="EY23" s="13">
        <v>0.39129000000000003</v>
      </c>
      <c r="EZ23" s="13">
        <v>0.11726</v>
      </c>
      <c r="FA23" s="13">
        <v>0.10872999999999999</v>
      </c>
      <c r="FB23" s="13">
        <v>8.5299999999999994E-3</v>
      </c>
      <c r="FC23" s="13">
        <v>1.12629</v>
      </c>
      <c r="FD23" s="13">
        <v>0.60499000000000003</v>
      </c>
      <c r="FE23" s="13">
        <v>0.52129999999999999</v>
      </c>
      <c r="FF23" s="13">
        <v>0</v>
      </c>
      <c r="FG23" s="13">
        <v>0</v>
      </c>
      <c r="FH23" s="13">
        <v>45.040320000000001</v>
      </c>
      <c r="FI23" s="13">
        <v>1.1561699999999999</v>
      </c>
      <c r="FJ23" s="13">
        <v>0.82035999999999998</v>
      </c>
      <c r="FK23" s="13">
        <v>0</v>
      </c>
      <c r="FL23" s="13">
        <v>0.56427000000000005</v>
      </c>
    </row>
    <row r="24" spans="1:168" ht="11.45" customHeight="1" x14ac:dyDescent="0.25">
      <c r="A24" s="5" t="s">
        <v>179</v>
      </c>
      <c r="B24" s="5" t="s">
        <v>7</v>
      </c>
      <c r="C24" s="14">
        <v>105.60072</v>
      </c>
      <c r="D24" s="14">
        <v>106.88633</v>
      </c>
      <c r="E24" s="14">
        <v>93.933350000000004</v>
      </c>
      <c r="F24" s="14">
        <v>93.825220000000002</v>
      </c>
      <c r="G24" s="14">
        <v>52.675669999999997</v>
      </c>
      <c r="H24" s="14">
        <v>46.343380000000003</v>
      </c>
      <c r="I24" s="14">
        <v>0.50495999999999996</v>
      </c>
      <c r="J24" s="14">
        <v>5.8273299999999999</v>
      </c>
      <c r="K24" s="14">
        <v>10.120100000000001</v>
      </c>
      <c r="L24" s="14">
        <v>1.9945999999999999</v>
      </c>
      <c r="M24" s="14">
        <v>0.15251999999999999</v>
      </c>
      <c r="N24" s="14">
        <v>1.8500799999999999</v>
      </c>
      <c r="O24" s="14">
        <v>0.40859000000000001</v>
      </c>
      <c r="P24" s="14">
        <v>0.98453000000000002</v>
      </c>
      <c r="Q24" s="14">
        <v>2.7478699999999998</v>
      </c>
      <c r="R24" s="14">
        <v>1.9819</v>
      </c>
      <c r="S24" s="14">
        <v>18.630980000000001</v>
      </c>
      <c r="T24" s="14">
        <v>2.1749999999999999E-2</v>
      </c>
      <c r="U24" s="14">
        <v>18.312159999999999</v>
      </c>
      <c r="V24" s="14">
        <v>10.5061</v>
      </c>
      <c r="W24" s="14">
        <v>2.0564900000000002</v>
      </c>
      <c r="X24" s="14">
        <v>5.6297100000000002</v>
      </c>
      <c r="Y24" s="14">
        <v>0.11985</v>
      </c>
      <c r="Z24" s="14">
        <v>0</v>
      </c>
      <c r="AA24" s="14">
        <v>0.25507000000000002</v>
      </c>
      <c r="AB24" s="14">
        <v>9.4400000000000005E-3</v>
      </c>
      <c r="AC24" s="14">
        <v>3.2559999999999999E-2</v>
      </c>
      <c r="AD24" s="14">
        <v>12.08728</v>
      </c>
      <c r="AE24" s="14">
        <v>2.7777699999999999</v>
      </c>
      <c r="AF24" s="14">
        <v>8.1150599999999997</v>
      </c>
      <c r="AG24" s="14">
        <v>1.19445</v>
      </c>
      <c r="AH24" s="14">
        <v>0.31119999999999998</v>
      </c>
      <c r="AI24" s="14">
        <v>0</v>
      </c>
      <c r="AJ24" s="14">
        <v>0.31119999999999998</v>
      </c>
      <c r="AK24" s="14">
        <v>0.10814</v>
      </c>
      <c r="AL24" s="14">
        <v>0.10345</v>
      </c>
      <c r="AM24" s="14">
        <v>4.6899999999999997E-3</v>
      </c>
      <c r="AN24" s="14">
        <v>0</v>
      </c>
      <c r="AO24" s="14">
        <v>1.2474000000000001</v>
      </c>
      <c r="AP24" s="14">
        <v>1.2474000000000001</v>
      </c>
      <c r="AQ24" s="14">
        <v>0</v>
      </c>
      <c r="AR24" s="14">
        <v>0</v>
      </c>
      <c r="AS24" s="14">
        <v>17.090219999999999</v>
      </c>
      <c r="AT24" s="14">
        <v>11.929869999999999</v>
      </c>
      <c r="AU24" s="14">
        <v>3.5051600000000001</v>
      </c>
      <c r="AV24" s="14">
        <v>1.86754</v>
      </c>
      <c r="AW24" s="14">
        <v>0.74936999999999998</v>
      </c>
      <c r="AX24" s="14">
        <v>0.14768000000000001</v>
      </c>
      <c r="AY24" s="14">
        <v>0.74056999999999995</v>
      </c>
      <c r="AZ24" s="14">
        <v>1.8127500000000001</v>
      </c>
      <c r="BA24" s="14">
        <v>0.58560000000000001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1.0197099999999999</v>
      </c>
      <c r="BI24" s="14">
        <v>0</v>
      </c>
      <c r="BJ24" s="14">
        <v>0.20744000000000001</v>
      </c>
      <c r="BK24" s="14">
        <v>6.4507300000000001</v>
      </c>
      <c r="BL24" s="14">
        <v>6.4394499999999999</v>
      </c>
      <c r="BM24" s="14">
        <v>5.9000000000000003E-4</v>
      </c>
      <c r="BN24" s="14">
        <v>0</v>
      </c>
      <c r="BO24" s="14">
        <v>0</v>
      </c>
      <c r="BP24" s="14">
        <v>1.0030000000000001E-2</v>
      </c>
      <c r="BQ24" s="14">
        <v>6.7000000000000002E-4</v>
      </c>
      <c r="BR24" s="14">
        <v>0</v>
      </c>
      <c r="BS24" s="14">
        <v>0.16067000000000001</v>
      </c>
      <c r="BT24" s="14">
        <v>0.12851000000000001</v>
      </c>
      <c r="BU24" s="14">
        <v>9.4299999999999991E-3</v>
      </c>
      <c r="BV24" s="14">
        <v>2.273E-2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5.5000000000000003E-4</v>
      </c>
      <c r="CL24" s="14">
        <v>0.34883999999999998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0.16336999999999999</v>
      </c>
      <c r="DN24" s="14">
        <v>0.18547</v>
      </c>
      <c r="DO24" s="14">
        <v>0</v>
      </c>
      <c r="DP24" s="14">
        <v>0</v>
      </c>
      <c r="DQ24" s="14">
        <v>-1.2856000000000001</v>
      </c>
      <c r="DR24" s="14">
        <v>0.33957999999999999</v>
      </c>
      <c r="DS24" s="14">
        <v>0</v>
      </c>
      <c r="DT24" s="14">
        <v>0.88236999999999999</v>
      </c>
      <c r="DU24" s="14">
        <v>-0.54279999999999995</v>
      </c>
      <c r="DV24" s="14">
        <v>3.6200000000000003E-2</v>
      </c>
      <c r="DW24" s="14">
        <v>0</v>
      </c>
      <c r="DX24" s="14">
        <v>-3.8300000000000001E-3</v>
      </c>
      <c r="DY24" s="14">
        <v>4.0030000000000003E-2</v>
      </c>
      <c r="DZ24" s="14">
        <v>-0.49782999999999999</v>
      </c>
      <c r="EA24" s="14">
        <v>0</v>
      </c>
      <c r="EB24" s="14">
        <v>-0.27866000000000002</v>
      </c>
      <c r="EC24" s="14">
        <v>-0.21915999999999999</v>
      </c>
      <c r="ED24" s="14">
        <v>2.6259999999999999E-2</v>
      </c>
      <c r="EE24" s="14">
        <v>0</v>
      </c>
      <c r="EF24" s="14">
        <v>0</v>
      </c>
      <c r="EG24" s="14">
        <v>2.6259999999999999E-2</v>
      </c>
      <c r="EH24" s="14">
        <v>0.23830999999999999</v>
      </c>
      <c r="EI24" s="14">
        <v>0</v>
      </c>
      <c r="EJ24" s="14">
        <v>0</v>
      </c>
      <c r="EK24" s="14">
        <v>0.23830999999999999</v>
      </c>
      <c r="EL24" s="14">
        <v>0</v>
      </c>
      <c r="EM24" s="14">
        <v>0</v>
      </c>
      <c r="EN24" s="14">
        <v>0</v>
      </c>
      <c r="EO24" s="14">
        <v>0</v>
      </c>
      <c r="EP24" s="14">
        <v>-1.4281299999999999</v>
      </c>
      <c r="EQ24" s="14">
        <v>0</v>
      </c>
      <c r="ER24" s="14">
        <v>0.10999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0.10999</v>
      </c>
      <c r="FA24" s="14">
        <v>0.10621</v>
      </c>
      <c r="FB24" s="14">
        <v>3.7799999999999999E-3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45.040320000000001</v>
      </c>
      <c r="FI24" s="14">
        <v>1.1561699999999999</v>
      </c>
      <c r="FJ24" s="14">
        <v>0.82035999999999998</v>
      </c>
      <c r="FK24" s="14">
        <v>0</v>
      </c>
      <c r="FL24" s="14">
        <v>0.56427000000000005</v>
      </c>
    </row>
    <row r="25" spans="1:168" ht="11.45" customHeight="1" x14ac:dyDescent="0.25">
      <c r="A25" s="5" t="s">
        <v>179</v>
      </c>
      <c r="B25" s="5" t="s">
        <v>8</v>
      </c>
      <c r="C25" s="13">
        <v>0.44395000000000001</v>
      </c>
      <c r="D25" s="13">
        <v>0.44363000000000002</v>
      </c>
      <c r="E25" s="13">
        <v>0.12107</v>
      </c>
      <c r="F25" s="13">
        <v>4.0219999999999999E-2</v>
      </c>
      <c r="G25" s="13">
        <v>1.3500000000000001E-3</v>
      </c>
      <c r="H25" s="13">
        <v>1.2800000000000001E-3</v>
      </c>
      <c r="I25" s="13">
        <v>1.0000000000000001E-5</v>
      </c>
      <c r="J25" s="13">
        <v>6.0000000000000002E-5</v>
      </c>
      <c r="K25" s="13">
        <v>1.58E-3</v>
      </c>
      <c r="L25" s="13">
        <v>1.2999999999999999E-4</v>
      </c>
      <c r="M25" s="13">
        <v>0</v>
      </c>
      <c r="N25" s="13">
        <v>1.2999999999999999E-4</v>
      </c>
      <c r="O25" s="13">
        <v>5.1000000000000004E-4</v>
      </c>
      <c r="P25" s="13">
        <v>5.0000000000000002E-5</v>
      </c>
      <c r="Q25" s="13">
        <v>4.2000000000000002E-4</v>
      </c>
      <c r="R25" s="13">
        <v>3.2000000000000003E-4</v>
      </c>
      <c r="S25" s="13">
        <v>1.0499999999999999E-3</v>
      </c>
      <c r="T25" s="13">
        <v>0</v>
      </c>
      <c r="U25" s="13">
        <v>9.7999999999999997E-4</v>
      </c>
      <c r="V25" s="13">
        <v>6.2E-4</v>
      </c>
      <c r="W25" s="13">
        <v>2.0000000000000002E-5</v>
      </c>
      <c r="X25" s="13">
        <v>1.6000000000000001E-4</v>
      </c>
      <c r="Y25" s="13">
        <v>1.7000000000000001E-4</v>
      </c>
      <c r="Z25" s="13">
        <v>0</v>
      </c>
      <c r="AA25" s="13">
        <v>6.9999999999999994E-5</v>
      </c>
      <c r="AB25" s="13">
        <v>0</v>
      </c>
      <c r="AC25" s="13">
        <v>0</v>
      </c>
      <c r="AD25" s="13">
        <v>3.6229999999999998E-2</v>
      </c>
      <c r="AE25" s="13">
        <v>4.0000000000000002E-4</v>
      </c>
      <c r="AF25" s="13">
        <v>3.5580000000000001E-2</v>
      </c>
      <c r="AG25" s="13">
        <v>2.5000000000000001E-4</v>
      </c>
      <c r="AH25" s="13">
        <v>1.0000000000000001E-5</v>
      </c>
      <c r="AI25" s="13">
        <v>0</v>
      </c>
      <c r="AJ25" s="13">
        <v>1.0000000000000001E-5</v>
      </c>
      <c r="AK25" s="13">
        <v>8.0850000000000005E-2</v>
      </c>
      <c r="AL25" s="13">
        <v>5.6730000000000003E-2</v>
      </c>
      <c r="AM25" s="13">
        <v>2.4119999999999999E-2</v>
      </c>
      <c r="AN25" s="13">
        <v>0</v>
      </c>
      <c r="AO25" s="13">
        <v>1.0000000000000001E-5</v>
      </c>
      <c r="AP25" s="13">
        <v>1.0000000000000001E-5</v>
      </c>
      <c r="AQ25" s="13">
        <v>0</v>
      </c>
      <c r="AR25" s="13">
        <v>0</v>
      </c>
      <c r="AS25" s="13">
        <v>0</v>
      </c>
      <c r="AT25" s="13">
        <v>2.5300000000000001E-3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1.97E-3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1.97E-3</v>
      </c>
      <c r="BI25" s="13">
        <v>0</v>
      </c>
      <c r="BJ25" s="13">
        <v>0</v>
      </c>
      <c r="BK25" s="13">
        <v>5.5999999999999995E-4</v>
      </c>
      <c r="BL25" s="13">
        <v>4.0000000000000002E-4</v>
      </c>
      <c r="BM25" s="13">
        <v>1.6000000000000001E-4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0.13988999999999999</v>
      </c>
      <c r="CM25" s="13">
        <v>0.12606000000000001</v>
      </c>
      <c r="CN25" s="13">
        <v>0.12125</v>
      </c>
      <c r="CO25" s="13">
        <v>1.75E-3</v>
      </c>
      <c r="CP25" s="13">
        <v>2.2599999999999999E-3</v>
      </c>
      <c r="CQ25" s="13">
        <v>7.9000000000000001E-4</v>
      </c>
      <c r="CR25" s="13">
        <v>1.383E-2</v>
      </c>
      <c r="CS25" s="13">
        <v>7.9000000000000008E-3</v>
      </c>
      <c r="CT25" s="13">
        <v>4.0000000000000003E-5</v>
      </c>
      <c r="CU25" s="13">
        <v>3.1800000000000001E-3</v>
      </c>
      <c r="CV25" s="13">
        <v>2.7100000000000002E-3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3.1E-4</v>
      </c>
      <c r="DR25" s="13">
        <v>3.1E-4</v>
      </c>
      <c r="DS25" s="13">
        <v>0</v>
      </c>
      <c r="DT25" s="13">
        <v>3.1E-4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0.18013999999999999</v>
      </c>
      <c r="ES25" s="13">
        <v>0.12903999999999999</v>
      </c>
      <c r="ET25" s="13">
        <v>0.12903999999999999</v>
      </c>
      <c r="EU25" s="13">
        <v>0</v>
      </c>
      <c r="EV25" s="13">
        <v>0</v>
      </c>
      <c r="EW25" s="13">
        <v>1.7649999999999999E-2</v>
      </c>
      <c r="EX25" s="13">
        <v>3.6700000000000001E-3</v>
      </c>
      <c r="EY25" s="13">
        <v>1.397E-2</v>
      </c>
      <c r="EZ25" s="13">
        <v>1.3999999999999999E-4</v>
      </c>
      <c r="FA25" s="13">
        <v>0</v>
      </c>
      <c r="FB25" s="13">
        <v>1.3999999999999999E-4</v>
      </c>
      <c r="FC25" s="13">
        <v>3.3309999999999999E-2</v>
      </c>
      <c r="FD25" s="13">
        <v>1.469E-2</v>
      </c>
      <c r="FE25" s="13">
        <v>1.8620000000000001E-2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</row>
    <row r="26" spans="1:168" ht="11.45" customHeight="1" x14ac:dyDescent="0.25">
      <c r="A26" s="5" t="s">
        <v>179</v>
      </c>
      <c r="B26" s="5" t="s">
        <v>9</v>
      </c>
      <c r="C26" s="14">
        <v>1.417E-2</v>
      </c>
      <c r="D26" s="14">
        <v>1.4149999999999999E-2</v>
      </c>
      <c r="E26" s="14">
        <v>2.1099999999999999E-3</v>
      </c>
      <c r="F26" s="14">
        <v>2.1099999999999999E-3</v>
      </c>
      <c r="G26" s="14">
        <v>8.3000000000000001E-4</v>
      </c>
      <c r="H26" s="14">
        <v>7.6999999999999996E-4</v>
      </c>
      <c r="I26" s="14">
        <v>0</v>
      </c>
      <c r="J26" s="14">
        <v>6.0000000000000002E-5</v>
      </c>
      <c r="K26" s="14">
        <v>2.1000000000000001E-4</v>
      </c>
      <c r="L26" s="14">
        <v>2.0000000000000002E-5</v>
      </c>
      <c r="M26" s="14">
        <v>0</v>
      </c>
      <c r="N26" s="14">
        <v>2.0000000000000002E-5</v>
      </c>
      <c r="O26" s="14">
        <v>6.9999999999999994E-5</v>
      </c>
      <c r="P26" s="14">
        <v>1.0000000000000001E-5</v>
      </c>
      <c r="Q26" s="14">
        <v>6.0000000000000002E-5</v>
      </c>
      <c r="R26" s="14">
        <v>4.0000000000000003E-5</v>
      </c>
      <c r="S26" s="14">
        <v>6.2E-4</v>
      </c>
      <c r="T26" s="14">
        <v>0</v>
      </c>
      <c r="U26" s="14">
        <v>6.2E-4</v>
      </c>
      <c r="V26" s="14">
        <v>3.1E-4</v>
      </c>
      <c r="W26" s="14">
        <v>6.0000000000000002E-5</v>
      </c>
      <c r="X26" s="14">
        <v>2.5000000000000001E-4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4.2999999999999999E-4</v>
      </c>
      <c r="AE26" s="14">
        <v>1.0000000000000001E-5</v>
      </c>
      <c r="AF26" s="14">
        <v>3.8000000000000002E-4</v>
      </c>
      <c r="AG26" s="14">
        <v>4.0000000000000003E-5</v>
      </c>
      <c r="AH26" s="14">
        <v>1.0000000000000001E-5</v>
      </c>
      <c r="AI26" s="14">
        <v>0</v>
      </c>
      <c r="AJ26" s="14">
        <v>1.0000000000000001E-5</v>
      </c>
      <c r="AK26" s="14">
        <v>0</v>
      </c>
      <c r="AL26" s="14">
        <v>0</v>
      </c>
      <c r="AM26" s="14">
        <v>0</v>
      </c>
      <c r="AN26" s="14">
        <v>0</v>
      </c>
      <c r="AO26" s="14">
        <v>3.0000000000000001E-5</v>
      </c>
      <c r="AP26" s="14">
        <v>3.0000000000000001E-5</v>
      </c>
      <c r="AQ26" s="14">
        <v>0</v>
      </c>
      <c r="AR26" s="14">
        <v>0</v>
      </c>
      <c r="AS26" s="14">
        <v>0</v>
      </c>
      <c r="AT26" s="14">
        <v>1.42E-3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6.7000000000000002E-4</v>
      </c>
      <c r="BA26" s="14">
        <v>0</v>
      </c>
      <c r="BB26" s="14">
        <v>4.2000000000000002E-4</v>
      </c>
      <c r="BC26" s="14">
        <v>0</v>
      </c>
      <c r="BD26" s="14">
        <v>2.4000000000000001E-4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7.5000000000000002E-4</v>
      </c>
      <c r="CK26" s="14">
        <v>0</v>
      </c>
      <c r="CL26" s="14">
        <v>9.6600000000000002E-3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1.49E-3</v>
      </c>
      <c r="CS26" s="14">
        <v>5.5000000000000003E-4</v>
      </c>
      <c r="CT26" s="14">
        <v>1.0000000000000001E-5</v>
      </c>
      <c r="CU26" s="14">
        <v>6.9999999999999994E-5</v>
      </c>
      <c r="CV26" s="14">
        <v>1E-4</v>
      </c>
      <c r="CW26" s="14">
        <v>7.5000000000000002E-4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8.1700000000000002E-3</v>
      </c>
      <c r="DD26" s="14">
        <v>5.13E-3</v>
      </c>
      <c r="DE26" s="14">
        <v>3.0400000000000002E-3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3.0000000000000001E-5</v>
      </c>
      <c r="DR26" s="14">
        <v>2.0000000000000002E-5</v>
      </c>
      <c r="DS26" s="14">
        <v>0</v>
      </c>
      <c r="DT26" s="14">
        <v>2.0000000000000002E-5</v>
      </c>
      <c r="DU26" s="14">
        <v>0</v>
      </c>
      <c r="DV26" s="14">
        <v>1.0000000000000001E-5</v>
      </c>
      <c r="DW26" s="14">
        <v>0</v>
      </c>
      <c r="DX26" s="14">
        <v>0</v>
      </c>
      <c r="DY26" s="14">
        <v>1.0000000000000001E-5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9.6000000000000002E-4</v>
      </c>
      <c r="ES26" s="14">
        <v>0</v>
      </c>
      <c r="ET26" s="14">
        <v>0</v>
      </c>
      <c r="EU26" s="14">
        <v>0</v>
      </c>
      <c r="EV26" s="14">
        <v>0</v>
      </c>
      <c r="EW26" s="14">
        <v>2.2000000000000001E-4</v>
      </c>
      <c r="EX26" s="14">
        <v>2.2000000000000001E-4</v>
      </c>
      <c r="EY26" s="14">
        <v>0</v>
      </c>
      <c r="EZ26" s="14">
        <v>1.0000000000000001E-5</v>
      </c>
      <c r="FA26" s="14">
        <v>1.0000000000000001E-5</v>
      </c>
      <c r="FB26" s="14">
        <v>0</v>
      </c>
      <c r="FC26" s="14">
        <v>7.2999999999999996E-4</v>
      </c>
      <c r="FD26" s="14">
        <v>7.2999999999999996E-4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</row>
    <row r="27" spans="1:168" ht="11.45" customHeight="1" x14ac:dyDescent="0.25">
      <c r="A27" s="5" t="s">
        <v>180</v>
      </c>
      <c r="B27" s="5" t="s">
        <v>6</v>
      </c>
      <c r="C27" s="13">
        <v>52.558680000000003</v>
      </c>
      <c r="D27" s="13">
        <v>50.074530000000003</v>
      </c>
      <c r="E27" s="13">
        <v>33.689100000000003</v>
      </c>
      <c r="F27" s="13">
        <v>33.292000000000002</v>
      </c>
      <c r="G27" s="13">
        <v>11.517469999999999</v>
      </c>
      <c r="H27" s="13">
        <v>9.3270300000000006</v>
      </c>
      <c r="I27" s="13">
        <v>0.89088000000000001</v>
      </c>
      <c r="J27" s="13">
        <v>1.29956</v>
      </c>
      <c r="K27" s="13">
        <v>4.0677899999999996</v>
      </c>
      <c r="L27" s="13">
        <v>0.11090999999999999</v>
      </c>
      <c r="M27" s="13">
        <v>0</v>
      </c>
      <c r="N27" s="13">
        <v>0.26423000000000002</v>
      </c>
      <c r="O27" s="13">
        <v>8.6559999999999998E-2</v>
      </c>
      <c r="P27" s="13">
        <v>1.10304</v>
      </c>
      <c r="Q27" s="13">
        <v>1.5683100000000001</v>
      </c>
      <c r="R27" s="13">
        <v>0.93474000000000002</v>
      </c>
      <c r="S27" s="13">
        <v>13.216469999999999</v>
      </c>
      <c r="T27" s="13">
        <v>0.14224000000000001</v>
      </c>
      <c r="U27" s="13">
        <v>12.36121</v>
      </c>
      <c r="V27" s="13">
        <v>6.7617900000000004</v>
      </c>
      <c r="W27" s="13">
        <v>1.71204</v>
      </c>
      <c r="X27" s="13">
        <v>3.8139599999999998</v>
      </c>
      <c r="Y27" s="13">
        <v>7.3429999999999995E-2</v>
      </c>
      <c r="Z27" s="13">
        <v>0</v>
      </c>
      <c r="AA27" s="13">
        <v>0.22600000000000001</v>
      </c>
      <c r="AB27" s="13">
        <v>0.48702000000000001</v>
      </c>
      <c r="AC27" s="13">
        <v>0</v>
      </c>
      <c r="AD27" s="13">
        <v>4.2773500000000002</v>
      </c>
      <c r="AE27" s="13">
        <v>0.84263999999999994</v>
      </c>
      <c r="AF27" s="13">
        <v>2.0282200000000001</v>
      </c>
      <c r="AG27" s="13">
        <v>1.40649</v>
      </c>
      <c r="AH27" s="13">
        <v>0.21290999999999999</v>
      </c>
      <c r="AI27" s="13">
        <v>0</v>
      </c>
      <c r="AJ27" s="13">
        <v>0.21290999999999999</v>
      </c>
      <c r="AK27" s="13">
        <v>0.39711000000000002</v>
      </c>
      <c r="AL27" s="13">
        <v>0</v>
      </c>
      <c r="AM27" s="13">
        <v>0.39711000000000002</v>
      </c>
      <c r="AN27" s="13">
        <v>0</v>
      </c>
      <c r="AO27" s="13">
        <v>4.8046499999999996</v>
      </c>
      <c r="AP27" s="13">
        <v>3.0654499999999998</v>
      </c>
      <c r="AQ27" s="13">
        <v>1.7392000000000001</v>
      </c>
      <c r="AR27" s="13">
        <v>0</v>
      </c>
      <c r="AS27" s="13">
        <v>16.575510000000001</v>
      </c>
      <c r="AT27" s="13">
        <v>1.9707699999999999</v>
      </c>
      <c r="AU27" s="13">
        <v>1.2963199999999999</v>
      </c>
      <c r="AV27" s="13">
        <v>1.15974</v>
      </c>
      <c r="AW27" s="13">
        <v>3.6790000000000003E-2</v>
      </c>
      <c r="AX27" s="13">
        <v>1.035E-2</v>
      </c>
      <c r="AY27" s="13">
        <v>8.9440000000000006E-2</v>
      </c>
      <c r="AZ27" s="13">
        <v>1.4400000000000001E-3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1.4400000000000001E-3</v>
      </c>
      <c r="BK27" s="13">
        <v>1.2E-4</v>
      </c>
      <c r="BL27" s="13">
        <v>0</v>
      </c>
      <c r="BM27" s="13">
        <v>0</v>
      </c>
      <c r="BN27" s="13">
        <v>0</v>
      </c>
      <c r="BO27" s="13">
        <v>0</v>
      </c>
      <c r="BP27" s="13">
        <v>1.2E-4</v>
      </c>
      <c r="BQ27" s="13">
        <v>0</v>
      </c>
      <c r="BR27" s="13">
        <v>0</v>
      </c>
      <c r="BS27" s="13">
        <v>0.10144</v>
      </c>
      <c r="BT27" s="13">
        <v>3.1669999999999997E-2</v>
      </c>
      <c r="BU27" s="13">
        <v>6.0170000000000001E-2</v>
      </c>
      <c r="BV27" s="13">
        <v>9.5899999999999996E-3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0.47494999999999998</v>
      </c>
      <c r="CD27" s="13">
        <v>0.46049000000000001</v>
      </c>
      <c r="CE27" s="13">
        <v>8.4999999999999995E-4</v>
      </c>
      <c r="CF27" s="13">
        <v>0</v>
      </c>
      <c r="CG27" s="13">
        <v>1.3599999999999999E-2</v>
      </c>
      <c r="CH27" s="13">
        <v>0</v>
      </c>
      <c r="CI27" s="13">
        <v>0</v>
      </c>
      <c r="CJ27" s="13">
        <v>9.6509999999999999E-2</v>
      </c>
      <c r="CK27" s="13">
        <v>0</v>
      </c>
      <c r="CL27" s="13">
        <v>12.971080000000001</v>
      </c>
      <c r="CM27" s="13">
        <v>4.20228</v>
      </c>
      <c r="CN27" s="13">
        <v>3.6617099999999998</v>
      </c>
      <c r="CO27" s="13">
        <v>3.9419999999999997E-2</v>
      </c>
      <c r="CP27" s="13">
        <v>0.38562000000000002</v>
      </c>
      <c r="CQ27" s="13">
        <v>0.11552999999999999</v>
      </c>
      <c r="CR27" s="13">
        <v>4.7019900000000003</v>
      </c>
      <c r="CS27" s="13">
        <v>2.1214200000000001</v>
      </c>
      <c r="CT27" s="13">
        <v>3.3E-3</v>
      </c>
      <c r="CU27" s="13">
        <v>2.2678699999999998</v>
      </c>
      <c r="CV27" s="13">
        <v>0.13622000000000001</v>
      </c>
      <c r="CW27" s="13">
        <v>0.17318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3.8203299999999998</v>
      </c>
      <c r="DD27" s="13">
        <v>3.0459900000000002</v>
      </c>
      <c r="DE27" s="13">
        <v>0.77434000000000003</v>
      </c>
      <c r="DF27" s="13">
        <v>0</v>
      </c>
      <c r="DG27" s="13">
        <v>2.6700000000000001E-3</v>
      </c>
      <c r="DH27" s="13">
        <v>6.3000000000000003E-4</v>
      </c>
      <c r="DI27" s="13">
        <v>0</v>
      </c>
      <c r="DJ27" s="13">
        <v>0</v>
      </c>
      <c r="DK27" s="13">
        <v>0</v>
      </c>
      <c r="DL27" s="13">
        <v>2.0400000000000001E-3</v>
      </c>
      <c r="DM27" s="13">
        <v>0.23991999999999999</v>
      </c>
      <c r="DN27" s="13">
        <v>1.39E-3</v>
      </c>
      <c r="DO27" s="13">
        <v>2.49E-3</v>
      </c>
      <c r="DP27" s="13">
        <v>0</v>
      </c>
      <c r="DQ27" s="13">
        <v>2.4841600000000001</v>
      </c>
      <c r="DR27" s="13">
        <v>-2.10392</v>
      </c>
      <c r="DS27" s="13">
        <v>6.5140000000000003E-2</v>
      </c>
      <c r="DT27" s="13">
        <v>-0.88770000000000004</v>
      </c>
      <c r="DU27" s="13">
        <v>-1.2162299999999999</v>
      </c>
      <c r="DV27" s="13">
        <v>3.5064899999999999</v>
      </c>
      <c r="DW27" s="13">
        <v>0.26641999999999999</v>
      </c>
      <c r="DX27" s="13">
        <v>3.4804300000000001</v>
      </c>
      <c r="DY27" s="13">
        <v>2.606E-2</v>
      </c>
      <c r="DZ27" s="13">
        <v>0.77317000000000002</v>
      </c>
      <c r="EA27" s="13">
        <v>0.14143</v>
      </c>
      <c r="EB27" s="13">
        <v>0.75407999999999997</v>
      </c>
      <c r="EC27" s="13">
        <v>1.9089999999999999E-2</v>
      </c>
      <c r="ED27" s="13">
        <v>0.11384</v>
      </c>
      <c r="EE27" s="13">
        <v>6.0380000000000003E-2</v>
      </c>
      <c r="EF27" s="13">
        <v>7.4440000000000006E-2</v>
      </c>
      <c r="EG27" s="13">
        <v>3.9399999999999998E-2</v>
      </c>
      <c r="EH27" s="13">
        <v>0.24077000000000001</v>
      </c>
      <c r="EI27" s="13">
        <v>0</v>
      </c>
      <c r="EJ27" s="13">
        <v>0</v>
      </c>
      <c r="EK27" s="13">
        <v>0.24077000000000001</v>
      </c>
      <c r="EL27" s="13">
        <v>0</v>
      </c>
      <c r="EM27" s="13">
        <v>0</v>
      </c>
      <c r="EN27" s="13">
        <v>0</v>
      </c>
      <c r="EO27" s="13">
        <v>0</v>
      </c>
      <c r="EP27" s="13">
        <v>-4.6190000000000002E-2</v>
      </c>
      <c r="EQ27" s="13">
        <v>0</v>
      </c>
      <c r="ER27" s="13">
        <v>1.08246</v>
      </c>
      <c r="ES27" s="13">
        <v>0.46794999999999998</v>
      </c>
      <c r="ET27" s="13">
        <v>0.46794999999999998</v>
      </c>
      <c r="EU27" s="13">
        <v>0</v>
      </c>
      <c r="EV27" s="13">
        <v>0</v>
      </c>
      <c r="EW27" s="13">
        <v>0.36076999999999998</v>
      </c>
      <c r="EX27" s="13">
        <v>0.12454999999999999</v>
      </c>
      <c r="EY27" s="13">
        <v>0.23622000000000001</v>
      </c>
      <c r="EZ27" s="13">
        <v>2.7E-4</v>
      </c>
      <c r="FA27" s="13">
        <v>2.7E-4</v>
      </c>
      <c r="FB27" s="13">
        <v>0</v>
      </c>
      <c r="FC27" s="13">
        <v>0.22871</v>
      </c>
      <c r="FD27" s="13">
        <v>0.20746000000000001</v>
      </c>
      <c r="FE27" s="13">
        <v>2.1250000000000002E-2</v>
      </c>
      <c r="FF27" s="13">
        <v>0</v>
      </c>
      <c r="FG27" s="13">
        <v>2.4760000000000001E-2</v>
      </c>
      <c r="FH27" s="13">
        <v>0</v>
      </c>
      <c r="FI27" s="13">
        <v>0</v>
      </c>
      <c r="FJ27" s="13">
        <v>0</v>
      </c>
      <c r="FK27" s="13">
        <v>0</v>
      </c>
      <c r="FL27" s="13">
        <v>0.36110999999999999</v>
      </c>
    </row>
    <row r="28" spans="1:168" ht="11.45" customHeight="1" x14ac:dyDescent="0.25">
      <c r="A28" s="5" t="s">
        <v>180</v>
      </c>
      <c r="B28" s="5" t="s">
        <v>7</v>
      </c>
      <c r="C28" s="14">
        <v>36.975169999999999</v>
      </c>
      <c r="D28" s="14">
        <v>34.901899999999998</v>
      </c>
      <c r="E28" s="14">
        <v>32.880189999999999</v>
      </c>
      <c r="F28" s="14">
        <v>32.647269999999999</v>
      </c>
      <c r="G28" s="14">
        <v>11.313280000000001</v>
      </c>
      <c r="H28" s="14">
        <v>9.1312899999999999</v>
      </c>
      <c r="I28" s="14">
        <v>0.88932</v>
      </c>
      <c r="J28" s="14">
        <v>1.2926800000000001</v>
      </c>
      <c r="K28" s="14">
        <v>3.98976</v>
      </c>
      <c r="L28" s="14">
        <v>0.11032</v>
      </c>
      <c r="M28" s="14">
        <v>0</v>
      </c>
      <c r="N28" s="14">
        <v>0.26079000000000002</v>
      </c>
      <c r="O28" s="14">
        <v>8.5650000000000004E-2</v>
      </c>
      <c r="P28" s="14">
        <v>1.0806100000000001</v>
      </c>
      <c r="Q28" s="14">
        <v>1.5332699999999999</v>
      </c>
      <c r="R28" s="14">
        <v>0.91912000000000005</v>
      </c>
      <c r="S28" s="14">
        <v>13.079510000000001</v>
      </c>
      <c r="T28" s="14">
        <v>0.14038999999999999</v>
      </c>
      <c r="U28" s="14">
        <v>12.231809999999999</v>
      </c>
      <c r="V28" s="14">
        <v>6.7126900000000003</v>
      </c>
      <c r="W28" s="14">
        <v>1.6982900000000001</v>
      </c>
      <c r="X28" s="14">
        <v>3.7498499999999999</v>
      </c>
      <c r="Y28" s="14">
        <v>7.0970000000000005E-2</v>
      </c>
      <c r="Z28" s="14">
        <v>0</v>
      </c>
      <c r="AA28" s="14">
        <v>0.22411</v>
      </c>
      <c r="AB28" s="14">
        <v>0.48320999999999997</v>
      </c>
      <c r="AC28" s="14">
        <v>0</v>
      </c>
      <c r="AD28" s="14">
        <v>4.0542499999999997</v>
      </c>
      <c r="AE28" s="14">
        <v>0.82581000000000004</v>
      </c>
      <c r="AF28" s="14">
        <v>1.8643099999999999</v>
      </c>
      <c r="AG28" s="14">
        <v>1.3641300000000001</v>
      </c>
      <c r="AH28" s="14">
        <v>0.21046000000000001</v>
      </c>
      <c r="AI28" s="14">
        <v>0</v>
      </c>
      <c r="AJ28" s="14">
        <v>0.21046000000000001</v>
      </c>
      <c r="AK28" s="14">
        <v>0.23291999999999999</v>
      </c>
      <c r="AL28" s="14">
        <v>0</v>
      </c>
      <c r="AM28" s="14">
        <v>0.23291999999999999</v>
      </c>
      <c r="AN28" s="14">
        <v>0</v>
      </c>
      <c r="AO28" s="14">
        <v>4.7650199999999998</v>
      </c>
      <c r="AP28" s="14">
        <v>3.03817</v>
      </c>
      <c r="AQ28" s="14">
        <v>1.7268600000000001</v>
      </c>
      <c r="AR28" s="14">
        <v>0</v>
      </c>
      <c r="AS28" s="14">
        <v>16.575510000000001</v>
      </c>
      <c r="AT28" s="14">
        <v>1.3988799999999999</v>
      </c>
      <c r="AU28" s="14">
        <v>1.2963199999999999</v>
      </c>
      <c r="AV28" s="14">
        <v>1.15974</v>
      </c>
      <c r="AW28" s="14">
        <v>3.6790000000000003E-2</v>
      </c>
      <c r="AX28" s="14">
        <v>1.035E-2</v>
      </c>
      <c r="AY28" s="14">
        <v>8.9440000000000006E-2</v>
      </c>
      <c r="AZ28" s="14">
        <v>1.4400000000000001E-3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1.4400000000000001E-3</v>
      </c>
      <c r="BK28" s="14">
        <v>1.2E-4</v>
      </c>
      <c r="BL28" s="14">
        <v>0</v>
      </c>
      <c r="BM28" s="14">
        <v>0</v>
      </c>
      <c r="BN28" s="14">
        <v>0</v>
      </c>
      <c r="BO28" s="14">
        <v>0</v>
      </c>
      <c r="BP28" s="14">
        <v>1.2E-4</v>
      </c>
      <c r="BQ28" s="14">
        <v>0</v>
      </c>
      <c r="BR28" s="14">
        <v>0</v>
      </c>
      <c r="BS28" s="14">
        <v>0.10073</v>
      </c>
      <c r="BT28" s="14">
        <v>3.1669999999999997E-2</v>
      </c>
      <c r="BU28" s="14">
        <v>5.9970000000000002E-2</v>
      </c>
      <c r="BV28" s="14">
        <v>9.0900000000000009E-3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2.7E-4</v>
      </c>
      <c r="CK28" s="14">
        <v>0</v>
      </c>
      <c r="CL28" s="14">
        <v>0.24379999999999999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0.23991999999999999</v>
      </c>
      <c r="DN28" s="14">
        <v>1.39E-3</v>
      </c>
      <c r="DO28" s="14">
        <v>2.49E-3</v>
      </c>
      <c r="DP28" s="14">
        <v>0</v>
      </c>
      <c r="DQ28" s="14">
        <v>2.0732699999999999</v>
      </c>
      <c r="DR28" s="14">
        <v>-2.1690700000000001</v>
      </c>
      <c r="DS28" s="14">
        <v>0</v>
      </c>
      <c r="DT28" s="14">
        <v>-0.95284000000000002</v>
      </c>
      <c r="DU28" s="14">
        <v>-1.2162299999999999</v>
      </c>
      <c r="DV28" s="14">
        <v>3.3396400000000002</v>
      </c>
      <c r="DW28" s="14">
        <v>0.10294</v>
      </c>
      <c r="DX28" s="14">
        <v>3.3169599999999999</v>
      </c>
      <c r="DY28" s="14">
        <v>2.2679999999999999E-2</v>
      </c>
      <c r="DZ28" s="14">
        <v>0.67022000000000004</v>
      </c>
      <c r="EA28" s="14">
        <v>3.8550000000000001E-2</v>
      </c>
      <c r="EB28" s="14">
        <v>0.65112999999999999</v>
      </c>
      <c r="EC28" s="14">
        <v>1.9089999999999999E-2</v>
      </c>
      <c r="ED28" s="14">
        <v>5.3460000000000001E-2</v>
      </c>
      <c r="EE28" s="14">
        <v>0</v>
      </c>
      <c r="EF28" s="14">
        <v>5.774E-2</v>
      </c>
      <c r="EG28" s="14">
        <v>-4.28E-3</v>
      </c>
      <c r="EH28" s="14">
        <v>0.22520999999999999</v>
      </c>
      <c r="EI28" s="14">
        <v>0</v>
      </c>
      <c r="EJ28" s="14">
        <v>0</v>
      </c>
      <c r="EK28" s="14">
        <v>0.22520999999999999</v>
      </c>
      <c r="EL28" s="14">
        <v>0</v>
      </c>
      <c r="EM28" s="14">
        <v>0</v>
      </c>
      <c r="EN28" s="14">
        <v>0</v>
      </c>
      <c r="EO28" s="14">
        <v>0</v>
      </c>
      <c r="EP28" s="14">
        <v>-4.6190000000000002E-2</v>
      </c>
      <c r="EQ28" s="14">
        <v>0</v>
      </c>
      <c r="ER28" s="14">
        <v>1.7919999999999998E-2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1.7919999999999998E-2</v>
      </c>
      <c r="FH28" s="14">
        <v>0</v>
      </c>
      <c r="FI28" s="14">
        <v>0</v>
      </c>
      <c r="FJ28" s="14">
        <v>0</v>
      </c>
      <c r="FK28" s="14">
        <v>0</v>
      </c>
      <c r="FL28" s="14">
        <v>0.36110999999999999</v>
      </c>
    </row>
    <row r="29" spans="1:168" ht="11.45" customHeight="1" x14ac:dyDescent="0.25">
      <c r="A29" s="5" t="s">
        <v>180</v>
      </c>
      <c r="B29" s="5" t="s">
        <v>8</v>
      </c>
      <c r="C29" s="13">
        <v>0.35464000000000001</v>
      </c>
      <c r="D29" s="13">
        <v>0.34140999999999999</v>
      </c>
      <c r="E29" s="13">
        <v>1.712E-2</v>
      </c>
      <c r="F29" s="13">
        <v>1.1259999999999999E-2</v>
      </c>
      <c r="G29" s="13">
        <v>4.5599999999999998E-3</v>
      </c>
      <c r="H29" s="13">
        <v>4.4999999999999997E-3</v>
      </c>
      <c r="I29" s="13">
        <v>2.0000000000000002E-5</v>
      </c>
      <c r="J29" s="13">
        <v>4.0000000000000003E-5</v>
      </c>
      <c r="K29" s="13">
        <v>8.3000000000000001E-4</v>
      </c>
      <c r="L29" s="13">
        <v>0</v>
      </c>
      <c r="M29" s="13">
        <v>0</v>
      </c>
      <c r="N29" s="13">
        <v>6.0000000000000002E-5</v>
      </c>
      <c r="O29" s="13">
        <v>0</v>
      </c>
      <c r="P29" s="13">
        <v>5.0000000000000001E-4</v>
      </c>
      <c r="Q29" s="13">
        <v>1.8000000000000001E-4</v>
      </c>
      <c r="R29" s="13">
        <v>9.0000000000000006E-5</v>
      </c>
      <c r="S29" s="13">
        <v>3.8000000000000002E-4</v>
      </c>
      <c r="T29" s="13">
        <v>0</v>
      </c>
      <c r="U29" s="13">
        <v>3.6000000000000002E-4</v>
      </c>
      <c r="V29" s="13">
        <v>2.2000000000000001E-4</v>
      </c>
      <c r="W29" s="13">
        <v>1.0000000000000001E-5</v>
      </c>
      <c r="X29" s="13">
        <v>5.0000000000000002E-5</v>
      </c>
      <c r="Y29" s="13">
        <v>8.0000000000000007E-5</v>
      </c>
      <c r="Z29" s="13">
        <v>0</v>
      </c>
      <c r="AA29" s="13">
        <v>0</v>
      </c>
      <c r="AB29" s="13">
        <v>2.0000000000000002E-5</v>
      </c>
      <c r="AC29" s="13">
        <v>0</v>
      </c>
      <c r="AD29" s="13">
        <v>5.4799999999999996E-3</v>
      </c>
      <c r="AE29" s="13">
        <v>3.6000000000000002E-4</v>
      </c>
      <c r="AF29" s="13">
        <v>4.1200000000000004E-3</v>
      </c>
      <c r="AG29" s="13">
        <v>1.01E-3</v>
      </c>
      <c r="AH29" s="13">
        <v>1.0000000000000001E-5</v>
      </c>
      <c r="AI29" s="13">
        <v>0</v>
      </c>
      <c r="AJ29" s="13">
        <v>1.0000000000000001E-5</v>
      </c>
      <c r="AK29" s="13">
        <v>5.8599999999999998E-3</v>
      </c>
      <c r="AL29" s="13">
        <v>0</v>
      </c>
      <c r="AM29" s="13">
        <v>5.8599999999999998E-3</v>
      </c>
      <c r="AN29" s="13">
        <v>0</v>
      </c>
      <c r="AO29" s="13">
        <v>4.0000000000000003E-5</v>
      </c>
      <c r="AP29" s="13">
        <v>1.0000000000000001E-5</v>
      </c>
      <c r="AQ29" s="13">
        <v>3.0000000000000001E-5</v>
      </c>
      <c r="AR29" s="13">
        <v>0</v>
      </c>
      <c r="AS29" s="13">
        <v>0</v>
      </c>
      <c r="AT29" s="13">
        <v>1E-4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2.0000000000000002E-5</v>
      </c>
      <c r="BT29" s="13">
        <v>0</v>
      </c>
      <c r="BU29" s="13">
        <v>0</v>
      </c>
      <c r="BV29" s="13">
        <v>2.0000000000000002E-5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6.9999999999999994E-5</v>
      </c>
      <c r="CK29" s="13">
        <v>0</v>
      </c>
      <c r="CL29" s="13">
        <v>0.29246</v>
      </c>
      <c r="CM29" s="13">
        <v>0.15007999999999999</v>
      </c>
      <c r="CN29" s="13">
        <v>0.13078000000000001</v>
      </c>
      <c r="CO29" s="13">
        <v>1.41E-3</v>
      </c>
      <c r="CP29" s="13">
        <v>1.3769999999999999E-2</v>
      </c>
      <c r="CQ29" s="13">
        <v>4.13E-3</v>
      </c>
      <c r="CR29" s="13">
        <v>0.14230000000000001</v>
      </c>
      <c r="CS29" s="13">
        <v>6.6420000000000007E-2</v>
      </c>
      <c r="CT29" s="13">
        <v>6.0000000000000002E-5</v>
      </c>
      <c r="CU29" s="13">
        <v>7.3010000000000005E-2</v>
      </c>
      <c r="CV29" s="13">
        <v>2.81E-3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8.0000000000000007E-5</v>
      </c>
      <c r="DH29" s="13">
        <v>2.0000000000000002E-5</v>
      </c>
      <c r="DI29" s="13">
        <v>0</v>
      </c>
      <c r="DJ29" s="13">
        <v>0</v>
      </c>
      <c r="DK29" s="13">
        <v>0</v>
      </c>
      <c r="DL29" s="13">
        <v>6.0000000000000002E-5</v>
      </c>
      <c r="DM29" s="13">
        <v>0</v>
      </c>
      <c r="DN29" s="13">
        <v>0</v>
      </c>
      <c r="DO29" s="13">
        <v>0</v>
      </c>
      <c r="DP29" s="13">
        <v>0</v>
      </c>
      <c r="DQ29" s="13">
        <v>1.323E-2</v>
      </c>
      <c r="DR29" s="13">
        <v>1.56E-3</v>
      </c>
      <c r="DS29" s="13">
        <v>1.56E-3</v>
      </c>
      <c r="DT29" s="13">
        <v>1.56E-3</v>
      </c>
      <c r="DU29" s="13">
        <v>0</v>
      </c>
      <c r="DV29" s="13">
        <v>5.8399999999999997E-3</v>
      </c>
      <c r="DW29" s="13">
        <v>5.8399999999999997E-3</v>
      </c>
      <c r="DX29" s="13">
        <v>5.8399999999999997E-3</v>
      </c>
      <c r="DY29" s="13">
        <v>0</v>
      </c>
      <c r="DZ29" s="13">
        <v>3.6800000000000001E-3</v>
      </c>
      <c r="EA29" s="13">
        <v>3.6700000000000001E-3</v>
      </c>
      <c r="EB29" s="13">
        <v>3.6800000000000001E-3</v>
      </c>
      <c r="EC29" s="13">
        <v>0</v>
      </c>
      <c r="ED29" s="13">
        <v>2.15E-3</v>
      </c>
      <c r="EE29" s="13">
        <v>2.15E-3</v>
      </c>
      <c r="EF29" s="13">
        <v>5.9000000000000003E-4</v>
      </c>
      <c r="EG29" s="13">
        <v>1.56E-3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3.1719999999999998E-2</v>
      </c>
      <c r="ES29" s="13">
        <v>1.6709999999999999E-2</v>
      </c>
      <c r="ET29" s="13">
        <v>1.6709999999999999E-2</v>
      </c>
      <c r="EU29" s="13">
        <v>0</v>
      </c>
      <c r="EV29" s="13">
        <v>0</v>
      </c>
      <c r="EW29" s="13">
        <v>1.1259999999999999E-2</v>
      </c>
      <c r="EX29" s="13">
        <v>2.82E-3</v>
      </c>
      <c r="EY29" s="13">
        <v>8.4399999999999996E-3</v>
      </c>
      <c r="EZ29" s="13">
        <v>0</v>
      </c>
      <c r="FA29" s="13">
        <v>0</v>
      </c>
      <c r="FB29" s="13">
        <v>0</v>
      </c>
      <c r="FC29" s="13">
        <v>3.5100000000000001E-3</v>
      </c>
      <c r="FD29" s="13">
        <v>3.3E-3</v>
      </c>
      <c r="FE29" s="13">
        <v>2.1000000000000001E-4</v>
      </c>
      <c r="FF29" s="13">
        <v>0</v>
      </c>
      <c r="FG29" s="13">
        <v>2.4000000000000001E-4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</row>
    <row r="30" spans="1:168" ht="11.45" customHeight="1" x14ac:dyDescent="0.25">
      <c r="A30" s="5" t="s">
        <v>180</v>
      </c>
      <c r="B30" s="5" t="s">
        <v>9</v>
      </c>
      <c r="C30" s="14">
        <v>1.925E-2</v>
      </c>
      <c r="D30" s="14">
        <v>1.9099999999999999E-2</v>
      </c>
      <c r="E30" s="14">
        <v>1.24E-3</v>
      </c>
      <c r="F30" s="14">
        <v>1.24E-3</v>
      </c>
      <c r="G30" s="14">
        <v>2.9E-4</v>
      </c>
      <c r="H30" s="14">
        <v>2.5999999999999998E-4</v>
      </c>
      <c r="I30" s="14">
        <v>0</v>
      </c>
      <c r="J30" s="14">
        <v>2.0000000000000002E-5</v>
      </c>
      <c r="K30" s="14">
        <v>2.1000000000000001E-4</v>
      </c>
      <c r="L30" s="14">
        <v>0</v>
      </c>
      <c r="M30" s="14">
        <v>0</v>
      </c>
      <c r="N30" s="14">
        <v>1.0000000000000001E-5</v>
      </c>
      <c r="O30" s="14">
        <v>0</v>
      </c>
      <c r="P30" s="14">
        <v>3.0000000000000001E-5</v>
      </c>
      <c r="Q30" s="14">
        <v>1.1E-4</v>
      </c>
      <c r="R30" s="14">
        <v>5.0000000000000002E-5</v>
      </c>
      <c r="S30" s="14">
        <v>4.8000000000000001E-4</v>
      </c>
      <c r="T30" s="14">
        <v>1.0000000000000001E-5</v>
      </c>
      <c r="U30" s="14">
        <v>4.4999999999999999E-4</v>
      </c>
      <c r="V30" s="14">
        <v>1.6000000000000001E-4</v>
      </c>
      <c r="W30" s="14">
        <v>5.0000000000000002E-5</v>
      </c>
      <c r="X30" s="14">
        <v>2.4000000000000001E-4</v>
      </c>
      <c r="Y30" s="14">
        <v>0</v>
      </c>
      <c r="Z30" s="14">
        <v>0</v>
      </c>
      <c r="AA30" s="14">
        <v>1.0000000000000001E-5</v>
      </c>
      <c r="AB30" s="14">
        <v>1.0000000000000001E-5</v>
      </c>
      <c r="AC30" s="14">
        <v>0</v>
      </c>
      <c r="AD30" s="14">
        <v>2.5999999999999998E-4</v>
      </c>
      <c r="AE30" s="14">
        <v>3.0000000000000001E-5</v>
      </c>
      <c r="AF30" s="14">
        <v>1.8000000000000001E-4</v>
      </c>
      <c r="AG30" s="14">
        <v>5.0000000000000002E-5</v>
      </c>
      <c r="AH30" s="14">
        <v>1.0000000000000001E-5</v>
      </c>
      <c r="AI30" s="14">
        <v>0</v>
      </c>
      <c r="AJ30" s="14">
        <v>1.0000000000000001E-5</v>
      </c>
      <c r="AK30" s="14">
        <v>0</v>
      </c>
      <c r="AL30" s="14">
        <v>0</v>
      </c>
      <c r="AM30" s="14">
        <v>0</v>
      </c>
      <c r="AN30" s="14">
        <v>0</v>
      </c>
      <c r="AO30" s="14">
        <v>1.4999999999999999E-4</v>
      </c>
      <c r="AP30" s="14">
        <v>1E-4</v>
      </c>
      <c r="AQ30" s="14">
        <v>4.0000000000000003E-5</v>
      </c>
      <c r="AR30" s="14">
        <v>0</v>
      </c>
      <c r="AS30" s="14">
        <v>0</v>
      </c>
      <c r="AT30" s="14">
        <v>6.9999999999999994E-5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6.9999999999999994E-5</v>
      </c>
      <c r="CK30" s="14">
        <v>0</v>
      </c>
      <c r="CL30" s="14">
        <v>1.7129999999999999E-2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2.7100000000000002E-3</v>
      </c>
      <c r="CS30" s="14">
        <v>9.8999999999999999E-4</v>
      </c>
      <c r="CT30" s="14">
        <v>1.0000000000000001E-5</v>
      </c>
      <c r="CU30" s="14">
        <v>8.4000000000000003E-4</v>
      </c>
      <c r="CV30" s="14">
        <v>2.2000000000000001E-4</v>
      </c>
      <c r="CW30" s="14">
        <v>6.4999999999999997E-4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1.4420000000000001E-2</v>
      </c>
      <c r="DD30" s="14">
        <v>1.149E-2</v>
      </c>
      <c r="DE30" s="14">
        <v>2.9199999999999999E-3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1.4999999999999999E-4</v>
      </c>
      <c r="DR30" s="14">
        <v>8.0000000000000007E-5</v>
      </c>
      <c r="DS30" s="14">
        <v>8.0000000000000007E-5</v>
      </c>
      <c r="DT30" s="14">
        <v>8.0000000000000007E-5</v>
      </c>
      <c r="DU30" s="14">
        <v>0</v>
      </c>
      <c r="DV30" s="14">
        <v>1.0000000000000001E-5</v>
      </c>
      <c r="DW30" s="14">
        <v>0</v>
      </c>
      <c r="DX30" s="14">
        <v>0</v>
      </c>
      <c r="DY30" s="14">
        <v>1.0000000000000001E-5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6.0000000000000002E-5</v>
      </c>
      <c r="EI30" s="14">
        <v>0</v>
      </c>
      <c r="EJ30" s="14">
        <v>0</v>
      </c>
      <c r="EK30" s="14">
        <v>6.0000000000000002E-5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6.7000000000000002E-4</v>
      </c>
      <c r="ES30" s="14">
        <v>0</v>
      </c>
      <c r="ET30" s="14">
        <v>0</v>
      </c>
      <c r="EU30" s="14">
        <v>0</v>
      </c>
      <c r="EV30" s="14">
        <v>0</v>
      </c>
      <c r="EW30" s="14">
        <v>1.7000000000000001E-4</v>
      </c>
      <c r="EX30" s="14">
        <v>1.7000000000000001E-4</v>
      </c>
      <c r="EY30" s="14">
        <v>0</v>
      </c>
      <c r="EZ30" s="14">
        <v>0</v>
      </c>
      <c r="FA30" s="14">
        <v>0</v>
      </c>
      <c r="FB30" s="14">
        <v>0</v>
      </c>
      <c r="FC30" s="14">
        <v>4.8999999999999998E-4</v>
      </c>
      <c r="FD30" s="14">
        <v>4.2999999999999999E-4</v>
      </c>
      <c r="FE30" s="14">
        <v>6.0000000000000002E-5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</row>
    <row r="31" spans="1:168" ht="11.45" customHeight="1" x14ac:dyDescent="0.25">
      <c r="A31" s="5" t="s">
        <v>181</v>
      </c>
      <c r="B31" s="5" t="s">
        <v>6</v>
      </c>
      <c r="C31" s="13">
        <v>936.05534</v>
      </c>
      <c r="D31" s="13">
        <v>852.85834</v>
      </c>
      <c r="E31" s="13">
        <v>722.68962999999997</v>
      </c>
      <c r="F31" s="13">
        <v>716.04228000000001</v>
      </c>
      <c r="G31" s="13">
        <v>302.85674</v>
      </c>
      <c r="H31" s="13">
        <v>269.01501000000002</v>
      </c>
      <c r="I31" s="13">
        <v>21.364730000000002</v>
      </c>
      <c r="J31" s="13">
        <v>12.477</v>
      </c>
      <c r="K31" s="13">
        <v>122.43049999999999</v>
      </c>
      <c r="L31" s="13">
        <v>37.33569</v>
      </c>
      <c r="M31" s="13">
        <v>0.14999000000000001</v>
      </c>
      <c r="N31" s="13">
        <v>0</v>
      </c>
      <c r="O31" s="13">
        <v>1.7940000000000001E-2</v>
      </c>
      <c r="P31" s="13">
        <v>0.20080000000000001</v>
      </c>
      <c r="Q31" s="13">
        <v>13.131869999999999</v>
      </c>
      <c r="R31" s="13">
        <v>71.594220000000007</v>
      </c>
      <c r="S31" s="13">
        <v>166.7276</v>
      </c>
      <c r="T31" s="13">
        <v>2.0145</v>
      </c>
      <c r="U31" s="13">
        <v>160.76597000000001</v>
      </c>
      <c r="V31" s="13">
        <v>100.22083000000001</v>
      </c>
      <c r="W31" s="13">
        <v>11.83009</v>
      </c>
      <c r="X31" s="13">
        <v>47.293379999999999</v>
      </c>
      <c r="Y31" s="13">
        <v>1.4159200000000001</v>
      </c>
      <c r="Z31" s="13">
        <v>5.7499999999999999E-3</v>
      </c>
      <c r="AA31" s="13">
        <v>0.73584000000000005</v>
      </c>
      <c r="AB31" s="13">
        <v>1.8643000000000001</v>
      </c>
      <c r="AC31" s="13">
        <v>1.3469800000000001</v>
      </c>
      <c r="AD31" s="13">
        <v>123.26831</v>
      </c>
      <c r="AE31" s="13">
        <v>25.573260000000001</v>
      </c>
      <c r="AF31" s="13">
        <v>89.777109999999993</v>
      </c>
      <c r="AG31" s="13">
        <v>7.9179399999999998</v>
      </c>
      <c r="AH31" s="13">
        <v>0.75912999999999997</v>
      </c>
      <c r="AI31" s="13">
        <v>0.48342000000000002</v>
      </c>
      <c r="AJ31" s="13">
        <v>0.27571000000000001</v>
      </c>
      <c r="AK31" s="13">
        <v>6.6473500000000003</v>
      </c>
      <c r="AL31" s="13">
        <v>2.4832200000000002</v>
      </c>
      <c r="AM31" s="13">
        <v>4.1641300000000001</v>
      </c>
      <c r="AN31" s="13">
        <v>0</v>
      </c>
      <c r="AO31" s="13">
        <v>34.977060000000002</v>
      </c>
      <c r="AP31" s="13">
        <v>30.322289999999999</v>
      </c>
      <c r="AQ31" s="13">
        <v>4.6547700000000001</v>
      </c>
      <c r="AR31" s="13">
        <v>0</v>
      </c>
      <c r="AS31" s="13">
        <v>108.31487</v>
      </c>
      <c r="AT31" s="13">
        <v>62.535559999999997</v>
      </c>
      <c r="AU31" s="13">
        <v>19.807480000000002</v>
      </c>
      <c r="AV31" s="13">
        <v>13.2279</v>
      </c>
      <c r="AW31" s="13">
        <v>4.8315000000000001</v>
      </c>
      <c r="AX31" s="13">
        <v>0.89841000000000004</v>
      </c>
      <c r="AY31" s="13">
        <v>0.84967000000000004</v>
      </c>
      <c r="AZ31" s="13">
        <v>6.7612800000000002</v>
      </c>
      <c r="BA31" s="13">
        <v>4.157</v>
      </c>
      <c r="BB31" s="13">
        <v>0.33984999999999999</v>
      </c>
      <c r="BC31" s="13">
        <v>0.23824999999999999</v>
      </c>
      <c r="BD31" s="13">
        <v>0</v>
      </c>
      <c r="BE31" s="13">
        <v>6.4599999999999996E-3</v>
      </c>
      <c r="BF31" s="13">
        <v>0</v>
      </c>
      <c r="BG31" s="13">
        <v>0.49204999999999999</v>
      </c>
      <c r="BH31" s="13">
        <v>1.4069700000000001</v>
      </c>
      <c r="BI31" s="13">
        <v>5.3400000000000003E-2</v>
      </c>
      <c r="BJ31" s="13">
        <v>6.7299999999999999E-2</v>
      </c>
      <c r="BK31" s="13">
        <v>20.072749999999999</v>
      </c>
      <c r="BL31" s="13">
        <v>18.73593</v>
      </c>
      <c r="BM31" s="13">
        <v>7.6499999999999997E-3</v>
      </c>
      <c r="BN31" s="13">
        <v>0.83628999999999998</v>
      </c>
      <c r="BO31" s="13">
        <v>0.10616</v>
      </c>
      <c r="BP31" s="13">
        <v>6.7449999999999996E-2</v>
      </c>
      <c r="BQ31" s="13">
        <v>0.30529000000000001</v>
      </c>
      <c r="BR31" s="13">
        <v>1.397E-2</v>
      </c>
      <c r="BS31" s="13">
        <v>2.0234700000000001</v>
      </c>
      <c r="BT31" s="13">
        <v>0.22781999999999999</v>
      </c>
      <c r="BU31" s="13">
        <v>0.45601000000000003</v>
      </c>
      <c r="BV31" s="13">
        <v>1.3396399999999999</v>
      </c>
      <c r="BW31" s="13">
        <v>0.19663</v>
      </c>
      <c r="BX31" s="13">
        <v>0.19663</v>
      </c>
      <c r="BY31" s="13">
        <v>0</v>
      </c>
      <c r="BZ31" s="13">
        <v>0</v>
      </c>
      <c r="CA31" s="13">
        <v>0</v>
      </c>
      <c r="CB31" s="13">
        <v>0</v>
      </c>
      <c r="CC31" s="13">
        <v>9.2977699999999999</v>
      </c>
      <c r="CD31" s="13">
        <v>8.2933500000000002</v>
      </c>
      <c r="CE31" s="13">
        <v>0.52825999999999995</v>
      </c>
      <c r="CF31" s="13">
        <v>0.10029</v>
      </c>
      <c r="CG31" s="13">
        <v>0.37586999999999998</v>
      </c>
      <c r="CH31" s="13">
        <v>0</v>
      </c>
      <c r="CI31" s="13">
        <v>0</v>
      </c>
      <c r="CJ31" s="13">
        <v>4.2555399999999999</v>
      </c>
      <c r="CK31" s="13">
        <v>0.12064</v>
      </c>
      <c r="CL31" s="13">
        <v>60.50188</v>
      </c>
      <c r="CM31" s="13">
        <v>27.790150000000001</v>
      </c>
      <c r="CN31" s="13">
        <v>25.924199999999999</v>
      </c>
      <c r="CO31" s="13">
        <v>0.36903999999999998</v>
      </c>
      <c r="CP31" s="13">
        <v>0.72109999999999996</v>
      </c>
      <c r="CQ31" s="13">
        <v>0.77580000000000005</v>
      </c>
      <c r="CR31" s="13">
        <v>10.432700000000001</v>
      </c>
      <c r="CS31" s="13">
        <v>5.81616</v>
      </c>
      <c r="CT31" s="13">
        <v>4.2689999999999999E-2</v>
      </c>
      <c r="CU31" s="13">
        <v>2.89968</v>
      </c>
      <c r="CV31" s="13">
        <v>0.59082000000000001</v>
      </c>
      <c r="CW31" s="13">
        <v>1.0833600000000001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17.774480000000001</v>
      </c>
      <c r="DD31" s="13">
        <v>13.62834</v>
      </c>
      <c r="DE31" s="13">
        <v>4.1461399999999999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2.0474399999999999</v>
      </c>
      <c r="DN31" s="13">
        <v>0.60524999999999995</v>
      </c>
      <c r="DO31" s="13">
        <v>0.20271</v>
      </c>
      <c r="DP31" s="13">
        <v>1.6491499999999999</v>
      </c>
      <c r="DQ31" s="13">
        <v>83.197000000000003</v>
      </c>
      <c r="DR31" s="13">
        <v>23.043530000000001</v>
      </c>
      <c r="DS31" s="13">
        <v>0.33909</v>
      </c>
      <c r="DT31" s="13">
        <v>23.386109999999999</v>
      </c>
      <c r="DU31" s="13">
        <v>-0.34258</v>
      </c>
      <c r="DV31" s="13">
        <v>23.153870000000001</v>
      </c>
      <c r="DW31" s="13">
        <v>0.10907</v>
      </c>
      <c r="DX31" s="13">
        <v>14.06099</v>
      </c>
      <c r="DY31" s="13">
        <v>9.0928799999999992</v>
      </c>
      <c r="DZ31" s="13">
        <v>31.770900000000001</v>
      </c>
      <c r="EA31" s="13">
        <v>0.67354999999999998</v>
      </c>
      <c r="EB31" s="13">
        <v>33.360140000000001</v>
      </c>
      <c r="EC31" s="13">
        <v>-1.58924</v>
      </c>
      <c r="ED31" s="13">
        <v>10.770289999999999</v>
      </c>
      <c r="EE31" s="13">
        <v>5.4333299999999998</v>
      </c>
      <c r="EF31" s="13">
        <v>10.39658</v>
      </c>
      <c r="EG31" s="13">
        <v>0.37370999999999999</v>
      </c>
      <c r="EH31" s="13">
        <v>-0.9194</v>
      </c>
      <c r="EI31" s="13">
        <v>0.64793000000000001</v>
      </c>
      <c r="EJ31" s="13">
        <v>1.73838</v>
      </c>
      <c r="EK31" s="13">
        <v>-2.6577799999999998</v>
      </c>
      <c r="EL31" s="13">
        <v>0</v>
      </c>
      <c r="EM31" s="13">
        <v>0</v>
      </c>
      <c r="EN31" s="13">
        <v>0</v>
      </c>
      <c r="EO31" s="13">
        <v>0</v>
      </c>
      <c r="EP31" s="13">
        <v>-4.6221899999999998</v>
      </c>
      <c r="EQ31" s="13">
        <v>0</v>
      </c>
      <c r="ER31" s="13">
        <v>7.1312800000000003</v>
      </c>
      <c r="ES31" s="13">
        <v>3.9445800000000002</v>
      </c>
      <c r="ET31" s="13">
        <v>3.9445800000000002</v>
      </c>
      <c r="EU31" s="13">
        <v>0</v>
      </c>
      <c r="EV31" s="13">
        <v>0</v>
      </c>
      <c r="EW31" s="13">
        <v>0.96335000000000004</v>
      </c>
      <c r="EX31" s="13">
        <v>0.45960000000000001</v>
      </c>
      <c r="EY31" s="13">
        <v>0.50373999999999997</v>
      </c>
      <c r="EZ31" s="13">
        <v>0</v>
      </c>
      <c r="FA31" s="13">
        <v>0</v>
      </c>
      <c r="FB31" s="13">
        <v>0</v>
      </c>
      <c r="FC31" s="13">
        <v>2.1903100000000002</v>
      </c>
      <c r="FD31" s="13">
        <v>2.1154199999999999</v>
      </c>
      <c r="FE31" s="13">
        <v>7.4889999999999998E-2</v>
      </c>
      <c r="FF31" s="13">
        <v>0</v>
      </c>
      <c r="FG31" s="13">
        <v>3.3029999999999997E-2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</row>
    <row r="32" spans="1:168" ht="11.45" customHeight="1" x14ac:dyDescent="0.25">
      <c r="A32" s="5" t="s">
        <v>181</v>
      </c>
      <c r="B32" s="5" t="s">
        <v>7</v>
      </c>
      <c r="C32" s="14">
        <v>834.64584000000002</v>
      </c>
      <c r="D32" s="14">
        <v>758.77137000000005</v>
      </c>
      <c r="E32" s="14">
        <v>708.71867999999995</v>
      </c>
      <c r="F32" s="14">
        <v>706.73015999999996</v>
      </c>
      <c r="G32" s="14">
        <v>297.96751</v>
      </c>
      <c r="H32" s="14">
        <v>264.48101000000003</v>
      </c>
      <c r="I32" s="14">
        <v>21.290299999999998</v>
      </c>
      <c r="J32" s="14">
        <v>12.19619</v>
      </c>
      <c r="K32" s="14">
        <v>121.40046</v>
      </c>
      <c r="L32" s="14">
        <v>37.16628</v>
      </c>
      <c r="M32" s="14">
        <v>0.14846999999999999</v>
      </c>
      <c r="N32" s="14">
        <v>0</v>
      </c>
      <c r="O32" s="14">
        <v>6.5500000000000003E-3</v>
      </c>
      <c r="P32" s="14">
        <v>0.19878999999999999</v>
      </c>
      <c r="Q32" s="14">
        <v>13.008929999999999</v>
      </c>
      <c r="R32" s="14">
        <v>70.871430000000004</v>
      </c>
      <c r="S32" s="14">
        <v>165.00807</v>
      </c>
      <c r="T32" s="14">
        <v>1.99393</v>
      </c>
      <c r="U32" s="14">
        <v>159.10441</v>
      </c>
      <c r="V32" s="14">
        <v>99.433539999999994</v>
      </c>
      <c r="W32" s="14">
        <v>11.73442</v>
      </c>
      <c r="X32" s="14">
        <v>46.59243</v>
      </c>
      <c r="Y32" s="14">
        <v>1.3382700000000001</v>
      </c>
      <c r="Z32" s="14">
        <v>5.7499999999999999E-3</v>
      </c>
      <c r="AA32" s="14">
        <v>0.73392999999999997</v>
      </c>
      <c r="AB32" s="14">
        <v>1.8465800000000001</v>
      </c>
      <c r="AC32" s="14">
        <v>1.32921</v>
      </c>
      <c r="AD32" s="14">
        <v>121.59864</v>
      </c>
      <c r="AE32" s="14">
        <v>25.40408</v>
      </c>
      <c r="AF32" s="14">
        <v>88.554460000000006</v>
      </c>
      <c r="AG32" s="14">
        <v>7.64011</v>
      </c>
      <c r="AH32" s="14">
        <v>0.75548000000000004</v>
      </c>
      <c r="AI32" s="14">
        <v>0.48147000000000001</v>
      </c>
      <c r="AJ32" s="14">
        <v>0.27400999999999998</v>
      </c>
      <c r="AK32" s="14">
        <v>1.9885200000000001</v>
      </c>
      <c r="AL32" s="14">
        <v>0.66500999999999999</v>
      </c>
      <c r="AM32" s="14">
        <v>1.32351</v>
      </c>
      <c r="AN32" s="14">
        <v>0</v>
      </c>
      <c r="AO32" s="14">
        <v>34.66046</v>
      </c>
      <c r="AP32" s="14">
        <v>30.065359999999998</v>
      </c>
      <c r="AQ32" s="14">
        <v>4.59511</v>
      </c>
      <c r="AR32" s="14">
        <v>0</v>
      </c>
      <c r="AS32" s="14">
        <v>108.31487</v>
      </c>
      <c r="AT32" s="14">
        <v>47.197290000000002</v>
      </c>
      <c r="AU32" s="14">
        <v>19.807480000000002</v>
      </c>
      <c r="AV32" s="14">
        <v>13.2279</v>
      </c>
      <c r="AW32" s="14">
        <v>4.8315000000000001</v>
      </c>
      <c r="AX32" s="14">
        <v>0.89841000000000004</v>
      </c>
      <c r="AY32" s="14">
        <v>0.84967000000000004</v>
      </c>
      <c r="AZ32" s="14">
        <v>5.5359699999999998</v>
      </c>
      <c r="BA32" s="14">
        <v>4.157</v>
      </c>
      <c r="BB32" s="14">
        <v>0</v>
      </c>
      <c r="BC32" s="14">
        <v>0</v>
      </c>
      <c r="BD32" s="14">
        <v>0</v>
      </c>
      <c r="BE32" s="14">
        <v>6.4599999999999996E-3</v>
      </c>
      <c r="BF32" s="14">
        <v>0</v>
      </c>
      <c r="BG32" s="14">
        <v>0.49204999999999999</v>
      </c>
      <c r="BH32" s="14">
        <v>0.88044999999999995</v>
      </c>
      <c r="BI32" s="14">
        <v>0</v>
      </c>
      <c r="BJ32" s="14">
        <v>0</v>
      </c>
      <c r="BK32" s="14">
        <v>19.831530000000001</v>
      </c>
      <c r="BL32" s="14">
        <v>18.729959999999998</v>
      </c>
      <c r="BM32" s="14">
        <v>5.8599999999999998E-3</v>
      </c>
      <c r="BN32" s="14">
        <v>0.72296000000000005</v>
      </c>
      <c r="BO32" s="14">
        <v>0</v>
      </c>
      <c r="BP32" s="14">
        <v>6.7449999999999996E-2</v>
      </c>
      <c r="BQ32" s="14">
        <v>0.30529000000000001</v>
      </c>
      <c r="BR32" s="14">
        <v>0</v>
      </c>
      <c r="BS32" s="14">
        <v>2.0223100000000001</v>
      </c>
      <c r="BT32" s="14">
        <v>0.22781999999999999</v>
      </c>
      <c r="BU32" s="14">
        <v>0.45484999999999998</v>
      </c>
      <c r="BV32" s="14">
        <v>1.3396399999999999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2.8553999999999999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2.0474399999999999</v>
      </c>
      <c r="DN32" s="14">
        <v>0.60524999999999995</v>
      </c>
      <c r="DO32" s="14">
        <v>0.20271</v>
      </c>
      <c r="DP32" s="14">
        <v>0</v>
      </c>
      <c r="DQ32" s="14">
        <v>75.874470000000002</v>
      </c>
      <c r="DR32" s="14">
        <v>22.605810000000002</v>
      </c>
      <c r="DS32" s="14">
        <v>0</v>
      </c>
      <c r="DT32" s="14">
        <v>23.02937</v>
      </c>
      <c r="DU32" s="14">
        <v>-0.42355999999999999</v>
      </c>
      <c r="DV32" s="14">
        <v>22.71133</v>
      </c>
      <c r="DW32" s="14">
        <v>0</v>
      </c>
      <c r="DX32" s="14">
        <v>13.99888</v>
      </c>
      <c r="DY32" s="14">
        <v>8.7124500000000005</v>
      </c>
      <c r="DZ32" s="14">
        <v>31.069900000000001</v>
      </c>
      <c r="EA32" s="14">
        <v>0</v>
      </c>
      <c r="EB32" s="14">
        <v>32.775939999999999</v>
      </c>
      <c r="EC32" s="14">
        <v>-1.7060500000000001</v>
      </c>
      <c r="ED32" s="14">
        <v>5.3369499999999999</v>
      </c>
      <c r="EE32" s="14">
        <v>0</v>
      </c>
      <c r="EF32" s="14">
        <v>4.9851200000000002</v>
      </c>
      <c r="EG32" s="14">
        <v>0.35182999999999998</v>
      </c>
      <c r="EH32" s="14">
        <v>-1.22732</v>
      </c>
      <c r="EI32" s="14">
        <v>0.54454999999999998</v>
      </c>
      <c r="EJ32" s="14">
        <v>1.5678700000000001</v>
      </c>
      <c r="EK32" s="14">
        <v>-2.7951899999999998</v>
      </c>
      <c r="EL32" s="14">
        <v>0</v>
      </c>
      <c r="EM32" s="14">
        <v>0</v>
      </c>
      <c r="EN32" s="14">
        <v>0</v>
      </c>
      <c r="EO32" s="14">
        <v>0</v>
      </c>
      <c r="EP32" s="14">
        <v>-4.6221899999999998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</row>
    <row r="33" spans="1:168" ht="11.45" customHeight="1" x14ac:dyDescent="0.25">
      <c r="A33" s="5" t="s">
        <v>181</v>
      </c>
      <c r="B33" s="5" t="s">
        <v>8</v>
      </c>
      <c r="C33" s="13">
        <v>2.0796000000000001</v>
      </c>
      <c r="D33" s="13">
        <v>1.8551200000000001</v>
      </c>
      <c r="E33" s="13">
        <v>0.32835999999999999</v>
      </c>
      <c r="F33" s="13">
        <v>0.16200999999999999</v>
      </c>
      <c r="G33" s="13">
        <v>9.6579999999999999E-2</v>
      </c>
      <c r="H33" s="13">
        <v>9.1090000000000004E-2</v>
      </c>
      <c r="I33" s="13">
        <v>6.4999999999999997E-4</v>
      </c>
      <c r="J33" s="13">
        <v>4.8300000000000001E-3</v>
      </c>
      <c r="K33" s="13">
        <v>1.136E-2</v>
      </c>
      <c r="L33" s="13">
        <v>2.5000000000000001E-3</v>
      </c>
      <c r="M33" s="13">
        <v>1.0000000000000001E-5</v>
      </c>
      <c r="N33" s="13">
        <v>0</v>
      </c>
      <c r="O33" s="13">
        <v>9.0000000000000006E-5</v>
      </c>
      <c r="P33" s="13">
        <v>0</v>
      </c>
      <c r="Q33" s="13">
        <v>6.0999999999999997E-4</v>
      </c>
      <c r="R33" s="13">
        <v>8.1399999999999997E-3</v>
      </c>
      <c r="S33" s="13">
        <v>9.4999999999999998E-3</v>
      </c>
      <c r="T33" s="13">
        <v>1E-4</v>
      </c>
      <c r="U33" s="13">
        <v>8.9599999999999992E-3</v>
      </c>
      <c r="V33" s="13">
        <v>6.0499999999999998E-3</v>
      </c>
      <c r="W33" s="13">
        <v>2.4000000000000001E-4</v>
      </c>
      <c r="X33" s="13">
        <v>1E-4</v>
      </c>
      <c r="Y33" s="13">
        <v>2.5699999999999998E-3</v>
      </c>
      <c r="Z33" s="13">
        <v>0</v>
      </c>
      <c r="AA33" s="13">
        <v>1.0000000000000001E-5</v>
      </c>
      <c r="AB33" s="13">
        <v>1.8000000000000001E-4</v>
      </c>
      <c r="AC33" s="13">
        <v>2.5999999999999998E-4</v>
      </c>
      <c r="AD33" s="13">
        <v>4.4519999999999997E-2</v>
      </c>
      <c r="AE33" s="13">
        <v>3.3999999999999998E-3</v>
      </c>
      <c r="AF33" s="13">
        <v>3.3890000000000003E-2</v>
      </c>
      <c r="AG33" s="13">
        <v>7.2199999999999999E-3</v>
      </c>
      <c r="AH33" s="13">
        <v>6.0000000000000002E-5</v>
      </c>
      <c r="AI33" s="13">
        <v>4.0000000000000003E-5</v>
      </c>
      <c r="AJ33" s="13">
        <v>2.0000000000000002E-5</v>
      </c>
      <c r="AK33" s="13">
        <v>0.16635</v>
      </c>
      <c r="AL33" s="13">
        <v>6.4939999999999998E-2</v>
      </c>
      <c r="AM33" s="13">
        <v>0.10142</v>
      </c>
      <c r="AN33" s="13">
        <v>0</v>
      </c>
      <c r="AO33" s="13">
        <v>3.2000000000000003E-4</v>
      </c>
      <c r="AP33" s="13">
        <v>1.7000000000000001E-4</v>
      </c>
      <c r="AQ33" s="13">
        <v>1.4999999999999999E-4</v>
      </c>
      <c r="AR33" s="13">
        <v>0</v>
      </c>
      <c r="AS33" s="13">
        <v>0</v>
      </c>
      <c r="AT33" s="13">
        <v>2.2890000000000001E-2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2.121E-2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1.8800000000000001E-2</v>
      </c>
      <c r="BI33" s="13">
        <v>0</v>
      </c>
      <c r="BJ33" s="13">
        <v>2.3999999999999998E-3</v>
      </c>
      <c r="BK33" s="13">
        <v>2.7999999999999998E-4</v>
      </c>
      <c r="BL33" s="13">
        <v>2.1000000000000001E-4</v>
      </c>
      <c r="BM33" s="13">
        <v>6.0000000000000002E-5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1.41E-3</v>
      </c>
      <c r="CK33" s="13">
        <v>0</v>
      </c>
      <c r="CL33" s="13">
        <v>1.2980799999999999</v>
      </c>
      <c r="CM33" s="13">
        <v>0.99251</v>
      </c>
      <c r="CN33" s="13">
        <v>0.92586000000000002</v>
      </c>
      <c r="CO33" s="13">
        <v>1.3180000000000001E-2</v>
      </c>
      <c r="CP33" s="13">
        <v>2.5749999999999999E-2</v>
      </c>
      <c r="CQ33" s="13">
        <v>2.7709999999999999E-2</v>
      </c>
      <c r="CR33" s="13">
        <v>0.25320999999999999</v>
      </c>
      <c r="CS33" s="13">
        <v>0.1535</v>
      </c>
      <c r="CT33" s="13">
        <v>5.1000000000000004E-4</v>
      </c>
      <c r="CU33" s="13">
        <v>8.9969999999999994E-2</v>
      </c>
      <c r="CV33" s="13">
        <v>9.2399999999999999E-3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5.237E-2</v>
      </c>
      <c r="DQ33" s="13">
        <v>0.22448000000000001</v>
      </c>
      <c r="DR33" s="13">
        <v>1.4300000000000001E-3</v>
      </c>
      <c r="DS33" s="13">
        <v>8.8000000000000003E-4</v>
      </c>
      <c r="DT33" s="13">
        <v>1.3699999999999999E-3</v>
      </c>
      <c r="DU33" s="13">
        <v>6.0000000000000002E-5</v>
      </c>
      <c r="DV33" s="13">
        <v>3.8999999999999998E-3</v>
      </c>
      <c r="DW33" s="13">
        <v>3.8999999999999998E-3</v>
      </c>
      <c r="DX33" s="13">
        <v>2.2200000000000002E-3</v>
      </c>
      <c r="DY33" s="13">
        <v>1.6800000000000001E-3</v>
      </c>
      <c r="DZ33" s="13">
        <v>2.189E-2</v>
      </c>
      <c r="EA33" s="13">
        <v>2.189E-2</v>
      </c>
      <c r="EB33" s="13">
        <v>1.993E-2</v>
      </c>
      <c r="EC33" s="13">
        <v>1.9599999999999999E-3</v>
      </c>
      <c r="ED33" s="13">
        <v>0.19270999999999999</v>
      </c>
      <c r="EE33" s="13">
        <v>0.19270999999999999</v>
      </c>
      <c r="EF33" s="13">
        <v>0.19206999999999999</v>
      </c>
      <c r="EG33" s="13">
        <v>6.4000000000000005E-4</v>
      </c>
      <c r="EH33" s="13">
        <v>4.5599999999999998E-3</v>
      </c>
      <c r="EI33" s="13">
        <v>3.6900000000000001E-3</v>
      </c>
      <c r="EJ33" s="13">
        <v>4.0899999999999999E-3</v>
      </c>
      <c r="EK33" s="13">
        <v>4.6999999999999999E-4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0.20577999999999999</v>
      </c>
      <c r="ES33" s="13">
        <v>0.14088000000000001</v>
      </c>
      <c r="ET33" s="13">
        <v>0.14088000000000001</v>
      </c>
      <c r="EU33" s="13">
        <v>0</v>
      </c>
      <c r="EV33" s="13">
        <v>0</v>
      </c>
      <c r="EW33" s="13">
        <v>2.7949999999999999E-2</v>
      </c>
      <c r="EX33" s="13">
        <v>1.2330000000000001E-2</v>
      </c>
      <c r="EY33" s="13">
        <v>1.562E-2</v>
      </c>
      <c r="EZ33" s="13">
        <v>0</v>
      </c>
      <c r="FA33" s="13">
        <v>0</v>
      </c>
      <c r="FB33" s="13">
        <v>0</v>
      </c>
      <c r="FC33" s="13">
        <v>3.6859999999999997E-2</v>
      </c>
      <c r="FD33" s="13">
        <v>3.5040000000000002E-2</v>
      </c>
      <c r="FE33" s="13">
        <v>1.82E-3</v>
      </c>
      <c r="FF33" s="13">
        <v>0</v>
      </c>
      <c r="FG33" s="13">
        <v>1E-4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</row>
    <row r="34" spans="1:168" ht="11.45" customHeight="1" x14ac:dyDescent="0.25">
      <c r="A34" s="5" t="s">
        <v>181</v>
      </c>
      <c r="B34" s="5" t="s">
        <v>9</v>
      </c>
      <c r="C34" s="14">
        <v>0.111</v>
      </c>
      <c r="D34" s="14">
        <v>0.10709</v>
      </c>
      <c r="E34" s="14">
        <v>1.8030000000000001E-2</v>
      </c>
      <c r="F34" s="14">
        <v>1.8020000000000001E-2</v>
      </c>
      <c r="G34" s="14">
        <v>8.2500000000000004E-3</v>
      </c>
      <c r="H34" s="14">
        <v>7.4799999999999997E-3</v>
      </c>
      <c r="I34" s="14">
        <v>2.1000000000000001E-4</v>
      </c>
      <c r="J34" s="14">
        <v>5.5000000000000003E-4</v>
      </c>
      <c r="K34" s="14">
        <v>2.6900000000000001E-3</v>
      </c>
      <c r="L34" s="14">
        <v>3.6999999999999999E-4</v>
      </c>
      <c r="M34" s="14">
        <v>1.0000000000000001E-5</v>
      </c>
      <c r="N34" s="14">
        <v>0</v>
      </c>
      <c r="O34" s="14">
        <v>3.0000000000000001E-5</v>
      </c>
      <c r="P34" s="14">
        <v>1.0000000000000001E-5</v>
      </c>
      <c r="Q34" s="14">
        <v>4.0000000000000002E-4</v>
      </c>
      <c r="R34" s="14">
        <v>1.8699999999999999E-3</v>
      </c>
      <c r="S34" s="14">
        <v>5.4799999999999996E-3</v>
      </c>
      <c r="T34" s="14">
        <v>6.9999999999999994E-5</v>
      </c>
      <c r="U34" s="14">
        <v>5.3200000000000001E-3</v>
      </c>
      <c r="V34" s="14">
        <v>2.33E-3</v>
      </c>
      <c r="W34" s="14">
        <v>3.4000000000000002E-4</v>
      </c>
      <c r="X34" s="14">
        <v>2.63E-3</v>
      </c>
      <c r="Y34" s="14">
        <v>2.0000000000000002E-5</v>
      </c>
      <c r="Z34" s="14">
        <v>0</v>
      </c>
      <c r="AA34" s="14">
        <v>1.0000000000000001E-5</v>
      </c>
      <c r="AB34" s="14">
        <v>5.0000000000000002E-5</v>
      </c>
      <c r="AC34" s="14">
        <v>4.0000000000000003E-5</v>
      </c>
      <c r="AD34" s="14">
        <v>1.6000000000000001E-3</v>
      </c>
      <c r="AE34" s="14">
        <v>2.7999999999999998E-4</v>
      </c>
      <c r="AF34" s="14">
        <v>1.0300000000000001E-3</v>
      </c>
      <c r="AG34" s="14">
        <v>2.9E-4</v>
      </c>
      <c r="AH34" s="14">
        <v>1.0000000000000001E-5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1.16E-3</v>
      </c>
      <c r="AP34" s="14">
        <v>9.5E-4</v>
      </c>
      <c r="AQ34" s="14">
        <v>2.1000000000000001E-4</v>
      </c>
      <c r="AR34" s="14">
        <v>0</v>
      </c>
      <c r="AS34" s="14">
        <v>0</v>
      </c>
      <c r="AT34" s="14">
        <v>3.5200000000000001E-3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2.1800000000000001E-3</v>
      </c>
      <c r="BA34" s="14">
        <v>0</v>
      </c>
      <c r="BB34" s="14">
        <v>1.2800000000000001E-3</v>
      </c>
      <c r="BC34" s="14">
        <v>8.9999999999999998E-4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5.0000000000000002E-5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5.0000000000000002E-5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1.2800000000000001E-3</v>
      </c>
      <c r="CK34" s="14">
        <v>0</v>
      </c>
      <c r="CL34" s="14">
        <v>8.0379999999999993E-2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1.261E-2</v>
      </c>
      <c r="CS34" s="14">
        <v>5.7299999999999999E-3</v>
      </c>
      <c r="CT34" s="14">
        <v>1.1E-4</v>
      </c>
      <c r="CU34" s="14">
        <v>1.4400000000000001E-3</v>
      </c>
      <c r="CV34" s="14">
        <v>1.25E-3</v>
      </c>
      <c r="CW34" s="14">
        <v>4.0899999999999999E-3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6.7070000000000005E-2</v>
      </c>
      <c r="DD34" s="14">
        <v>5.1429999999999997E-2</v>
      </c>
      <c r="DE34" s="14">
        <v>1.5650000000000001E-2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6.8999999999999997E-4</v>
      </c>
      <c r="DQ34" s="14">
        <v>3.9100000000000003E-3</v>
      </c>
      <c r="DR34" s="14">
        <v>1.5E-3</v>
      </c>
      <c r="DS34" s="14">
        <v>1.1900000000000001E-3</v>
      </c>
      <c r="DT34" s="14">
        <v>1.1999999999999999E-3</v>
      </c>
      <c r="DU34" s="14">
        <v>2.9999999999999997E-4</v>
      </c>
      <c r="DV34" s="14">
        <v>1.2600000000000001E-3</v>
      </c>
      <c r="DW34" s="14">
        <v>0</v>
      </c>
      <c r="DX34" s="14">
        <v>0</v>
      </c>
      <c r="DY34" s="14">
        <v>1.2600000000000001E-3</v>
      </c>
      <c r="DZ34" s="14">
        <v>3.3E-4</v>
      </c>
      <c r="EA34" s="14">
        <v>2.3000000000000001E-4</v>
      </c>
      <c r="EB34" s="14">
        <v>1E-4</v>
      </c>
      <c r="EC34" s="14">
        <v>2.3000000000000001E-4</v>
      </c>
      <c r="ED34" s="14">
        <v>1.3999999999999999E-4</v>
      </c>
      <c r="EE34" s="14">
        <v>1.3999999999999999E-4</v>
      </c>
      <c r="EF34" s="14">
        <v>1.2999999999999999E-4</v>
      </c>
      <c r="EG34" s="14">
        <v>2.0000000000000002E-5</v>
      </c>
      <c r="EH34" s="14">
        <v>6.8000000000000005E-4</v>
      </c>
      <c r="EI34" s="14">
        <v>0</v>
      </c>
      <c r="EJ34" s="14">
        <v>2.1000000000000001E-4</v>
      </c>
      <c r="EK34" s="14">
        <v>4.6999999999999999E-4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5.1700000000000001E-3</v>
      </c>
      <c r="ES34" s="14">
        <v>0</v>
      </c>
      <c r="ET34" s="14">
        <v>0</v>
      </c>
      <c r="EU34" s="14">
        <v>0</v>
      </c>
      <c r="EV34" s="14">
        <v>0</v>
      </c>
      <c r="EW34" s="14">
        <v>6.8000000000000005E-4</v>
      </c>
      <c r="EX34" s="14">
        <v>4.2999999999999999E-4</v>
      </c>
      <c r="EY34" s="14">
        <v>2.5000000000000001E-4</v>
      </c>
      <c r="EZ34" s="14">
        <v>0</v>
      </c>
      <c r="FA34" s="14">
        <v>0</v>
      </c>
      <c r="FB34" s="14">
        <v>0</v>
      </c>
      <c r="FC34" s="14">
        <v>4.3699999999999998E-3</v>
      </c>
      <c r="FD34" s="14">
        <v>4.28E-3</v>
      </c>
      <c r="FE34" s="14">
        <v>9.0000000000000006E-5</v>
      </c>
      <c r="FF34" s="14">
        <v>0</v>
      </c>
      <c r="FG34" s="14">
        <v>1.1E-4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</row>
    <row r="35" spans="1:168" ht="11.45" customHeight="1" x14ac:dyDescent="0.25">
      <c r="A35" s="5" t="s">
        <v>182</v>
      </c>
      <c r="B35" s="5" t="s">
        <v>6</v>
      </c>
      <c r="C35" s="13">
        <v>23.255590000000002</v>
      </c>
      <c r="D35" s="13">
        <v>19.955580000000001</v>
      </c>
      <c r="E35" s="13">
        <v>17.505389999999998</v>
      </c>
      <c r="F35" s="13">
        <v>17.48122</v>
      </c>
      <c r="G35" s="13">
        <v>13.59089</v>
      </c>
      <c r="H35" s="13">
        <v>12.024010000000001</v>
      </c>
      <c r="I35" s="13">
        <v>0</v>
      </c>
      <c r="J35" s="13">
        <v>1.5668899999999999</v>
      </c>
      <c r="K35" s="13">
        <v>0.61187000000000002</v>
      </c>
      <c r="L35" s="13">
        <v>7.5000000000000002E-4</v>
      </c>
      <c r="M35" s="13">
        <v>2.49E-3</v>
      </c>
      <c r="N35" s="13">
        <v>1.934E-2</v>
      </c>
      <c r="O35" s="13">
        <v>6.173E-2</v>
      </c>
      <c r="P35" s="13">
        <v>6.6559999999999994E-2</v>
      </c>
      <c r="Q35" s="13">
        <v>0.28520000000000001</v>
      </c>
      <c r="R35" s="13">
        <v>0.17580999999999999</v>
      </c>
      <c r="S35" s="13">
        <v>2.6463000000000001</v>
      </c>
      <c r="T35" s="13">
        <v>4.0699999999999998E-3</v>
      </c>
      <c r="U35" s="13">
        <v>2.39785</v>
      </c>
      <c r="V35" s="13">
        <v>1.5710999999999999</v>
      </c>
      <c r="W35" s="13">
        <v>0.27999000000000002</v>
      </c>
      <c r="X35" s="13">
        <v>0.53807000000000005</v>
      </c>
      <c r="Y35" s="13">
        <v>8.6899999999999998E-3</v>
      </c>
      <c r="Z35" s="13">
        <v>0</v>
      </c>
      <c r="AA35" s="13">
        <v>5.0090000000000003E-2</v>
      </c>
      <c r="AB35" s="13">
        <v>2.0080000000000001E-2</v>
      </c>
      <c r="AC35" s="13">
        <v>0.17421</v>
      </c>
      <c r="AD35" s="13">
        <v>0.63214999999999999</v>
      </c>
      <c r="AE35" s="13">
        <v>0.26484999999999997</v>
      </c>
      <c r="AF35" s="13">
        <v>0.17509</v>
      </c>
      <c r="AG35" s="13">
        <v>0.19222</v>
      </c>
      <c r="AH35" s="13">
        <v>0</v>
      </c>
      <c r="AI35" s="13">
        <v>0</v>
      </c>
      <c r="AJ35" s="13">
        <v>0</v>
      </c>
      <c r="AK35" s="13">
        <v>2.4170000000000001E-2</v>
      </c>
      <c r="AL35" s="13">
        <v>0</v>
      </c>
      <c r="AM35" s="13">
        <v>2.4170000000000001E-2</v>
      </c>
      <c r="AN35" s="13">
        <v>0</v>
      </c>
      <c r="AO35" s="13">
        <v>1.1700699999999999</v>
      </c>
      <c r="AP35" s="13">
        <v>0.21018999999999999</v>
      </c>
      <c r="AQ35" s="13">
        <v>0.95987</v>
      </c>
      <c r="AR35" s="13">
        <v>0</v>
      </c>
      <c r="AS35" s="13">
        <v>5.2277300000000002</v>
      </c>
      <c r="AT35" s="13">
        <v>0.62402000000000002</v>
      </c>
      <c r="AU35" s="13">
        <v>0.36303999999999997</v>
      </c>
      <c r="AV35" s="13">
        <v>0.29776000000000002</v>
      </c>
      <c r="AW35" s="13">
        <v>5.4730000000000001E-2</v>
      </c>
      <c r="AX35" s="13">
        <v>9.5899999999999996E-3</v>
      </c>
      <c r="AY35" s="13">
        <v>9.5E-4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3.3500000000000001E-3</v>
      </c>
      <c r="BL35" s="13">
        <v>0</v>
      </c>
      <c r="BM35" s="13">
        <v>0</v>
      </c>
      <c r="BN35" s="13">
        <v>0</v>
      </c>
      <c r="BO35" s="13">
        <v>0</v>
      </c>
      <c r="BP35" s="13">
        <v>3.3500000000000001E-3</v>
      </c>
      <c r="BQ35" s="13">
        <v>0</v>
      </c>
      <c r="BR35" s="13">
        <v>0</v>
      </c>
      <c r="BS35" s="13">
        <v>2.613E-2</v>
      </c>
      <c r="BT35" s="13">
        <v>1.6800000000000001E-3</v>
      </c>
      <c r="BU35" s="13">
        <v>2.7799999999999999E-3</v>
      </c>
      <c r="BV35" s="13">
        <v>2.1669999999999998E-2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0.22599</v>
      </c>
      <c r="CD35" s="13">
        <v>0.21646000000000001</v>
      </c>
      <c r="CE35" s="13">
        <v>2.3800000000000002E-3</v>
      </c>
      <c r="CF35" s="13">
        <v>2.7899999999999999E-3</v>
      </c>
      <c r="CG35" s="13">
        <v>4.3499999999999997E-3</v>
      </c>
      <c r="CH35" s="13">
        <v>0</v>
      </c>
      <c r="CI35" s="13">
        <v>0</v>
      </c>
      <c r="CJ35" s="13">
        <v>5.5199999999999997E-3</v>
      </c>
      <c r="CK35" s="13">
        <v>0</v>
      </c>
      <c r="CL35" s="13">
        <v>1.47925</v>
      </c>
      <c r="CM35" s="13">
        <v>0.62011000000000005</v>
      </c>
      <c r="CN35" s="13">
        <v>0.58787</v>
      </c>
      <c r="CO35" s="13">
        <v>1.9220000000000001E-2</v>
      </c>
      <c r="CP35" s="13">
        <v>9.1800000000000007E-3</v>
      </c>
      <c r="CQ35" s="13">
        <v>3.8400000000000001E-3</v>
      </c>
      <c r="CR35" s="13">
        <v>0.21909999999999999</v>
      </c>
      <c r="CS35" s="13">
        <v>0.14591999999999999</v>
      </c>
      <c r="CT35" s="13">
        <v>1.8400000000000001E-3</v>
      </c>
      <c r="CU35" s="13">
        <v>4.7829999999999998E-2</v>
      </c>
      <c r="CV35" s="13">
        <v>6.5199999999999998E-3</v>
      </c>
      <c r="CW35" s="13">
        <v>1.7000000000000001E-2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0.62063000000000001</v>
      </c>
      <c r="DD35" s="13">
        <v>0.50644999999999996</v>
      </c>
      <c r="DE35" s="13">
        <v>0.11419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1.9269999999999999E-2</v>
      </c>
      <c r="DN35" s="13">
        <v>1.2999999999999999E-4</v>
      </c>
      <c r="DO35" s="13">
        <v>0</v>
      </c>
      <c r="DP35" s="13">
        <v>0</v>
      </c>
      <c r="DQ35" s="13">
        <v>3.3000099999999999</v>
      </c>
      <c r="DR35" s="13">
        <v>2.3799800000000002</v>
      </c>
      <c r="DS35" s="13">
        <v>0.31952000000000003</v>
      </c>
      <c r="DT35" s="13">
        <v>2.6878899999999999</v>
      </c>
      <c r="DU35" s="13">
        <v>-0.30791000000000002</v>
      </c>
      <c r="DV35" s="13">
        <v>0.54876000000000003</v>
      </c>
      <c r="DW35" s="13">
        <v>0</v>
      </c>
      <c r="DX35" s="13">
        <v>0.41933999999999999</v>
      </c>
      <c r="DY35" s="13">
        <v>0.12941</v>
      </c>
      <c r="DZ35" s="13">
        <v>-0.2059</v>
      </c>
      <c r="EA35" s="13">
        <v>0</v>
      </c>
      <c r="EB35" s="13">
        <v>-9.579E-2</v>
      </c>
      <c r="EC35" s="13">
        <v>-0.11011</v>
      </c>
      <c r="ED35" s="13">
        <v>1.1428700000000001</v>
      </c>
      <c r="EE35" s="13">
        <v>2.2499999999999998E-3</v>
      </c>
      <c r="EF35" s="13">
        <v>1.1165700000000001</v>
      </c>
      <c r="EG35" s="13">
        <v>2.631E-2</v>
      </c>
      <c r="EH35" s="13">
        <v>0.45134000000000002</v>
      </c>
      <c r="EI35" s="13">
        <v>0</v>
      </c>
      <c r="EJ35" s="13">
        <v>0</v>
      </c>
      <c r="EK35" s="13">
        <v>0.45134000000000002</v>
      </c>
      <c r="EL35" s="13">
        <v>7.8009999999999996E-2</v>
      </c>
      <c r="EM35" s="13">
        <v>7.8009999999999996E-2</v>
      </c>
      <c r="EN35" s="13">
        <v>1.14E-3</v>
      </c>
      <c r="EO35" s="13">
        <v>0</v>
      </c>
      <c r="EP35" s="13">
        <v>-1.0950500000000001</v>
      </c>
      <c r="EQ35" s="13">
        <v>0</v>
      </c>
      <c r="ER35" s="13">
        <v>0.34692000000000001</v>
      </c>
      <c r="ES35" s="13">
        <v>0.21421000000000001</v>
      </c>
      <c r="ET35" s="13">
        <v>0.21421000000000001</v>
      </c>
      <c r="EU35" s="13">
        <v>0</v>
      </c>
      <c r="EV35" s="13">
        <v>0</v>
      </c>
      <c r="EW35" s="13">
        <v>4.3040000000000002E-2</v>
      </c>
      <c r="EX35" s="13">
        <v>4.3040000000000002E-2</v>
      </c>
      <c r="EY35" s="13">
        <v>0</v>
      </c>
      <c r="EZ35" s="13">
        <v>8.9999999999999998E-4</v>
      </c>
      <c r="FA35" s="13">
        <v>8.0000000000000007E-5</v>
      </c>
      <c r="FB35" s="13">
        <v>8.1999999999999998E-4</v>
      </c>
      <c r="FC35" s="13">
        <v>8.8779999999999998E-2</v>
      </c>
      <c r="FD35" s="13">
        <v>8.5199999999999998E-2</v>
      </c>
      <c r="FE35" s="13">
        <v>3.5799999999999998E-3</v>
      </c>
      <c r="FF35" s="13">
        <v>0</v>
      </c>
      <c r="FG35" s="13">
        <v>0</v>
      </c>
      <c r="FH35" s="13">
        <v>3.62452</v>
      </c>
      <c r="FI35" s="13">
        <v>0</v>
      </c>
      <c r="FJ35" s="13">
        <v>0</v>
      </c>
      <c r="FK35" s="13">
        <v>0</v>
      </c>
      <c r="FL35" s="13">
        <v>0</v>
      </c>
    </row>
    <row r="36" spans="1:168" ht="15" x14ac:dyDescent="0.25">
      <c r="A36" s="5" t="s">
        <v>182</v>
      </c>
      <c r="B36" s="5" t="s">
        <v>7</v>
      </c>
      <c r="C36" s="14">
        <v>20.75478</v>
      </c>
      <c r="D36" s="14">
        <v>17.800689999999999</v>
      </c>
      <c r="E36" s="14">
        <v>17.388190000000002</v>
      </c>
      <c r="F36" s="14">
        <v>17.388159999999999</v>
      </c>
      <c r="G36" s="14">
        <v>13.555540000000001</v>
      </c>
      <c r="H36" s="14">
        <v>11.9917</v>
      </c>
      <c r="I36" s="14">
        <v>0</v>
      </c>
      <c r="J36" s="14">
        <v>1.5638399999999999</v>
      </c>
      <c r="K36" s="14">
        <v>0.60729999999999995</v>
      </c>
      <c r="L36" s="14">
        <v>7.5000000000000002E-4</v>
      </c>
      <c r="M36" s="14">
        <v>2.49E-3</v>
      </c>
      <c r="N36" s="14">
        <v>1.932E-2</v>
      </c>
      <c r="O36" s="14">
        <v>6.166E-2</v>
      </c>
      <c r="P36" s="14">
        <v>6.6500000000000004E-2</v>
      </c>
      <c r="Q36" s="14">
        <v>0.28116000000000002</v>
      </c>
      <c r="R36" s="14">
        <v>0.17544000000000001</v>
      </c>
      <c r="S36" s="14">
        <v>2.61686</v>
      </c>
      <c r="T36" s="14">
        <v>4.0400000000000002E-3</v>
      </c>
      <c r="U36" s="14">
        <v>2.3755000000000002</v>
      </c>
      <c r="V36" s="14">
        <v>1.5573699999999999</v>
      </c>
      <c r="W36" s="14">
        <v>0.27767999999999998</v>
      </c>
      <c r="X36" s="14">
        <v>0.53200999999999998</v>
      </c>
      <c r="Y36" s="14">
        <v>8.4399999999999996E-3</v>
      </c>
      <c r="Z36" s="14">
        <v>0</v>
      </c>
      <c r="AA36" s="14">
        <v>4.5319999999999999E-2</v>
      </c>
      <c r="AB36" s="14">
        <v>1.9879999999999998E-2</v>
      </c>
      <c r="AC36" s="14">
        <v>0.17212</v>
      </c>
      <c r="AD36" s="14">
        <v>0.60845000000000005</v>
      </c>
      <c r="AE36" s="14">
        <v>0.26318999999999998</v>
      </c>
      <c r="AF36" s="14">
        <v>0.15498999999999999</v>
      </c>
      <c r="AG36" s="14">
        <v>0.19026999999999999</v>
      </c>
      <c r="AH36" s="14">
        <v>0</v>
      </c>
      <c r="AI36" s="14">
        <v>0</v>
      </c>
      <c r="AJ36" s="14">
        <v>0</v>
      </c>
      <c r="AK36" s="14">
        <v>3.0000000000000001E-5</v>
      </c>
      <c r="AL36" s="14">
        <v>0</v>
      </c>
      <c r="AM36" s="14">
        <v>3.0000000000000001E-5</v>
      </c>
      <c r="AN36" s="14">
        <v>0</v>
      </c>
      <c r="AO36" s="14">
        <v>1.1595500000000001</v>
      </c>
      <c r="AP36" s="14">
        <v>0.20860000000000001</v>
      </c>
      <c r="AQ36" s="14">
        <v>0.95094999999999996</v>
      </c>
      <c r="AR36" s="14">
        <v>0</v>
      </c>
      <c r="AS36" s="14">
        <v>5.2277300000000002</v>
      </c>
      <c r="AT36" s="14">
        <v>0.39251000000000003</v>
      </c>
      <c r="AU36" s="14">
        <v>0.36303999999999997</v>
      </c>
      <c r="AV36" s="14">
        <v>0.29776000000000002</v>
      </c>
      <c r="AW36" s="14">
        <v>5.4730000000000001E-2</v>
      </c>
      <c r="AX36" s="14">
        <v>9.5899999999999996E-3</v>
      </c>
      <c r="AY36" s="14">
        <v>9.5E-4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3.3500000000000001E-3</v>
      </c>
      <c r="BL36" s="14">
        <v>0</v>
      </c>
      <c r="BM36" s="14">
        <v>0</v>
      </c>
      <c r="BN36" s="14">
        <v>0</v>
      </c>
      <c r="BO36" s="14">
        <v>0</v>
      </c>
      <c r="BP36" s="14">
        <v>3.3500000000000001E-3</v>
      </c>
      <c r="BQ36" s="14">
        <v>0</v>
      </c>
      <c r="BR36" s="14">
        <v>0</v>
      </c>
      <c r="BS36" s="14">
        <v>2.613E-2</v>
      </c>
      <c r="BT36" s="14">
        <v>1.6800000000000001E-3</v>
      </c>
      <c r="BU36" s="14">
        <v>2.7799999999999999E-3</v>
      </c>
      <c r="BV36" s="14">
        <v>2.1669999999999998E-2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1.9400000000000001E-2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1.9269999999999999E-2</v>
      </c>
      <c r="DN36" s="14">
        <v>1.2999999999999999E-4</v>
      </c>
      <c r="DO36" s="14">
        <v>0</v>
      </c>
      <c r="DP36" s="14">
        <v>0</v>
      </c>
      <c r="DQ36" s="14">
        <v>2.9540899999999999</v>
      </c>
      <c r="DR36" s="14">
        <v>2.0560299999999998</v>
      </c>
      <c r="DS36" s="14">
        <v>0</v>
      </c>
      <c r="DT36" s="14">
        <v>2.3651800000000001</v>
      </c>
      <c r="DU36" s="14">
        <v>-0.30914999999999998</v>
      </c>
      <c r="DV36" s="14">
        <v>0.54179999999999995</v>
      </c>
      <c r="DW36" s="14">
        <v>0</v>
      </c>
      <c r="DX36" s="14">
        <v>0.41933999999999999</v>
      </c>
      <c r="DY36" s="14">
        <v>0.12246</v>
      </c>
      <c r="DZ36" s="14">
        <v>-0.20599000000000001</v>
      </c>
      <c r="EA36" s="14">
        <v>0</v>
      </c>
      <c r="EB36" s="14">
        <v>-9.5880000000000007E-2</v>
      </c>
      <c r="EC36" s="14">
        <v>-0.11011</v>
      </c>
      <c r="ED36" s="14">
        <v>1.14062</v>
      </c>
      <c r="EE36" s="14">
        <v>0</v>
      </c>
      <c r="EF36" s="14">
        <v>1.1143799999999999</v>
      </c>
      <c r="EG36" s="14">
        <v>2.6249999999999999E-2</v>
      </c>
      <c r="EH36" s="14">
        <v>0.44005</v>
      </c>
      <c r="EI36" s="14">
        <v>0</v>
      </c>
      <c r="EJ36" s="14">
        <v>0</v>
      </c>
      <c r="EK36" s="14">
        <v>0.44005</v>
      </c>
      <c r="EL36" s="14">
        <v>7.6619999999999994E-2</v>
      </c>
      <c r="EM36" s="14">
        <v>7.6619999999999994E-2</v>
      </c>
      <c r="EN36" s="14">
        <v>0</v>
      </c>
      <c r="EO36" s="14">
        <v>0</v>
      </c>
      <c r="EP36" s="14">
        <v>-1.0950500000000001</v>
      </c>
      <c r="EQ36" s="14">
        <v>0</v>
      </c>
      <c r="ER36" s="14">
        <v>5.8E-4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5.8E-4</v>
      </c>
      <c r="FA36" s="14">
        <v>6.9999999999999994E-5</v>
      </c>
      <c r="FB36" s="14">
        <v>5.1000000000000004E-4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3.62452</v>
      </c>
      <c r="FI36" s="14">
        <v>0</v>
      </c>
      <c r="FJ36" s="14">
        <v>0</v>
      </c>
      <c r="FK36" s="14">
        <v>0</v>
      </c>
      <c r="FL36" s="14">
        <v>0</v>
      </c>
    </row>
    <row r="37" spans="1:168" ht="15" x14ac:dyDescent="0.25">
      <c r="A37" s="5" t="s">
        <v>182</v>
      </c>
      <c r="B37" s="5" t="s">
        <v>8</v>
      </c>
      <c r="C37" s="13">
        <v>4.36E-2</v>
      </c>
      <c r="D37" s="13">
        <v>4.0730000000000002E-2</v>
      </c>
      <c r="E37" s="13">
        <v>2.1299999999999999E-3</v>
      </c>
      <c r="F37" s="13">
        <v>1.2600000000000001E-3</v>
      </c>
      <c r="G37" s="13">
        <v>4.2000000000000002E-4</v>
      </c>
      <c r="H37" s="13">
        <v>3.6999999999999999E-4</v>
      </c>
      <c r="I37" s="13">
        <v>0</v>
      </c>
      <c r="J37" s="13">
        <v>6.0000000000000002E-5</v>
      </c>
      <c r="K37" s="13">
        <v>6.9999999999999994E-5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6.0000000000000002E-5</v>
      </c>
      <c r="R37" s="13">
        <v>0</v>
      </c>
      <c r="S37" s="13">
        <v>1.3999999999999999E-4</v>
      </c>
      <c r="T37" s="13">
        <v>0</v>
      </c>
      <c r="U37" s="13">
        <v>1.2999999999999999E-4</v>
      </c>
      <c r="V37" s="13">
        <v>1E-4</v>
      </c>
      <c r="W37" s="13">
        <v>0</v>
      </c>
      <c r="X37" s="13">
        <v>2.0000000000000002E-5</v>
      </c>
      <c r="Y37" s="13">
        <v>1.0000000000000001E-5</v>
      </c>
      <c r="Z37" s="13">
        <v>0</v>
      </c>
      <c r="AA37" s="13">
        <v>0</v>
      </c>
      <c r="AB37" s="13">
        <v>0</v>
      </c>
      <c r="AC37" s="13">
        <v>0</v>
      </c>
      <c r="AD37" s="13">
        <v>6.4000000000000005E-4</v>
      </c>
      <c r="AE37" s="13">
        <v>5.0000000000000002E-5</v>
      </c>
      <c r="AF37" s="13">
        <v>5.4000000000000001E-4</v>
      </c>
      <c r="AG37" s="13">
        <v>5.0000000000000002E-5</v>
      </c>
      <c r="AH37" s="13">
        <v>0</v>
      </c>
      <c r="AI37" s="13">
        <v>0</v>
      </c>
      <c r="AJ37" s="13">
        <v>0</v>
      </c>
      <c r="AK37" s="13">
        <v>8.5999999999999998E-4</v>
      </c>
      <c r="AL37" s="13">
        <v>0</v>
      </c>
      <c r="AM37" s="13">
        <v>8.5999999999999998E-4</v>
      </c>
      <c r="AN37" s="13">
        <v>0</v>
      </c>
      <c r="AO37" s="13">
        <v>9.0000000000000006E-5</v>
      </c>
      <c r="AP37" s="13">
        <v>0</v>
      </c>
      <c r="AQ37" s="13">
        <v>9.0000000000000006E-5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2.7900000000000001E-2</v>
      </c>
      <c r="CM37" s="13">
        <v>2.215E-2</v>
      </c>
      <c r="CN37" s="13">
        <v>2.1000000000000001E-2</v>
      </c>
      <c r="CO37" s="13">
        <v>6.8999999999999997E-4</v>
      </c>
      <c r="CP37" s="13">
        <v>3.3E-4</v>
      </c>
      <c r="CQ37" s="13">
        <v>1.3999999999999999E-4</v>
      </c>
      <c r="CR37" s="13">
        <v>5.7499999999999999E-3</v>
      </c>
      <c r="CS37" s="13">
        <v>3.9399999999999999E-3</v>
      </c>
      <c r="CT37" s="13">
        <v>2.0000000000000002E-5</v>
      </c>
      <c r="CU37" s="13">
        <v>1.6900000000000001E-3</v>
      </c>
      <c r="CV37" s="13">
        <v>1E-4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2.8700000000000002E-3</v>
      </c>
      <c r="DR37" s="13">
        <v>2.8700000000000002E-3</v>
      </c>
      <c r="DS37" s="13">
        <v>2.7599999999999999E-3</v>
      </c>
      <c r="DT37" s="13">
        <v>2.8700000000000002E-3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1.0710000000000001E-2</v>
      </c>
      <c r="ES37" s="13">
        <v>7.6499999999999997E-3</v>
      </c>
      <c r="ET37" s="13">
        <v>7.6499999999999997E-3</v>
      </c>
      <c r="EU37" s="13">
        <v>0</v>
      </c>
      <c r="EV37" s="13">
        <v>0</v>
      </c>
      <c r="EW37" s="13">
        <v>9.7999999999999997E-4</v>
      </c>
      <c r="EX37" s="13">
        <v>9.7999999999999997E-4</v>
      </c>
      <c r="EY37" s="13">
        <v>0</v>
      </c>
      <c r="EZ37" s="13">
        <v>1.0000000000000001E-5</v>
      </c>
      <c r="FA37" s="13">
        <v>0</v>
      </c>
      <c r="FB37" s="13">
        <v>1.0000000000000001E-5</v>
      </c>
      <c r="FC37" s="13">
        <v>2.0699999999999998E-3</v>
      </c>
      <c r="FD37" s="13">
        <v>1.9400000000000001E-3</v>
      </c>
      <c r="FE37" s="13">
        <v>1.2999999999999999E-4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</row>
    <row r="38" spans="1:168" ht="15" x14ac:dyDescent="0.25">
      <c r="A38" s="5" t="s">
        <v>182</v>
      </c>
      <c r="B38" s="5" t="s">
        <v>9</v>
      </c>
      <c r="C38" s="14">
        <v>3.9699999999999996E-3</v>
      </c>
      <c r="D38" s="14">
        <v>2.96E-3</v>
      </c>
      <c r="E38" s="14">
        <v>2.2000000000000001E-4</v>
      </c>
      <c r="F38" s="14">
        <v>2.2000000000000001E-4</v>
      </c>
      <c r="G38" s="14">
        <v>9.0000000000000006E-5</v>
      </c>
      <c r="H38" s="14">
        <v>8.0000000000000007E-5</v>
      </c>
      <c r="I38" s="14">
        <v>0</v>
      </c>
      <c r="J38" s="14">
        <v>1.0000000000000001E-5</v>
      </c>
      <c r="K38" s="14">
        <v>1.0000000000000001E-5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1.0000000000000001E-5</v>
      </c>
      <c r="R38" s="14">
        <v>0</v>
      </c>
      <c r="S38" s="14">
        <v>1E-4</v>
      </c>
      <c r="T38" s="14">
        <v>0</v>
      </c>
      <c r="U38" s="14">
        <v>6.9999999999999994E-5</v>
      </c>
      <c r="V38" s="14">
        <v>4.0000000000000003E-5</v>
      </c>
      <c r="W38" s="14">
        <v>1.0000000000000001E-5</v>
      </c>
      <c r="X38" s="14">
        <v>2.0000000000000002E-5</v>
      </c>
      <c r="Y38" s="14">
        <v>0</v>
      </c>
      <c r="Z38" s="14">
        <v>0</v>
      </c>
      <c r="AA38" s="14">
        <v>2.0000000000000002E-5</v>
      </c>
      <c r="AB38" s="14">
        <v>0</v>
      </c>
      <c r="AC38" s="14">
        <v>1.0000000000000001E-5</v>
      </c>
      <c r="AD38" s="14">
        <v>2.0000000000000002E-5</v>
      </c>
      <c r="AE38" s="14">
        <v>0</v>
      </c>
      <c r="AF38" s="14">
        <v>2.0000000000000002E-5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3.0000000000000001E-5</v>
      </c>
      <c r="AP38" s="14">
        <v>1.0000000000000001E-5</v>
      </c>
      <c r="AQ38" s="14">
        <v>2.0000000000000002E-5</v>
      </c>
      <c r="AR38" s="14">
        <v>0</v>
      </c>
      <c r="AS38" s="14">
        <v>0</v>
      </c>
      <c r="AT38" s="14">
        <v>1.0000000000000001E-5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1.0000000000000001E-5</v>
      </c>
      <c r="CK38" s="14">
        <v>0</v>
      </c>
      <c r="CL38" s="14">
        <v>2.5600000000000002E-3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2.2000000000000001E-4</v>
      </c>
      <c r="CS38" s="14">
        <v>1.2999999999999999E-4</v>
      </c>
      <c r="CT38" s="14">
        <v>1.0000000000000001E-5</v>
      </c>
      <c r="CU38" s="14">
        <v>0</v>
      </c>
      <c r="CV38" s="14">
        <v>1.0000000000000001E-5</v>
      </c>
      <c r="CW38" s="14">
        <v>6.0000000000000002E-5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2.3400000000000001E-3</v>
      </c>
      <c r="DD38" s="14">
        <v>1.91E-3</v>
      </c>
      <c r="DE38" s="14">
        <v>4.2999999999999999E-4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1E-3</v>
      </c>
      <c r="DR38" s="14">
        <v>9.2000000000000003E-4</v>
      </c>
      <c r="DS38" s="14">
        <v>9.1E-4</v>
      </c>
      <c r="DT38" s="14">
        <v>9.1E-4</v>
      </c>
      <c r="DU38" s="14">
        <v>0</v>
      </c>
      <c r="DV38" s="14">
        <v>3.0000000000000001E-5</v>
      </c>
      <c r="DW38" s="14">
        <v>0</v>
      </c>
      <c r="DX38" s="14">
        <v>0</v>
      </c>
      <c r="DY38" s="14">
        <v>3.0000000000000001E-5</v>
      </c>
      <c r="DZ38" s="14">
        <v>0</v>
      </c>
      <c r="EA38" s="14">
        <v>0</v>
      </c>
      <c r="EB38" s="14">
        <v>0</v>
      </c>
      <c r="EC38" s="14">
        <v>0</v>
      </c>
      <c r="ED38" s="14">
        <v>1.0000000000000001E-5</v>
      </c>
      <c r="EE38" s="14">
        <v>1.0000000000000001E-5</v>
      </c>
      <c r="EF38" s="14">
        <v>1.0000000000000001E-5</v>
      </c>
      <c r="EG38" s="14">
        <v>0</v>
      </c>
      <c r="EH38" s="14">
        <v>4.0000000000000003E-5</v>
      </c>
      <c r="EI38" s="14">
        <v>0</v>
      </c>
      <c r="EJ38" s="14">
        <v>0</v>
      </c>
      <c r="EK38" s="14">
        <v>4.0000000000000003E-5</v>
      </c>
      <c r="EL38" s="14">
        <v>1.0000000000000001E-5</v>
      </c>
      <c r="EM38" s="14">
        <v>1.0000000000000001E-5</v>
      </c>
      <c r="EN38" s="14">
        <v>0</v>
      </c>
      <c r="EO38" s="14">
        <v>0</v>
      </c>
      <c r="EP38" s="14">
        <v>0</v>
      </c>
      <c r="EQ38" s="14">
        <v>0</v>
      </c>
      <c r="ER38" s="14">
        <v>1.8000000000000001E-4</v>
      </c>
      <c r="ES38" s="14">
        <v>0</v>
      </c>
      <c r="ET38" s="14">
        <v>0</v>
      </c>
      <c r="EU38" s="14">
        <v>0</v>
      </c>
      <c r="EV38" s="14">
        <v>0</v>
      </c>
      <c r="EW38" s="14">
        <v>6.0000000000000002E-5</v>
      </c>
      <c r="EX38" s="14">
        <v>6.0000000000000002E-5</v>
      </c>
      <c r="EY38" s="14">
        <v>0</v>
      </c>
      <c r="EZ38" s="14">
        <v>0</v>
      </c>
      <c r="FA38" s="14">
        <v>0</v>
      </c>
      <c r="FB38" s="14">
        <v>0</v>
      </c>
      <c r="FC38" s="14">
        <v>1.2E-4</v>
      </c>
      <c r="FD38" s="14">
        <v>1.2E-4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</row>
    <row r="39" spans="1:168" ht="15" x14ac:dyDescent="0.25">
      <c r="A39" s="5" t="s">
        <v>183</v>
      </c>
      <c r="B39" s="5" t="s">
        <v>6</v>
      </c>
      <c r="C39" s="13">
        <v>65.591369999999998</v>
      </c>
      <c r="D39" s="13">
        <v>61.595390000000002</v>
      </c>
      <c r="E39" s="13">
        <v>36.749859999999998</v>
      </c>
      <c r="F39" s="13">
        <v>36.643239999999999</v>
      </c>
      <c r="G39" s="13">
        <v>10.452439999999999</v>
      </c>
      <c r="H39" s="13">
        <v>10.011760000000001</v>
      </c>
      <c r="I39" s="13">
        <v>0.32218999999999998</v>
      </c>
      <c r="J39" s="13">
        <v>0.11849</v>
      </c>
      <c r="K39" s="13">
        <v>4.6620699999999999</v>
      </c>
      <c r="L39" s="13">
        <v>2.3400000000000001E-3</v>
      </c>
      <c r="M39" s="13">
        <v>1.3934899999999999</v>
      </c>
      <c r="N39" s="13">
        <v>0.39106999999999997</v>
      </c>
      <c r="O39" s="13">
        <v>3.789E-2</v>
      </c>
      <c r="P39" s="13">
        <v>1.0802400000000001</v>
      </c>
      <c r="Q39" s="13">
        <v>1.2230700000000001</v>
      </c>
      <c r="R39" s="13">
        <v>0.53398000000000001</v>
      </c>
      <c r="S39" s="13">
        <v>12.30832</v>
      </c>
      <c r="T39" s="13">
        <v>1.668E-2</v>
      </c>
      <c r="U39" s="13">
        <v>11.76249</v>
      </c>
      <c r="V39" s="13">
        <v>6.44536</v>
      </c>
      <c r="W39" s="13">
        <v>1.9420500000000001</v>
      </c>
      <c r="X39" s="13">
        <v>3.3602500000000002</v>
      </c>
      <c r="Y39" s="13">
        <v>1.4829999999999999E-2</v>
      </c>
      <c r="Z39" s="13">
        <v>0</v>
      </c>
      <c r="AA39" s="13">
        <v>0.12901000000000001</v>
      </c>
      <c r="AB39" s="13">
        <v>0.26007999999999998</v>
      </c>
      <c r="AC39" s="13">
        <v>0.14007</v>
      </c>
      <c r="AD39" s="13">
        <v>9.2203999999999997</v>
      </c>
      <c r="AE39" s="13">
        <v>1.54667</v>
      </c>
      <c r="AF39" s="13">
        <v>6.9995799999999999</v>
      </c>
      <c r="AG39" s="13">
        <v>0.67415000000000003</v>
      </c>
      <c r="AH39" s="13">
        <v>0</v>
      </c>
      <c r="AI39" s="13">
        <v>0</v>
      </c>
      <c r="AJ39" s="13">
        <v>0</v>
      </c>
      <c r="AK39" s="13">
        <v>0.10662000000000001</v>
      </c>
      <c r="AL39" s="13">
        <v>2.0289999999999999E-2</v>
      </c>
      <c r="AM39" s="13">
        <v>8.6330000000000004E-2</v>
      </c>
      <c r="AN39" s="13">
        <v>0</v>
      </c>
      <c r="AO39" s="13">
        <v>3.84362</v>
      </c>
      <c r="AP39" s="13">
        <v>3.3065500000000001</v>
      </c>
      <c r="AQ39" s="13">
        <v>0.53707000000000005</v>
      </c>
      <c r="AR39" s="13">
        <v>0</v>
      </c>
      <c r="AS39" s="13">
        <v>2.5635300000000001</v>
      </c>
      <c r="AT39" s="13">
        <v>3.1795800000000001</v>
      </c>
      <c r="AU39" s="13">
        <v>2.0945499999999999</v>
      </c>
      <c r="AV39" s="13">
        <v>1.91604</v>
      </c>
      <c r="AW39" s="13">
        <v>0.17727999999999999</v>
      </c>
      <c r="AX39" s="13">
        <v>0</v>
      </c>
      <c r="AY39" s="13">
        <v>1.23E-3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9.9169999999999994E-2</v>
      </c>
      <c r="BT39" s="13">
        <v>2.1499999999999998E-2</v>
      </c>
      <c r="BU39" s="13">
        <v>2.3650000000000001E-2</v>
      </c>
      <c r="BV39" s="13">
        <v>5.4030000000000002E-2</v>
      </c>
      <c r="BW39" s="13">
        <v>8.9590000000000003E-2</v>
      </c>
      <c r="BX39" s="13">
        <v>8.9590000000000003E-2</v>
      </c>
      <c r="BY39" s="13">
        <v>0</v>
      </c>
      <c r="BZ39" s="13">
        <v>0</v>
      </c>
      <c r="CA39" s="13">
        <v>0</v>
      </c>
      <c r="CB39" s="13">
        <v>0</v>
      </c>
      <c r="CC39" s="13">
        <v>0.77837999999999996</v>
      </c>
      <c r="CD39" s="13">
        <v>0.65164</v>
      </c>
      <c r="CE39" s="13">
        <v>0</v>
      </c>
      <c r="CF39" s="13">
        <v>3.3790000000000001E-2</v>
      </c>
      <c r="CG39" s="13">
        <v>9.2950000000000005E-2</v>
      </c>
      <c r="CH39" s="13">
        <v>0</v>
      </c>
      <c r="CI39" s="13">
        <v>0</v>
      </c>
      <c r="CJ39" s="13">
        <v>5.8409999999999997E-2</v>
      </c>
      <c r="CK39" s="13">
        <v>5.9479999999999998E-2</v>
      </c>
      <c r="CL39" s="13">
        <v>20.7319</v>
      </c>
      <c r="CM39" s="13">
        <v>12.916550000000001</v>
      </c>
      <c r="CN39" s="13">
        <v>11.808619999999999</v>
      </c>
      <c r="CO39" s="13">
        <v>1.0070300000000001</v>
      </c>
      <c r="CP39" s="13">
        <v>5.3850000000000002E-2</v>
      </c>
      <c r="CQ39" s="13">
        <v>4.7039999999999998E-2</v>
      </c>
      <c r="CR39" s="13">
        <v>2.5671599999999999</v>
      </c>
      <c r="CS39" s="13">
        <v>1.7454799999999999</v>
      </c>
      <c r="CT39" s="13">
        <v>3.9260000000000003E-2</v>
      </c>
      <c r="CU39" s="13">
        <v>0.37685999999999997</v>
      </c>
      <c r="CV39" s="13">
        <v>0.12952</v>
      </c>
      <c r="CW39" s="13">
        <v>0.27605000000000002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4.6967100000000004</v>
      </c>
      <c r="DD39" s="13">
        <v>3.9331700000000001</v>
      </c>
      <c r="DE39" s="13">
        <v>0.76354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0.46106000000000003</v>
      </c>
      <c r="DN39" s="13">
        <v>9.0429999999999996E-2</v>
      </c>
      <c r="DO39" s="13">
        <v>0</v>
      </c>
      <c r="DP39" s="13">
        <v>0</v>
      </c>
      <c r="DQ39" s="13">
        <v>3.9959799999999999</v>
      </c>
      <c r="DR39" s="13">
        <v>-2.4625900000000001</v>
      </c>
      <c r="DS39" s="13">
        <v>0.30571999999999999</v>
      </c>
      <c r="DT39" s="13">
        <v>0.46488000000000002</v>
      </c>
      <c r="DU39" s="13">
        <v>-2.92747</v>
      </c>
      <c r="DV39" s="13">
        <v>-0.15479999999999999</v>
      </c>
      <c r="DW39" s="13">
        <v>0</v>
      </c>
      <c r="DX39" s="13">
        <v>-0.15479999999999999</v>
      </c>
      <c r="DY39" s="13">
        <v>0</v>
      </c>
      <c r="DZ39" s="13">
        <v>2.3967900000000002</v>
      </c>
      <c r="EA39" s="13">
        <v>1.64947</v>
      </c>
      <c r="EB39" s="13">
        <v>2.32334</v>
      </c>
      <c r="EC39" s="13">
        <v>7.3459999999999998E-2</v>
      </c>
      <c r="ED39" s="13">
        <v>4.6120400000000004</v>
      </c>
      <c r="EE39" s="13">
        <v>2.8828499999999999</v>
      </c>
      <c r="EF39" s="13">
        <v>4.5890899999999997</v>
      </c>
      <c r="EG39" s="13">
        <v>2.2950000000000002E-2</v>
      </c>
      <c r="EH39" s="13">
        <v>0.41335</v>
      </c>
      <c r="EI39" s="13">
        <v>0</v>
      </c>
      <c r="EJ39" s="13">
        <v>4.9199999999999999E-3</v>
      </c>
      <c r="EK39" s="13">
        <v>0.40843000000000002</v>
      </c>
      <c r="EL39" s="13">
        <v>1.686E-2</v>
      </c>
      <c r="EM39" s="13">
        <v>1.686E-2</v>
      </c>
      <c r="EN39" s="13">
        <v>3.6999999999999999E-4</v>
      </c>
      <c r="EO39" s="13">
        <v>0</v>
      </c>
      <c r="EP39" s="13">
        <v>-0.82565999999999995</v>
      </c>
      <c r="EQ39" s="13">
        <v>0</v>
      </c>
      <c r="ER39" s="13">
        <v>0.93405000000000005</v>
      </c>
      <c r="ES39" s="13">
        <v>0.71396999999999999</v>
      </c>
      <c r="ET39" s="13">
        <v>0.71396999999999999</v>
      </c>
      <c r="EU39" s="13">
        <v>0</v>
      </c>
      <c r="EV39" s="13">
        <v>0</v>
      </c>
      <c r="EW39" s="13">
        <v>4.5789999999999997E-2</v>
      </c>
      <c r="EX39" s="13">
        <v>4.2900000000000001E-2</v>
      </c>
      <c r="EY39" s="13">
        <v>2.8900000000000002E-3</v>
      </c>
      <c r="EZ39" s="13">
        <v>2.3900000000000001E-2</v>
      </c>
      <c r="FA39" s="13">
        <v>2.027E-2</v>
      </c>
      <c r="FB39" s="13">
        <v>3.63E-3</v>
      </c>
      <c r="FC39" s="13">
        <v>0.15039</v>
      </c>
      <c r="FD39" s="13">
        <v>0.15039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</row>
    <row r="40" spans="1:168" ht="15" x14ac:dyDescent="0.25">
      <c r="A40" s="5" t="s">
        <v>183</v>
      </c>
      <c r="B40" s="5" t="s">
        <v>7</v>
      </c>
      <c r="C40" s="14">
        <v>39.048110000000001</v>
      </c>
      <c r="D40" s="14">
        <v>38.922359999999998</v>
      </c>
      <c r="E40" s="14">
        <v>36.094160000000002</v>
      </c>
      <c r="F40" s="14">
        <v>36.093960000000003</v>
      </c>
      <c r="G40" s="14">
        <v>10.31368</v>
      </c>
      <c r="H40" s="14">
        <v>9.8736899999999999</v>
      </c>
      <c r="I40" s="14">
        <v>0.32185000000000002</v>
      </c>
      <c r="J40" s="14">
        <v>0.11814</v>
      </c>
      <c r="K40" s="14">
        <v>4.6400199999999998</v>
      </c>
      <c r="L40" s="14">
        <v>2.3400000000000001E-3</v>
      </c>
      <c r="M40" s="14">
        <v>1.3920999999999999</v>
      </c>
      <c r="N40" s="14">
        <v>0.39056999999999997</v>
      </c>
      <c r="O40" s="14">
        <v>3.7839999999999999E-2</v>
      </c>
      <c r="P40" s="14">
        <v>1.0761400000000001</v>
      </c>
      <c r="Q40" s="14">
        <v>1.2177800000000001</v>
      </c>
      <c r="R40" s="14">
        <v>0.52325999999999995</v>
      </c>
      <c r="S40" s="14">
        <v>12.175890000000001</v>
      </c>
      <c r="T40" s="14">
        <v>1.6549999999999999E-2</v>
      </c>
      <c r="U40" s="14">
        <v>11.64514</v>
      </c>
      <c r="V40" s="14">
        <v>6.3848399999999996</v>
      </c>
      <c r="W40" s="14">
        <v>1.92442</v>
      </c>
      <c r="X40" s="14">
        <v>3.32151</v>
      </c>
      <c r="Y40" s="14">
        <v>1.4370000000000001E-2</v>
      </c>
      <c r="Z40" s="14">
        <v>0</v>
      </c>
      <c r="AA40" s="14">
        <v>0.11675000000000001</v>
      </c>
      <c r="AB40" s="14">
        <v>0.25752000000000003</v>
      </c>
      <c r="AC40" s="14">
        <v>0.13993</v>
      </c>
      <c r="AD40" s="14">
        <v>8.9643599999999992</v>
      </c>
      <c r="AE40" s="14">
        <v>1.5331300000000001</v>
      </c>
      <c r="AF40" s="14">
        <v>6.8091100000000004</v>
      </c>
      <c r="AG40" s="14">
        <v>0.62212000000000001</v>
      </c>
      <c r="AH40" s="14">
        <v>0</v>
      </c>
      <c r="AI40" s="14">
        <v>0</v>
      </c>
      <c r="AJ40" s="14">
        <v>0</v>
      </c>
      <c r="AK40" s="14">
        <v>2.1000000000000001E-4</v>
      </c>
      <c r="AL40" s="14">
        <v>0</v>
      </c>
      <c r="AM40" s="14">
        <v>2.1000000000000001E-4</v>
      </c>
      <c r="AN40" s="14">
        <v>0</v>
      </c>
      <c r="AO40" s="14">
        <v>3.8140399999999999</v>
      </c>
      <c r="AP40" s="14">
        <v>3.2822200000000001</v>
      </c>
      <c r="AQ40" s="14">
        <v>0.53181999999999996</v>
      </c>
      <c r="AR40" s="14">
        <v>0</v>
      </c>
      <c r="AS40" s="14">
        <v>2.5635300000000001</v>
      </c>
      <c r="AT40" s="14">
        <v>2.2532299999999998</v>
      </c>
      <c r="AU40" s="14">
        <v>2.0945499999999999</v>
      </c>
      <c r="AV40" s="14">
        <v>1.91604</v>
      </c>
      <c r="AW40" s="14">
        <v>0.17727999999999999</v>
      </c>
      <c r="AX40" s="14">
        <v>0</v>
      </c>
      <c r="AY40" s="14">
        <v>1.23E-3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9.9169999999999994E-2</v>
      </c>
      <c r="BT40" s="14">
        <v>2.1499999999999998E-2</v>
      </c>
      <c r="BU40" s="14">
        <v>2.3650000000000001E-2</v>
      </c>
      <c r="BV40" s="14">
        <v>5.4030000000000002E-2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2.0000000000000002E-5</v>
      </c>
      <c r="CK40" s="14">
        <v>5.9479999999999998E-2</v>
      </c>
      <c r="CL40" s="14">
        <v>0.55149000000000004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0.46106000000000003</v>
      </c>
      <c r="DN40" s="14">
        <v>9.0429999999999996E-2</v>
      </c>
      <c r="DO40" s="14">
        <v>0</v>
      </c>
      <c r="DP40" s="14">
        <v>0</v>
      </c>
      <c r="DQ40" s="14">
        <v>0.12573999999999999</v>
      </c>
      <c r="DR40" s="14">
        <v>-2.7820100000000001</v>
      </c>
      <c r="DS40" s="14">
        <v>0</v>
      </c>
      <c r="DT40" s="14">
        <v>0.25289</v>
      </c>
      <c r="DU40" s="14">
        <v>-3.0348999999999999</v>
      </c>
      <c r="DV40" s="14">
        <v>-0.15482000000000001</v>
      </c>
      <c r="DW40" s="14">
        <v>0</v>
      </c>
      <c r="DX40" s="14">
        <v>-0.15482000000000001</v>
      </c>
      <c r="DY40" s="14">
        <v>0</v>
      </c>
      <c r="DZ40" s="14">
        <v>1.0637300000000001</v>
      </c>
      <c r="EA40" s="14">
        <v>0.33185999999999999</v>
      </c>
      <c r="EB40" s="14">
        <v>0.99302000000000001</v>
      </c>
      <c r="EC40" s="14">
        <v>7.0709999999999995E-2</v>
      </c>
      <c r="ED40" s="14">
        <v>2.4053100000000001</v>
      </c>
      <c r="EE40" s="14">
        <v>0.73921000000000003</v>
      </c>
      <c r="EF40" s="14">
        <v>2.3947400000000001</v>
      </c>
      <c r="EG40" s="14">
        <v>1.057E-2</v>
      </c>
      <c r="EH40" s="14">
        <v>0.40354000000000001</v>
      </c>
      <c r="EI40" s="14">
        <v>0</v>
      </c>
      <c r="EJ40" s="14">
        <v>0</v>
      </c>
      <c r="EK40" s="14">
        <v>0.40354000000000001</v>
      </c>
      <c r="EL40" s="14">
        <v>1.5650000000000001E-2</v>
      </c>
      <c r="EM40" s="14">
        <v>1.5650000000000001E-2</v>
      </c>
      <c r="EN40" s="14">
        <v>0</v>
      </c>
      <c r="EO40" s="14">
        <v>0</v>
      </c>
      <c r="EP40" s="14">
        <v>-0.82565999999999995</v>
      </c>
      <c r="EQ40" s="14">
        <v>0</v>
      </c>
      <c r="ER40" s="14">
        <v>2.349E-2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2.349E-2</v>
      </c>
      <c r="FA40" s="14">
        <v>2.0080000000000001E-2</v>
      </c>
      <c r="FB40" s="14">
        <v>3.4099999999999998E-3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</row>
    <row r="41" spans="1:168" ht="15" x14ac:dyDescent="0.25">
      <c r="A41" s="5" t="s">
        <v>183</v>
      </c>
      <c r="B41" s="5" t="s">
        <v>8</v>
      </c>
      <c r="C41" s="13">
        <v>0.70057999999999998</v>
      </c>
      <c r="D41" s="13">
        <v>0.57233999999999996</v>
      </c>
      <c r="E41" s="13">
        <v>1.1679999999999999E-2</v>
      </c>
      <c r="F41" s="13">
        <v>7.8799999999999999E-3</v>
      </c>
      <c r="G41" s="13">
        <v>4.4999999999999999E-4</v>
      </c>
      <c r="H41" s="13">
        <v>4.4000000000000002E-4</v>
      </c>
      <c r="I41" s="13">
        <v>1.0000000000000001E-5</v>
      </c>
      <c r="J41" s="13">
        <v>0</v>
      </c>
      <c r="K41" s="13">
        <v>3.4000000000000002E-4</v>
      </c>
      <c r="L41" s="13">
        <v>0</v>
      </c>
      <c r="M41" s="13">
        <v>3.0000000000000001E-5</v>
      </c>
      <c r="N41" s="13">
        <v>1.0000000000000001E-5</v>
      </c>
      <c r="O41" s="13">
        <v>0</v>
      </c>
      <c r="P41" s="13">
        <v>6.9999999999999994E-5</v>
      </c>
      <c r="Q41" s="13">
        <v>6.9999999999999994E-5</v>
      </c>
      <c r="R41" s="13">
        <v>1.7000000000000001E-4</v>
      </c>
      <c r="S41" s="13">
        <v>4.4000000000000002E-4</v>
      </c>
      <c r="T41" s="13">
        <v>0</v>
      </c>
      <c r="U41" s="13">
        <v>4.0999999999999999E-4</v>
      </c>
      <c r="V41" s="13">
        <v>3.1E-4</v>
      </c>
      <c r="W41" s="13">
        <v>0</v>
      </c>
      <c r="X41" s="13">
        <v>8.0000000000000007E-5</v>
      </c>
      <c r="Y41" s="13">
        <v>1.0000000000000001E-5</v>
      </c>
      <c r="Z41" s="13">
        <v>0</v>
      </c>
      <c r="AA41" s="13">
        <v>1.0000000000000001E-5</v>
      </c>
      <c r="AB41" s="13">
        <v>2.0000000000000002E-5</v>
      </c>
      <c r="AC41" s="13">
        <v>0</v>
      </c>
      <c r="AD41" s="13">
        <v>6.6499999999999997E-3</v>
      </c>
      <c r="AE41" s="13">
        <v>4.0000000000000002E-4</v>
      </c>
      <c r="AF41" s="13">
        <v>6.2100000000000002E-3</v>
      </c>
      <c r="AG41" s="13">
        <v>4.0000000000000003E-5</v>
      </c>
      <c r="AH41" s="13">
        <v>0</v>
      </c>
      <c r="AI41" s="13">
        <v>0</v>
      </c>
      <c r="AJ41" s="13">
        <v>0</v>
      </c>
      <c r="AK41" s="13">
        <v>3.8E-3</v>
      </c>
      <c r="AL41" s="13">
        <v>7.2000000000000005E-4</v>
      </c>
      <c r="AM41" s="13">
        <v>3.0799999999999998E-3</v>
      </c>
      <c r="AN41" s="13">
        <v>0</v>
      </c>
      <c r="AO41" s="13">
        <v>6.9999999999999994E-5</v>
      </c>
      <c r="AP41" s="13">
        <v>2.0000000000000002E-5</v>
      </c>
      <c r="AQ41" s="13">
        <v>5.0000000000000002E-5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0.53203999999999996</v>
      </c>
      <c r="CM41" s="13">
        <v>0.46131</v>
      </c>
      <c r="CN41" s="13">
        <v>0.42174</v>
      </c>
      <c r="CO41" s="13">
        <v>3.5970000000000002E-2</v>
      </c>
      <c r="CP41" s="13">
        <v>1.92E-3</v>
      </c>
      <c r="CQ41" s="13">
        <v>1.6800000000000001E-3</v>
      </c>
      <c r="CR41" s="13">
        <v>7.0739999999999997E-2</v>
      </c>
      <c r="CS41" s="13">
        <v>5.2760000000000001E-2</v>
      </c>
      <c r="CT41" s="13">
        <v>8.5999999999999998E-4</v>
      </c>
      <c r="CU41" s="13">
        <v>1.306E-2</v>
      </c>
      <c r="CV41" s="13">
        <v>4.0600000000000002E-3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0.12823999999999999</v>
      </c>
      <c r="DR41" s="13">
        <v>3.0999999999999999E-3</v>
      </c>
      <c r="DS41" s="13">
        <v>2.63E-3</v>
      </c>
      <c r="DT41" s="13">
        <v>1.9300000000000001E-3</v>
      </c>
      <c r="DU41" s="13">
        <v>1.17E-3</v>
      </c>
      <c r="DV41" s="13">
        <v>0</v>
      </c>
      <c r="DW41" s="13">
        <v>0</v>
      </c>
      <c r="DX41" s="13">
        <v>0</v>
      </c>
      <c r="DY41" s="13">
        <v>0</v>
      </c>
      <c r="DZ41" s="13">
        <v>4.7440000000000003E-2</v>
      </c>
      <c r="EA41" s="13">
        <v>4.7050000000000002E-2</v>
      </c>
      <c r="EB41" s="13">
        <v>4.7419999999999997E-2</v>
      </c>
      <c r="EC41" s="13">
        <v>2.0000000000000002E-5</v>
      </c>
      <c r="ED41" s="13">
        <v>7.7700000000000005E-2</v>
      </c>
      <c r="EE41" s="13">
        <v>7.5880000000000003E-2</v>
      </c>
      <c r="EF41" s="13">
        <v>7.7259999999999995E-2</v>
      </c>
      <c r="EG41" s="13">
        <v>4.4000000000000002E-4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2.862E-2</v>
      </c>
      <c r="ES41" s="13">
        <v>2.5499999999999998E-2</v>
      </c>
      <c r="ET41" s="13">
        <v>2.5499999999999998E-2</v>
      </c>
      <c r="EU41" s="13">
        <v>0</v>
      </c>
      <c r="EV41" s="13">
        <v>0</v>
      </c>
      <c r="EW41" s="13">
        <v>1.08E-3</v>
      </c>
      <c r="EX41" s="13">
        <v>9.7999999999999997E-4</v>
      </c>
      <c r="EY41" s="13">
        <v>1E-4</v>
      </c>
      <c r="EZ41" s="13">
        <v>1.0000000000000001E-5</v>
      </c>
      <c r="FA41" s="13">
        <v>0</v>
      </c>
      <c r="FB41" s="13">
        <v>1.0000000000000001E-5</v>
      </c>
      <c r="FC41" s="13">
        <v>2.0300000000000001E-3</v>
      </c>
      <c r="FD41" s="13">
        <v>2.0300000000000001E-3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</row>
    <row r="42" spans="1:168" ht="15" x14ac:dyDescent="0.25">
      <c r="A42" s="5" t="s">
        <v>183</v>
      </c>
      <c r="B42" s="5" t="s">
        <v>9</v>
      </c>
      <c r="C42" s="14">
        <v>2.2790000000000001E-2</v>
      </c>
      <c r="D42" s="14">
        <v>2.1739999999999999E-2</v>
      </c>
      <c r="E42" s="14">
        <v>1.24E-3</v>
      </c>
      <c r="F42" s="14">
        <v>1.24E-3</v>
      </c>
      <c r="G42" s="14">
        <v>4.8000000000000001E-4</v>
      </c>
      <c r="H42" s="14">
        <v>4.6999999999999999E-4</v>
      </c>
      <c r="I42" s="14">
        <v>0</v>
      </c>
      <c r="J42" s="14">
        <v>0</v>
      </c>
      <c r="K42" s="14">
        <v>5.0000000000000002E-5</v>
      </c>
      <c r="L42" s="14">
        <v>0</v>
      </c>
      <c r="M42" s="14">
        <v>0</v>
      </c>
      <c r="N42" s="14">
        <v>0</v>
      </c>
      <c r="O42" s="14">
        <v>0</v>
      </c>
      <c r="P42" s="14">
        <v>1.0000000000000001E-5</v>
      </c>
      <c r="Q42" s="14">
        <v>1.0000000000000001E-5</v>
      </c>
      <c r="R42" s="14">
        <v>2.0000000000000002E-5</v>
      </c>
      <c r="S42" s="14">
        <v>4.4999999999999999E-4</v>
      </c>
      <c r="T42" s="14">
        <v>0</v>
      </c>
      <c r="U42" s="14">
        <v>4.0000000000000002E-4</v>
      </c>
      <c r="V42" s="14">
        <v>2.0000000000000001E-4</v>
      </c>
      <c r="W42" s="14">
        <v>6.9999999999999994E-5</v>
      </c>
      <c r="X42" s="14">
        <v>1.3999999999999999E-4</v>
      </c>
      <c r="Y42" s="14">
        <v>0</v>
      </c>
      <c r="Z42" s="14">
        <v>0</v>
      </c>
      <c r="AA42" s="14">
        <v>5.0000000000000002E-5</v>
      </c>
      <c r="AB42" s="14">
        <v>1.0000000000000001E-5</v>
      </c>
      <c r="AC42" s="14">
        <v>0</v>
      </c>
      <c r="AD42" s="14">
        <v>2.5999999999999998E-4</v>
      </c>
      <c r="AE42" s="14">
        <v>1.0000000000000001E-5</v>
      </c>
      <c r="AF42" s="14">
        <v>6.0000000000000002E-5</v>
      </c>
      <c r="AG42" s="14">
        <v>1.9000000000000001E-4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1E-4</v>
      </c>
      <c r="AP42" s="14">
        <v>9.0000000000000006E-5</v>
      </c>
      <c r="AQ42" s="14">
        <v>1.0000000000000001E-5</v>
      </c>
      <c r="AR42" s="14">
        <v>0</v>
      </c>
      <c r="AS42" s="14">
        <v>0</v>
      </c>
      <c r="AT42" s="14">
        <v>1.4999999999999999E-4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1.4999999999999999E-4</v>
      </c>
      <c r="CK42" s="14">
        <v>0</v>
      </c>
      <c r="CL42" s="14">
        <v>1.9939999999999999E-2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2.2100000000000002E-3</v>
      </c>
      <c r="CS42" s="14">
        <v>1.01E-3</v>
      </c>
      <c r="CT42" s="14">
        <v>6.0000000000000002E-5</v>
      </c>
      <c r="CU42" s="14">
        <v>4.0000000000000003E-5</v>
      </c>
      <c r="CV42" s="14">
        <v>6.0000000000000002E-5</v>
      </c>
      <c r="CW42" s="14">
        <v>1.0399999999999999E-3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1.772E-2</v>
      </c>
      <c r="DD42" s="14">
        <v>1.4840000000000001E-2</v>
      </c>
      <c r="DE42" s="14">
        <v>2.8800000000000002E-3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1.0499999999999999E-3</v>
      </c>
      <c r="DR42" s="14">
        <v>8.8000000000000003E-4</v>
      </c>
      <c r="DS42" s="14">
        <v>8.8000000000000003E-4</v>
      </c>
      <c r="DT42" s="14">
        <v>5.9999999999999995E-4</v>
      </c>
      <c r="DU42" s="14">
        <v>2.7999999999999998E-4</v>
      </c>
      <c r="DV42" s="14">
        <v>0</v>
      </c>
      <c r="DW42" s="14">
        <v>0</v>
      </c>
      <c r="DX42" s="14">
        <v>0</v>
      </c>
      <c r="DY42" s="14">
        <v>0</v>
      </c>
      <c r="DZ42" s="14">
        <v>2.0000000000000002E-5</v>
      </c>
      <c r="EA42" s="14">
        <v>0</v>
      </c>
      <c r="EB42" s="14">
        <v>1.0000000000000001E-5</v>
      </c>
      <c r="EC42" s="14">
        <v>1.0000000000000001E-5</v>
      </c>
      <c r="ED42" s="14">
        <v>1.2E-4</v>
      </c>
      <c r="EE42" s="14">
        <v>6.9999999999999994E-5</v>
      </c>
      <c r="EF42" s="14">
        <v>1.2E-4</v>
      </c>
      <c r="EG42" s="14">
        <v>0</v>
      </c>
      <c r="EH42" s="14">
        <v>4.0000000000000003E-5</v>
      </c>
      <c r="EI42" s="14">
        <v>0</v>
      </c>
      <c r="EJ42" s="14">
        <v>2.0000000000000002E-5</v>
      </c>
      <c r="EK42" s="14">
        <v>2.0000000000000002E-5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4.0999999999999999E-4</v>
      </c>
      <c r="ES42" s="14">
        <v>0</v>
      </c>
      <c r="ET42" s="14">
        <v>0</v>
      </c>
      <c r="EU42" s="14">
        <v>0</v>
      </c>
      <c r="EV42" s="14">
        <v>0</v>
      </c>
      <c r="EW42" s="14">
        <v>6.0000000000000002E-5</v>
      </c>
      <c r="EX42" s="14">
        <v>6.0000000000000002E-5</v>
      </c>
      <c r="EY42" s="14">
        <v>0</v>
      </c>
      <c r="EZ42" s="14">
        <v>0</v>
      </c>
      <c r="FA42" s="14">
        <v>0</v>
      </c>
      <c r="FB42" s="14">
        <v>0</v>
      </c>
      <c r="FC42" s="14">
        <v>3.5E-4</v>
      </c>
      <c r="FD42" s="14">
        <v>3.5E-4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</row>
    <row r="43" spans="1:168" ht="15" x14ac:dyDescent="0.25">
      <c r="A43" s="5" t="s">
        <v>184</v>
      </c>
      <c r="B43" s="5" t="s">
        <v>6</v>
      </c>
      <c r="C43" s="13">
        <v>88.366630000000001</v>
      </c>
      <c r="D43" s="13">
        <v>93.010739999999998</v>
      </c>
      <c r="E43" s="13">
        <v>67.389300000000006</v>
      </c>
      <c r="F43" s="13">
        <v>66.353459999999998</v>
      </c>
      <c r="G43" s="13">
        <v>38.256689999999999</v>
      </c>
      <c r="H43" s="13">
        <v>33.274830000000001</v>
      </c>
      <c r="I43" s="13">
        <v>4.9368600000000002</v>
      </c>
      <c r="J43" s="13">
        <v>4.4999999999999998E-2</v>
      </c>
      <c r="K43" s="13">
        <v>5.1188200000000004</v>
      </c>
      <c r="L43" s="13">
        <v>9.0880000000000002E-2</v>
      </c>
      <c r="M43" s="13">
        <v>0.32183</v>
      </c>
      <c r="N43" s="13">
        <v>0.47889999999999999</v>
      </c>
      <c r="O43" s="13">
        <v>9.1670000000000001E-2</v>
      </c>
      <c r="P43" s="13">
        <v>0.61773999999999996</v>
      </c>
      <c r="Q43" s="13">
        <v>3.5177999999999998</v>
      </c>
      <c r="R43" s="13">
        <v>0</v>
      </c>
      <c r="S43" s="13">
        <v>17.4192</v>
      </c>
      <c r="T43" s="13">
        <v>0.42462</v>
      </c>
      <c r="U43" s="13">
        <v>14.766629999999999</v>
      </c>
      <c r="V43" s="13">
        <v>7.17746</v>
      </c>
      <c r="W43" s="13">
        <v>2.6324100000000001</v>
      </c>
      <c r="X43" s="13">
        <v>4.1913400000000003</v>
      </c>
      <c r="Y43" s="13">
        <v>0.76541999999999999</v>
      </c>
      <c r="Z43" s="13">
        <v>0</v>
      </c>
      <c r="AA43" s="13">
        <v>0.12883</v>
      </c>
      <c r="AB43" s="13">
        <v>2.0991200000000001</v>
      </c>
      <c r="AC43" s="13">
        <v>0</v>
      </c>
      <c r="AD43" s="13">
        <v>5.4346399999999999</v>
      </c>
      <c r="AE43" s="13">
        <v>0.68430999999999997</v>
      </c>
      <c r="AF43" s="13">
        <v>4.2410500000000004</v>
      </c>
      <c r="AG43" s="13">
        <v>0.50927999999999995</v>
      </c>
      <c r="AH43" s="13">
        <v>0.12411</v>
      </c>
      <c r="AI43" s="13">
        <v>0</v>
      </c>
      <c r="AJ43" s="13">
        <v>0.12411</v>
      </c>
      <c r="AK43" s="13">
        <v>1.0358499999999999</v>
      </c>
      <c r="AL43" s="13">
        <v>0.88988999999999996</v>
      </c>
      <c r="AM43" s="13">
        <v>0.14596000000000001</v>
      </c>
      <c r="AN43" s="13">
        <v>0</v>
      </c>
      <c r="AO43" s="13">
        <v>11.17498</v>
      </c>
      <c r="AP43" s="13">
        <v>3.8879600000000001</v>
      </c>
      <c r="AQ43" s="13">
        <v>7.2870299999999997</v>
      </c>
      <c r="AR43" s="13">
        <v>0</v>
      </c>
      <c r="AS43" s="13">
        <v>4.6795200000000001</v>
      </c>
      <c r="AT43" s="13">
        <v>11.991490000000001</v>
      </c>
      <c r="AU43" s="13">
        <v>4.0076400000000003</v>
      </c>
      <c r="AV43" s="13">
        <v>3.41947</v>
      </c>
      <c r="AW43" s="13">
        <v>0.21021999999999999</v>
      </c>
      <c r="AX43" s="13">
        <v>1.721E-2</v>
      </c>
      <c r="AY43" s="13">
        <v>0.36074000000000001</v>
      </c>
      <c r="AZ43" s="13">
        <v>0.97111999999999998</v>
      </c>
      <c r="BA43" s="13">
        <v>0.24482000000000001</v>
      </c>
      <c r="BB43" s="13">
        <v>1.993E-2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0.70637000000000005</v>
      </c>
      <c r="BK43" s="13">
        <v>1.15204</v>
      </c>
      <c r="BL43" s="13">
        <v>9.1439999999999994E-2</v>
      </c>
      <c r="BM43" s="13">
        <v>0.64012000000000002</v>
      </c>
      <c r="BN43" s="13">
        <v>0.37846999999999997</v>
      </c>
      <c r="BO43" s="13">
        <v>0</v>
      </c>
      <c r="BP43" s="13">
        <v>7.1000000000000004E-3</v>
      </c>
      <c r="BQ43" s="13">
        <v>3.492E-2</v>
      </c>
      <c r="BR43" s="13">
        <v>0</v>
      </c>
      <c r="BS43" s="13">
        <v>5.1880000000000003E-2</v>
      </c>
      <c r="BT43" s="13">
        <v>3.3390000000000003E-2</v>
      </c>
      <c r="BU43" s="13">
        <v>1.457E-2</v>
      </c>
      <c r="BV43" s="13">
        <v>3.9199999999999999E-3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5.5925399999999996</v>
      </c>
      <c r="CD43" s="13">
        <v>5.1803800000000004</v>
      </c>
      <c r="CE43" s="13">
        <v>0.21213000000000001</v>
      </c>
      <c r="CF43" s="13">
        <v>0.15903999999999999</v>
      </c>
      <c r="CG43" s="13">
        <v>4.0980000000000003E-2</v>
      </c>
      <c r="CH43" s="13">
        <v>0</v>
      </c>
      <c r="CI43" s="13">
        <v>0</v>
      </c>
      <c r="CJ43" s="13">
        <v>0.21626999999999999</v>
      </c>
      <c r="CK43" s="13">
        <v>0</v>
      </c>
      <c r="CL43" s="13">
        <v>8.1210400000000007</v>
      </c>
      <c r="CM43" s="13">
        <v>4.1005799999999999</v>
      </c>
      <c r="CN43" s="13">
        <v>1.12581</v>
      </c>
      <c r="CO43" s="13">
        <v>2.36164</v>
      </c>
      <c r="CP43" s="13">
        <v>3.023E-2</v>
      </c>
      <c r="CQ43" s="13">
        <v>0.58289999999999997</v>
      </c>
      <c r="CR43" s="13">
        <v>1.0156099999999999</v>
      </c>
      <c r="CS43" s="13">
        <v>0.1358</v>
      </c>
      <c r="CT43" s="13">
        <v>0.28395999999999999</v>
      </c>
      <c r="CU43" s="13">
        <v>0.36993999999999999</v>
      </c>
      <c r="CV43" s="13">
        <v>9.4850000000000004E-2</v>
      </c>
      <c r="CW43" s="13">
        <v>0.13106000000000001</v>
      </c>
      <c r="CX43" s="13">
        <v>0.15889</v>
      </c>
      <c r="CY43" s="13">
        <v>0.15889</v>
      </c>
      <c r="CZ43" s="13">
        <v>0</v>
      </c>
      <c r="DA43" s="13">
        <v>0</v>
      </c>
      <c r="DB43" s="13">
        <v>0</v>
      </c>
      <c r="DC43" s="13">
        <v>2.7901400000000001</v>
      </c>
      <c r="DD43" s="13">
        <v>2.0584799999999999</v>
      </c>
      <c r="DE43" s="13">
        <v>0.73165999999999998</v>
      </c>
      <c r="DF43" s="13">
        <v>0</v>
      </c>
      <c r="DG43" s="13">
        <v>2.291E-2</v>
      </c>
      <c r="DH43" s="13">
        <v>1.5350000000000001E-2</v>
      </c>
      <c r="DI43" s="13">
        <v>2.0000000000000001E-4</v>
      </c>
      <c r="DJ43" s="13">
        <v>8.0999999999999996E-4</v>
      </c>
      <c r="DK43" s="13">
        <v>0</v>
      </c>
      <c r="DL43" s="13">
        <v>6.5500000000000003E-3</v>
      </c>
      <c r="DM43" s="13">
        <v>0</v>
      </c>
      <c r="DN43" s="13">
        <v>3.2910000000000002E-2</v>
      </c>
      <c r="DO43" s="13">
        <v>0</v>
      </c>
      <c r="DP43" s="13">
        <v>0</v>
      </c>
      <c r="DQ43" s="13">
        <v>-4.6441100000000004</v>
      </c>
      <c r="DR43" s="13">
        <v>-2.1481300000000001</v>
      </c>
      <c r="DS43" s="13">
        <v>0</v>
      </c>
      <c r="DT43" s="13">
        <v>-2.1038199999999998</v>
      </c>
      <c r="DU43" s="13">
        <v>-4.4310000000000002E-2</v>
      </c>
      <c r="DV43" s="13">
        <v>-0.99321000000000004</v>
      </c>
      <c r="DW43" s="13">
        <v>0</v>
      </c>
      <c r="DX43" s="13">
        <v>-1.0104200000000001</v>
      </c>
      <c r="DY43" s="13">
        <v>1.721E-2</v>
      </c>
      <c r="DZ43" s="13">
        <v>-1.6933499999999999</v>
      </c>
      <c r="EA43" s="13">
        <v>0</v>
      </c>
      <c r="EB43" s="13">
        <v>1.8929999999999999E-2</v>
      </c>
      <c r="EC43" s="13">
        <v>-1.71228</v>
      </c>
      <c r="ED43" s="13">
        <v>4.0000000000000002E-4</v>
      </c>
      <c r="EE43" s="13">
        <v>0</v>
      </c>
      <c r="EF43" s="13">
        <v>0</v>
      </c>
      <c r="EG43" s="13">
        <v>4.0000000000000002E-4</v>
      </c>
      <c r="EH43" s="13">
        <v>0.13780000000000001</v>
      </c>
      <c r="EI43" s="13">
        <v>0</v>
      </c>
      <c r="EJ43" s="13">
        <v>0</v>
      </c>
      <c r="EK43" s="13">
        <v>0.13780000000000001</v>
      </c>
      <c r="EL43" s="13">
        <v>8.4500000000000006E-2</v>
      </c>
      <c r="EM43" s="13">
        <v>8.4500000000000006E-2</v>
      </c>
      <c r="EN43" s="13">
        <v>5.4900000000000001E-3</v>
      </c>
      <c r="EO43" s="13">
        <v>0</v>
      </c>
      <c r="EP43" s="13">
        <v>-3.2129999999999999E-2</v>
      </c>
      <c r="EQ43" s="13">
        <v>0</v>
      </c>
      <c r="ER43" s="13">
        <v>5.5089100000000002</v>
      </c>
      <c r="ES43" s="13">
        <v>3.9126300000000001</v>
      </c>
      <c r="ET43" s="13">
        <v>2.25657</v>
      </c>
      <c r="EU43" s="13">
        <v>1.6560600000000001</v>
      </c>
      <c r="EV43" s="13">
        <v>0</v>
      </c>
      <c r="EW43" s="13">
        <v>8.5589999999999999E-2</v>
      </c>
      <c r="EX43" s="13">
        <v>4.9459999999999997E-2</v>
      </c>
      <c r="EY43" s="13">
        <v>3.6130000000000002E-2</v>
      </c>
      <c r="EZ43" s="13">
        <v>3.98E-3</v>
      </c>
      <c r="FA43" s="13">
        <v>3.98E-3</v>
      </c>
      <c r="FB43" s="13">
        <v>0</v>
      </c>
      <c r="FC43" s="13">
        <v>1.50671</v>
      </c>
      <c r="FD43" s="13">
        <v>0.42760999999999999</v>
      </c>
      <c r="FE43" s="13">
        <v>1.07911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</row>
    <row r="44" spans="1:168" ht="15" x14ac:dyDescent="0.25">
      <c r="A44" s="5" t="s">
        <v>184</v>
      </c>
      <c r="B44" s="5" t="s">
        <v>7</v>
      </c>
      <c r="C44" s="14">
        <v>67.097980000000007</v>
      </c>
      <c r="D44" s="14">
        <v>71.778090000000006</v>
      </c>
      <c r="E44" s="14">
        <v>65.58081</v>
      </c>
      <c r="F44" s="14">
        <v>65.569839999999999</v>
      </c>
      <c r="G44" s="14">
        <v>38.149030000000003</v>
      </c>
      <c r="H44" s="14">
        <v>33.173819999999999</v>
      </c>
      <c r="I44" s="14">
        <v>4.93025</v>
      </c>
      <c r="J44" s="14">
        <v>4.496E-2</v>
      </c>
      <c r="K44" s="14">
        <v>5.0488</v>
      </c>
      <c r="L44" s="14">
        <v>9.078E-2</v>
      </c>
      <c r="M44" s="14">
        <v>0.32151999999999997</v>
      </c>
      <c r="N44" s="14">
        <v>0.47833999999999999</v>
      </c>
      <c r="O44" s="14">
        <v>9.128E-2</v>
      </c>
      <c r="P44" s="14">
        <v>0.60751999999999995</v>
      </c>
      <c r="Q44" s="14">
        <v>3.4593699999999998</v>
      </c>
      <c r="R44" s="14">
        <v>0</v>
      </c>
      <c r="S44" s="14">
        <v>17.12904</v>
      </c>
      <c r="T44" s="14">
        <v>0.42141000000000001</v>
      </c>
      <c r="U44" s="14">
        <v>14.59254</v>
      </c>
      <c r="V44" s="14">
        <v>7.1069500000000003</v>
      </c>
      <c r="W44" s="14">
        <v>2.6025299999999998</v>
      </c>
      <c r="X44" s="14">
        <v>4.1487499999999997</v>
      </c>
      <c r="Y44" s="14">
        <v>0.73431000000000002</v>
      </c>
      <c r="Z44" s="14">
        <v>0</v>
      </c>
      <c r="AA44" s="14">
        <v>0.11605</v>
      </c>
      <c r="AB44" s="14">
        <v>1.9990399999999999</v>
      </c>
      <c r="AC44" s="14">
        <v>0</v>
      </c>
      <c r="AD44" s="14">
        <v>5.1198100000000002</v>
      </c>
      <c r="AE44" s="14">
        <v>0.68347999999999998</v>
      </c>
      <c r="AF44" s="14">
        <v>3.97309</v>
      </c>
      <c r="AG44" s="14">
        <v>0.46323999999999999</v>
      </c>
      <c r="AH44" s="14">
        <v>0.12317</v>
      </c>
      <c r="AI44" s="14">
        <v>0</v>
      </c>
      <c r="AJ44" s="14">
        <v>0.12317</v>
      </c>
      <c r="AK44" s="14">
        <v>1.0970000000000001E-2</v>
      </c>
      <c r="AL44" s="14">
        <v>0</v>
      </c>
      <c r="AM44" s="14">
        <v>1.0970000000000001E-2</v>
      </c>
      <c r="AN44" s="14">
        <v>0</v>
      </c>
      <c r="AO44" s="14">
        <v>10.982010000000001</v>
      </c>
      <c r="AP44" s="14">
        <v>3.8585699999999998</v>
      </c>
      <c r="AQ44" s="14">
        <v>7.1234400000000004</v>
      </c>
      <c r="AR44" s="14">
        <v>0</v>
      </c>
      <c r="AS44" s="14">
        <v>4.6795200000000001</v>
      </c>
      <c r="AT44" s="14">
        <v>6.16059</v>
      </c>
      <c r="AU44" s="14">
        <v>4.0076400000000003</v>
      </c>
      <c r="AV44" s="14">
        <v>3.41947</v>
      </c>
      <c r="AW44" s="14">
        <v>0.21021999999999999</v>
      </c>
      <c r="AX44" s="14">
        <v>1.721E-2</v>
      </c>
      <c r="AY44" s="14">
        <v>0.36074000000000001</v>
      </c>
      <c r="AZ44" s="14">
        <v>0.95118999999999998</v>
      </c>
      <c r="BA44" s="14">
        <v>0.24482000000000001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0.70637000000000005</v>
      </c>
      <c r="BK44" s="14">
        <v>1.06281</v>
      </c>
      <c r="BL44" s="14">
        <v>9.1160000000000005E-2</v>
      </c>
      <c r="BM44" s="14">
        <v>0.64012000000000002</v>
      </c>
      <c r="BN44" s="14">
        <v>0.28952</v>
      </c>
      <c r="BO44" s="14">
        <v>0</v>
      </c>
      <c r="BP44" s="14">
        <v>7.1000000000000004E-3</v>
      </c>
      <c r="BQ44" s="14">
        <v>3.492E-2</v>
      </c>
      <c r="BR44" s="14">
        <v>0</v>
      </c>
      <c r="BS44" s="14">
        <v>5.1880000000000003E-2</v>
      </c>
      <c r="BT44" s="14">
        <v>3.3390000000000003E-2</v>
      </c>
      <c r="BU44" s="14">
        <v>1.457E-2</v>
      </c>
      <c r="BV44" s="14">
        <v>3.9199999999999999E-3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8.7069999999999995E-2</v>
      </c>
      <c r="CK44" s="14">
        <v>0</v>
      </c>
      <c r="CL44" s="14">
        <v>3.2910000000000002E-2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3.2910000000000002E-2</v>
      </c>
      <c r="DO44" s="14">
        <v>0</v>
      </c>
      <c r="DP44" s="14">
        <v>0</v>
      </c>
      <c r="DQ44" s="14">
        <v>-4.6801199999999996</v>
      </c>
      <c r="DR44" s="14">
        <v>-2.1528800000000001</v>
      </c>
      <c r="DS44" s="14">
        <v>0</v>
      </c>
      <c r="DT44" s="14">
        <v>-2.1085199999999999</v>
      </c>
      <c r="DU44" s="14">
        <v>-4.4359999999999997E-2</v>
      </c>
      <c r="DV44" s="14">
        <v>-0.99439999999999995</v>
      </c>
      <c r="DW44" s="14">
        <v>0</v>
      </c>
      <c r="DX44" s="14">
        <v>-1.0104200000000001</v>
      </c>
      <c r="DY44" s="14">
        <v>1.601E-2</v>
      </c>
      <c r="DZ44" s="14">
        <v>-1.7118100000000001</v>
      </c>
      <c r="EA44" s="14">
        <v>0</v>
      </c>
      <c r="EB44" s="14">
        <v>5.1000000000000004E-4</v>
      </c>
      <c r="EC44" s="14">
        <v>-1.7123200000000001</v>
      </c>
      <c r="ED44" s="14">
        <v>3.8000000000000002E-4</v>
      </c>
      <c r="EE44" s="14">
        <v>0</v>
      </c>
      <c r="EF44" s="14">
        <v>0</v>
      </c>
      <c r="EG44" s="14">
        <v>3.8000000000000002E-4</v>
      </c>
      <c r="EH44" s="14">
        <v>0.13170999999999999</v>
      </c>
      <c r="EI44" s="14">
        <v>0</v>
      </c>
      <c r="EJ44" s="14">
        <v>0</v>
      </c>
      <c r="EK44" s="14">
        <v>0.13170999999999999</v>
      </c>
      <c r="EL44" s="14">
        <v>7.9020000000000007E-2</v>
      </c>
      <c r="EM44" s="14">
        <v>7.9020000000000007E-2</v>
      </c>
      <c r="EN44" s="14">
        <v>0</v>
      </c>
      <c r="EO44" s="14">
        <v>0</v>
      </c>
      <c r="EP44" s="14">
        <v>-3.2129999999999999E-2</v>
      </c>
      <c r="EQ44" s="14">
        <v>0</v>
      </c>
      <c r="ER44" s="14">
        <v>3.7799999999999999E-3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3.7799999999999999E-3</v>
      </c>
      <c r="FA44" s="14">
        <v>3.7799999999999999E-3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</row>
    <row r="45" spans="1:168" ht="15" x14ac:dyDescent="0.25">
      <c r="A45" s="5" t="s">
        <v>184</v>
      </c>
      <c r="B45" s="5" t="s">
        <v>8</v>
      </c>
      <c r="C45" s="13">
        <v>0.41583999999999999</v>
      </c>
      <c r="D45" s="13">
        <v>0.41505999999999998</v>
      </c>
      <c r="E45" s="13">
        <v>4.9009999999999998E-2</v>
      </c>
      <c r="F45" s="13">
        <v>1.24E-2</v>
      </c>
      <c r="G45" s="13">
        <v>5.5000000000000003E-4</v>
      </c>
      <c r="H45" s="13">
        <v>4.4999999999999999E-4</v>
      </c>
      <c r="I45" s="13">
        <v>1E-4</v>
      </c>
      <c r="J45" s="13">
        <v>0</v>
      </c>
      <c r="K45" s="13">
        <v>3.6000000000000002E-4</v>
      </c>
      <c r="L45" s="13">
        <v>0</v>
      </c>
      <c r="M45" s="13">
        <v>1.0000000000000001E-5</v>
      </c>
      <c r="N45" s="13">
        <v>1.0000000000000001E-5</v>
      </c>
      <c r="O45" s="13">
        <v>1.0000000000000001E-5</v>
      </c>
      <c r="P45" s="13">
        <v>1.6000000000000001E-4</v>
      </c>
      <c r="Q45" s="13">
        <v>1.8000000000000001E-4</v>
      </c>
      <c r="R45" s="13">
        <v>0</v>
      </c>
      <c r="S45" s="13">
        <v>2.7200000000000002E-3</v>
      </c>
      <c r="T45" s="13">
        <v>0</v>
      </c>
      <c r="U45" s="13">
        <v>2.5600000000000002E-3</v>
      </c>
      <c r="V45" s="13">
        <v>8.0000000000000004E-4</v>
      </c>
      <c r="W45" s="13">
        <v>2.7999999999999998E-4</v>
      </c>
      <c r="X45" s="13">
        <v>5.1000000000000004E-4</v>
      </c>
      <c r="Y45" s="13">
        <v>9.7000000000000005E-4</v>
      </c>
      <c r="Z45" s="13">
        <v>0</v>
      </c>
      <c r="AA45" s="13">
        <v>1.0000000000000001E-5</v>
      </c>
      <c r="AB45" s="13">
        <v>1.4999999999999999E-4</v>
      </c>
      <c r="AC45" s="13">
        <v>0</v>
      </c>
      <c r="AD45" s="13">
        <v>8.77E-3</v>
      </c>
      <c r="AE45" s="13">
        <v>1.0000000000000001E-5</v>
      </c>
      <c r="AF45" s="13">
        <v>8.3599999999999994E-3</v>
      </c>
      <c r="AG45" s="13">
        <v>4.0999999999999999E-4</v>
      </c>
      <c r="AH45" s="13">
        <v>0</v>
      </c>
      <c r="AI45" s="13">
        <v>0</v>
      </c>
      <c r="AJ45" s="13">
        <v>0</v>
      </c>
      <c r="AK45" s="13">
        <v>3.6600000000000001E-2</v>
      </c>
      <c r="AL45" s="13">
        <v>3.1780000000000003E-2</v>
      </c>
      <c r="AM45" s="13">
        <v>4.8199999999999996E-3</v>
      </c>
      <c r="AN45" s="13">
        <v>0</v>
      </c>
      <c r="AO45" s="13">
        <v>6.2E-4</v>
      </c>
      <c r="AP45" s="13">
        <v>3.0000000000000001E-5</v>
      </c>
      <c r="AQ45" s="13">
        <v>5.9999999999999995E-4</v>
      </c>
      <c r="AR45" s="13">
        <v>0</v>
      </c>
      <c r="AS45" s="13">
        <v>0</v>
      </c>
      <c r="AT45" s="13">
        <v>1.0000000000000001E-5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1.0000000000000001E-5</v>
      </c>
      <c r="BL45" s="13">
        <v>1.0000000000000001E-5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0.1794</v>
      </c>
      <c r="CM45" s="13">
        <v>0.14645</v>
      </c>
      <c r="CN45" s="13">
        <v>4.0210000000000003E-2</v>
      </c>
      <c r="CO45" s="13">
        <v>8.4339999999999998E-2</v>
      </c>
      <c r="CP45" s="13">
        <v>1.08E-3</v>
      </c>
      <c r="CQ45" s="13">
        <v>2.0820000000000002E-2</v>
      </c>
      <c r="CR45" s="13">
        <v>2.6620000000000001E-2</v>
      </c>
      <c r="CS45" s="13">
        <v>2.9199999999999999E-3</v>
      </c>
      <c r="CT45" s="13">
        <v>9.1500000000000001E-3</v>
      </c>
      <c r="CU45" s="13">
        <v>1.2489999999999999E-2</v>
      </c>
      <c r="CV45" s="13">
        <v>2.0600000000000002E-3</v>
      </c>
      <c r="CW45" s="13">
        <v>0</v>
      </c>
      <c r="CX45" s="13">
        <v>5.6699999999999997E-3</v>
      </c>
      <c r="CY45" s="13">
        <v>5.6699999999999997E-3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6.6E-4</v>
      </c>
      <c r="DH45" s="13">
        <v>4.4000000000000002E-4</v>
      </c>
      <c r="DI45" s="13">
        <v>1.0000000000000001E-5</v>
      </c>
      <c r="DJ45" s="13">
        <v>2.0000000000000002E-5</v>
      </c>
      <c r="DK45" s="13">
        <v>0</v>
      </c>
      <c r="DL45" s="13">
        <v>1.9000000000000001E-4</v>
      </c>
      <c r="DM45" s="13">
        <v>0</v>
      </c>
      <c r="DN45" s="13">
        <v>0</v>
      </c>
      <c r="DO45" s="13">
        <v>0</v>
      </c>
      <c r="DP45" s="13">
        <v>0</v>
      </c>
      <c r="DQ45" s="13">
        <v>7.7999999999999999E-4</v>
      </c>
      <c r="DR45" s="13">
        <v>1.6000000000000001E-4</v>
      </c>
      <c r="DS45" s="13">
        <v>0</v>
      </c>
      <c r="DT45" s="13">
        <v>1.6000000000000001E-4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6.2E-4</v>
      </c>
      <c r="EA45" s="13">
        <v>0</v>
      </c>
      <c r="EB45" s="13">
        <v>6.2E-4</v>
      </c>
      <c r="EC45" s="13">
        <v>0</v>
      </c>
      <c r="ED45" s="13">
        <v>0</v>
      </c>
      <c r="EE45" s="13">
        <v>0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0.18664</v>
      </c>
      <c r="ES45" s="13">
        <v>0.13974</v>
      </c>
      <c r="ET45" s="13">
        <v>8.0589999999999995E-2</v>
      </c>
      <c r="EU45" s="13">
        <v>5.9139999999999998E-2</v>
      </c>
      <c r="EV45" s="13">
        <v>0</v>
      </c>
      <c r="EW45" s="13">
        <v>2.4199999999999998E-3</v>
      </c>
      <c r="EX45" s="13">
        <v>1.1299999999999999E-3</v>
      </c>
      <c r="EY45" s="13">
        <v>1.2899999999999999E-3</v>
      </c>
      <c r="EZ45" s="13">
        <v>0</v>
      </c>
      <c r="FA45" s="13">
        <v>0</v>
      </c>
      <c r="FB45" s="13">
        <v>0</v>
      </c>
      <c r="FC45" s="13">
        <v>4.4490000000000002E-2</v>
      </c>
      <c r="FD45" s="13">
        <v>6.1799999999999997E-3</v>
      </c>
      <c r="FE45" s="13">
        <v>3.8309999999999997E-2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</row>
    <row r="46" spans="1:168" ht="15" x14ac:dyDescent="0.25">
      <c r="A46" s="5" t="s">
        <v>184</v>
      </c>
      <c r="B46" s="5" t="s">
        <v>9</v>
      </c>
      <c r="C46" s="14">
        <v>1.486E-2</v>
      </c>
      <c r="D46" s="14">
        <v>1.481E-2</v>
      </c>
      <c r="E46" s="14">
        <v>1.65E-3</v>
      </c>
      <c r="F46" s="14">
        <v>1.65E-3</v>
      </c>
      <c r="G46" s="14">
        <v>3.5E-4</v>
      </c>
      <c r="H46" s="14">
        <v>3.3E-4</v>
      </c>
      <c r="I46" s="14">
        <v>1.0000000000000001E-5</v>
      </c>
      <c r="J46" s="14">
        <v>0</v>
      </c>
      <c r="K46" s="14">
        <v>2.3000000000000001E-4</v>
      </c>
      <c r="L46" s="14">
        <v>0</v>
      </c>
      <c r="M46" s="14">
        <v>0</v>
      </c>
      <c r="N46" s="14">
        <v>0</v>
      </c>
      <c r="O46" s="14">
        <v>0</v>
      </c>
      <c r="P46" s="14">
        <v>2.0000000000000002E-5</v>
      </c>
      <c r="Q46" s="14">
        <v>2.0000000000000001E-4</v>
      </c>
      <c r="R46" s="14">
        <v>0</v>
      </c>
      <c r="S46" s="14">
        <v>8.0999999999999996E-4</v>
      </c>
      <c r="T46" s="14">
        <v>1.0000000000000001E-5</v>
      </c>
      <c r="U46" s="14">
        <v>3.8999999999999999E-4</v>
      </c>
      <c r="V46" s="14">
        <v>1.8000000000000001E-4</v>
      </c>
      <c r="W46" s="14">
        <v>8.0000000000000007E-5</v>
      </c>
      <c r="X46" s="14">
        <v>1.1E-4</v>
      </c>
      <c r="Y46" s="14">
        <v>1.0000000000000001E-5</v>
      </c>
      <c r="Z46" s="14">
        <v>0</v>
      </c>
      <c r="AA46" s="14">
        <v>5.0000000000000002E-5</v>
      </c>
      <c r="AB46" s="14">
        <v>3.6000000000000002E-4</v>
      </c>
      <c r="AC46" s="14">
        <v>0</v>
      </c>
      <c r="AD46" s="14">
        <v>2.5999999999999998E-4</v>
      </c>
      <c r="AE46" s="14">
        <v>0</v>
      </c>
      <c r="AF46" s="14">
        <v>1.2999999999999999E-4</v>
      </c>
      <c r="AG46" s="14">
        <v>1.2999999999999999E-4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6.6E-4</v>
      </c>
      <c r="AP46" s="14">
        <v>1.1E-4</v>
      </c>
      <c r="AQ46" s="14">
        <v>5.5000000000000003E-4</v>
      </c>
      <c r="AR46" s="14">
        <v>0</v>
      </c>
      <c r="AS46" s="14">
        <v>0</v>
      </c>
      <c r="AT46" s="14">
        <v>5.4000000000000001E-4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8.0000000000000007E-5</v>
      </c>
      <c r="BA46" s="14">
        <v>0</v>
      </c>
      <c r="BB46" s="14">
        <v>8.0000000000000007E-5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4.6999999999999999E-4</v>
      </c>
      <c r="CK46" s="14">
        <v>0</v>
      </c>
      <c r="CL46" s="14">
        <v>1.157E-2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1.0200000000000001E-3</v>
      </c>
      <c r="CS46" s="14">
        <v>2.0000000000000001E-4</v>
      </c>
      <c r="CT46" s="14">
        <v>1E-4</v>
      </c>
      <c r="CU46" s="14">
        <v>8.0000000000000007E-5</v>
      </c>
      <c r="CV46" s="14">
        <v>1.3999999999999999E-4</v>
      </c>
      <c r="CW46" s="14">
        <v>4.8999999999999998E-4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1.0529999999999999E-2</v>
      </c>
      <c r="DD46" s="14">
        <v>7.77E-3</v>
      </c>
      <c r="DE46" s="14">
        <v>2.7599999999999999E-3</v>
      </c>
      <c r="DF46" s="14">
        <v>0</v>
      </c>
      <c r="DG46" s="14">
        <v>2.0000000000000002E-5</v>
      </c>
      <c r="DH46" s="14">
        <v>1.0000000000000001E-5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5.0000000000000002E-5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2.0000000000000002E-5</v>
      </c>
      <c r="EI46" s="14">
        <v>0</v>
      </c>
      <c r="EJ46" s="14">
        <v>0</v>
      </c>
      <c r="EK46" s="14">
        <v>2.0000000000000002E-5</v>
      </c>
      <c r="EL46" s="14">
        <v>2.0000000000000002E-5</v>
      </c>
      <c r="EM46" s="14">
        <v>2.0000000000000002E-5</v>
      </c>
      <c r="EN46" s="14">
        <v>2.0000000000000002E-5</v>
      </c>
      <c r="EO46" s="14">
        <v>0</v>
      </c>
      <c r="EP46" s="14">
        <v>0</v>
      </c>
      <c r="EQ46" s="14">
        <v>0</v>
      </c>
      <c r="ER46" s="14">
        <v>1.0499999999999999E-3</v>
      </c>
      <c r="ES46" s="14">
        <v>0</v>
      </c>
      <c r="ET46" s="14">
        <v>0</v>
      </c>
      <c r="EU46" s="14">
        <v>0</v>
      </c>
      <c r="EV46" s="14">
        <v>0</v>
      </c>
      <c r="EW46" s="14">
        <v>6.9999999999999994E-5</v>
      </c>
      <c r="EX46" s="14">
        <v>6.9999999999999994E-5</v>
      </c>
      <c r="EY46" s="14">
        <v>0</v>
      </c>
      <c r="EZ46" s="14">
        <v>0</v>
      </c>
      <c r="FA46" s="14">
        <v>0</v>
      </c>
      <c r="FB46" s="14">
        <v>0</v>
      </c>
      <c r="FC46" s="14">
        <v>9.7999999999999997E-4</v>
      </c>
      <c r="FD46" s="14">
        <v>9.6000000000000002E-4</v>
      </c>
      <c r="FE46" s="14">
        <v>2.0000000000000002E-5</v>
      </c>
      <c r="FF46" s="14">
        <v>0</v>
      </c>
      <c r="FG46" s="14">
        <v>0</v>
      </c>
      <c r="FH46" s="14">
        <v>0</v>
      </c>
      <c r="FI46" s="14">
        <v>0</v>
      </c>
      <c r="FJ46" s="14">
        <v>0</v>
      </c>
      <c r="FK46" s="14">
        <v>0</v>
      </c>
      <c r="FL46" s="14">
        <v>0</v>
      </c>
    </row>
    <row r="47" spans="1:168" ht="15" x14ac:dyDescent="0.25">
      <c r="A47" s="5" t="s">
        <v>185</v>
      </c>
      <c r="B47" s="5" t="s">
        <v>6</v>
      </c>
      <c r="C47" s="13">
        <v>274.10189000000003</v>
      </c>
      <c r="D47" s="13">
        <v>327.57742000000002</v>
      </c>
      <c r="E47" s="13">
        <v>252.34219999999999</v>
      </c>
      <c r="F47" s="13">
        <v>248.089</v>
      </c>
      <c r="G47" s="13">
        <v>70.503979999999999</v>
      </c>
      <c r="H47" s="13">
        <v>59.425350000000002</v>
      </c>
      <c r="I47" s="13">
        <v>10.319380000000001</v>
      </c>
      <c r="J47" s="13">
        <v>0.75924000000000003</v>
      </c>
      <c r="K47" s="13">
        <v>47.117130000000003</v>
      </c>
      <c r="L47" s="13">
        <v>5.6309500000000003</v>
      </c>
      <c r="M47" s="13">
        <v>1.2128000000000001</v>
      </c>
      <c r="N47" s="13">
        <v>10.43581</v>
      </c>
      <c r="O47" s="13">
        <v>4.2942600000000004</v>
      </c>
      <c r="P47" s="13">
        <v>4.9790599999999996</v>
      </c>
      <c r="Q47" s="13">
        <v>12.71641</v>
      </c>
      <c r="R47" s="13">
        <v>7.8478500000000002</v>
      </c>
      <c r="S47" s="13">
        <v>90.291749999999993</v>
      </c>
      <c r="T47" s="13">
        <v>3.04908</v>
      </c>
      <c r="U47" s="13">
        <v>83.654799999999994</v>
      </c>
      <c r="V47" s="13">
        <v>55.208399999999997</v>
      </c>
      <c r="W47" s="13">
        <v>6.6910800000000004</v>
      </c>
      <c r="X47" s="13">
        <v>19.870069999999998</v>
      </c>
      <c r="Y47" s="13">
        <v>1.8852500000000001</v>
      </c>
      <c r="Z47" s="13">
        <v>0</v>
      </c>
      <c r="AA47" s="13">
        <v>0.25252000000000002</v>
      </c>
      <c r="AB47" s="13">
        <v>3.1939799999999998</v>
      </c>
      <c r="AC47" s="13">
        <v>0.14137</v>
      </c>
      <c r="AD47" s="13">
        <v>39.725520000000003</v>
      </c>
      <c r="AE47" s="13">
        <v>9.98428</v>
      </c>
      <c r="AF47" s="13">
        <v>17.65193</v>
      </c>
      <c r="AG47" s="13">
        <v>12.089320000000001</v>
      </c>
      <c r="AH47" s="13">
        <v>0.45062000000000002</v>
      </c>
      <c r="AI47" s="13">
        <v>0</v>
      </c>
      <c r="AJ47" s="13">
        <v>0.45062000000000002</v>
      </c>
      <c r="AK47" s="13">
        <v>4.2531999999999996</v>
      </c>
      <c r="AL47" s="13">
        <v>9.4780000000000003E-2</v>
      </c>
      <c r="AM47" s="13">
        <v>4.1584199999999996</v>
      </c>
      <c r="AN47" s="13">
        <v>0</v>
      </c>
      <c r="AO47" s="13">
        <v>41.107770000000002</v>
      </c>
      <c r="AP47" s="13">
        <v>17.970050000000001</v>
      </c>
      <c r="AQ47" s="13">
        <v>23.137720000000002</v>
      </c>
      <c r="AR47" s="13">
        <v>0</v>
      </c>
      <c r="AS47" s="13">
        <v>28.497890000000002</v>
      </c>
      <c r="AT47" s="13">
        <v>26.872399999999999</v>
      </c>
      <c r="AU47" s="13">
        <v>12.670249999999999</v>
      </c>
      <c r="AV47" s="13">
        <v>9.6674500000000005</v>
      </c>
      <c r="AW47" s="13">
        <v>1.48482</v>
      </c>
      <c r="AX47" s="13">
        <v>0.48007</v>
      </c>
      <c r="AY47" s="13">
        <v>1.0379100000000001</v>
      </c>
      <c r="AZ47" s="13">
        <v>4.1469699999999996</v>
      </c>
      <c r="BA47" s="13">
        <v>0.37107000000000001</v>
      </c>
      <c r="BB47" s="13">
        <v>0.13291</v>
      </c>
      <c r="BC47" s="13">
        <v>0</v>
      </c>
      <c r="BD47" s="13">
        <v>0.24515000000000001</v>
      </c>
      <c r="BE47" s="13">
        <v>6.3549999999999995E-2</v>
      </c>
      <c r="BF47" s="13">
        <v>0</v>
      </c>
      <c r="BG47" s="13">
        <v>0.30137000000000003</v>
      </c>
      <c r="BH47" s="13">
        <v>2.1640899999999998</v>
      </c>
      <c r="BI47" s="13">
        <v>0</v>
      </c>
      <c r="BJ47" s="13">
        <v>0.86882000000000004</v>
      </c>
      <c r="BK47" s="13">
        <v>3.2697699999999998</v>
      </c>
      <c r="BL47" s="13">
        <v>1.64412</v>
      </c>
      <c r="BM47" s="13">
        <v>0.67296999999999996</v>
      </c>
      <c r="BN47" s="13">
        <v>0.72535000000000005</v>
      </c>
      <c r="BO47" s="13">
        <v>0</v>
      </c>
      <c r="BP47" s="13">
        <v>3.7440000000000001E-2</v>
      </c>
      <c r="BQ47" s="13">
        <v>7.6380000000000003E-2</v>
      </c>
      <c r="BR47" s="13">
        <v>0.11352</v>
      </c>
      <c r="BS47" s="13">
        <v>0.40278999999999998</v>
      </c>
      <c r="BT47" s="13">
        <v>0.31752000000000002</v>
      </c>
      <c r="BU47" s="13">
        <v>2.7119999999999998E-2</v>
      </c>
      <c r="BV47" s="13">
        <v>5.815E-2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5.78911</v>
      </c>
      <c r="CD47" s="13">
        <v>5.3192199999999996</v>
      </c>
      <c r="CE47" s="13">
        <v>5.0849999999999999E-2</v>
      </c>
      <c r="CF47" s="13">
        <v>0.10773000000000001</v>
      </c>
      <c r="CG47" s="13">
        <v>0.31130000000000002</v>
      </c>
      <c r="CH47" s="13">
        <v>0</v>
      </c>
      <c r="CI47" s="13">
        <v>0</v>
      </c>
      <c r="CJ47" s="13">
        <v>0.59345000000000003</v>
      </c>
      <c r="CK47" s="13">
        <v>6.0000000000000002E-5</v>
      </c>
      <c r="CL47" s="13">
        <v>33.625889999999998</v>
      </c>
      <c r="CM47" s="13">
        <v>16.46068</v>
      </c>
      <c r="CN47" s="13">
        <v>11.38503</v>
      </c>
      <c r="CO47" s="13">
        <v>3.36978</v>
      </c>
      <c r="CP47" s="13">
        <v>0.69220999999999999</v>
      </c>
      <c r="CQ47" s="13">
        <v>1.01366</v>
      </c>
      <c r="CR47" s="13">
        <v>9.4921600000000002</v>
      </c>
      <c r="CS47" s="13">
        <v>1.7577400000000001</v>
      </c>
      <c r="CT47" s="13">
        <v>0.34658</v>
      </c>
      <c r="CU47" s="13">
        <v>5.9728199999999996</v>
      </c>
      <c r="CV47" s="13">
        <v>0.67961000000000005</v>
      </c>
      <c r="CW47" s="13">
        <v>0.73541000000000001</v>
      </c>
      <c r="CX47" s="13">
        <v>0.58213999999999999</v>
      </c>
      <c r="CY47" s="13">
        <v>0.58213999999999999</v>
      </c>
      <c r="CZ47" s="13">
        <v>0</v>
      </c>
      <c r="DA47" s="13">
        <v>0</v>
      </c>
      <c r="DB47" s="13">
        <v>0</v>
      </c>
      <c r="DC47" s="13">
        <v>6.4817799999999997</v>
      </c>
      <c r="DD47" s="13">
        <v>4.8806700000000003</v>
      </c>
      <c r="DE47" s="13">
        <v>1.6011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2.5770000000000001E-2</v>
      </c>
      <c r="DN47" s="13">
        <v>0.50787000000000004</v>
      </c>
      <c r="DO47" s="13">
        <v>7.5499999999999998E-2</v>
      </c>
      <c r="DP47" s="13">
        <v>0</v>
      </c>
      <c r="DQ47" s="13">
        <v>-53.475520000000003</v>
      </c>
      <c r="DR47" s="13">
        <v>-47.753720000000001</v>
      </c>
      <c r="DS47" s="13">
        <v>0</v>
      </c>
      <c r="DT47" s="13">
        <v>-31.136330000000001</v>
      </c>
      <c r="DU47" s="13">
        <v>-16.61739</v>
      </c>
      <c r="DV47" s="13">
        <v>-3.1381100000000002</v>
      </c>
      <c r="DW47" s="13">
        <v>0</v>
      </c>
      <c r="DX47" s="13">
        <v>-4.1501099999999997</v>
      </c>
      <c r="DY47" s="13">
        <v>1.012</v>
      </c>
      <c r="DZ47" s="13">
        <v>-1.42134</v>
      </c>
      <c r="EA47" s="13">
        <v>0</v>
      </c>
      <c r="EB47" s="13">
        <v>2.8369999999999999E-2</v>
      </c>
      <c r="EC47" s="13">
        <v>-1.4497100000000001</v>
      </c>
      <c r="ED47" s="13">
        <v>-9.5820000000000002E-2</v>
      </c>
      <c r="EE47" s="13">
        <v>3.0000000000000001E-5</v>
      </c>
      <c r="EF47" s="13">
        <v>4.0869999999999997E-2</v>
      </c>
      <c r="EG47" s="13">
        <v>-0.13669000000000001</v>
      </c>
      <c r="EH47" s="13">
        <v>1.63828</v>
      </c>
      <c r="EI47" s="13">
        <v>0</v>
      </c>
      <c r="EJ47" s="13">
        <v>0</v>
      </c>
      <c r="EK47" s="13">
        <v>1.63828</v>
      </c>
      <c r="EL47" s="13">
        <v>4.3619999999999999E-2</v>
      </c>
      <c r="EM47" s="13">
        <v>4.3619999999999999E-2</v>
      </c>
      <c r="EN47" s="13">
        <v>3.0599999999999998E-3</v>
      </c>
      <c r="EO47" s="13">
        <v>0</v>
      </c>
      <c r="EP47" s="13">
        <v>-2.74844</v>
      </c>
      <c r="EQ47" s="13">
        <v>0</v>
      </c>
      <c r="ER47" s="13">
        <v>14.736929999999999</v>
      </c>
      <c r="ES47" s="13">
        <v>11.09904</v>
      </c>
      <c r="ET47" s="13">
        <v>10.368119999999999</v>
      </c>
      <c r="EU47" s="13">
        <v>0.73092000000000001</v>
      </c>
      <c r="EV47" s="13">
        <v>0</v>
      </c>
      <c r="EW47" s="13">
        <v>0.74321999999999999</v>
      </c>
      <c r="EX47" s="13">
        <v>0.71465000000000001</v>
      </c>
      <c r="EY47" s="13">
        <v>2.8570000000000002E-2</v>
      </c>
      <c r="EZ47" s="13">
        <v>0.80035000000000001</v>
      </c>
      <c r="FA47" s="13">
        <v>1.406E-2</v>
      </c>
      <c r="FB47" s="13">
        <v>0.78629000000000004</v>
      </c>
      <c r="FC47" s="13">
        <v>2.0937600000000001</v>
      </c>
      <c r="FD47" s="13">
        <v>0.73102999999999996</v>
      </c>
      <c r="FE47" s="13">
        <v>1.36273</v>
      </c>
      <c r="FF47" s="13">
        <v>0</v>
      </c>
      <c r="FG47" s="13">
        <v>5.5999999999999995E-4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</row>
    <row r="48" spans="1:168" ht="15" x14ac:dyDescent="0.25">
      <c r="A48" s="5" t="s">
        <v>185</v>
      </c>
      <c r="B48" s="5" t="s">
        <v>7</v>
      </c>
      <c r="C48" s="14">
        <v>214.77268000000001</v>
      </c>
      <c r="D48" s="14">
        <v>268.52059000000003</v>
      </c>
      <c r="E48" s="14">
        <v>248.06228999999999</v>
      </c>
      <c r="F48" s="14">
        <v>244.14804000000001</v>
      </c>
      <c r="G48" s="14">
        <v>69.930850000000007</v>
      </c>
      <c r="H48" s="14">
        <v>58.891010000000001</v>
      </c>
      <c r="I48" s="14">
        <v>10.308680000000001</v>
      </c>
      <c r="J48" s="14">
        <v>0.73116000000000003</v>
      </c>
      <c r="K48" s="14">
        <v>45.82508</v>
      </c>
      <c r="L48" s="14">
        <v>5.61653</v>
      </c>
      <c r="M48" s="14">
        <v>1.20303</v>
      </c>
      <c r="N48" s="14">
        <v>9.9839699999999993</v>
      </c>
      <c r="O48" s="14">
        <v>4.1310200000000004</v>
      </c>
      <c r="P48" s="14">
        <v>4.7419099999999998</v>
      </c>
      <c r="Q48" s="14">
        <v>12.604089999999999</v>
      </c>
      <c r="R48" s="14">
        <v>7.5445200000000003</v>
      </c>
      <c r="S48" s="14">
        <v>89.322569999999999</v>
      </c>
      <c r="T48" s="14">
        <v>3.0259999999999998</v>
      </c>
      <c r="U48" s="14">
        <v>82.739710000000002</v>
      </c>
      <c r="V48" s="14">
        <v>54.636479999999999</v>
      </c>
      <c r="W48" s="14">
        <v>6.6399900000000001</v>
      </c>
      <c r="X48" s="14">
        <v>19.637039999999999</v>
      </c>
      <c r="Y48" s="14">
        <v>1.8262100000000001</v>
      </c>
      <c r="Z48" s="14">
        <v>0</v>
      </c>
      <c r="AA48" s="14">
        <v>0.25162000000000001</v>
      </c>
      <c r="AB48" s="14">
        <v>3.1640100000000002</v>
      </c>
      <c r="AC48" s="14">
        <v>0.14122000000000001</v>
      </c>
      <c r="AD48" s="14">
        <v>38.62265</v>
      </c>
      <c r="AE48" s="14">
        <v>9.8420500000000004</v>
      </c>
      <c r="AF48" s="14">
        <v>16.842849999999999</v>
      </c>
      <c r="AG48" s="14">
        <v>11.937749999999999</v>
      </c>
      <c r="AH48" s="14">
        <v>0.44690000000000002</v>
      </c>
      <c r="AI48" s="14">
        <v>0</v>
      </c>
      <c r="AJ48" s="14">
        <v>0.44690000000000002</v>
      </c>
      <c r="AK48" s="14">
        <v>3.9142399999999999</v>
      </c>
      <c r="AL48" s="14">
        <v>1.0319999999999999E-2</v>
      </c>
      <c r="AM48" s="14">
        <v>3.9039199999999998</v>
      </c>
      <c r="AN48" s="14">
        <v>0</v>
      </c>
      <c r="AO48" s="14">
        <v>40.763449999999999</v>
      </c>
      <c r="AP48" s="14">
        <v>17.838460000000001</v>
      </c>
      <c r="AQ48" s="14">
        <v>22.924990000000001</v>
      </c>
      <c r="AR48" s="14">
        <v>0</v>
      </c>
      <c r="AS48" s="14">
        <v>28.497890000000002</v>
      </c>
      <c r="AT48" s="14">
        <v>19.84918</v>
      </c>
      <c r="AU48" s="14">
        <v>12.670249999999999</v>
      </c>
      <c r="AV48" s="14">
        <v>9.6674500000000005</v>
      </c>
      <c r="AW48" s="14">
        <v>1.48482</v>
      </c>
      <c r="AX48" s="14">
        <v>0.48007</v>
      </c>
      <c r="AY48" s="14">
        <v>1.0379100000000001</v>
      </c>
      <c r="AZ48" s="14">
        <v>3.6434600000000001</v>
      </c>
      <c r="BA48" s="14">
        <v>0.37107000000000001</v>
      </c>
      <c r="BB48" s="14">
        <v>0</v>
      </c>
      <c r="BC48" s="14">
        <v>0</v>
      </c>
      <c r="BD48" s="14">
        <v>0</v>
      </c>
      <c r="BE48" s="14">
        <v>5.8590000000000003E-2</v>
      </c>
      <c r="BF48" s="14">
        <v>0</v>
      </c>
      <c r="BG48" s="14">
        <v>0.30137000000000003</v>
      </c>
      <c r="BH48" s="14">
        <v>2.0436100000000001</v>
      </c>
      <c r="BI48" s="14">
        <v>0</v>
      </c>
      <c r="BJ48" s="14">
        <v>0.86882000000000004</v>
      </c>
      <c r="BK48" s="14">
        <v>3.1326700000000001</v>
      </c>
      <c r="BL48" s="14">
        <v>1.62144</v>
      </c>
      <c r="BM48" s="14">
        <v>0.66974999999999996</v>
      </c>
      <c r="BN48" s="14">
        <v>0.61414000000000002</v>
      </c>
      <c r="BO48" s="14">
        <v>0</v>
      </c>
      <c r="BP48" s="14">
        <v>3.7440000000000001E-2</v>
      </c>
      <c r="BQ48" s="14">
        <v>7.6380000000000003E-2</v>
      </c>
      <c r="BR48" s="14">
        <v>0.11352</v>
      </c>
      <c r="BS48" s="14">
        <v>0.40278999999999998</v>
      </c>
      <c r="BT48" s="14">
        <v>0.31752000000000002</v>
      </c>
      <c r="BU48" s="14">
        <v>2.7119999999999998E-2</v>
      </c>
      <c r="BV48" s="14">
        <v>5.815E-2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0.60912999999999995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2.5770000000000001E-2</v>
      </c>
      <c r="DN48" s="14">
        <v>0.50787000000000004</v>
      </c>
      <c r="DO48" s="14">
        <v>7.5499999999999998E-2</v>
      </c>
      <c r="DP48" s="14">
        <v>0</v>
      </c>
      <c r="DQ48" s="14">
        <v>-53.747909999999997</v>
      </c>
      <c r="DR48" s="14">
        <v>-47.814630000000001</v>
      </c>
      <c r="DS48" s="14">
        <v>0</v>
      </c>
      <c r="DT48" s="14">
        <v>-31.150510000000001</v>
      </c>
      <c r="DU48" s="14">
        <v>-16.66412</v>
      </c>
      <c r="DV48" s="14">
        <v>-3.2075499999999999</v>
      </c>
      <c r="DW48" s="14">
        <v>0</v>
      </c>
      <c r="DX48" s="14">
        <v>-4.1639499999999998</v>
      </c>
      <c r="DY48" s="14">
        <v>0.95640000000000003</v>
      </c>
      <c r="DZ48" s="14">
        <v>-1.4915799999999999</v>
      </c>
      <c r="EA48" s="14">
        <v>0</v>
      </c>
      <c r="EB48" s="14">
        <v>-3.6729999999999999E-2</v>
      </c>
      <c r="EC48" s="14">
        <v>-1.45485</v>
      </c>
      <c r="ED48" s="14">
        <v>-9.5839999999999995E-2</v>
      </c>
      <c r="EE48" s="14">
        <v>3.0000000000000001E-5</v>
      </c>
      <c r="EF48" s="14">
        <v>4.0869999999999997E-2</v>
      </c>
      <c r="EG48" s="14">
        <v>-0.13672000000000001</v>
      </c>
      <c r="EH48" s="14">
        <v>1.56965</v>
      </c>
      <c r="EI48" s="14">
        <v>0</v>
      </c>
      <c r="EJ48" s="14">
        <v>0</v>
      </c>
      <c r="EK48" s="14">
        <v>1.56965</v>
      </c>
      <c r="EL48" s="14">
        <v>4.0469999999999999E-2</v>
      </c>
      <c r="EM48" s="14">
        <v>4.0469999999999999E-2</v>
      </c>
      <c r="EN48" s="14">
        <v>0</v>
      </c>
      <c r="EO48" s="14">
        <v>0</v>
      </c>
      <c r="EP48" s="14">
        <v>-2.74844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</row>
    <row r="49" spans="1:168" ht="15" x14ac:dyDescent="0.25">
      <c r="A49" s="5" t="s">
        <v>185</v>
      </c>
      <c r="B49" s="5" t="s">
        <v>8</v>
      </c>
      <c r="C49" s="13">
        <v>1.4771799999999999</v>
      </c>
      <c r="D49" s="13">
        <v>1.4753000000000001</v>
      </c>
      <c r="E49" s="13">
        <v>9.017E-2</v>
      </c>
      <c r="F49" s="13">
        <v>7.8060000000000004E-2</v>
      </c>
      <c r="G49" s="13">
        <v>3.13E-3</v>
      </c>
      <c r="H49" s="13">
        <v>2.0899999999999998E-3</v>
      </c>
      <c r="I49" s="13">
        <v>1.9000000000000001E-4</v>
      </c>
      <c r="J49" s="13">
        <v>8.4999999999999995E-4</v>
      </c>
      <c r="K49" s="13">
        <v>3.9129999999999998E-2</v>
      </c>
      <c r="L49" s="13">
        <v>2.7E-4</v>
      </c>
      <c r="M49" s="13">
        <v>2.9999999999999997E-4</v>
      </c>
      <c r="N49" s="13">
        <v>1.5169999999999999E-2</v>
      </c>
      <c r="O49" s="13">
        <v>4.7299999999999998E-3</v>
      </c>
      <c r="P49" s="13">
        <v>7.4000000000000003E-3</v>
      </c>
      <c r="Q49" s="13">
        <v>2.5600000000000002E-3</v>
      </c>
      <c r="R49" s="13">
        <v>8.6999999999999994E-3</v>
      </c>
      <c r="S49" s="13">
        <v>4.4900000000000001E-3</v>
      </c>
      <c r="T49" s="13">
        <v>5.0000000000000002E-5</v>
      </c>
      <c r="U49" s="13">
        <v>4.1399999999999996E-3</v>
      </c>
      <c r="V49" s="13">
        <v>1.5499999999999999E-3</v>
      </c>
      <c r="W49" s="13">
        <v>5.0000000000000002E-5</v>
      </c>
      <c r="X49" s="13">
        <v>7.6999999999999996E-4</v>
      </c>
      <c r="Y49" s="13">
        <v>1.7700000000000001E-3</v>
      </c>
      <c r="Z49" s="13">
        <v>0</v>
      </c>
      <c r="AA49" s="13">
        <v>1.0000000000000001E-5</v>
      </c>
      <c r="AB49" s="13">
        <v>2.9E-4</v>
      </c>
      <c r="AC49" s="13">
        <v>0</v>
      </c>
      <c r="AD49" s="13">
        <v>3.1300000000000001E-2</v>
      </c>
      <c r="AE49" s="13">
        <v>4.5100000000000001E-3</v>
      </c>
      <c r="AF49" s="13">
        <v>2.5399999999999999E-2</v>
      </c>
      <c r="AG49" s="13">
        <v>1.39E-3</v>
      </c>
      <c r="AH49" s="13">
        <v>1.0000000000000001E-5</v>
      </c>
      <c r="AI49" s="13">
        <v>0</v>
      </c>
      <c r="AJ49" s="13">
        <v>1.0000000000000001E-5</v>
      </c>
      <c r="AK49" s="13">
        <v>1.2109999999999999E-2</v>
      </c>
      <c r="AL49" s="13">
        <v>3.0200000000000001E-3</v>
      </c>
      <c r="AM49" s="13">
        <v>9.0900000000000009E-3</v>
      </c>
      <c r="AN49" s="13">
        <v>0</v>
      </c>
      <c r="AO49" s="13">
        <v>2.16E-3</v>
      </c>
      <c r="AP49" s="13">
        <v>1.1E-4</v>
      </c>
      <c r="AQ49" s="13">
        <v>2.0500000000000002E-3</v>
      </c>
      <c r="AR49" s="13">
        <v>0</v>
      </c>
      <c r="AS49" s="13">
        <v>0</v>
      </c>
      <c r="AT49" s="13">
        <v>5.4000000000000003E-3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4.4799999999999996E-3</v>
      </c>
      <c r="BA49" s="13">
        <v>0</v>
      </c>
      <c r="BB49" s="13">
        <v>0</v>
      </c>
      <c r="BC49" s="13">
        <v>0</v>
      </c>
      <c r="BD49" s="13">
        <v>0</v>
      </c>
      <c r="BE49" s="13">
        <v>1.8000000000000001E-4</v>
      </c>
      <c r="BF49" s="13">
        <v>0</v>
      </c>
      <c r="BG49" s="13">
        <v>0</v>
      </c>
      <c r="BH49" s="13">
        <v>4.3E-3</v>
      </c>
      <c r="BI49" s="13">
        <v>0</v>
      </c>
      <c r="BJ49" s="13">
        <v>0</v>
      </c>
      <c r="BK49" s="13">
        <v>9.2000000000000003E-4</v>
      </c>
      <c r="BL49" s="13">
        <v>8.0999999999999996E-4</v>
      </c>
      <c r="BM49" s="13">
        <v>1.1E-4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0.88656000000000001</v>
      </c>
      <c r="CM49" s="13">
        <v>0.58787999999999996</v>
      </c>
      <c r="CN49" s="13">
        <v>0.40661000000000003</v>
      </c>
      <c r="CO49" s="13">
        <v>0.12035</v>
      </c>
      <c r="CP49" s="13">
        <v>2.4719999999999999E-2</v>
      </c>
      <c r="CQ49" s="13">
        <v>3.6200000000000003E-2</v>
      </c>
      <c r="CR49" s="13">
        <v>0.27789000000000003</v>
      </c>
      <c r="CS49" s="13">
        <v>5.0439999999999999E-2</v>
      </c>
      <c r="CT49" s="13">
        <v>9.1500000000000001E-3</v>
      </c>
      <c r="CU49" s="13">
        <v>0.20483000000000001</v>
      </c>
      <c r="CV49" s="13">
        <v>1.346E-2</v>
      </c>
      <c r="CW49" s="13">
        <v>0</v>
      </c>
      <c r="CX49" s="13">
        <v>2.0789999999999999E-2</v>
      </c>
      <c r="CY49" s="13">
        <v>2.0789999999999999E-2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1.8799999999999999E-3</v>
      </c>
      <c r="DR49" s="13">
        <v>3.8000000000000002E-4</v>
      </c>
      <c r="DS49" s="13">
        <v>0</v>
      </c>
      <c r="DT49" s="13">
        <v>3.3E-4</v>
      </c>
      <c r="DU49" s="13">
        <v>5.0000000000000002E-5</v>
      </c>
      <c r="DV49" s="13">
        <v>2.9E-4</v>
      </c>
      <c r="DW49" s="13">
        <v>0</v>
      </c>
      <c r="DX49" s="13">
        <v>2.7999999999999998E-4</v>
      </c>
      <c r="DY49" s="13">
        <v>1.0000000000000001E-5</v>
      </c>
      <c r="DZ49" s="13">
        <v>1.2199999999999999E-3</v>
      </c>
      <c r="EA49" s="13">
        <v>0</v>
      </c>
      <c r="EB49" s="13">
        <v>1.16E-3</v>
      </c>
      <c r="EC49" s="13">
        <v>6.0000000000000002E-5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0.49317</v>
      </c>
      <c r="ES49" s="13">
        <v>0.39639000000000002</v>
      </c>
      <c r="ET49" s="13">
        <v>0.37029000000000001</v>
      </c>
      <c r="EU49" s="13">
        <v>2.6100000000000002E-2</v>
      </c>
      <c r="EV49" s="13">
        <v>0</v>
      </c>
      <c r="EW49" s="13">
        <v>1.7299999999999999E-2</v>
      </c>
      <c r="EX49" s="13">
        <v>1.6279999999999999E-2</v>
      </c>
      <c r="EY49" s="13">
        <v>1.0200000000000001E-3</v>
      </c>
      <c r="EZ49" s="13">
        <v>1.495E-2</v>
      </c>
      <c r="FA49" s="13">
        <v>0</v>
      </c>
      <c r="FB49" s="13">
        <v>1.494E-2</v>
      </c>
      <c r="FC49" s="13">
        <v>6.4509999999999998E-2</v>
      </c>
      <c r="FD49" s="13">
        <v>1.6049999999999998E-2</v>
      </c>
      <c r="FE49" s="13">
        <v>4.8460000000000003E-2</v>
      </c>
      <c r="FF49" s="13">
        <v>0</v>
      </c>
      <c r="FG49" s="13">
        <v>2.0000000000000002E-5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</row>
    <row r="50" spans="1:168" ht="15" x14ac:dyDescent="0.25">
      <c r="A50" s="5" t="s">
        <v>185</v>
      </c>
      <c r="B50" s="5" t="s">
        <v>9</v>
      </c>
      <c r="C50" s="14">
        <v>4.4659999999999998E-2</v>
      </c>
      <c r="D50" s="14">
        <v>4.3830000000000001E-2</v>
      </c>
      <c r="E50" s="14">
        <v>6.62E-3</v>
      </c>
      <c r="F50" s="14">
        <v>6.62E-3</v>
      </c>
      <c r="G50" s="14">
        <v>1.83E-3</v>
      </c>
      <c r="H50" s="14">
        <v>1.8E-3</v>
      </c>
      <c r="I50" s="14">
        <v>2.0000000000000002E-5</v>
      </c>
      <c r="J50" s="14">
        <v>2.0000000000000002E-5</v>
      </c>
      <c r="K50" s="14">
        <v>7.3999999999999999E-4</v>
      </c>
      <c r="L50" s="14">
        <v>3.0000000000000001E-5</v>
      </c>
      <c r="M50" s="14">
        <v>1.0000000000000001E-5</v>
      </c>
      <c r="N50" s="14">
        <v>1E-4</v>
      </c>
      <c r="O50" s="14">
        <v>1.2E-4</v>
      </c>
      <c r="P50" s="14">
        <v>1.1E-4</v>
      </c>
      <c r="Q50" s="14">
        <v>1.4999999999999999E-4</v>
      </c>
      <c r="R50" s="14">
        <v>2.3000000000000001E-4</v>
      </c>
      <c r="S50" s="14">
        <v>3.1800000000000001E-3</v>
      </c>
      <c r="T50" s="14">
        <v>8.0000000000000007E-5</v>
      </c>
      <c r="U50" s="14">
        <v>3.0200000000000001E-3</v>
      </c>
      <c r="V50" s="14">
        <v>1.99E-3</v>
      </c>
      <c r="W50" s="14">
        <v>1.9000000000000001E-4</v>
      </c>
      <c r="X50" s="14">
        <v>8.0000000000000004E-4</v>
      </c>
      <c r="Y50" s="14">
        <v>4.0000000000000003E-5</v>
      </c>
      <c r="Z50" s="14">
        <v>0</v>
      </c>
      <c r="AA50" s="14">
        <v>0</v>
      </c>
      <c r="AB50" s="14">
        <v>8.0000000000000007E-5</v>
      </c>
      <c r="AC50" s="14">
        <v>0</v>
      </c>
      <c r="AD50" s="14">
        <v>8.4999999999999995E-4</v>
      </c>
      <c r="AE50" s="14">
        <v>6.0000000000000002E-5</v>
      </c>
      <c r="AF50" s="14">
        <v>3.6999999999999999E-4</v>
      </c>
      <c r="AG50" s="14">
        <v>4.2999999999999999E-4</v>
      </c>
      <c r="AH50" s="14">
        <v>1.0000000000000001E-5</v>
      </c>
      <c r="AI50" s="14">
        <v>0</v>
      </c>
      <c r="AJ50" s="14">
        <v>1.0000000000000001E-5</v>
      </c>
      <c r="AK50" s="14">
        <v>0</v>
      </c>
      <c r="AL50" s="14">
        <v>0</v>
      </c>
      <c r="AM50" s="14">
        <v>0</v>
      </c>
      <c r="AN50" s="14">
        <v>0</v>
      </c>
      <c r="AO50" s="14">
        <v>1.07E-3</v>
      </c>
      <c r="AP50" s="14">
        <v>4.8000000000000001E-4</v>
      </c>
      <c r="AQ50" s="14">
        <v>5.9000000000000003E-4</v>
      </c>
      <c r="AR50" s="14">
        <v>0</v>
      </c>
      <c r="AS50" s="14">
        <v>0</v>
      </c>
      <c r="AT50" s="14">
        <v>2.7899999999999999E-3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1.4300000000000001E-3</v>
      </c>
      <c r="BA50" s="14">
        <v>0</v>
      </c>
      <c r="BB50" s="14">
        <v>5.0000000000000001E-4</v>
      </c>
      <c r="BC50" s="14">
        <v>0</v>
      </c>
      <c r="BD50" s="14">
        <v>9.3000000000000005E-4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1.3600000000000001E-3</v>
      </c>
      <c r="CK50" s="14">
        <v>0</v>
      </c>
      <c r="CL50" s="14">
        <v>3.092E-2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6.4599999999999996E-3</v>
      </c>
      <c r="CS50" s="14">
        <v>1.2999999999999999E-3</v>
      </c>
      <c r="CT50" s="14">
        <v>3.4000000000000002E-4</v>
      </c>
      <c r="CU50" s="14">
        <v>8.9999999999999998E-4</v>
      </c>
      <c r="CV50" s="14">
        <v>1.14E-3</v>
      </c>
      <c r="CW50" s="14">
        <v>2.7799999999999999E-3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2.4459999999999999E-2</v>
      </c>
      <c r="DD50" s="14">
        <v>1.8419999999999999E-2</v>
      </c>
      <c r="DE50" s="14">
        <v>6.0400000000000002E-3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8.3000000000000001E-4</v>
      </c>
      <c r="DR50" s="14">
        <v>1.9000000000000001E-4</v>
      </c>
      <c r="DS50" s="14">
        <v>0</v>
      </c>
      <c r="DT50" s="14">
        <v>2.0000000000000002E-5</v>
      </c>
      <c r="DU50" s="14">
        <v>1.7000000000000001E-4</v>
      </c>
      <c r="DV50" s="14">
        <v>2.3000000000000001E-4</v>
      </c>
      <c r="DW50" s="14">
        <v>0</v>
      </c>
      <c r="DX50" s="14">
        <v>2.0000000000000002E-5</v>
      </c>
      <c r="DY50" s="14">
        <v>2.1000000000000001E-4</v>
      </c>
      <c r="DZ50" s="14">
        <v>1.3999999999999999E-4</v>
      </c>
      <c r="EA50" s="14">
        <v>0</v>
      </c>
      <c r="EB50" s="14">
        <v>1.2E-4</v>
      </c>
      <c r="EC50" s="14">
        <v>1.0000000000000001E-5</v>
      </c>
      <c r="ED50" s="14">
        <v>0</v>
      </c>
      <c r="EE50" s="14">
        <v>0</v>
      </c>
      <c r="EF50" s="14">
        <v>0</v>
      </c>
      <c r="EG50" s="14">
        <v>0</v>
      </c>
      <c r="EH50" s="14">
        <v>2.5999999999999998E-4</v>
      </c>
      <c r="EI50" s="14">
        <v>0</v>
      </c>
      <c r="EJ50" s="14">
        <v>0</v>
      </c>
      <c r="EK50" s="14">
        <v>2.5999999999999998E-4</v>
      </c>
      <c r="EL50" s="14">
        <v>1.0000000000000001E-5</v>
      </c>
      <c r="EM50" s="14">
        <v>1.0000000000000001E-5</v>
      </c>
      <c r="EN50" s="14">
        <v>1.0000000000000001E-5</v>
      </c>
      <c r="EO50" s="14">
        <v>0</v>
      </c>
      <c r="EP50" s="14">
        <v>0</v>
      </c>
      <c r="EQ50" s="14">
        <v>0</v>
      </c>
      <c r="ER50" s="14">
        <v>3.5000000000000001E-3</v>
      </c>
      <c r="ES50" s="14">
        <v>0</v>
      </c>
      <c r="ET50" s="14">
        <v>0</v>
      </c>
      <c r="EU50" s="14">
        <v>0</v>
      </c>
      <c r="EV50" s="14">
        <v>0</v>
      </c>
      <c r="EW50" s="14">
        <v>9.7999999999999997E-4</v>
      </c>
      <c r="EX50" s="14">
        <v>9.7999999999999997E-4</v>
      </c>
      <c r="EY50" s="14">
        <v>0</v>
      </c>
      <c r="EZ50" s="14">
        <v>1.4400000000000001E-3</v>
      </c>
      <c r="FA50" s="14">
        <v>5.0000000000000002E-5</v>
      </c>
      <c r="FB50" s="14">
        <v>1.39E-3</v>
      </c>
      <c r="FC50" s="14">
        <v>1.09E-3</v>
      </c>
      <c r="FD50" s="14">
        <v>1.06E-3</v>
      </c>
      <c r="FE50" s="14">
        <v>2.0000000000000002E-5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</row>
    <row r="51" spans="1:168" ht="15" x14ac:dyDescent="0.25">
      <c r="A51" s="5" t="s">
        <v>186</v>
      </c>
      <c r="B51" s="5" t="s">
        <v>6</v>
      </c>
      <c r="C51" s="13">
        <v>407.6003</v>
      </c>
      <c r="D51" s="13">
        <v>445.75797</v>
      </c>
      <c r="E51" s="13">
        <v>304.35861</v>
      </c>
      <c r="F51" s="13">
        <v>300.13355000000001</v>
      </c>
      <c r="G51" s="13">
        <v>43.00029</v>
      </c>
      <c r="H51" s="13">
        <v>33.847360000000002</v>
      </c>
      <c r="I51" s="13">
        <v>6.2300700000000004</v>
      </c>
      <c r="J51" s="13">
        <v>2.9228700000000001</v>
      </c>
      <c r="K51" s="13">
        <v>44.422170000000001</v>
      </c>
      <c r="L51" s="13">
        <v>5.9653</v>
      </c>
      <c r="M51" s="13">
        <v>0.77653000000000005</v>
      </c>
      <c r="N51" s="13">
        <v>9.1992999999999991</v>
      </c>
      <c r="O51" s="13">
        <v>2.4691299999999998</v>
      </c>
      <c r="P51" s="13">
        <v>8.3061100000000003</v>
      </c>
      <c r="Q51" s="13">
        <v>9.4411900000000006</v>
      </c>
      <c r="R51" s="13">
        <v>8.2646099999999993</v>
      </c>
      <c r="S51" s="13">
        <v>131.85956999999999</v>
      </c>
      <c r="T51" s="13">
        <v>4.9302999999999999</v>
      </c>
      <c r="U51" s="13">
        <v>124.41157</v>
      </c>
      <c r="V51" s="13">
        <v>70.505399999999995</v>
      </c>
      <c r="W51" s="13">
        <v>19.928149999999999</v>
      </c>
      <c r="X51" s="13">
        <v>32.610259999999997</v>
      </c>
      <c r="Y51" s="13">
        <v>1.3677600000000001</v>
      </c>
      <c r="Z51" s="13">
        <v>0</v>
      </c>
      <c r="AA51" s="13">
        <v>0.36459000000000003</v>
      </c>
      <c r="AB51" s="13">
        <v>1.77213</v>
      </c>
      <c r="AC51" s="13">
        <v>0.38096999999999998</v>
      </c>
      <c r="AD51" s="13">
        <v>79.344679999999997</v>
      </c>
      <c r="AE51" s="13">
        <v>22.924679999999999</v>
      </c>
      <c r="AF51" s="13">
        <v>45.52901</v>
      </c>
      <c r="AG51" s="13">
        <v>10.890980000000001</v>
      </c>
      <c r="AH51" s="13">
        <v>1.50684</v>
      </c>
      <c r="AI51" s="13">
        <v>1.50684</v>
      </c>
      <c r="AJ51" s="13">
        <v>0</v>
      </c>
      <c r="AK51" s="13">
        <v>4.22506</v>
      </c>
      <c r="AL51" s="13">
        <v>1.975E-2</v>
      </c>
      <c r="AM51" s="13">
        <v>4.2053099999999999</v>
      </c>
      <c r="AN51" s="13">
        <v>0</v>
      </c>
      <c r="AO51" s="13">
        <v>24.200839999999999</v>
      </c>
      <c r="AP51" s="13">
        <v>18.302289999999999</v>
      </c>
      <c r="AQ51" s="13">
        <v>5.8985500000000002</v>
      </c>
      <c r="AR51" s="13">
        <v>1.6100000000000001E-3</v>
      </c>
      <c r="AS51" s="13">
        <v>65.183160000000001</v>
      </c>
      <c r="AT51" s="13">
        <v>49.067659999999997</v>
      </c>
      <c r="AU51" s="13">
        <v>9.9361899999999999</v>
      </c>
      <c r="AV51" s="13">
        <v>6.7012999999999998</v>
      </c>
      <c r="AW51" s="13">
        <v>2.2458399999999998</v>
      </c>
      <c r="AX51" s="13">
        <v>0.56169000000000002</v>
      </c>
      <c r="AY51" s="13">
        <v>0.42736000000000002</v>
      </c>
      <c r="AZ51" s="13">
        <v>8.4782399999999996</v>
      </c>
      <c r="BA51" s="13">
        <v>1.8735900000000001</v>
      </c>
      <c r="BB51" s="13">
        <v>0.49792999999999998</v>
      </c>
      <c r="BC51" s="13">
        <v>7.4709999999999999E-2</v>
      </c>
      <c r="BD51" s="13">
        <v>0.23657</v>
      </c>
      <c r="BE51" s="13">
        <v>2.7449999999999999E-2</v>
      </c>
      <c r="BF51" s="13">
        <v>6.5100000000000002E-3</v>
      </c>
      <c r="BG51" s="13">
        <v>0.29377999999999999</v>
      </c>
      <c r="BH51" s="13">
        <v>3.3918599999999999</v>
      </c>
      <c r="BI51" s="13">
        <v>0.26989000000000002</v>
      </c>
      <c r="BJ51" s="13">
        <v>1.8059499999999999</v>
      </c>
      <c r="BK51" s="13">
        <v>13.99001</v>
      </c>
      <c r="BL51" s="13">
        <v>11.981210000000001</v>
      </c>
      <c r="BM51" s="13">
        <v>1.1746099999999999</v>
      </c>
      <c r="BN51" s="13">
        <v>0.68674000000000002</v>
      </c>
      <c r="BO51" s="13">
        <v>0</v>
      </c>
      <c r="BP51" s="13">
        <v>0</v>
      </c>
      <c r="BQ51" s="13">
        <v>7.4859999999999996E-2</v>
      </c>
      <c r="BR51" s="13">
        <v>7.2599999999999998E-2</v>
      </c>
      <c r="BS51" s="13">
        <v>0.78593000000000002</v>
      </c>
      <c r="BT51" s="13">
        <v>0.33628999999999998</v>
      </c>
      <c r="BU51" s="13">
        <v>4.1619999999999997E-2</v>
      </c>
      <c r="BV51" s="13">
        <v>0.40800999999999998</v>
      </c>
      <c r="BW51" s="13">
        <v>0.1004</v>
      </c>
      <c r="BX51" s="13">
        <v>0.1004</v>
      </c>
      <c r="BY51" s="13">
        <v>0</v>
      </c>
      <c r="BZ51" s="13">
        <v>0</v>
      </c>
      <c r="CA51" s="13">
        <v>0</v>
      </c>
      <c r="CB51" s="13">
        <v>0</v>
      </c>
      <c r="CC51" s="13">
        <v>14.794639999999999</v>
      </c>
      <c r="CD51" s="13">
        <v>13.18285</v>
      </c>
      <c r="CE51" s="13">
        <v>0.32267000000000001</v>
      </c>
      <c r="CF51" s="13">
        <v>6.898E-2</v>
      </c>
      <c r="CG51" s="13">
        <v>1.1755</v>
      </c>
      <c r="CH51" s="13">
        <v>4.4639999999999999E-2</v>
      </c>
      <c r="CI51" s="13">
        <v>0</v>
      </c>
      <c r="CJ51" s="13">
        <v>0.98219000000000001</v>
      </c>
      <c r="CK51" s="13">
        <v>6.0000000000000002E-5</v>
      </c>
      <c r="CL51" s="13">
        <v>73.748919999999998</v>
      </c>
      <c r="CM51" s="13">
        <v>40.288879999999999</v>
      </c>
      <c r="CN51" s="13">
        <v>36.702449999999999</v>
      </c>
      <c r="CO51" s="13">
        <v>2.5686300000000002</v>
      </c>
      <c r="CP51" s="13">
        <v>0.27746999999999999</v>
      </c>
      <c r="CQ51" s="13">
        <v>0.74033000000000004</v>
      </c>
      <c r="CR51" s="13">
        <v>10.545310000000001</v>
      </c>
      <c r="CS51" s="13">
        <v>6.2975500000000002</v>
      </c>
      <c r="CT51" s="13">
        <v>0.16100999999999999</v>
      </c>
      <c r="CU51" s="13">
        <v>2.6617799999999998</v>
      </c>
      <c r="CV51" s="13">
        <v>0.43851000000000001</v>
      </c>
      <c r="CW51" s="13">
        <v>0.98646</v>
      </c>
      <c r="CX51" s="13">
        <v>4.6580000000000003E-2</v>
      </c>
      <c r="CY51" s="13">
        <v>4.6580000000000003E-2</v>
      </c>
      <c r="CZ51" s="13">
        <v>0</v>
      </c>
      <c r="DA51" s="13">
        <v>0</v>
      </c>
      <c r="DB51" s="13">
        <v>0</v>
      </c>
      <c r="DC51" s="13">
        <v>20.623370000000001</v>
      </c>
      <c r="DD51" s="13">
        <v>15.84782</v>
      </c>
      <c r="DE51" s="13">
        <v>4.77555</v>
      </c>
      <c r="DF51" s="13">
        <v>0</v>
      </c>
      <c r="DG51" s="13">
        <v>2.6550000000000001E-2</v>
      </c>
      <c r="DH51" s="13">
        <v>1.346E-2</v>
      </c>
      <c r="DI51" s="13">
        <v>0</v>
      </c>
      <c r="DJ51" s="13">
        <v>1.6299999999999999E-3</v>
      </c>
      <c r="DK51" s="13">
        <v>1.81E-3</v>
      </c>
      <c r="DL51" s="13">
        <v>9.6500000000000006E-3</v>
      </c>
      <c r="DM51" s="13">
        <v>0.73153999999999997</v>
      </c>
      <c r="DN51" s="13">
        <v>1.32352</v>
      </c>
      <c r="DO51" s="13">
        <v>0.16317000000000001</v>
      </c>
      <c r="DP51" s="13">
        <v>0</v>
      </c>
      <c r="DQ51" s="13">
        <v>-38.15766</v>
      </c>
      <c r="DR51" s="13">
        <v>-48.2879</v>
      </c>
      <c r="DS51" s="13">
        <v>0</v>
      </c>
      <c r="DT51" s="13">
        <v>-33.214570000000002</v>
      </c>
      <c r="DU51" s="13">
        <v>-15.07333</v>
      </c>
      <c r="DV51" s="13">
        <v>13.324529999999999</v>
      </c>
      <c r="DW51" s="13">
        <v>0.18173</v>
      </c>
      <c r="DX51" s="13">
        <v>0.20769000000000001</v>
      </c>
      <c r="DY51" s="13">
        <v>13.11684</v>
      </c>
      <c r="DZ51" s="13">
        <v>-8.0594800000000006</v>
      </c>
      <c r="EA51" s="13">
        <v>0.26168000000000002</v>
      </c>
      <c r="EB51" s="13">
        <v>-2.5002599999999999</v>
      </c>
      <c r="EC51" s="13">
        <v>-5.5592199999999998</v>
      </c>
      <c r="ED51" s="13">
        <v>0.80874999999999997</v>
      </c>
      <c r="EE51" s="13">
        <v>0</v>
      </c>
      <c r="EF51" s="13">
        <v>9.1649999999999995E-2</v>
      </c>
      <c r="EG51" s="13">
        <v>0.71709999999999996</v>
      </c>
      <c r="EH51" s="13">
        <v>4.7460699999999996</v>
      </c>
      <c r="EI51" s="13">
        <v>3.8039999999999997E-2</v>
      </c>
      <c r="EJ51" s="13">
        <v>0.59031</v>
      </c>
      <c r="EK51" s="13">
        <v>4.1557599999999999</v>
      </c>
      <c r="EL51" s="13">
        <v>5.6899999999999999E-2</v>
      </c>
      <c r="EM51" s="13">
        <v>5.6899999999999999E-2</v>
      </c>
      <c r="EN51" s="13">
        <v>3.0599999999999998E-3</v>
      </c>
      <c r="EO51" s="13">
        <v>2.1000000000000001E-4</v>
      </c>
      <c r="EP51" s="13">
        <v>-1.0438700000000001</v>
      </c>
      <c r="EQ51" s="13">
        <v>0.29733999999999999</v>
      </c>
      <c r="ER51" s="13">
        <v>17.76774</v>
      </c>
      <c r="ES51" s="13">
        <v>10.74372</v>
      </c>
      <c r="ET51" s="13">
        <v>10.74372</v>
      </c>
      <c r="EU51" s="13">
        <v>0</v>
      </c>
      <c r="EV51" s="13">
        <v>0</v>
      </c>
      <c r="EW51" s="13">
        <v>1.0803</v>
      </c>
      <c r="EX51" s="13">
        <v>1.0502</v>
      </c>
      <c r="EY51" s="13">
        <v>3.0099999999999998E-2</v>
      </c>
      <c r="EZ51" s="13">
        <v>1.5699399999999999</v>
      </c>
      <c r="FA51" s="13">
        <v>1.46455</v>
      </c>
      <c r="FB51" s="13">
        <v>0.10539</v>
      </c>
      <c r="FC51" s="13">
        <v>4.37378</v>
      </c>
      <c r="FD51" s="13">
        <v>3.78274</v>
      </c>
      <c r="FE51" s="13">
        <v>0.59104000000000001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0.81503999999999999</v>
      </c>
    </row>
    <row r="52" spans="1:168" ht="15" x14ac:dyDescent="0.25">
      <c r="A52" s="5" t="s">
        <v>186</v>
      </c>
      <c r="B52" s="5" t="s">
        <v>7</v>
      </c>
      <c r="C52" s="14">
        <v>293.38574999999997</v>
      </c>
      <c r="D52" s="14">
        <v>333.20015999999998</v>
      </c>
      <c r="E52" s="14">
        <v>296.85849999999999</v>
      </c>
      <c r="F52" s="14">
        <v>293.86099000000002</v>
      </c>
      <c r="G52" s="14">
        <v>42.722749999999998</v>
      </c>
      <c r="H52" s="14">
        <v>33.580590000000001</v>
      </c>
      <c r="I52" s="14">
        <v>6.22201</v>
      </c>
      <c r="J52" s="14">
        <v>2.9201600000000001</v>
      </c>
      <c r="K52" s="14">
        <v>43.812600000000003</v>
      </c>
      <c r="L52" s="14">
        <v>5.9504400000000004</v>
      </c>
      <c r="M52" s="14">
        <v>0.77510000000000001</v>
      </c>
      <c r="N52" s="14">
        <v>9.1677700000000009</v>
      </c>
      <c r="O52" s="14">
        <v>2.4005700000000001</v>
      </c>
      <c r="P52" s="14">
        <v>8.2640100000000007</v>
      </c>
      <c r="Q52" s="14">
        <v>9.3508899999999997</v>
      </c>
      <c r="R52" s="14">
        <v>7.9038199999999996</v>
      </c>
      <c r="S52" s="14">
        <v>130.39265</v>
      </c>
      <c r="T52" s="14">
        <v>4.8935500000000003</v>
      </c>
      <c r="U52" s="14">
        <v>123.02575</v>
      </c>
      <c r="V52" s="14">
        <v>69.662540000000007</v>
      </c>
      <c r="W52" s="14">
        <v>19.731780000000001</v>
      </c>
      <c r="X52" s="14">
        <v>32.289160000000003</v>
      </c>
      <c r="Y52" s="14">
        <v>1.34226</v>
      </c>
      <c r="Z52" s="14">
        <v>0</v>
      </c>
      <c r="AA52" s="14">
        <v>0.35897000000000001</v>
      </c>
      <c r="AB52" s="14">
        <v>1.7380500000000001</v>
      </c>
      <c r="AC52" s="14">
        <v>0.37631999999999999</v>
      </c>
      <c r="AD52" s="14">
        <v>75.436409999999995</v>
      </c>
      <c r="AE52" s="14">
        <v>22.824560000000002</v>
      </c>
      <c r="AF52" s="14">
        <v>42.587789999999998</v>
      </c>
      <c r="AG52" s="14">
        <v>10.02406</v>
      </c>
      <c r="AH52" s="14">
        <v>1.4965900000000001</v>
      </c>
      <c r="AI52" s="14">
        <v>1.4965900000000001</v>
      </c>
      <c r="AJ52" s="14">
        <v>0</v>
      </c>
      <c r="AK52" s="14">
        <v>2.9975100000000001</v>
      </c>
      <c r="AL52" s="14">
        <v>0</v>
      </c>
      <c r="AM52" s="14">
        <v>2.9975100000000001</v>
      </c>
      <c r="AN52" s="14">
        <v>0</v>
      </c>
      <c r="AO52" s="14">
        <v>24.013249999999999</v>
      </c>
      <c r="AP52" s="14">
        <v>18.169309999999999</v>
      </c>
      <c r="AQ52" s="14">
        <v>5.8439500000000004</v>
      </c>
      <c r="AR52" s="14">
        <v>1.6100000000000001E-3</v>
      </c>
      <c r="AS52" s="14">
        <v>65.183160000000001</v>
      </c>
      <c r="AT52" s="14">
        <v>31.885190000000001</v>
      </c>
      <c r="AU52" s="14">
        <v>9.9361899999999999</v>
      </c>
      <c r="AV52" s="14">
        <v>6.7012999999999998</v>
      </c>
      <c r="AW52" s="14">
        <v>2.2458399999999998</v>
      </c>
      <c r="AX52" s="14">
        <v>0.56169000000000002</v>
      </c>
      <c r="AY52" s="14">
        <v>0.42736000000000002</v>
      </c>
      <c r="AZ52" s="14">
        <v>7.3113299999999999</v>
      </c>
      <c r="BA52" s="14">
        <v>1.8735900000000001</v>
      </c>
      <c r="BB52" s="14">
        <v>0</v>
      </c>
      <c r="BC52" s="14">
        <v>2.103E-2</v>
      </c>
      <c r="BD52" s="14">
        <v>0</v>
      </c>
      <c r="BE52" s="14">
        <v>2.7449999999999999E-2</v>
      </c>
      <c r="BF52" s="14">
        <v>6.5100000000000002E-3</v>
      </c>
      <c r="BG52" s="14">
        <v>0.29377999999999999</v>
      </c>
      <c r="BH52" s="14">
        <v>3.35379</v>
      </c>
      <c r="BI52" s="14">
        <v>0</v>
      </c>
      <c r="BJ52" s="14">
        <v>1.7351799999999999</v>
      </c>
      <c r="BK52" s="14">
        <v>13.835570000000001</v>
      </c>
      <c r="BL52" s="14">
        <v>11.953390000000001</v>
      </c>
      <c r="BM52" s="14">
        <v>1.1653199999999999</v>
      </c>
      <c r="BN52" s="14">
        <v>0.62861999999999996</v>
      </c>
      <c r="BO52" s="14">
        <v>0</v>
      </c>
      <c r="BP52" s="14">
        <v>0</v>
      </c>
      <c r="BQ52" s="14">
        <v>7.4859999999999996E-2</v>
      </c>
      <c r="BR52" s="14">
        <v>1.338E-2</v>
      </c>
      <c r="BS52" s="14">
        <v>0.78339999999999999</v>
      </c>
      <c r="BT52" s="14">
        <v>0.33376</v>
      </c>
      <c r="BU52" s="14">
        <v>4.1619999999999997E-2</v>
      </c>
      <c r="BV52" s="14">
        <v>0.40800999999999998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1.865E-2</v>
      </c>
      <c r="CK52" s="14">
        <v>6.0000000000000002E-5</v>
      </c>
      <c r="CL52" s="14">
        <v>2.2182300000000001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0.73153999999999997</v>
      </c>
      <c r="DN52" s="14">
        <v>1.32352</v>
      </c>
      <c r="DO52" s="14">
        <v>0.16317000000000001</v>
      </c>
      <c r="DP52" s="14">
        <v>0</v>
      </c>
      <c r="DQ52" s="14">
        <v>-39.814419999999998</v>
      </c>
      <c r="DR52" s="14">
        <v>-48.380789999999998</v>
      </c>
      <c r="DS52" s="14">
        <v>0</v>
      </c>
      <c r="DT52" s="14">
        <v>-33.306780000000003</v>
      </c>
      <c r="DU52" s="14">
        <v>-15.074020000000001</v>
      </c>
      <c r="DV52" s="14">
        <v>12.53534</v>
      </c>
      <c r="DW52" s="14">
        <v>0.18171000000000001</v>
      </c>
      <c r="DX52" s="14">
        <v>0.10162</v>
      </c>
      <c r="DY52" s="14">
        <v>12.433719999999999</v>
      </c>
      <c r="DZ52" s="14">
        <v>-8.3026400000000002</v>
      </c>
      <c r="EA52" s="14">
        <v>0.2437</v>
      </c>
      <c r="EB52" s="14">
        <v>-2.67964</v>
      </c>
      <c r="EC52" s="14">
        <v>-5.6230000000000002</v>
      </c>
      <c r="ED52" s="14">
        <v>0.77024999999999999</v>
      </c>
      <c r="EE52" s="14">
        <v>0</v>
      </c>
      <c r="EF52" s="14">
        <v>8.9990000000000001E-2</v>
      </c>
      <c r="EG52" s="14">
        <v>0.68025999999999998</v>
      </c>
      <c r="EH52" s="14">
        <v>4.5019999999999998</v>
      </c>
      <c r="EI52" s="14">
        <v>0</v>
      </c>
      <c r="EJ52" s="14">
        <v>0.58838999999999997</v>
      </c>
      <c r="EK52" s="14">
        <v>3.9136000000000002</v>
      </c>
      <c r="EL52" s="14">
        <v>5.2940000000000001E-2</v>
      </c>
      <c r="EM52" s="14">
        <v>5.2940000000000001E-2</v>
      </c>
      <c r="EN52" s="14">
        <v>0</v>
      </c>
      <c r="EO52" s="14">
        <v>0</v>
      </c>
      <c r="EP52" s="14">
        <v>-1.0438700000000001</v>
      </c>
      <c r="EQ52" s="14">
        <v>5.2359999999999997E-2</v>
      </c>
      <c r="ER52" s="14">
        <v>1.4232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1.4232</v>
      </c>
      <c r="FA52" s="14">
        <v>1.4006400000000001</v>
      </c>
      <c r="FB52" s="14">
        <v>2.256E-2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0.81503999999999999</v>
      </c>
    </row>
    <row r="53" spans="1:168" ht="15" x14ac:dyDescent="0.25">
      <c r="A53" s="5" t="s">
        <v>186</v>
      </c>
      <c r="B53" s="5" t="s">
        <v>8</v>
      </c>
      <c r="C53" s="13">
        <v>2.37215</v>
      </c>
      <c r="D53" s="13">
        <v>2.3464700000000001</v>
      </c>
      <c r="E53" s="13">
        <v>0.15185999999999999</v>
      </c>
      <c r="F53" s="13">
        <v>0.10846</v>
      </c>
      <c r="G53" s="13">
        <v>1.66E-3</v>
      </c>
      <c r="H53" s="13">
        <v>1.4400000000000001E-3</v>
      </c>
      <c r="I53" s="13">
        <v>1.4999999999999999E-4</v>
      </c>
      <c r="J53" s="13">
        <v>6.9999999999999994E-5</v>
      </c>
      <c r="K53" s="13">
        <v>4.4999999999999997E-3</v>
      </c>
      <c r="L53" s="13">
        <v>1.7000000000000001E-4</v>
      </c>
      <c r="M53" s="13">
        <v>1.0000000000000001E-5</v>
      </c>
      <c r="N53" s="13">
        <v>4.8000000000000001E-4</v>
      </c>
      <c r="O53" s="13">
        <v>1.0499999999999999E-3</v>
      </c>
      <c r="P53" s="13">
        <v>6.4000000000000005E-4</v>
      </c>
      <c r="Q53" s="13">
        <v>1.09E-3</v>
      </c>
      <c r="R53" s="13">
        <v>1.0499999999999999E-3</v>
      </c>
      <c r="S53" s="13">
        <v>6.3499999999999997E-3</v>
      </c>
      <c r="T53" s="13">
        <v>5.0000000000000002E-5</v>
      </c>
      <c r="U53" s="13">
        <v>5.3200000000000001E-3</v>
      </c>
      <c r="V53" s="13">
        <v>3.7000000000000002E-3</v>
      </c>
      <c r="W53" s="13">
        <v>4.2000000000000002E-4</v>
      </c>
      <c r="X53" s="13">
        <v>5.0000000000000001E-4</v>
      </c>
      <c r="Y53" s="13">
        <v>6.9999999999999999E-4</v>
      </c>
      <c r="Z53" s="13">
        <v>0</v>
      </c>
      <c r="AA53" s="13">
        <v>6.0000000000000002E-5</v>
      </c>
      <c r="AB53" s="13">
        <v>8.0999999999999996E-4</v>
      </c>
      <c r="AC53" s="13">
        <v>1.1E-4</v>
      </c>
      <c r="AD53" s="13">
        <v>9.5880000000000007E-2</v>
      </c>
      <c r="AE53" s="13">
        <v>2.3700000000000001E-3</v>
      </c>
      <c r="AF53" s="13">
        <v>9.2990000000000003E-2</v>
      </c>
      <c r="AG53" s="13">
        <v>5.2999999999999998E-4</v>
      </c>
      <c r="AH53" s="13">
        <v>8.0000000000000007E-5</v>
      </c>
      <c r="AI53" s="13">
        <v>8.0000000000000007E-5</v>
      </c>
      <c r="AJ53" s="13">
        <v>0</v>
      </c>
      <c r="AK53" s="13">
        <v>4.3400000000000001E-2</v>
      </c>
      <c r="AL53" s="13">
        <v>7.1000000000000002E-4</v>
      </c>
      <c r="AM53" s="13">
        <v>4.2689999999999999E-2</v>
      </c>
      <c r="AN53" s="13">
        <v>0</v>
      </c>
      <c r="AO53" s="13">
        <v>5.9999999999999995E-4</v>
      </c>
      <c r="AP53" s="13">
        <v>6.9999999999999994E-5</v>
      </c>
      <c r="AQ53" s="13">
        <v>5.2999999999999998E-4</v>
      </c>
      <c r="AR53" s="13">
        <v>0</v>
      </c>
      <c r="AS53" s="13">
        <v>0</v>
      </c>
      <c r="AT53" s="13">
        <v>2.82E-3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1.49E-3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1.3600000000000001E-3</v>
      </c>
      <c r="BI53" s="13">
        <v>0</v>
      </c>
      <c r="BJ53" s="13">
        <v>1.2999999999999999E-4</v>
      </c>
      <c r="BK53" s="13">
        <v>1.33E-3</v>
      </c>
      <c r="BL53" s="13">
        <v>9.8999999999999999E-4</v>
      </c>
      <c r="BM53" s="13">
        <v>3.3E-4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1.0000000000000001E-5</v>
      </c>
      <c r="BT53" s="13">
        <v>1.0000000000000001E-5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1.70665</v>
      </c>
      <c r="CM53" s="13">
        <v>1.43889</v>
      </c>
      <c r="CN53" s="13">
        <v>1.3108</v>
      </c>
      <c r="CO53" s="13">
        <v>9.1740000000000002E-2</v>
      </c>
      <c r="CP53" s="13">
        <v>9.9100000000000004E-3</v>
      </c>
      <c r="CQ53" s="13">
        <v>2.6440000000000002E-2</v>
      </c>
      <c r="CR53" s="13">
        <v>0.26534000000000002</v>
      </c>
      <c r="CS53" s="13">
        <v>0.15842000000000001</v>
      </c>
      <c r="CT53" s="13">
        <v>2.6900000000000001E-3</v>
      </c>
      <c r="CU53" s="13">
        <v>9.3939999999999996E-2</v>
      </c>
      <c r="CV53" s="13">
        <v>1.0290000000000001E-2</v>
      </c>
      <c r="CW53" s="13">
        <v>0</v>
      </c>
      <c r="CX53" s="13">
        <v>1.66E-3</v>
      </c>
      <c r="CY53" s="13">
        <v>1.66E-3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7.6000000000000004E-4</v>
      </c>
      <c r="DH53" s="13">
        <v>3.8999999999999999E-4</v>
      </c>
      <c r="DI53" s="13">
        <v>0</v>
      </c>
      <c r="DJ53" s="13">
        <v>5.0000000000000002E-5</v>
      </c>
      <c r="DK53" s="13">
        <v>5.0000000000000002E-5</v>
      </c>
      <c r="DL53" s="13">
        <v>2.7999999999999998E-4</v>
      </c>
      <c r="DM53" s="13">
        <v>0</v>
      </c>
      <c r="DN53" s="13">
        <v>0</v>
      </c>
      <c r="DO53" s="13">
        <v>0</v>
      </c>
      <c r="DP53" s="13">
        <v>0</v>
      </c>
      <c r="DQ53" s="13">
        <v>2.5680000000000001E-2</v>
      </c>
      <c r="DR53" s="13">
        <v>2.2200000000000002E-3</v>
      </c>
      <c r="DS53" s="13">
        <v>0</v>
      </c>
      <c r="DT53" s="13">
        <v>2.2200000000000002E-3</v>
      </c>
      <c r="DU53" s="13">
        <v>0</v>
      </c>
      <c r="DV53" s="13">
        <v>6.6800000000000002E-3</v>
      </c>
      <c r="DW53" s="13">
        <v>0</v>
      </c>
      <c r="DX53" s="13">
        <v>2.49E-3</v>
      </c>
      <c r="DY53" s="13">
        <v>4.1900000000000001E-3</v>
      </c>
      <c r="DZ53" s="13">
        <v>6.45E-3</v>
      </c>
      <c r="EA53" s="13">
        <v>6.4000000000000005E-4</v>
      </c>
      <c r="EB53" s="13">
        <v>4.4200000000000003E-3</v>
      </c>
      <c r="EC53" s="13">
        <v>2.0300000000000001E-3</v>
      </c>
      <c r="ED53" s="13">
        <v>2.9999999999999997E-4</v>
      </c>
      <c r="EE53" s="13">
        <v>0</v>
      </c>
      <c r="EF53" s="13">
        <v>0</v>
      </c>
      <c r="EG53" s="13">
        <v>2.9999999999999997E-4</v>
      </c>
      <c r="EH53" s="13">
        <v>1.2800000000000001E-3</v>
      </c>
      <c r="EI53" s="13">
        <v>1.2800000000000001E-3</v>
      </c>
      <c r="EJ53" s="13">
        <v>0</v>
      </c>
      <c r="EK53" s="13">
        <v>1.2800000000000001E-3</v>
      </c>
      <c r="EL53" s="13">
        <v>1.0000000000000001E-5</v>
      </c>
      <c r="EM53" s="13">
        <v>1.0000000000000001E-5</v>
      </c>
      <c r="EN53" s="13">
        <v>0</v>
      </c>
      <c r="EO53" s="13">
        <v>1.0000000000000001E-5</v>
      </c>
      <c r="EP53" s="13">
        <v>0</v>
      </c>
      <c r="EQ53" s="13">
        <v>8.7500000000000008E-3</v>
      </c>
      <c r="ER53" s="13">
        <v>0.48514000000000002</v>
      </c>
      <c r="ES53" s="13">
        <v>0.38369999999999999</v>
      </c>
      <c r="ET53" s="13">
        <v>0.38369999999999999</v>
      </c>
      <c r="EU53" s="13">
        <v>0</v>
      </c>
      <c r="EV53" s="13">
        <v>0</v>
      </c>
      <c r="EW53" s="13">
        <v>3.0929999999999999E-2</v>
      </c>
      <c r="EX53" s="13">
        <v>2.9850000000000002E-2</v>
      </c>
      <c r="EY53" s="13">
        <v>1.08E-3</v>
      </c>
      <c r="EZ53" s="13">
        <v>2.98E-3</v>
      </c>
      <c r="FA53" s="13">
        <v>2.0000000000000002E-5</v>
      </c>
      <c r="FB53" s="13">
        <v>2.96E-3</v>
      </c>
      <c r="FC53" s="13">
        <v>6.7530000000000007E-2</v>
      </c>
      <c r="FD53" s="13">
        <v>6.4449999999999993E-2</v>
      </c>
      <c r="FE53" s="13">
        <v>3.0799999999999998E-3</v>
      </c>
      <c r="FF53" s="13">
        <v>0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</row>
    <row r="54" spans="1:168" ht="15" x14ac:dyDescent="0.25">
      <c r="A54" s="5" t="s">
        <v>186</v>
      </c>
      <c r="B54" s="5" t="s">
        <v>9</v>
      </c>
      <c r="C54" s="14">
        <v>0.11953</v>
      </c>
      <c r="D54" s="14">
        <v>0.11599</v>
      </c>
      <c r="E54" s="14">
        <v>1.226E-2</v>
      </c>
      <c r="F54" s="14">
        <v>1.221E-2</v>
      </c>
      <c r="G54" s="14">
        <v>8.7000000000000001E-4</v>
      </c>
      <c r="H54" s="14">
        <v>8.4999999999999995E-4</v>
      </c>
      <c r="I54" s="14">
        <v>1.0000000000000001E-5</v>
      </c>
      <c r="J54" s="14">
        <v>0</v>
      </c>
      <c r="K54" s="14">
        <v>1.83E-3</v>
      </c>
      <c r="L54" s="14">
        <v>4.0000000000000003E-5</v>
      </c>
      <c r="M54" s="14">
        <v>0</v>
      </c>
      <c r="N54" s="14">
        <v>6.9999999999999994E-5</v>
      </c>
      <c r="O54" s="14">
        <v>1.4999999999999999E-4</v>
      </c>
      <c r="P54" s="14">
        <v>9.0000000000000006E-5</v>
      </c>
      <c r="Q54" s="14">
        <v>2.3000000000000001E-4</v>
      </c>
      <c r="R54" s="14">
        <v>1.25E-3</v>
      </c>
      <c r="S54" s="14">
        <v>4.8599999999999997E-3</v>
      </c>
      <c r="T54" s="14">
        <v>1.2999999999999999E-4</v>
      </c>
      <c r="U54" s="14">
        <v>4.6699999999999997E-3</v>
      </c>
      <c r="V54" s="14">
        <v>2.7899999999999999E-3</v>
      </c>
      <c r="W54" s="14">
        <v>6.9999999999999999E-4</v>
      </c>
      <c r="X54" s="14">
        <v>1.16E-3</v>
      </c>
      <c r="Y54" s="14">
        <v>2.0000000000000002E-5</v>
      </c>
      <c r="Z54" s="14">
        <v>0</v>
      </c>
      <c r="AA54" s="14">
        <v>2.0000000000000002E-5</v>
      </c>
      <c r="AB54" s="14">
        <v>4.0000000000000003E-5</v>
      </c>
      <c r="AC54" s="14">
        <v>1.0000000000000001E-5</v>
      </c>
      <c r="AD54" s="14">
        <v>4.62E-3</v>
      </c>
      <c r="AE54" s="14">
        <v>1.2999999999999999E-4</v>
      </c>
      <c r="AF54" s="14">
        <v>1.2700000000000001E-3</v>
      </c>
      <c r="AG54" s="14">
        <v>3.2200000000000002E-3</v>
      </c>
      <c r="AH54" s="14">
        <v>3.0000000000000001E-5</v>
      </c>
      <c r="AI54" s="14">
        <v>3.0000000000000001E-5</v>
      </c>
      <c r="AJ54" s="14">
        <v>0</v>
      </c>
      <c r="AK54" s="14">
        <v>5.0000000000000002E-5</v>
      </c>
      <c r="AL54" s="14">
        <v>0</v>
      </c>
      <c r="AM54" s="14">
        <v>5.0000000000000002E-5</v>
      </c>
      <c r="AN54" s="14">
        <v>0</v>
      </c>
      <c r="AO54" s="14">
        <v>6.4000000000000005E-4</v>
      </c>
      <c r="AP54" s="14">
        <v>4.8999999999999998E-4</v>
      </c>
      <c r="AQ54" s="14">
        <v>1.4999999999999999E-4</v>
      </c>
      <c r="AR54" s="14">
        <v>0</v>
      </c>
      <c r="AS54" s="14">
        <v>0</v>
      </c>
      <c r="AT54" s="14">
        <v>3.7100000000000002E-3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3.2299999999999998E-3</v>
      </c>
      <c r="BA54" s="14">
        <v>0</v>
      </c>
      <c r="BB54" s="14">
        <v>1.8799999999999999E-3</v>
      </c>
      <c r="BC54" s="14">
        <v>2.0000000000000001E-4</v>
      </c>
      <c r="BD54" s="14">
        <v>8.8999999999999995E-4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2.5000000000000001E-4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1.0000000000000001E-5</v>
      </c>
      <c r="BT54" s="14">
        <v>1.0000000000000001E-5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4.6999999999999999E-4</v>
      </c>
      <c r="CK54" s="14">
        <v>0</v>
      </c>
      <c r="CL54" s="14">
        <v>8.9599999999999999E-2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1.176E-2</v>
      </c>
      <c r="CS54" s="14">
        <v>7.0299999999999998E-3</v>
      </c>
      <c r="CT54" s="14">
        <v>3.2000000000000003E-4</v>
      </c>
      <c r="CU54" s="14">
        <v>1.2E-4</v>
      </c>
      <c r="CV54" s="14">
        <v>5.6999999999999998E-4</v>
      </c>
      <c r="CW54" s="14">
        <v>3.7200000000000002E-3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7.782E-2</v>
      </c>
      <c r="DD54" s="14">
        <v>5.9799999999999999E-2</v>
      </c>
      <c r="DE54" s="14">
        <v>1.8020000000000001E-2</v>
      </c>
      <c r="DF54" s="14">
        <v>0</v>
      </c>
      <c r="DG54" s="14">
        <v>2.0000000000000002E-5</v>
      </c>
      <c r="DH54" s="14">
        <v>1.0000000000000001E-5</v>
      </c>
      <c r="DI54" s="14">
        <v>0</v>
      </c>
      <c r="DJ54" s="14">
        <v>0</v>
      </c>
      <c r="DK54" s="14">
        <v>0</v>
      </c>
      <c r="DL54" s="14">
        <v>1.0000000000000001E-5</v>
      </c>
      <c r="DM54" s="14">
        <v>0</v>
      </c>
      <c r="DN54" s="14">
        <v>0</v>
      </c>
      <c r="DO54" s="14">
        <v>0</v>
      </c>
      <c r="DP54" s="14">
        <v>0</v>
      </c>
      <c r="DQ54" s="14">
        <v>3.5400000000000002E-3</v>
      </c>
      <c r="DR54" s="14">
        <v>1.2E-4</v>
      </c>
      <c r="DS54" s="14">
        <v>0</v>
      </c>
      <c r="DT54" s="14">
        <v>1.1E-4</v>
      </c>
      <c r="DU54" s="14">
        <v>0</v>
      </c>
      <c r="DV54" s="14">
        <v>2.2699999999999999E-3</v>
      </c>
      <c r="DW54" s="14">
        <v>0</v>
      </c>
      <c r="DX54" s="14">
        <v>1.3999999999999999E-4</v>
      </c>
      <c r="DY54" s="14">
        <v>2.1299999999999999E-3</v>
      </c>
      <c r="DZ54" s="14">
        <v>2.4000000000000001E-4</v>
      </c>
      <c r="EA54" s="14">
        <v>0</v>
      </c>
      <c r="EB54" s="14">
        <v>2.1000000000000001E-4</v>
      </c>
      <c r="EC54" s="14">
        <v>3.0000000000000001E-5</v>
      </c>
      <c r="ED54" s="14">
        <v>1.1E-4</v>
      </c>
      <c r="EE54" s="14">
        <v>0</v>
      </c>
      <c r="EF54" s="14">
        <v>1.0000000000000001E-5</v>
      </c>
      <c r="EG54" s="14">
        <v>1.1E-4</v>
      </c>
      <c r="EH54" s="14">
        <v>7.9000000000000001E-4</v>
      </c>
      <c r="EI54" s="14">
        <v>1.0000000000000001E-5</v>
      </c>
      <c r="EJ54" s="14">
        <v>1.0000000000000001E-5</v>
      </c>
      <c r="EK54" s="14">
        <v>7.7999999999999999E-4</v>
      </c>
      <c r="EL54" s="14">
        <v>1.0000000000000001E-5</v>
      </c>
      <c r="EM54" s="14">
        <v>1.0000000000000001E-5</v>
      </c>
      <c r="EN54" s="14">
        <v>1.0000000000000001E-5</v>
      </c>
      <c r="EO54" s="14">
        <v>0</v>
      </c>
      <c r="EP54" s="14">
        <v>0</v>
      </c>
      <c r="EQ54" s="14">
        <v>0</v>
      </c>
      <c r="ER54" s="14">
        <v>1.042E-2</v>
      </c>
      <c r="ES54" s="14">
        <v>0</v>
      </c>
      <c r="ET54" s="14">
        <v>0</v>
      </c>
      <c r="EU54" s="14">
        <v>0</v>
      </c>
      <c r="EV54" s="14">
        <v>0</v>
      </c>
      <c r="EW54" s="14">
        <v>8.0999999999999996E-4</v>
      </c>
      <c r="EX54" s="14">
        <v>8.0999999999999996E-4</v>
      </c>
      <c r="EY54" s="14">
        <v>0</v>
      </c>
      <c r="EZ54" s="14">
        <v>2.4000000000000001E-4</v>
      </c>
      <c r="FA54" s="14">
        <v>2.4000000000000001E-4</v>
      </c>
      <c r="FB54" s="14">
        <v>0</v>
      </c>
      <c r="FC54" s="14">
        <v>9.3699999999999999E-3</v>
      </c>
      <c r="FD54" s="14">
        <v>7.4700000000000001E-3</v>
      </c>
      <c r="FE54" s="14">
        <v>1.9E-3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</row>
    <row r="55" spans="1:168" ht="15" x14ac:dyDescent="0.25">
      <c r="A55" s="5" t="s">
        <v>187</v>
      </c>
      <c r="B55" s="5" t="s">
        <v>6</v>
      </c>
      <c r="C55" s="13">
        <v>19.155889999999999</v>
      </c>
      <c r="D55" s="13">
        <v>24.645990000000001</v>
      </c>
      <c r="E55" s="13">
        <v>16.4603</v>
      </c>
      <c r="F55" s="13">
        <v>15.97626</v>
      </c>
      <c r="G55" s="13">
        <v>3.93635</v>
      </c>
      <c r="H55" s="13">
        <v>2.4114599999999999</v>
      </c>
      <c r="I55" s="13">
        <v>1.31948</v>
      </c>
      <c r="J55" s="13">
        <v>0.20541000000000001</v>
      </c>
      <c r="K55" s="13">
        <v>2.4007800000000001</v>
      </c>
      <c r="L55" s="13">
        <v>5.441E-2</v>
      </c>
      <c r="M55" s="13">
        <v>2.6939999999999999E-2</v>
      </c>
      <c r="N55" s="13">
        <v>0.27990999999999999</v>
      </c>
      <c r="O55" s="13">
        <v>9.3219999999999997E-2</v>
      </c>
      <c r="P55" s="13">
        <v>0.33534000000000003</v>
      </c>
      <c r="Q55" s="13">
        <v>1.31592</v>
      </c>
      <c r="R55" s="13">
        <v>0.29503000000000001</v>
      </c>
      <c r="S55" s="13">
        <v>6.40686</v>
      </c>
      <c r="T55" s="13">
        <v>3.1980000000000001E-2</v>
      </c>
      <c r="U55" s="13">
        <v>6.1725700000000003</v>
      </c>
      <c r="V55" s="13">
        <v>4.2328000000000001</v>
      </c>
      <c r="W55" s="13">
        <v>0.52019000000000004</v>
      </c>
      <c r="X55" s="13">
        <v>1.34283</v>
      </c>
      <c r="Y55" s="13">
        <v>7.6749999999999999E-2</v>
      </c>
      <c r="Z55" s="13">
        <v>0</v>
      </c>
      <c r="AA55" s="13">
        <v>5.1339999999999997E-2</v>
      </c>
      <c r="AB55" s="13">
        <v>0.15096999999999999</v>
      </c>
      <c r="AC55" s="13">
        <v>0</v>
      </c>
      <c r="AD55" s="13">
        <v>3.2322700000000002</v>
      </c>
      <c r="AE55" s="13">
        <v>0.63343000000000005</v>
      </c>
      <c r="AF55" s="13">
        <v>1.8958299999999999</v>
      </c>
      <c r="AG55" s="13">
        <v>0.70301000000000002</v>
      </c>
      <c r="AH55" s="13">
        <v>0</v>
      </c>
      <c r="AI55" s="13">
        <v>0</v>
      </c>
      <c r="AJ55" s="13">
        <v>0</v>
      </c>
      <c r="AK55" s="13">
        <v>0.48404999999999998</v>
      </c>
      <c r="AL55" s="13">
        <v>0</v>
      </c>
      <c r="AM55" s="13">
        <v>0.48404999999999998</v>
      </c>
      <c r="AN55" s="13">
        <v>0</v>
      </c>
      <c r="AO55" s="13">
        <v>0.62975000000000003</v>
      </c>
      <c r="AP55" s="13">
        <v>0.56384999999999996</v>
      </c>
      <c r="AQ55" s="13">
        <v>6.59E-2</v>
      </c>
      <c r="AR55" s="13">
        <v>0</v>
      </c>
      <c r="AS55" s="13">
        <v>6.0575200000000002</v>
      </c>
      <c r="AT55" s="13">
        <v>3.3709500000000001</v>
      </c>
      <c r="AU55" s="13">
        <v>1.35842</v>
      </c>
      <c r="AV55" s="13">
        <v>1.21072</v>
      </c>
      <c r="AW55" s="13">
        <v>8.8950000000000001E-2</v>
      </c>
      <c r="AX55" s="13">
        <v>3.0499999999999999E-2</v>
      </c>
      <c r="AY55" s="13">
        <v>2.8250000000000001E-2</v>
      </c>
      <c r="AZ55" s="13">
        <v>0.55762</v>
      </c>
      <c r="BA55" s="13">
        <v>0.51305999999999996</v>
      </c>
      <c r="BB55" s="13">
        <v>4.4560000000000002E-2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8.9899999999999997E-3</v>
      </c>
      <c r="BL55" s="13">
        <v>8.9899999999999997E-3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7.0730000000000001E-2</v>
      </c>
      <c r="BT55" s="13">
        <v>1.668E-2</v>
      </c>
      <c r="BU55" s="13">
        <v>3.7699999999999999E-3</v>
      </c>
      <c r="BV55" s="13">
        <v>5.0279999999999998E-2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1.3524099999999999</v>
      </c>
      <c r="CD55" s="13">
        <v>1.31707</v>
      </c>
      <c r="CE55" s="13">
        <v>1.966E-2</v>
      </c>
      <c r="CF55" s="13">
        <v>5.8199999999999997E-3</v>
      </c>
      <c r="CG55" s="13">
        <v>9.8600000000000007E-3</v>
      </c>
      <c r="CH55" s="13">
        <v>0</v>
      </c>
      <c r="CI55" s="13">
        <v>0</v>
      </c>
      <c r="CJ55" s="13">
        <v>2.2780000000000002E-2</v>
      </c>
      <c r="CK55" s="13">
        <v>0</v>
      </c>
      <c r="CL55" s="13">
        <v>2.7166899999999998</v>
      </c>
      <c r="CM55" s="13">
        <v>1.11835</v>
      </c>
      <c r="CN55" s="13">
        <v>0.90744000000000002</v>
      </c>
      <c r="CO55" s="13">
        <v>0.14252999999999999</v>
      </c>
      <c r="CP55" s="13">
        <v>4.4060000000000002E-2</v>
      </c>
      <c r="CQ55" s="13">
        <v>2.4309999999999998E-2</v>
      </c>
      <c r="CR55" s="13">
        <v>0.56505000000000005</v>
      </c>
      <c r="CS55" s="13">
        <v>0.25073000000000001</v>
      </c>
      <c r="CT55" s="13">
        <v>7.4999999999999997E-3</v>
      </c>
      <c r="CU55" s="13">
        <v>0.20477999999999999</v>
      </c>
      <c r="CV55" s="13">
        <v>2.75E-2</v>
      </c>
      <c r="CW55" s="13">
        <v>7.4550000000000005E-2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0.96104000000000001</v>
      </c>
      <c r="DD55" s="13">
        <v>0.72926999999999997</v>
      </c>
      <c r="DE55" s="13">
        <v>0.23177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4.62E-3</v>
      </c>
      <c r="DN55" s="13">
        <v>6.762E-2</v>
      </c>
      <c r="DO55" s="13">
        <v>0</v>
      </c>
      <c r="DP55" s="13">
        <v>0</v>
      </c>
      <c r="DQ55" s="13">
        <v>-5.4901</v>
      </c>
      <c r="DR55" s="13">
        <v>-5.5156000000000001</v>
      </c>
      <c r="DS55" s="13">
        <v>0</v>
      </c>
      <c r="DT55" s="13">
        <v>-5.2815700000000003</v>
      </c>
      <c r="DU55" s="13">
        <v>-0.23402999999999999</v>
      </c>
      <c r="DV55" s="13">
        <v>0.29082000000000002</v>
      </c>
      <c r="DW55" s="13">
        <v>0</v>
      </c>
      <c r="DX55" s="13">
        <v>0.13769000000000001</v>
      </c>
      <c r="DY55" s="13">
        <v>0.15314</v>
      </c>
      <c r="DZ55" s="13">
        <v>-0.26782</v>
      </c>
      <c r="EA55" s="13">
        <v>0</v>
      </c>
      <c r="EB55" s="13">
        <v>3.0100000000000001E-3</v>
      </c>
      <c r="EC55" s="13">
        <v>-0.27083000000000002</v>
      </c>
      <c r="ED55" s="13">
        <v>1.2160000000000001E-2</v>
      </c>
      <c r="EE55" s="13">
        <v>0</v>
      </c>
      <c r="EF55" s="13">
        <v>0</v>
      </c>
      <c r="EG55" s="13">
        <v>1.2160000000000001E-2</v>
      </c>
      <c r="EH55" s="13">
        <v>0.75199000000000005</v>
      </c>
      <c r="EI55" s="13">
        <v>0</v>
      </c>
      <c r="EJ55" s="13">
        <v>0</v>
      </c>
      <c r="EK55" s="13">
        <v>0.75199000000000005</v>
      </c>
      <c r="EL55" s="13">
        <v>0</v>
      </c>
      <c r="EM55" s="13">
        <v>0</v>
      </c>
      <c r="EN55" s="13">
        <v>0</v>
      </c>
      <c r="EO55" s="13">
        <v>0</v>
      </c>
      <c r="EP55" s="13">
        <v>-0.76166</v>
      </c>
      <c r="EQ55" s="13">
        <v>0</v>
      </c>
      <c r="ER55" s="13">
        <v>2.0980599999999998</v>
      </c>
      <c r="ES55" s="13">
        <v>1.48674</v>
      </c>
      <c r="ET55" s="13">
        <v>1.4554400000000001</v>
      </c>
      <c r="EU55" s="13">
        <v>3.1300000000000001E-2</v>
      </c>
      <c r="EV55" s="13">
        <v>0</v>
      </c>
      <c r="EW55" s="13">
        <v>1.5699999999999999E-2</v>
      </c>
      <c r="EX55" s="13">
        <v>1.162E-2</v>
      </c>
      <c r="EY55" s="13">
        <v>4.0800000000000003E-3</v>
      </c>
      <c r="EZ55" s="13">
        <v>8.7100000000000007E-3</v>
      </c>
      <c r="FA55" s="13">
        <v>0</v>
      </c>
      <c r="FB55" s="13">
        <v>8.7100000000000007E-3</v>
      </c>
      <c r="FC55" s="13">
        <v>0.58691000000000004</v>
      </c>
      <c r="FD55" s="13">
        <v>0.46467999999999998</v>
      </c>
      <c r="FE55" s="13">
        <v>0.12223000000000001</v>
      </c>
      <c r="FF55" s="13">
        <v>0</v>
      </c>
      <c r="FG55" s="13">
        <v>0</v>
      </c>
      <c r="FH55" s="13">
        <v>13.1212</v>
      </c>
      <c r="FI55" s="13">
        <v>0.37463999999999997</v>
      </c>
      <c r="FJ55" s="13">
        <v>0</v>
      </c>
      <c r="FK55" s="13">
        <v>0</v>
      </c>
      <c r="FL55" s="13">
        <v>0</v>
      </c>
    </row>
    <row r="56" spans="1:168" ht="15" x14ac:dyDescent="0.25">
      <c r="A56" s="5" t="s">
        <v>187</v>
      </c>
      <c r="B56" s="5" t="s">
        <v>7</v>
      </c>
      <c r="C56" s="14">
        <v>12.03838</v>
      </c>
      <c r="D56" s="14">
        <v>17.694510000000001</v>
      </c>
      <c r="E56" s="14">
        <v>15.67107</v>
      </c>
      <c r="F56" s="14">
        <v>15.38644</v>
      </c>
      <c r="G56" s="14">
        <v>3.90781</v>
      </c>
      <c r="H56" s="14">
        <v>2.38531</v>
      </c>
      <c r="I56" s="14">
        <v>1.3172900000000001</v>
      </c>
      <c r="J56" s="14">
        <v>0.20521</v>
      </c>
      <c r="K56" s="14">
        <v>2.3907600000000002</v>
      </c>
      <c r="L56" s="14">
        <v>5.4269999999999999E-2</v>
      </c>
      <c r="M56" s="14">
        <v>2.691E-2</v>
      </c>
      <c r="N56" s="14">
        <v>0.27961999999999998</v>
      </c>
      <c r="O56" s="14">
        <v>9.2939999999999995E-2</v>
      </c>
      <c r="P56" s="14">
        <v>0.33407999999999999</v>
      </c>
      <c r="Q56" s="14">
        <v>1.3088900000000001</v>
      </c>
      <c r="R56" s="14">
        <v>0.29405999999999999</v>
      </c>
      <c r="S56" s="14">
        <v>6.3407799999999996</v>
      </c>
      <c r="T56" s="14">
        <v>3.1739999999999997E-2</v>
      </c>
      <c r="U56" s="14">
        <v>6.1130199999999997</v>
      </c>
      <c r="V56" s="14">
        <v>4.1899899999999999</v>
      </c>
      <c r="W56" s="14">
        <v>0.51754</v>
      </c>
      <c r="X56" s="14">
        <v>1.3310200000000001</v>
      </c>
      <c r="Y56" s="14">
        <v>7.4480000000000005E-2</v>
      </c>
      <c r="Z56" s="14">
        <v>0</v>
      </c>
      <c r="AA56" s="14">
        <v>4.6519999999999999E-2</v>
      </c>
      <c r="AB56" s="14">
        <v>0.14949999999999999</v>
      </c>
      <c r="AC56" s="14">
        <v>0</v>
      </c>
      <c r="AD56" s="14">
        <v>2.74708</v>
      </c>
      <c r="AE56" s="14">
        <v>0.62722</v>
      </c>
      <c r="AF56" s="14">
        <v>1.47811</v>
      </c>
      <c r="AG56" s="14">
        <v>0.64175000000000004</v>
      </c>
      <c r="AH56" s="14">
        <v>0</v>
      </c>
      <c r="AI56" s="14">
        <v>0</v>
      </c>
      <c r="AJ56" s="14">
        <v>0</v>
      </c>
      <c r="AK56" s="14">
        <v>0.28464</v>
      </c>
      <c r="AL56" s="14">
        <v>0</v>
      </c>
      <c r="AM56" s="14">
        <v>0.28464</v>
      </c>
      <c r="AN56" s="14">
        <v>0</v>
      </c>
      <c r="AO56" s="14">
        <v>0.62492000000000003</v>
      </c>
      <c r="AP56" s="14">
        <v>0.55964999999999998</v>
      </c>
      <c r="AQ56" s="14">
        <v>6.5269999999999995E-2</v>
      </c>
      <c r="AR56" s="14">
        <v>0</v>
      </c>
      <c r="AS56" s="14">
        <v>6.0575200000000002</v>
      </c>
      <c r="AT56" s="14">
        <v>1.9512</v>
      </c>
      <c r="AU56" s="14">
        <v>1.35842</v>
      </c>
      <c r="AV56" s="14">
        <v>1.21072</v>
      </c>
      <c r="AW56" s="14">
        <v>8.8950000000000001E-2</v>
      </c>
      <c r="AX56" s="14">
        <v>3.0499999999999999E-2</v>
      </c>
      <c r="AY56" s="14">
        <v>2.8250000000000001E-2</v>
      </c>
      <c r="AZ56" s="14">
        <v>0.51305999999999996</v>
      </c>
      <c r="BA56" s="14">
        <v>0.51305999999999996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8.9899999999999997E-3</v>
      </c>
      <c r="BL56" s="14">
        <v>8.9899999999999997E-3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7.0730000000000001E-2</v>
      </c>
      <c r="BT56" s="14">
        <v>1.668E-2</v>
      </c>
      <c r="BU56" s="14">
        <v>3.7699999999999999E-3</v>
      </c>
      <c r="BV56" s="14">
        <v>5.0279999999999998E-2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7.2239999999999999E-2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4.62E-3</v>
      </c>
      <c r="DN56" s="14">
        <v>6.762E-2</v>
      </c>
      <c r="DO56" s="14">
        <v>0</v>
      </c>
      <c r="DP56" s="14">
        <v>0</v>
      </c>
      <c r="DQ56" s="14">
        <v>-5.6561300000000001</v>
      </c>
      <c r="DR56" s="14">
        <v>-5.5262700000000002</v>
      </c>
      <c r="DS56" s="14">
        <v>0</v>
      </c>
      <c r="DT56" s="14">
        <v>-5.2827200000000003</v>
      </c>
      <c r="DU56" s="14">
        <v>-0.24354000000000001</v>
      </c>
      <c r="DV56" s="14">
        <v>0.27178999999999998</v>
      </c>
      <c r="DW56" s="14">
        <v>0</v>
      </c>
      <c r="DX56" s="14">
        <v>0.13766999999999999</v>
      </c>
      <c r="DY56" s="14">
        <v>0.13411999999999999</v>
      </c>
      <c r="DZ56" s="14">
        <v>-0.31552999999999998</v>
      </c>
      <c r="EA56" s="14">
        <v>0</v>
      </c>
      <c r="EB56" s="14">
        <v>2.0699999999999998E-3</v>
      </c>
      <c r="EC56" s="14">
        <v>-0.31759999999999999</v>
      </c>
      <c r="ED56" s="14">
        <v>1.0840000000000001E-2</v>
      </c>
      <c r="EE56" s="14">
        <v>0</v>
      </c>
      <c r="EF56" s="14">
        <v>0</v>
      </c>
      <c r="EG56" s="14">
        <v>1.0840000000000001E-2</v>
      </c>
      <c r="EH56" s="14">
        <v>0.66469</v>
      </c>
      <c r="EI56" s="14">
        <v>0</v>
      </c>
      <c r="EJ56" s="14">
        <v>0</v>
      </c>
      <c r="EK56" s="14">
        <v>0.66469</v>
      </c>
      <c r="EL56" s="14">
        <v>0</v>
      </c>
      <c r="EM56" s="14">
        <v>0</v>
      </c>
      <c r="EN56" s="14">
        <v>0</v>
      </c>
      <c r="EO56" s="14">
        <v>0</v>
      </c>
      <c r="EP56" s="14">
        <v>-0.76166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13.1212</v>
      </c>
      <c r="FI56" s="14">
        <v>0.37463999999999997</v>
      </c>
      <c r="FJ56" s="14">
        <v>0</v>
      </c>
      <c r="FK56" s="14">
        <v>0</v>
      </c>
      <c r="FL56" s="14">
        <v>0</v>
      </c>
    </row>
    <row r="57" spans="1:168" ht="15" x14ac:dyDescent="0.25">
      <c r="A57" s="5" t="s">
        <v>187</v>
      </c>
      <c r="B57" s="5" t="s">
        <v>8</v>
      </c>
      <c r="C57" s="13">
        <v>0.14928</v>
      </c>
      <c r="D57" s="13">
        <v>0.14923</v>
      </c>
      <c r="E57" s="13">
        <v>2.1479999999999999E-2</v>
      </c>
      <c r="F57" s="13">
        <v>1.436E-2</v>
      </c>
      <c r="G57" s="13">
        <v>3.1E-4</v>
      </c>
      <c r="H57" s="13">
        <v>2.7999999999999998E-4</v>
      </c>
      <c r="I57" s="13">
        <v>3.0000000000000001E-5</v>
      </c>
      <c r="J57" s="13">
        <v>0</v>
      </c>
      <c r="K57" s="13">
        <v>1.4999999999999999E-4</v>
      </c>
      <c r="L57" s="13">
        <v>0</v>
      </c>
      <c r="M57" s="13">
        <v>0</v>
      </c>
      <c r="N57" s="13">
        <v>1.0000000000000001E-5</v>
      </c>
      <c r="O57" s="13">
        <v>0</v>
      </c>
      <c r="P57" s="13">
        <v>2.0000000000000002E-5</v>
      </c>
      <c r="Q57" s="13">
        <v>1E-4</v>
      </c>
      <c r="R57" s="13">
        <v>1.0000000000000001E-5</v>
      </c>
      <c r="S57" s="13">
        <v>4.4999999999999999E-4</v>
      </c>
      <c r="T57" s="13">
        <v>0</v>
      </c>
      <c r="U57" s="13">
        <v>4.2999999999999999E-4</v>
      </c>
      <c r="V57" s="13">
        <v>2.7E-4</v>
      </c>
      <c r="W57" s="13">
        <v>2.0000000000000002E-5</v>
      </c>
      <c r="X57" s="13">
        <v>6.9999999999999994E-5</v>
      </c>
      <c r="Y57" s="13">
        <v>6.9999999999999994E-5</v>
      </c>
      <c r="Z57" s="13">
        <v>0</v>
      </c>
      <c r="AA57" s="13">
        <v>0</v>
      </c>
      <c r="AB57" s="13">
        <v>1.0000000000000001E-5</v>
      </c>
      <c r="AC57" s="13">
        <v>0</v>
      </c>
      <c r="AD57" s="13">
        <v>1.346E-2</v>
      </c>
      <c r="AE57" s="13">
        <v>1.9000000000000001E-4</v>
      </c>
      <c r="AF57" s="13">
        <v>1.323E-2</v>
      </c>
      <c r="AG57" s="13">
        <v>4.0000000000000003E-5</v>
      </c>
      <c r="AH57" s="13">
        <v>0</v>
      </c>
      <c r="AI57" s="13">
        <v>0</v>
      </c>
      <c r="AJ57" s="13">
        <v>0</v>
      </c>
      <c r="AK57" s="13">
        <v>7.1199999999999996E-3</v>
      </c>
      <c r="AL57" s="13">
        <v>0</v>
      </c>
      <c r="AM57" s="13">
        <v>7.1199999999999996E-3</v>
      </c>
      <c r="AN57" s="13">
        <v>0</v>
      </c>
      <c r="AO57" s="13">
        <v>1.0000000000000001E-5</v>
      </c>
      <c r="AP57" s="13">
        <v>0</v>
      </c>
      <c r="AQ57" s="13">
        <v>1.0000000000000001E-5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5.6140000000000002E-2</v>
      </c>
      <c r="CM57" s="13">
        <v>3.9940000000000003E-2</v>
      </c>
      <c r="CN57" s="13">
        <v>3.2410000000000001E-2</v>
      </c>
      <c r="CO57" s="13">
        <v>5.0899999999999999E-3</v>
      </c>
      <c r="CP57" s="13">
        <v>1.57E-3</v>
      </c>
      <c r="CQ57" s="13">
        <v>8.7000000000000001E-4</v>
      </c>
      <c r="CR57" s="13">
        <v>1.6199999999999999E-2</v>
      </c>
      <c r="CS57" s="13">
        <v>8.3499999999999998E-3</v>
      </c>
      <c r="CT57" s="13">
        <v>1.3999999999999999E-4</v>
      </c>
      <c r="CU57" s="13">
        <v>7.1999999999999998E-3</v>
      </c>
      <c r="CV57" s="13">
        <v>5.1000000000000004E-4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5.0000000000000002E-5</v>
      </c>
      <c r="DR57" s="13">
        <v>3.0000000000000001E-5</v>
      </c>
      <c r="DS57" s="13">
        <v>0</v>
      </c>
      <c r="DT57" s="13">
        <v>3.0000000000000001E-5</v>
      </c>
      <c r="DU57" s="13">
        <v>1.0000000000000001E-5</v>
      </c>
      <c r="DV57" s="13">
        <v>0</v>
      </c>
      <c r="DW57" s="13">
        <v>0</v>
      </c>
      <c r="DX57" s="13">
        <v>0</v>
      </c>
      <c r="DY57" s="13">
        <v>0</v>
      </c>
      <c r="DZ57" s="13">
        <v>2.0000000000000002E-5</v>
      </c>
      <c r="EA57" s="13">
        <v>0</v>
      </c>
      <c r="EB57" s="13">
        <v>2.0000000000000002E-5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7.1609999999999993E-2</v>
      </c>
      <c r="ES57" s="13">
        <v>5.3100000000000001E-2</v>
      </c>
      <c r="ET57" s="13">
        <v>5.1979999999999998E-2</v>
      </c>
      <c r="EU57" s="13">
        <v>1.1199999999999999E-3</v>
      </c>
      <c r="EV57" s="13">
        <v>0</v>
      </c>
      <c r="EW57" s="13">
        <v>4.0999999999999999E-4</v>
      </c>
      <c r="EX57" s="13">
        <v>2.5999999999999998E-4</v>
      </c>
      <c r="EY57" s="13">
        <v>1.4999999999999999E-4</v>
      </c>
      <c r="EZ57" s="13">
        <v>2.5999999999999998E-4</v>
      </c>
      <c r="FA57" s="13">
        <v>0</v>
      </c>
      <c r="FB57" s="13">
        <v>2.5999999999999998E-4</v>
      </c>
      <c r="FC57" s="13">
        <v>1.7850000000000001E-2</v>
      </c>
      <c r="FD57" s="13">
        <v>1.3480000000000001E-2</v>
      </c>
      <c r="FE57" s="13">
        <v>4.3699999999999998E-3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</row>
    <row r="58" spans="1:168" ht="15" x14ac:dyDescent="0.25">
      <c r="A58" s="5" t="s">
        <v>187</v>
      </c>
      <c r="B58" s="5" t="s">
        <v>9</v>
      </c>
      <c r="C58" s="14">
        <v>5.96E-3</v>
      </c>
      <c r="D58" s="14">
        <v>5.3400000000000001E-3</v>
      </c>
      <c r="E58" s="14">
        <v>7.1000000000000002E-4</v>
      </c>
      <c r="F58" s="14">
        <v>7.1000000000000002E-4</v>
      </c>
      <c r="G58" s="14">
        <v>6.9999999999999994E-5</v>
      </c>
      <c r="H58" s="14">
        <v>6.9999999999999994E-5</v>
      </c>
      <c r="I58" s="14">
        <v>1.0000000000000001E-5</v>
      </c>
      <c r="J58" s="14">
        <v>0</v>
      </c>
      <c r="K58" s="14">
        <v>2.0000000000000002E-5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2.0000000000000002E-5</v>
      </c>
      <c r="R58" s="14">
        <v>0</v>
      </c>
      <c r="S58" s="14">
        <v>2.0000000000000001E-4</v>
      </c>
      <c r="T58" s="14">
        <v>0</v>
      </c>
      <c r="U58" s="14">
        <v>1.8000000000000001E-4</v>
      </c>
      <c r="V58" s="14">
        <v>1.2999999999999999E-4</v>
      </c>
      <c r="W58" s="14">
        <v>1.0000000000000001E-5</v>
      </c>
      <c r="X58" s="14">
        <v>4.0000000000000003E-5</v>
      </c>
      <c r="Y58" s="14">
        <v>0</v>
      </c>
      <c r="Z58" s="14">
        <v>0</v>
      </c>
      <c r="AA58" s="14">
        <v>2.0000000000000002E-5</v>
      </c>
      <c r="AB58" s="14">
        <v>0</v>
      </c>
      <c r="AC58" s="14">
        <v>0</v>
      </c>
      <c r="AD58" s="14">
        <v>4.0999999999999999E-4</v>
      </c>
      <c r="AE58" s="14">
        <v>0</v>
      </c>
      <c r="AF58" s="14">
        <v>1.8000000000000001E-4</v>
      </c>
      <c r="AG58" s="14">
        <v>2.3000000000000001E-4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2.0000000000000002E-5</v>
      </c>
      <c r="AP58" s="14">
        <v>2.0000000000000002E-5</v>
      </c>
      <c r="AQ58" s="14">
        <v>0</v>
      </c>
      <c r="AR58" s="14">
        <v>0</v>
      </c>
      <c r="AS58" s="14">
        <v>0</v>
      </c>
      <c r="AT58" s="14">
        <v>2.3000000000000001E-4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1.7000000000000001E-4</v>
      </c>
      <c r="BA58" s="14">
        <v>0</v>
      </c>
      <c r="BB58" s="14">
        <v>1.7000000000000001E-4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6.0000000000000002E-5</v>
      </c>
      <c r="CK58" s="14">
        <v>0</v>
      </c>
      <c r="CL58" s="14">
        <v>4.0499999999999998E-3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4.2000000000000002E-4</v>
      </c>
      <c r="CS58" s="14">
        <v>6.0000000000000002E-5</v>
      </c>
      <c r="CT58" s="14">
        <v>1.0000000000000001E-5</v>
      </c>
      <c r="CU58" s="14">
        <v>1.0000000000000001E-5</v>
      </c>
      <c r="CV58" s="14">
        <v>5.0000000000000002E-5</v>
      </c>
      <c r="CW58" s="14">
        <v>2.7999999999999998E-4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3.63E-3</v>
      </c>
      <c r="DD58" s="14">
        <v>2.7499999999999998E-3</v>
      </c>
      <c r="DE58" s="14">
        <v>8.7000000000000001E-4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6.2E-4</v>
      </c>
      <c r="DR58" s="14">
        <v>4.0000000000000003E-5</v>
      </c>
      <c r="DS58" s="14">
        <v>0</v>
      </c>
      <c r="DT58" s="14">
        <v>0</v>
      </c>
      <c r="DU58" s="14">
        <v>4.0000000000000003E-5</v>
      </c>
      <c r="DV58" s="14">
        <v>6.9999999999999994E-5</v>
      </c>
      <c r="DW58" s="14">
        <v>0</v>
      </c>
      <c r="DX58" s="14">
        <v>0</v>
      </c>
      <c r="DY58" s="14">
        <v>6.9999999999999994E-5</v>
      </c>
      <c r="DZ58" s="14">
        <v>1.8000000000000001E-4</v>
      </c>
      <c r="EA58" s="14">
        <v>0</v>
      </c>
      <c r="EB58" s="14">
        <v>0</v>
      </c>
      <c r="EC58" s="14">
        <v>1.8000000000000001E-4</v>
      </c>
      <c r="ED58" s="14">
        <v>0</v>
      </c>
      <c r="EE58" s="14">
        <v>0</v>
      </c>
      <c r="EF58" s="14">
        <v>0</v>
      </c>
      <c r="EG58" s="14">
        <v>0</v>
      </c>
      <c r="EH58" s="14">
        <v>3.3E-4</v>
      </c>
      <c r="EI58" s="14">
        <v>0</v>
      </c>
      <c r="EJ58" s="14">
        <v>0</v>
      </c>
      <c r="EK58" s="14">
        <v>3.3E-4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3.5E-4</v>
      </c>
      <c r="ES58" s="14">
        <v>0</v>
      </c>
      <c r="ET58" s="14">
        <v>0</v>
      </c>
      <c r="EU58" s="14">
        <v>0</v>
      </c>
      <c r="EV58" s="14">
        <v>0</v>
      </c>
      <c r="EW58" s="14">
        <v>2.0000000000000002E-5</v>
      </c>
      <c r="EX58" s="14">
        <v>2.0000000000000002E-5</v>
      </c>
      <c r="EY58" s="14">
        <v>0</v>
      </c>
      <c r="EZ58" s="14">
        <v>1.0000000000000001E-5</v>
      </c>
      <c r="FA58" s="14">
        <v>0</v>
      </c>
      <c r="FB58" s="14">
        <v>1.0000000000000001E-5</v>
      </c>
      <c r="FC58" s="14">
        <v>3.3E-4</v>
      </c>
      <c r="FD58" s="14">
        <v>3.3E-4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</row>
    <row r="59" spans="1:168" ht="15" x14ac:dyDescent="0.25">
      <c r="A59" s="5" t="s">
        <v>188</v>
      </c>
      <c r="B59" s="5" t="s">
        <v>6</v>
      </c>
      <c r="C59" s="13">
        <v>379.58510000000001</v>
      </c>
      <c r="D59" s="13">
        <v>429.15501</v>
      </c>
      <c r="E59" s="13">
        <v>346.47521999999998</v>
      </c>
      <c r="F59" s="13">
        <v>339.02573000000001</v>
      </c>
      <c r="G59" s="13">
        <v>95.838740000000001</v>
      </c>
      <c r="H59" s="13">
        <v>70.544709999999995</v>
      </c>
      <c r="I59" s="13">
        <v>19.825019999999999</v>
      </c>
      <c r="J59" s="13">
        <v>5.4690099999999999</v>
      </c>
      <c r="K59" s="13">
        <v>54.213389999999997</v>
      </c>
      <c r="L59" s="13">
        <v>10.26408</v>
      </c>
      <c r="M59" s="13">
        <v>1.1453899999999999</v>
      </c>
      <c r="N59" s="13">
        <v>11.64411</v>
      </c>
      <c r="O59" s="13">
        <v>4.9416399999999996</v>
      </c>
      <c r="P59" s="13">
        <v>3.7766500000000001</v>
      </c>
      <c r="Q59" s="13">
        <v>12.284979999999999</v>
      </c>
      <c r="R59" s="13">
        <v>10.15654</v>
      </c>
      <c r="S59" s="13">
        <v>105.10024</v>
      </c>
      <c r="T59" s="13">
        <v>2.3393700000000002</v>
      </c>
      <c r="U59" s="13">
        <v>96.732879999999994</v>
      </c>
      <c r="V59" s="13">
        <v>68.780079999999998</v>
      </c>
      <c r="W59" s="13">
        <v>8.2592199999999991</v>
      </c>
      <c r="X59" s="13">
        <v>17.324069999999999</v>
      </c>
      <c r="Y59" s="13">
        <v>2.3695200000000001</v>
      </c>
      <c r="Z59" s="13">
        <v>0</v>
      </c>
      <c r="AA59" s="13">
        <v>0.15307000000000001</v>
      </c>
      <c r="AB59" s="13">
        <v>5.0664600000000002</v>
      </c>
      <c r="AC59" s="13">
        <v>0.80847000000000002</v>
      </c>
      <c r="AD59" s="13">
        <v>83.522980000000004</v>
      </c>
      <c r="AE59" s="13">
        <v>25.34084</v>
      </c>
      <c r="AF59" s="13">
        <v>50.008580000000002</v>
      </c>
      <c r="AG59" s="13">
        <v>8.1735500000000005</v>
      </c>
      <c r="AH59" s="13">
        <v>0.35038000000000002</v>
      </c>
      <c r="AI59" s="13">
        <v>0</v>
      </c>
      <c r="AJ59" s="13">
        <v>0.35038000000000002</v>
      </c>
      <c r="AK59" s="13">
        <v>7.4494899999999999</v>
      </c>
      <c r="AL59" s="13">
        <v>3.8390000000000001E-2</v>
      </c>
      <c r="AM59" s="13">
        <v>7.4111000000000002</v>
      </c>
      <c r="AN59" s="13">
        <v>0</v>
      </c>
      <c r="AO59" s="13">
        <v>18.245049999999999</v>
      </c>
      <c r="AP59" s="13">
        <v>12.046559999999999</v>
      </c>
      <c r="AQ59" s="13">
        <v>6.1984899999999996</v>
      </c>
      <c r="AR59" s="13">
        <v>0</v>
      </c>
      <c r="AS59" s="13">
        <v>45.345950000000002</v>
      </c>
      <c r="AT59" s="13">
        <v>29.066389999999998</v>
      </c>
      <c r="AU59" s="13">
        <v>10.992330000000001</v>
      </c>
      <c r="AV59" s="13">
        <v>7.7567199999999996</v>
      </c>
      <c r="AW59" s="13">
        <v>1.9611099999999999</v>
      </c>
      <c r="AX59" s="13">
        <v>0.60394000000000003</v>
      </c>
      <c r="AY59" s="13">
        <v>0.67057</v>
      </c>
      <c r="AZ59" s="13">
        <v>3.0423100000000001</v>
      </c>
      <c r="BA59" s="13">
        <v>0.67876000000000003</v>
      </c>
      <c r="BB59" s="13">
        <v>4.9829999999999999E-2</v>
      </c>
      <c r="BC59" s="13">
        <v>5.876E-2</v>
      </c>
      <c r="BD59" s="13">
        <v>0</v>
      </c>
      <c r="BE59" s="13">
        <v>4.8900000000000002E-3</v>
      </c>
      <c r="BF59" s="13">
        <v>0</v>
      </c>
      <c r="BG59" s="13">
        <v>0.34605000000000002</v>
      </c>
      <c r="BH59" s="13">
        <v>0.54700000000000004</v>
      </c>
      <c r="BI59" s="13">
        <v>1.35701</v>
      </c>
      <c r="BJ59" s="13">
        <v>0</v>
      </c>
      <c r="BK59" s="13">
        <v>1.73472</v>
      </c>
      <c r="BL59" s="13">
        <v>1.4805299999999999</v>
      </c>
      <c r="BM59" s="13">
        <v>0</v>
      </c>
      <c r="BN59" s="13">
        <v>0</v>
      </c>
      <c r="BO59" s="13">
        <v>8.8400000000000006E-3</v>
      </c>
      <c r="BP59" s="13">
        <v>0</v>
      </c>
      <c r="BQ59" s="13">
        <v>0.24534</v>
      </c>
      <c r="BR59" s="13">
        <v>0</v>
      </c>
      <c r="BS59" s="13">
        <v>0.31204999999999999</v>
      </c>
      <c r="BT59" s="13">
        <v>0.23152</v>
      </c>
      <c r="BU59" s="13">
        <v>1.077E-2</v>
      </c>
      <c r="BV59" s="13">
        <v>6.9769999999999999E-2</v>
      </c>
      <c r="BW59" s="13">
        <v>0.24784</v>
      </c>
      <c r="BX59" s="13">
        <v>0.22509999999999999</v>
      </c>
      <c r="BY59" s="13">
        <v>0</v>
      </c>
      <c r="BZ59" s="13">
        <v>0</v>
      </c>
      <c r="CA59" s="13">
        <v>2.274E-2</v>
      </c>
      <c r="CB59" s="13">
        <v>0</v>
      </c>
      <c r="CC59" s="13">
        <v>11.82357</v>
      </c>
      <c r="CD59" s="13">
        <v>9.4468200000000007</v>
      </c>
      <c r="CE59" s="13">
        <v>0.49238999999999999</v>
      </c>
      <c r="CF59" s="13">
        <v>1.6507000000000001</v>
      </c>
      <c r="CG59" s="13">
        <v>0.23366999999999999</v>
      </c>
      <c r="CH59" s="13">
        <v>0</v>
      </c>
      <c r="CI59" s="13">
        <v>0</v>
      </c>
      <c r="CJ59" s="13">
        <v>0.91356999999999999</v>
      </c>
      <c r="CK59" s="13">
        <v>0</v>
      </c>
      <c r="CL59" s="13">
        <v>32.74765</v>
      </c>
      <c r="CM59" s="13">
        <v>14.61877</v>
      </c>
      <c r="CN59" s="13">
        <v>11.53439</v>
      </c>
      <c r="CO59" s="13">
        <v>1.49851</v>
      </c>
      <c r="CP59" s="13">
        <v>0.35666999999999999</v>
      </c>
      <c r="CQ59" s="13">
        <v>1.22919</v>
      </c>
      <c r="CR59" s="13">
        <v>6.6480699999999997</v>
      </c>
      <c r="CS59" s="13">
        <v>3.0720700000000001</v>
      </c>
      <c r="CT59" s="13">
        <v>7.6469999999999996E-2</v>
      </c>
      <c r="CU59" s="13">
        <v>2.1584599999999998</v>
      </c>
      <c r="CV59" s="13">
        <v>0.64607999999999999</v>
      </c>
      <c r="CW59" s="13">
        <v>0.69499999999999995</v>
      </c>
      <c r="CX59" s="13">
        <v>1.80325</v>
      </c>
      <c r="CY59" s="13">
        <v>1.80325</v>
      </c>
      <c r="CZ59" s="13">
        <v>0</v>
      </c>
      <c r="DA59" s="13">
        <v>0</v>
      </c>
      <c r="DB59" s="13">
        <v>0</v>
      </c>
      <c r="DC59" s="13">
        <v>9.2204300000000003</v>
      </c>
      <c r="DD59" s="13">
        <v>7.1090499999999999</v>
      </c>
      <c r="DE59" s="13">
        <v>2.11138</v>
      </c>
      <c r="DF59" s="13">
        <v>0</v>
      </c>
      <c r="DG59" s="13">
        <v>1.477E-2</v>
      </c>
      <c r="DH59" s="13">
        <v>1.477E-2</v>
      </c>
      <c r="DI59" s="13">
        <v>0</v>
      </c>
      <c r="DJ59" s="13">
        <v>0</v>
      </c>
      <c r="DK59" s="13">
        <v>0</v>
      </c>
      <c r="DL59" s="13">
        <v>0</v>
      </c>
      <c r="DM59" s="13">
        <v>1.545E-2</v>
      </c>
      <c r="DN59" s="13">
        <v>0.40526000000000001</v>
      </c>
      <c r="DO59" s="13">
        <v>2.1649999999999999E-2</v>
      </c>
      <c r="DP59" s="13">
        <v>0</v>
      </c>
      <c r="DQ59" s="13">
        <v>-49.56991</v>
      </c>
      <c r="DR59" s="13">
        <v>-47.599620000000002</v>
      </c>
      <c r="DS59" s="13">
        <v>0</v>
      </c>
      <c r="DT59" s="13">
        <v>-38.305100000000003</v>
      </c>
      <c r="DU59" s="13">
        <v>-9.2945200000000003</v>
      </c>
      <c r="DV59" s="13">
        <v>0.70784999999999998</v>
      </c>
      <c r="DW59" s="13">
        <v>0</v>
      </c>
      <c r="DX59" s="13">
        <v>-0.10124</v>
      </c>
      <c r="DY59" s="13">
        <v>0.80908999999999998</v>
      </c>
      <c r="DZ59" s="13">
        <v>-8.4544899999999998</v>
      </c>
      <c r="EA59" s="13">
        <v>0</v>
      </c>
      <c r="EB59" s="13">
        <v>-2.8495900000000001</v>
      </c>
      <c r="EC59" s="13">
        <v>-5.6048999999999998</v>
      </c>
      <c r="ED59" s="13">
        <v>3.1609999999999999E-2</v>
      </c>
      <c r="EE59" s="13">
        <v>0</v>
      </c>
      <c r="EF59" s="13">
        <v>0</v>
      </c>
      <c r="EG59" s="13">
        <v>3.1609999999999999E-2</v>
      </c>
      <c r="EH59" s="13">
        <v>5.4806299999999997</v>
      </c>
      <c r="EI59" s="13">
        <v>0</v>
      </c>
      <c r="EJ59" s="13">
        <v>0</v>
      </c>
      <c r="EK59" s="13">
        <v>5.4806299999999997</v>
      </c>
      <c r="EL59" s="13">
        <v>0</v>
      </c>
      <c r="EM59" s="13">
        <v>0</v>
      </c>
      <c r="EN59" s="13">
        <v>0</v>
      </c>
      <c r="EO59" s="13">
        <v>0</v>
      </c>
      <c r="EP59" s="13">
        <v>0.2641</v>
      </c>
      <c r="EQ59" s="13">
        <v>0</v>
      </c>
      <c r="ER59" s="13">
        <v>20.003</v>
      </c>
      <c r="ES59" s="13">
        <v>15.264530000000001</v>
      </c>
      <c r="ET59" s="13">
        <v>12.9207</v>
      </c>
      <c r="EU59" s="13">
        <v>2.3438400000000001</v>
      </c>
      <c r="EV59" s="13">
        <v>0</v>
      </c>
      <c r="EW59" s="13">
        <v>0.59099999999999997</v>
      </c>
      <c r="EX59" s="13">
        <v>0.58833000000000002</v>
      </c>
      <c r="EY59" s="13">
        <v>2.6700000000000001E-3</v>
      </c>
      <c r="EZ59" s="13">
        <v>0.18375</v>
      </c>
      <c r="FA59" s="13">
        <v>8.9840000000000003E-2</v>
      </c>
      <c r="FB59" s="13">
        <v>9.3909999999999993E-2</v>
      </c>
      <c r="FC59" s="13">
        <v>3.9637199999999999</v>
      </c>
      <c r="FD59" s="13">
        <v>2.3162199999999999</v>
      </c>
      <c r="FE59" s="13">
        <v>1.6475</v>
      </c>
      <c r="FF59" s="13">
        <v>0</v>
      </c>
      <c r="FG59" s="13">
        <v>0</v>
      </c>
      <c r="FH59" s="13">
        <v>2.92882</v>
      </c>
      <c r="FI59" s="13">
        <v>-0.23941000000000001</v>
      </c>
      <c r="FJ59" s="13">
        <v>-0.12581999999999999</v>
      </c>
      <c r="FK59" s="13">
        <v>0</v>
      </c>
      <c r="FL59" s="13">
        <v>0.86275999999999997</v>
      </c>
    </row>
    <row r="60" spans="1:168" ht="15" x14ac:dyDescent="0.25">
      <c r="A60" s="5" t="s">
        <v>188</v>
      </c>
      <c r="B60" s="5" t="s">
        <v>7</v>
      </c>
      <c r="C60" s="14">
        <v>299.82702999999998</v>
      </c>
      <c r="D60" s="14">
        <v>349.91111000000001</v>
      </c>
      <c r="E60" s="14">
        <v>333.95544999999998</v>
      </c>
      <c r="F60" s="14">
        <v>331.66030000000001</v>
      </c>
      <c r="G60" s="14">
        <v>95.334779999999995</v>
      </c>
      <c r="H60" s="14">
        <v>70.206919999999997</v>
      </c>
      <c r="I60" s="14">
        <v>19.691299999999998</v>
      </c>
      <c r="J60" s="14">
        <v>5.4365600000000001</v>
      </c>
      <c r="K60" s="14">
        <v>53.215769999999999</v>
      </c>
      <c r="L60" s="14">
        <v>10.165240000000001</v>
      </c>
      <c r="M60" s="14">
        <v>1.1396200000000001</v>
      </c>
      <c r="N60" s="14">
        <v>11.581950000000001</v>
      </c>
      <c r="O60" s="14">
        <v>4.9160000000000004</v>
      </c>
      <c r="P60" s="14">
        <v>3.5171100000000002</v>
      </c>
      <c r="Q60" s="14">
        <v>11.898569999999999</v>
      </c>
      <c r="R60" s="14">
        <v>9.9972799999999999</v>
      </c>
      <c r="S60" s="14">
        <v>104.04192</v>
      </c>
      <c r="T60" s="14">
        <v>2.3210700000000002</v>
      </c>
      <c r="U60" s="14">
        <v>95.772909999999996</v>
      </c>
      <c r="V60" s="14">
        <v>68.169150000000002</v>
      </c>
      <c r="W60" s="14">
        <v>8.1981000000000002</v>
      </c>
      <c r="X60" s="14">
        <v>17.105180000000001</v>
      </c>
      <c r="Y60" s="14">
        <v>2.3004799999999999</v>
      </c>
      <c r="Z60" s="14">
        <v>0</v>
      </c>
      <c r="AA60" s="14">
        <v>0.13839000000000001</v>
      </c>
      <c r="AB60" s="14">
        <v>5.0129900000000003</v>
      </c>
      <c r="AC60" s="14">
        <v>0.79656000000000005</v>
      </c>
      <c r="AD60" s="14">
        <v>78.727069999999998</v>
      </c>
      <c r="AE60" s="14">
        <v>24.89733</v>
      </c>
      <c r="AF60" s="14">
        <v>46.401319999999998</v>
      </c>
      <c r="AG60" s="14">
        <v>7.42842</v>
      </c>
      <c r="AH60" s="14">
        <v>0.34076000000000001</v>
      </c>
      <c r="AI60" s="14">
        <v>0</v>
      </c>
      <c r="AJ60" s="14">
        <v>0.34076000000000001</v>
      </c>
      <c r="AK60" s="14">
        <v>2.29515</v>
      </c>
      <c r="AL60" s="14">
        <v>0</v>
      </c>
      <c r="AM60" s="14">
        <v>2.29515</v>
      </c>
      <c r="AN60" s="14">
        <v>0</v>
      </c>
      <c r="AO60" s="14">
        <v>18.105699999999999</v>
      </c>
      <c r="AP60" s="14">
        <v>11.964449999999999</v>
      </c>
      <c r="AQ60" s="14">
        <v>6.1412500000000003</v>
      </c>
      <c r="AR60" s="14">
        <v>0</v>
      </c>
      <c r="AS60" s="14">
        <v>45.345950000000002</v>
      </c>
      <c r="AT60" s="14">
        <v>14.55951</v>
      </c>
      <c r="AU60" s="14">
        <v>10.992330000000001</v>
      </c>
      <c r="AV60" s="14">
        <v>7.7567199999999996</v>
      </c>
      <c r="AW60" s="14">
        <v>1.9611099999999999</v>
      </c>
      <c r="AX60" s="14">
        <v>0.60394000000000003</v>
      </c>
      <c r="AY60" s="14">
        <v>0.67057</v>
      </c>
      <c r="AZ60" s="14">
        <v>1.5736699999999999</v>
      </c>
      <c r="BA60" s="14">
        <v>0.67876000000000003</v>
      </c>
      <c r="BB60" s="14">
        <v>0</v>
      </c>
      <c r="BC60" s="14">
        <v>1.92E-3</v>
      </c>
      <c r="BD60" s="14">
        <v>0</v>
      </c>
      <c r="BE60" s="14">
        <v>4.8900000000000002E-3</v>
      </c>
      <c r="BF60" s="14">
        <v>0</v>
      </c>
      <c r="BG60" s="14">
        <v>0.34605000000000002</v>
      </c>
      <c r="BH60" s="14">
        <v>0.54203999999999997</v>
      </c>
      <c r="BI60" s="14">
        <v>0</v>
      </c>
      <c r="BJ60" s="14">
        <v>0</v>
      </c>
      <c r="BK60" s="14">
        <v>1.68146</v>
      </c>
      <c r="BL60" s="14">
        <v>1.43611</v>
      </c>
      <c r="BM60" s="14">
        <v>0</v>
      </c>
      <c r="BN60" s="14">
        <v>0</v>
      </c>
      <c r="BO60" s="14">
        <v>0</v>
      </c>
      <c r="BP60" s="14">
        <v>0</v>
      </c>
      <c r="BQ60" s="14">
        <v>0.24534</v>
      </c>
      <c r="BR60" s="14">
        <v>0</v>
      </c>
      <c r="BS60" s="14">
        <v>0.31204999999999999</v>
      </c>
      <c r="BT60" s="14">
        <v>0.23152</v>
      </c>
      <c r="BU60" s="14">
        <v>1.077E-2</v>
      </c>
      <c r="BV60" s="14">
        <v>6.9769999999999999E-2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0.44235999999999998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1.545E-2</v>
      </c>
      <c r="DN60" s="14">
        <v>0.40526000000000001</v>
      </c>
      <c r="DO60" s="14">
        <v>2.1649999999999999E-2</v>
      </c>
      <c r="DP60" s="14">
        <v>0</v>
      </c>
      <c r="DQ60" s="14">
        <v>-50.08408</v>
      </c>
      <c r="DR60" s="14">
        <v>-47.706490000000002</v>
      </c>
      <c r="DS60" s="14">
        <v>0</v>
      </c>
      <c r="DT60" s="14">
        <v>-38.39716</v>
      </c>
      <c r="DU60" s="14">
        <v>-9.3093299999999992</v>
      </c>
      <c r="DV60" s="14">
        <v>0.64751999999999998</v>
      </c>
      <c r="DW60" s="14">
        <v>0</v>
      </c>
      <c r="DX60" s="14">
        <v>-0.10218000000000001</v>
      </c>
      <c r="DY60" s="14">
        <v>0.74970000000000003</v>
      </c>
      <c r="DZ60" s="14">
        <v>-8.4794</v>
      </c>
      <c r="EA60" s="14">
        <v>0</v>
      </c>
      <c r="EB60" s="14">
        <v>-2.8744999999999998</v>
      </c>
      <c r="EC60" s="14">
        <v>-5.6048999999999998</v>
      </c>
      <c r="ED60" s="14">
        <v>3.1609999999999999E-2</v>
      </c>
      <c r="EE60" s="14">
        <v>0</v>
      </c>
      <c r="EF60" s="14">
        <v>0</v>
      </c>
      <c r="EG60" s="14">
        <v>3.1609999999999999E-2</v>
      </c>
      <c r="EH60" s="14">
        <v>5.1585700000000001</v>
      </c>
      <c r="EI60" s="14">
        <v>0</v>
      </c>
      <c r="EJ60" s="14">
        <v>0</v>
      </c>
      <c r="EK60" s="14">
        <v>5.1585700000000001</v>
      </c>
      <c r="EL60" s="14">
        <v>0</v>
      </c>
      <c r="EM60" s="14">
        <v>0</v>
      </c>
      <c r="EN60" s="14">
        <v>0</v>
      </c>
      <c r="EO60" s="14">
        <v>0</v>
      </c>
      <c r="EP60" s="14">
        <v>0.2641</v>
      </c>
      <c r="EQ60" s="14">
        <v>0</v>
      </c>
      <c r="ER60" s="14">
        <v>9.103E-2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9.103E-2</v>
      </c>
      <c r="FA60" s="14">
        <v>8.5949999999999999E-2</v>
      </c>
      <c r="FB60" s="14">
        <v>5.0800000000000003E-3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2.92882</v>
      </c>
      <c r="FI60" s="14">
        <v>-0.23941000000000001</v>
      </c>
      <c r="FJ60" s="14">
        <v>-0.12581999999999999</v>
      </c>
      <c r="FK60" s="14">
        <v>0</v>
      </c>
      <c r="FL60" s="14">
        <v>0.86275999999999997</v>
      </c>
    </row>
    <row r="61" spans="1:168" ht="15" x14ac:dyDescent="0.25">
      <c r="A61" s="5" t="s">
        <v>188</v>
      </c>
      <c r="B61" s="5" t="s">
        <v>8</v>
      </c>
      <c r="C61" s="13">
        <v>1.7165299999999999</v>
      </c>
      <c r="D61" s="13">
        <v>1.7134100000000001</v>
      </c>
      <c r="E61" s="13">
        <v>0.30009999999999998</v>
      </c>
      <c r="F61" s="13">
        <v>0.11632000000000001</v>
      </c>
      <c r="G61" s="13">
        <v>5.3200000000000001E-3</v>
      </c>
      <c r="H61" s="13">
        <v>4.13E-3</v>
      </c>
      <c r="I61" s="13">
        <v>4.2999999999999999E-4</v>
      </c>
      <c r="J61" s="13">
        <v>7.6999999999999996E-4</v>
      </c>
      <c r="K61" s="13">
        <v>1.0970000000000001E-2</v>
      </c>
      <c r="L61" s="13">
        <v>1.8E-3</v>
      </c>
      <c r="M61" s="13">
        <v>2.0000000000000002E-5</v>
      </c>
      <c r="N61" s="13">
        <v>3.3E-4</v>
      </c>
      <c r="O61" s="13">
        <v>1E-4</v>
      </c>
      <c r="P61" s="13">
        <v>7.6400000000000001E-3</v>
      </c>
      <c r="Q61" s="13">
        <v>8.3000000000000001E-4</v>
      </c>
      <c r="R61" s="13">
        <v>2.4000000000000001E-4</v>
      </c>
      <c r="S61" s="13">
        <v>6.9899999999999997E-3</v>
      </c>
      <c r="T61" s="13">
        <v>4.0000000000000003E-5</v>
      </c>
      <c r="U61" s="13">
        <v>6.1700000000000001E-3</v>
      </c>
      <c r="V61" s="13">
        <v>3.29E-3</v>
      </c>
      <c r="W61" s="13">
        <v>6.9999999999999994E-5</v>
      </c>
      <c r="X61" s="13">
        <v>7.6000000000000004E-4</v>
      </c>
      <c r="Y61" s="13">
        <v>2.0500000000000002E-3</v>
      </c>
      <c r="Z61" s="13">
        <v>0</v>
      </c>
      <c r="AA61" s="13">
        <v>1.0000000000000001E-5</v>
      </c>
      <c r="AB61" s="13">
        <v>7.3999999999999999E-4</v>
      </c>
      <c r="AC61" s="13">
        <v>3.0000000000000001E-5</v>
      </c>
      <c r="AD61" s="13">
        <v>9.2990000000000003E-2</v>
      </c>
      <c r="AE61" s="13">
        <v>4.5100000000000001E-3</v>
      </c>
      <c r="AF61" s="13">
        <v>8.5860000000000006E-2</v>
      </c>
      <c r="AG61" s="13">
        <v>2.6199999999999999E-3</v>
      </c>
      <c r="AH61" s="13">
        <v>4.0000000000000003E-5</v>
      </c>
      <c r="AI61" s="13">
        <v>0</v>
      </c>
      <c r="AJ61" s="13">
        <v>4.0000000000000003E-5</v>
      </c>
      <c r="AK61" s="13">
        <v>0.18378</v>
      </c>
      <c r="AL61" s="13">
        <v>1.3699999999999999E-3</v>
      </c>
      <c r="AM61" s="13">
        <v>0.18240999999999999</v>
      </c>
      <c r="AN61" s="13">
        <v>0</v>
      </c>
      <c r="AO61" s="13">
        <v>6.6E-4</v>
      </c>
      <c r="AP61" s="13">
        <v>8.0000000000000007E-5</v>
      </c>
      <c r="AQ61" s="13">
        <v>5.8E-4</v>
      </c>
      <c r="AR61" s="13">
        <v>0</v>
      </c>
      <c r="AS61" s="13">
        <v>0</v>
      </c>
      <c r="AT61" s="13">
        <v>1.7600000000000001E-3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1.8000000000000001E-4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1.8000000000000001E-4</v>
      </c>
      <c r="BI61" s="13">
        <v>0</v>
      </c>
      <c r="BJ61" s="13">
        <v>0</v>
      </c>
      <c r="BK61" s="13">
        <v>1.5900000000000001E-3</v>
      </c>
      <c r="BL61" s="13">
        <v>1.5900000000000001E-3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0.76100000000000001</v>
      </c>
      <c r="CM61" s="13">
        <v>0.52210000000000001</v>
      </c>
      <c r="CN61" s="13">
        <v>0.41193999999999997</v>
      </c>
      <c r="CO61" s="13">
        <v>5.3519999999999998E-2</v>
      </c>
      <c r="CP61" s="13">
        <v>1.274E-2</v>
      </c>
      <c r="CQ61" s="13">
        <v>4.3900000000000002E-2</v>
      </c>
      <c r="CR61" s="13">
        <v>0.17407</v>
      </c>
      <c r="CS61" s="13">
        <v>8.8200000000000001E-2</v>
      </c>
      <c r="CT61" s="13">
        <v>1.8699999999999999E-3</v>
      </c>
      <c r="CU61" s="13">
        <v>6.9610000000000005E-2</v>
      </c>
      <c r="CV61" s="13">
        <v>1.44E-2</v>
      </c>
      <c r="CW61" s="13">
        <v>0</v>
      </c>
      <c r="CX61" s="13">
        <v>6.4399999999999999E-2</v>
      </c>
      <c r="CY61" s="13">
        <v>6.4399999999999999E-2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4.2000000000000002E-4</v>
      </c>
      <c r="DH61" s="13">
        <v>4.2000000000000002E-4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3.1099999999999999E-3</v>
      </c>
      <c r="DR61" s="13">
        <v>2.5100000000000001E-3</v>
      </c>
      <c r="DS61" s="13">
        <v>0</v>
      </c>
      <c r="DT61" s="13">
        <v>2.16E-3</v>
      </c>
      <c r="DU61" s="13">
        <v>3.5E-4</v>
      </c>
      <c r="DV61" s="13">
        <v>2.0000000000000002E-5</v>
      </c>
      <c r="DW61" s="13">
        <v>0</v>
      </c>
      <c r="DX61" s="13">
        <v>2.0000000000000002E-5</v>
      </c>
      <c r="DY61" s="13">
        <v>0</v>
      </c>
      <c r="DZ61" s="13">
        <v>5.8E-4</v>
      </c>
      <c r="EA61" s="13">
        <v>0</v>
      </c>
      <c r="EB61" s="13">
        <v>5.8E-4</v>
      </c>
      <c r="EC61" s="13">
        <v>0</v>
      </c>
      <c r="ED61" s="13">
        <v>0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0.65054999999999996</v>
      </c>
      <c r="ES61" s="13">
        <v>0.54515999999999998</v>
      </c>
      <c r="ET61" s="13">
        <v>0.46145000000000003</v>
      </c>
      <c r="EU61" s="13">
        <v>8.3710000000000007E-2</v>
      </c>
      <c r="EV61" s="13">
        <v>0</v>
      </c>
      <c r="EW61" s="13">
        <v>4.7699999999999999E-3</v>
      </c>
      <c r="EX61" s="13">
        <v>4.6699999999999997E-3</v>
      </c>
      <c r="EY61" s="13">
        <v>1E-4</v>
      </c>
      <c r="EZ61" s="13">
        <v>2.5600000000000002E-3</v>
      </c>
      <c r="FA61" s="13">
        <v>1.0000000000000001E-5</v>
      </c>
      <c r="FB61" s="13">
        <v>2.5600000000000002E-3</v>
      </c>
      <c r="FC61" s="13">
        <v>9.8059999999999994E-2</v>
      </c>
      <c r="FD61" s="13">
        <v>4.0890000000000003E-2</v>
      </c>
      <c r="FE61" s="13">
        <v>5.7160000000000002E-2</v>
      </c>
      <c r="FF61" s="13">
        <v>0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0</v>
      </c>
    </row>
    <row r="62" spans="1:168" ht="15" x14ac:dyDescent="0.25">
      <c r="A62" s="5" t="s">
        <v>188</v>
      </c>
      <c r="B62" s="5" t="s">
        <v>9</v>
      </c>
      <c r="C62" s="14">
        <v>6.7339999999999997E-2</v>
      </c>
      <c r="D62" s="14">
        <v>6.5729999999999997E-2</v>
      </c>
      <c r="E62" s="14">
        <v>1.554E-2</v>
      </c>
      <c r="F62" s="14">
        <v>1.55E-2</v>
      </c>
      <c r="G62" s="14">
        <v>1.34E-3</v>
      </c>
      <c r="H62" s="14">
        <v>8.4000000000000003E-4</v>
      </c>
      <c r="I62" s="14">
        <v>4.6000000000000001E-4</v>
      </c>
      <c r="J62" s="14">
        <v>4.0000000000000003E-5</v>
      </c>
      <c r="K62" s="14">
        <v>2.6099999999999999E-3</v>
      </c>
      <c r="L62" s="14">
        <v>1.8000000000000001E-4</v>
      </c>
      <c r="M62" s="14">
        <v>2.0000000000000002E-5</v>
      </c>
      <c r="N62" s="14">
        <v>2.0000000000000001E-4</v>
      </c>
      <c r="O62" s="14">
        <v>9.0000000000000006E-5</v>
      </c>
      <c r="P62" s="14">
        <v>1.7000000000000001E-4</v>
      </c>
      <c r="Q62" s="14">
        <v>1.3699999999999999E-3</v>
      </c>
      <c r="R62" s="14">
        <v>5.8E-4</v>
      </c>
      <c r="S62" s="14">
        <v>3.2599999999999999E-3</v>
      </c>
      <c r="T62" s="14">
        <v>6.0000000000000002E-5</v>
      </c>
      <c r="U62" s="14">
        <v>2.97E-3</v>
      </c>
      <c r="V62" s="14">
        <v>1.9599999999999999E-3</v>
      </c>
      <c r="W62" s="14">
        <v>2.2000000000000001E-4</v>
      </c>
      <c r="X62" s="14">
        <v>7.5000000000000002E-4</v>
      </c>
      <c r="Y62" s="14">
        <v>4.0000000000000003E-5</v>
      </c>
      <c r="Z62" s="14">
        <v>0</v>
      </c>
      <c r="AA62" s="14">
        <v>5.0000000000000002E-5</v>
      </c>
      <c r="AB62" s="14">
        <v>1.2E-4</v>
      </c>
      <c r="AC62" s="14">
        <v>4.0000000000000003E-5</v>
      </c>
      <c r="AD62" s="14">
        <v>8.2699999999999996E-3</v>
      </c>
      <c r="AE62" s="14">
        <v>1.1999999999999999E-3</v>
      </c>
      <c r="AF62" s="14">
        <v>4.5399999999999998E-3</v>
      </c>
      <c r="AG62" s="14">
        <v>2.5300000000000001E-3</v>
      </c>
      <c r="AH62" s="14">
        <v>3.0000000000000001E-5</v>
      </c>
      <c r="AI62" s="14">
        <v>0</v>
      </c>
      <c r="AJ62" s="14">
        <v>3.0000000000000001E-5</v>
      </c>
      <c r="AK62" s="14">
        <v>3.0000000000000001E-5</v>
      </c>
      <c r="AL62" s="14">
        <v>0</v>
      </c>
      <c r="AM62" s="14">
        <v>3.0000000000000001E-5</v>
      </c>
      <c r="AN62" s="14">
        <v>0</v>
      </c>
      <c r="AO62" s="14">
        <v>4.6000000000000001E-4</v>
      </c>
      <c r="AP62" s="14">
        <v>2.9999999999999997E-4</v>
      </c>
      <c r="AQ62" s="14">
        <v>1.4999999999999999E-4</v>
      </c>
      <c r="AR62" s="14">
        <v>0</v>
      </c>
      <c r="AS62" s="14">
        <v>0</v>
      </c>
      <c r="AT62" s="14">
        <v>2.2899999999999999E-3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4.0000000000000002E-4</v>
      </c>
      <c r="BA62" s="14">
        <v>0</v>
      </c>
      <c r="BB62" s="14">
        <v>1.9000000000000001E-4</v>
      </c>
      <c r="BC62" s="14">
        <v>2.1000000000000001E-4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1.89E-3</v>
      </c>
      <c r="CK62" s="14">
        <v>0</v>
      </c>
      <c r="CL62" s="14">
        <v>4.1500000000000002E-2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6.6899999999999998E-3</v>
      </c>
      <c r="CS62" s="14">
        <v>2.2699999999999999E-3</v>
      </c>
      <c r="CT62" s="14">
        <v>9.0000000000000006E-5</v>
      </c>
      <c r="CU62" s="14">
        <v>7.9000000000000001E-4</v>
      </c>
      <c r="CV62" s="14">
        <v>9.2000000000000003E-4</v>
      </c>
      <c r="CW62" s="14">
        <v>2.6199999999999999E-3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3.4790000000000001E-2</v>
      </c>
      <c r="DD62" s="14">
        <v>2.683E-2</v>
      </c>
      <c r="DE62" s="14">
        <v>7.9699999999999997E-3</v>
      </c>
      <c r="DF62" s="14">
        <v>0</v>
      </c>
      <c r="DG62" s="14">
        <v>1.0000000000000001E-5</v>
      </c>
      <c r="DH62" s="14">
        <v>1.0000000000000001E-5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1.6100000000000001E-3</v>
      </c>
      <c r="DR62" s="14">
        <v>1.3999999999999999E-4</v>
      </c>
      <c r="DS62" s="14">
        <v>0</v>
      </c>
      <c r="DT62" s="14">
        <v>1.2E-4</v>
      </c>
      <c r="DU62" s="14">
        <v>2.0000000000000002E-5</v>
      </c>
      <c r="DV62" s="14">
        <v>2.3000000000000001E-4</v>
      </c>
      <c r="DW62" s="14">
        <v>0</v>
      </c>
      <c r="DX62" s="14">
        <v>0</v>
      </c>
      <c r="DY62" s="14">
        <v>2.2000000000000001E-4</v>
      </c>
      <c r="DZ62" s="14">
        <v>3.0000000000000001E-5</v>
      </c>
      <c r="EA62" s="14">
        <v>0</v>
      </c>
      <c r="EB62" s="14">
        <v>3.0000000000000001E-5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1.2199999999999999E-3</v>
      </c>
      <c r="EI62" s="14">
        <v>0</v>
      </c>
      <c r="EJ62" s="14">
        <v>0</v>
      </c>
      <c r="EK62" s="14">
        <v>1.2199999999999999E-3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6.4000000000000003E-3</v>
      </c>
      <c r="ES62" s="14">
        <v>0</v>
      </c>
      <c r="ET62" s="14">
        <v>0</v>
      </c>
      <c r="EU62" s="14">
        <v>0</v>
      </c>
      <c r="EV62" s="14">
        <v>0</v>
      </c>
      <c r="EW62" s="14">
        <v>1.73E-3</v>
      </c>
      <c r="EX62" s="14">
        <v>1.73E-3</v>
      </c>
      <c r="EY62" s="14">
        <v>0</v>
      </c>
      <c r="EZ62" s="14">
        <v>8.0000000000000007E-5</v>
      </c>
      <c r="FA62" s="14">
        <v>1.0000000000000001E-5</v>
      </c>
      <c r="FB62" s="14">
        <v>6.9999999999999994E-5</v>
      </c>
      <c r="FC62" s="14">
        <v>4.5999999999999999E-3</v>
      </c>
      <c r="FD62" s="14">
        <v>4.4200000000000003E-3</v>
      </c>
      <c r="FE62" s="14">
        <v>1.8000000000000001E-4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</row>
    <row r="63" spans="1:168" ht="15" x14ac:dyDescent="0.25">
      <c r="A63" s="5" t="s">
        <v>189</v>
      </c>
      <c r="B63" s="5" t="s">
        <v>6</v>
      </c>
      <c r="C63" s="13">
        <v>8.5235000000000003</v>
      </c>
      <c r="D63" s="13">
        <v>8.8258100000000006</v>
      </c>
      <c r="E63" s="13">
        <v>6.4950999999999999</v>
      </c>
      <c r="F63" s="13">
        <v>6.4950999999999999</v>
      </c>
      <c r="G63" s="13">
        <v>3.3530500000000001</v>
      </c>
      <c r="H63" s="13">
        <v>3.35284</v>
      </c>
      <c r="I63" s="13">
        <v>0</v>
      </c>
      <c r="J63" s="13">
        <v>2.1000000000000001E-4</v>
      </c>
      <c r="K63" s="13">
        <v>0.54630999999999996</v>
      </c>
      <c r="L63" s="13">
        <v>1E-4</v>
      </c>
      <c r="M63" s="13">
        <v>2.0899999999999998E-3</v>
      </c>
      <c r="N63" s="13">
        <v>7.8700000000000003E-3</v>
      </c>
      <c r="O63" s="13">
        <v>2.6099999999999999E-3</v>
      </c>
      <c r="P63" s="13">
        <v>6.5809999999999994E-2</v>
      </c>
      <c r="Q63" s="13">
        <v>0.41572999999999999</v>
      </c>
      <c r="R63" s="13">
        <v>5.2089999999999997E-2</v>
      </c>
      <c r="S63" s="13">
        <v>2.10541</v>
      </c>
      <c r="T63" s="13">
        <v>8.8000000000000003E-4</v>
      </c>
      <c r="U63" s="13">
        <v>2.1023499999999999</v>
      </c>
      <c r="V63" s="13">
        <v>1.3602799999999999</v>
      </c>
      <c r="W63" s="13">
        <v>0.48470000000000002</v>
      </c>
      <c r="X63" s="13">
        <v>0.14748</v>
      </c>
      <c r="Y63" s="13">
        <v>1.9890000000000001E-2</v>
      </c>
      <c r="Z63" s="13">
        <v>0.09</v>
      </c>
      <c r="AA63" s="13">
        <v>0</v>
      </c>
      <c r="AB63" s="13">
        <v>2.1800000000000001E-3</v>
      </c>
      <c r="AC63" s="13">
        <v>0</v>
      </c>
      <c r="AD63" s="13">
        <v>0.46359</v>
      </c>
      <c r="AE63" s="13">
        <v>9.103E-2</v>
      </c>
      <c r="AF63" s="13">
        <v>0.29321999999999998</v>
      </c>
      <c r="AG63" s="13">
        <v>7.9329999999999998E-2</v>
      </c>
      <c r="AH63" s="13">
        <v>2.674E-2</v>
      </c>
      <c r="AI63" s="13">
        <v>2.2200000000000001E-2</v>
      </c>
      <c r="AJ63" s="13">
        <v>4.5399999999999998E-3</v>
      </c>
      <c r="AK63" s="13">
        <v>0</v>
      </c>
      <c r="AL63" s="13">
        <v>0</v>
      </c>
      <c r="AM63" s="13">
        <v>0</v>
      </c>
      <c r="AN63" s="13">
        <v>0</v>
      </c>
      <c r="AO63" s="13">
        <v>1.9060900000000001</v>
      </c>
      <c r="AP63" s="13">
        <v>1.0386</v>
      </c>
      <c r="AQ63" s="13">
        <v>0.86748999999999998</v>
      </c>
      <c r="AR63" s="13">
        <v>0</v>
      </c>
      <c r="AS63" s="13">
        <v>0.31475999999999998</v>
      </c>
      <c r="AT63" s="13">
        <v>1.1983699999999999</v>
      </c>
      <c r="AU63" s="13">
        <v>0.86824000000000001</v>
      </c>
      <c r="AV63" s="13">
        <v>0.84816000000000003</v>
      </c>
      <c r="AW63" s="13">
        <v>5.3299999999999997E-3</v>
      </c>
      <c r="AX63" s="13">
        <v>0</v>
      </c>
      <c r="AY63" s="13">
        <v>1.474E-2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2.4399999999999999E-3</v>
      </c>
      <c r="BT63" s="13">
        <v>2.0699999999999998E-3</v>
      </c>
      <c r="BU63" s="13">
        <v>6.0000000000000002E-5</v>
      </c>
      <c r="BV63" s="13">
        <v>3.1E-4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0.30582999999999999</v>
      </c>
      <c r="CD63" s="13">
        <v>0.29259000000000002</v>
      </c>
      <c r="CE63" s="13">
        <v>1.14E-3</v>
      </c>
      <c r="CF63" s="13">
        <v>8.8000000000000005E-3</v>
      </c>
      <c r="CG63" s="13">
        <v>3.29E-3</v>
      </c>
      <c r="CH63" s="13">
        <v>0</v>
      </c>
      <c r="CI63" s="13">
        <v>0</v>
      </c>
      <c r="CJ63" s="13">
        <v>2.1870000000000001E-2</v>
      </c>
      <c r="CK63" s="13">
        <v>0</v>
      </c>
      <c r="CL63" s="13">
        <v>0.48179</v>
      </c>
      <c r="CM63" s="13">
        <v>0.29298999999999997</v>
      </c>
      <c r="CN63" s="13">
        <v>0.17251</v>
      </c>
      <c r="CO63" s="13">
        <v>6.966E-2</v>
      </c>
      <c r="CP63" s="13">
        <v>1.521E-2</v>
      </c>
      <c r="CQ63" s="13">
        <v>3.5610000000000003E-2</v>
      </c>
      <c r="CR63" s="13">
        <v>0.13950000000000001</v>
      </c>
      <c r="CS63" s="13">
        <v>3.5139999999999998E-2</v>
      </c>
      <c r="CT63" s="13">
        <v>1.55E-2</v>
      </c>
      <c r="CU63" s="13">
        <v>4.3869999999999999E-2</v>
      </c>
      <c r="CV63" s="13">
        <v>1.8700000000000001E-2</v>
      </c>
      <c r="CW63" s="13">
        <v>2.6290000000000001E-2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4.87E-2</v>
      </c>
      <c r="DD63" s="13">
        <v>3.2259999999999997E-2</v>
      </c>
      <c r="DE63" s="13">
        <v>1.644E-2</v>
      </c>
      <c r="DF63" s="13">
        <v>0</v>
      </c>
      <c r="DG63" s="13">
        <v>3.8000000000000002E-4</v>
      </c>
      <c r="DH63" s="13">
        <v>3.4000000000000002E-4</v>
      </c>
      <c r="DI63" s="13">
        <v>1.0000000000000001E-5</v>
      </c>
      <c r="DJ63" s="13">
        <v>3.0000000000000001E-5</v>
      </c>
      <c r="DK63" s="13">
        <v>0</v>
      </c>
      <c r="DL63" s="13">
        <v>0</v>
      </c>
      <c r="DM63" s="13">
        <v>0</v>
      </c>
      <c r="DN63" s="13">
        <v>2.2000000000000001E-4</v>
      </c>
      <c r="DO63" s="13">
        <v>0</v>
      </c>
      <c r="DP63" s="13">
        <v>0</v>
      </c>
      <c r="DQ63" s="13">
        <v>-0.30231000000000002</v>
      </c>
      <c r="DR63" s="13">
        <v>-0.18013999999999999</v>
      </c>
      <c r="DS63" s="13">
        <v>0</v>
      </c>
      <c r="DT63" s="13">
        <v>-0.16672999999999999</v>
      </c>
      <c r="DU63" s="13">
        <v>-1.34E-2</v>
      </c>
      <c r="DV63" s="13">
        <v>-0.12909000000000001</v>
      </c>
      <c r="DW63" s="13">
        <v>0</v>
      </c>
      <c r="DX63" s="13">
        <v>-0.13556000000000001</v>
      </c>
      <c r="DY63" s="13">
        <v>6.4700000000000001E-3</v>
      </c>
      <c r="DZ63" s="13">
        <v>-2.0889999999999999E-2</v>
      </c>
      <c r="EA63" s="13">
        <v>0</v>
      </c>
      <c r="EB63" s="13">
        <v>-2.1899999999999999E-2</v>
      </c>
      <c r="EC63" s="13">
        <v>1.0200000000000001E-3</v>
      </c>
      <c r="ED63" s="13">
        <v>4.6999999999999999E-4</v>
      </c>
      <c r="EE63" s="13">
        <v>0</v>
      </c>
      <c r="EF63" s="13">
        <v>0</v>
      </c>
      <c r="EG63" s="13">
        <v>4.6999999999999999E-4</v>
      </c>
      <c r="EH63" s="13">
        <v>5.0299999999999997E-3</v>
      </c>
      <c r="EI63" s="13">
        <v>0</v>
      </c>
      <c r="EJ63" s="13">
        <v>0</v>
      </c>
      <c r="EK63" s="13">
        <v>5.0299999999999997E-3</v>
      </c>
      <c r="EL63" s="13">
        <v>6.0000000000000002E-5</v>
      </c>
      <c r="EM63" s="13">
        <v>6.0000000000000002E-5</v>
      </c>
      <c r="EN63" s="13">
        <v>1.0000000000000001E-5</v>
      </c>
      <c r="EO63" s="13">
        <v>0</v>
      </c>
      <c r="EP63" s="13">
        <v>2.2239999999999999E-2</v>
      </c>
      <c r="EQ63" s="13">
        <v>0</v>
      </c>
      <c r="ER63" s="13">
        <v>0.64332999999999996</v>
      </c>
      <c r="ES63" s="13">
        <v>0.55450999999999995</v>
      </c>
      <c r="ET63" s="13">
        <v>9.3340000000000006E-2</v>
      </c>
      <c r="EU63" s="13">
        <v>0.46116000000000001</v>
      </c>
      <c r="EV63" s="13">
        <v>0</v>
      </c>
      <c r="EW63" s="13">
        <v>1.511E-2</v>
      </c>
      <c r="EX63" s="13">
        <v>1.504E-2</v>
      </c>
      <c r="EY63" s="13">
        <v>6.9999999999999994E-5</v>
      </c>
      <c r="EZ63" s="13">
        <v>0</v>
      </c>
      <c r="FA63" s="13">
        <v>0</v>
      </c>
      <c r="FB63" s="13">
        <v>0</v>
      </c>
      <c r="FC63" s="13">
        <v>7.3719999999999994E-2</v>
      </c>
      <c r="FD63" s="13">
        <v>3.9030000000000002E-2</v>
      </c>
      <c r="FE63" s="13">
        <v>3.4689999999999999E-2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7.2199999999999999E-3</v>
      </c>
    </row>
    <row r="64" spans="1:168" ht="15" x14ac:dyDescent="0.25">
      <c r="A64" s="5" t="s">
        <v>189</v>
      </c>
      <c r="B64" s="5" t="s">
        <v>7</v>
      </c>
      <c r="C64" s="14">
        <v>7.0271699999999999</v>
      </c>
      <c r="D64" s="14">
        <v>7.3314199999999996</v>
      </c>
      <c r="E64" s="14">
        <v>6.4533100000000001</v>
      </c>
      <c r="F64" s="14">
        <v>6.4533100000000001</v>
      </c>
      <c r="G64" s="14">
        <v>3.3423600000000002</v>
      </c>
      <c r="H64" s="14">
        <v>3.3423600000000002</v>
      </c>
      <c r="I64" s="14">
        <v>0</v>
      </c>
      <c r="J64" s="14">
        <v>0</v>
      </c>
      <c r="K64" s="14">
        <v>0.54047000000000001</v>
      </c>
      <c r="L64" s="14">
        <v>1E-4</v>
      </c>
      <c r="M64" s="14">
        <v>2.0799999999999998E-3</v>
      </c>
      <c r="N64" s="14">
        <v>7.8200000000000006E-3</v>
      </c>
      <c r="O64" s="14">
        <v>2.5999999999999999E-3</v>
      </c>
      <c r="P64" s="14">
        <v>6.5509999999999999E-2</v>
      </c>
      <c r="Q64" s="14">
        <v>0.41042000000000001</v>
      </c>
      <c r="R64" s="14">
        <v>5.1929999999999997E-2</v>
      </c>
      <c r="S64" s="14">
        <v>2.0920299999999998</v>
      </c>
      <c r="T64" s="14">
        <v>8.8000000000000003E-4</v>
      </c>
      <c r="U64" s="14">
        <v>2.089</v>
      </c>
      <c r="V64" s="14">
        <v>1.3518399999999999</v>
      </c>
      <c r="W64" s="14">
        <v>0.48191000000000001</v>
      </c>
      <c r="X64" s="14">
        <v>0.14649000000000001</v>
      </c>
      <c r="Y64" s="14">
        <v>1.9269999999999999E-2</v>
      </c>
      <c r="Z64" s="14">
        <v>8.949E-2</v>
      </c>
      <c r="AA64" s="14">
        <v>0</v>
      </c>
      <c r="AB64" s="14">
        <v>2.14E-3</v>
      </c>
      <c r="AC64" s="14">
        <v>0</v>
      </c>
      <c r="AD64" s="14">
        <v>0.45185999999999998</v>
      </c>
      <c r="AE64" s="14">
        <v>8.8599999999999998E-2</v>
      </c>
      <c r="AF64" s="14">
        <v>0.28448000000000001</v>
      </c>
      <c r="AG64" s="14">
        <v>7.8780000000000003E-2</v>
      </c>
      <c r="AH64" s="14">
        <v>2.6589999999999999E-2</v>
      </c>
      <c r="AI64" s="14">
        <v>2.2079999999999999E-2</v>
      </c>
      <c r="AJ64" s="14">
        <v>4.5199999999999997E-3</v>
      </c>
      <c r="AK64" s="14">
        <v>0</v>
      </c>
      <c r="AL64" s="14">
        <v>0</v>
      </c>
      <c r="AM64" s="14">
        <v>0</v>
      </c>
      <c r="AN64" s="14">
        <v>0</v>
      </c>
      <c r="AO64" s="14">
        <v>1.88794</v>
      </c>
      <c r="AP64" s="14">
        <v>1.0307500000000001</v>
      </c>
      <c r="AQ64" s="14">
        <v>0.85719000000000001</v>
      </c>
      <c r="AR64" s="14">
        <v>0</v>
      </c>
      <c r="AS64" s="14">
        <v>0.31475999999999998</v>
      </c>
      <c r="AT64" s="14">
        <v>0.87067000000000005</v>
      </c>
      <c r="AU64" s="14">
        <v>0.86824000000000001</v>
      </c>
      <c r="AV64" s="14">
        <v>0.84816000000000003</v>
      </c>
      <c r="AW64" s="14">
        <v>5.3299999999999997E-3</v>
      </c>
      <c r="AX64" s="14">
        <v>0</v>
      </c>
      <c r="AY64" s="14">
        <v>1.474E-2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2.4399999999999999E-3</v>
      </c>
      <c r="BT64" s="14">
        <v>2.0699999999999998E-3</v>
      </c>
      <c r="BU64" s="14">
        <v>6.0000000000000002E-5</v>
      </c>
      <c r="BV64" s="14">
        <v>3.1E-4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2.2000000000000001E-4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2.2000000000000001E-4</v>
      </c>
      <c r="DO64" s="14">
        <v>0</v>
      </c>
      <c r="DP64" s="14">
        <v>0</v>
      </c>
      <c r="DQ64" s="14">
        <v>-0.30425000000000002</v>
      </c>
      <c r="DR64" s="14">
        <v>-0.18089</v>
      </c>
      <c r="DS64" s="14">
        <v>0</v>
      </c>
      <c r="DT64" s="14">
        <v>-0.16749</v>
      </c>
      <c r="DU64" s="14">
        <v>-1.34E-2</v>
      </c>
      <c r="DV64" s="14">
        <v>-0.12927</v>
      </c>
      <c r="DW64" s="14">
        <v>0</v>
      </c>
      <c r="DX64" s="14">
        <v>-0.13556000000000001</v>
      </c>
      <c r="DY64" s="14">
        <v>6.2899999999999996E-3</v>
      </c>
      <c r="DZ64" s="14">
        <v>-2.0889999999999999E-2</v>
      </c>
      <c r="EA64" s="14">
        <v>0</v>
      </c>
      <c r="EB64" s="14">
        <v>-2.1899999999999999E-2</v>
      </c>
      <c r="EC64" s="14">
        <v>1.0200000000000001E-3</v>
      </c>
      <c r="ED64" s="14">
        <v>4.6999999999999999E-4</v>
      </c>
      <c r="EE64" s="14">
        <v>0</v>
      </c>
      <c r="EF64" s="14">
        <v>0</v>
      </c>
      <c r="EG64" s="14">
        <v>4.6999999999999999E-4</v>
      </c>
      <c r="EH64" s="14">
        <v>4.0299999999999997E-3</v>
      </c>
      <c r="EI64" s="14">
        <v>0</v>
      </c>
      <c r="EJ64" s="14">
        <v>0</v>
      </c>
      <c r="EK64" s="14">
        <v>4.0299999999999997E-3</v>
      </c>
      <c r="EL64" s="14">
        <v>6.0000000000000002E-5</v>
      </c>
      <c r="EM64" s="14">
        <v>6.0000000000000002E-5</v>
      </c>
      <c r="EN64" s="14">
        <v>0</v>
      </c>
      <c r="EO64" s="14">
        <v>0</v>
      </c>
      <c r="EP64" s="14">
        <v>2.2239999999999999E-2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7.2199999999999999E-3</v>
      </c>
    </row>
    <row r="65" spans="1:168" ht="15" x14ac:dyDescent="0.25">
      <c r="A65" s="5" t="s">
        <v>189</v>
      </c>
      <c r="B65" s="5" t="s">
        <v>8</v>
      </c>
      <c r="C65" s="13">
        <v>3.6150000000000002E-2</v>
      </c>
      <c r="D65" s="13">
        <v>3.6130000000000002E-2</v>
      </c>
      <c r="E65" s="13">
        <v>6.9999999999999999E-4</v>
      </c>
      <c r="F65" s="13">
        <v>6.9999999999999999E-4</v>
      </c>
      <c r="G65" s="13">
        <v>1.2999999999999999E-4</v>
      </c>
      <c r="H65" s="13">
        <v>1.2999999999999999E-4</v>
      </c>
      <c r="I65" s="13">
        <v>0</v>
      </c>
      <c r="J65" s="13">
        <v>0</v>
      </c>
      <c r="K65" s="13">
        <v>9.0000000000000006E-5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8.0000000000000007E-5</v>
      </c>
      <c r="R65" s="13">
        <v>0</v>
      </c>
      <c r="S65" s="13">
        <v>1.2E-4</v>
      </c>
      <c r="T65" s="13">
        <v>0</v>
      </c>
      <c r="U65" s="13">
        <v>1.2E-4</v>
      </c>
      <c r="V65" s="13">
        <v>9.0000000000000006E-5</v>
      </c>
      <c r="W65" s="13">
        <v>0</v>
      </c>
      <c r="X65" s="13">
        <v>1.0000000000000001E-5</v>
      </c>
      <c r="Y65" s="13">
        <v>2.0000000000000002E-5</v>
      </c>
      <c r="Z65" s="13">
        <v>0</v>
      </c>
      <c r="AA65" s="13">
        <v>0</v>
      </c>
      <c r="AB65" s="13">
        <v>0</v>
      </c>
      <c r="AC65" s="13">
        <v>0</v>
      </c>
      <c r="AD65" s="13">
        <v>3.6000000000000002E-4</v>
      </c>
      <c r="AE65" s="13">
        <v>8.0000000000000007E-5</v>
      </c>
      <c r="AF65" s="13">
        <v>2.7E-4</v>
      </c>
      <c r="AG65" s="13">
        <v>1.0000000000000001E-5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6.9999999999999994E-5</v>
      </c>
      <c r="AP65" s="13">
        <v>1.0000000000000001E-5</v>
      </c>
      <c r="AQ65" s="13">
        <v>6.0000000000000002E-5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1.316E-2</v>
      </c>
      <c r="CM65" s="13">
        <v>1.0460000000000001E-2</v>
      </c>
      <c r="CN65" s="13">
        <v>6.1599999999999997E-3</v>
      </c>
      <c r="CO65" s="13">
        <v>2.49E-3</v>
      </c>
      <c r="CP65" s="13">
        <v>5.4000000000000001E-4</v>
      </c>
      <c r="CQ65" s="13">
        <v>1.2700000000000001E-3</v>
      </c>
      <c r="CR65" s="13">
        <v>2.6800000000000001E-3</v>
      </c>
      <c r="CS65" s="13">
        <v>9.3000000000000005E-4</v>
      </c>
      <c r="CT65" s="13">
        <v>9.0000000000000006E-5</v>
      </c>
      <c r="CU65" s="13">
        <v>1.5399999999999999E-3</v>
      </c>
      <c r="CV65" s="13">
        <v>1.2999999999999999E-4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1.0000000000000001E-5</v>
      </c>
      <c r="DH65" s="13">
        <v>1.0000000000000001E-5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2.0000000000000002E-5</v>
      </c>
      <c r="DR65" s="13">
        <v>2.0000000000000002E-5</v>
      </c>
      <c r="DS65" s="13">
        <v>0</v>
      </c>
      <c r="DT65" s="13">
        <v>2.0000000000000002E-5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0</v>
      </c>
      <c r="EQ65" s="13">
        <v>0</v>
      </c>
      <c r="ER65" s="13">
        <v>2.2270000000000002E-2</v>
      </c>
      <c r="ES65" s="13">
        <v>1.9800000000000002E-2</v>
      </c>
      <c r="ET65" s="13">
        <v>3.3300000000000001E-3</v>
      </c>
      <c r="EU65" s="13">
        <v>1.6469999999999999E-2</v>
      </c>
      <c r="EV65" s="13">
        <v>0</v>
      </c>
      <c r="EW65" s="13">
        <v>3.5E-4</v>
      </c>
      <c r="EX65" s="13">
        <v>3.4000000000000002E-4</v>
      </c>
      <c r="EY65" s="13">
        <v>0</v>
      </c>
      <c r="EZ65" s="13">
        <v>0</v>
      </c>
      <c r="FA65" s="13">
        <v>0</v>
      </c>
      <c r="FB65" s="13">
        <v>0</v>
      </c>
      <c r="FC65" s="13">
        <v>2.1199999999999999E-3</v>
      </c>
      <c r="FD65" s="13">
        <v>8.8999999999999995E-4</v>
      </c>
      <c r="FE65" s="13">
        <v>1.23E-3</v>
      </c>
      <c r="FF65" s="13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</row>
    <row r="66" spans="1:168" ht="15" x14ac:dyDescent="0.25">
      <c r="A66" s="5" t="s">
        <v>189</v>
      </c>
      <c r="B66" s="5" t="s">
        <v>9</v>
      </c>
      <c r="C66" s="14">
        <v>6.0999999999999997E-4</v>
      </c>
      <c r="D66" s="14">
        <v>6.0999999999999997E-4</v>
      </c>
      <c r="E66" s="14">
        <v>8.0000000000000007E-5</v>
      </c>
      <c r="F66" s="14">
        <v>8.0000000000000007E-5</v>
      </c>
      <c r="G66" s="14">
        <v>3.0000000000000001E-5</v>
      </c>
      <c r="H66" s="14">
        <v>3.0000000000000001E-5</v>
      </c>
      <c r="I66" s="14">
        <v>0</v>
      </c>
      <c r="J66" s="14">
        <v>0</v>
      </c>
      <c r="K66" s="14">
        <v>1.0000000000000001E-5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1.0000000000000001E-5</v>
      </c>
      <c r="R66" s="14">
        <v>0</v>
      </c>
      <c r="S66" s="14">
        <v>4.0000000000000003E-5</v>
      </c>
      <c r="T66" s="14">
        <v>0</v>
      </c>
      <c r="U66" s="14">
        <v>4.0000000000000003E-5</v>
      </c>
      <c r="V66" s="14">
        <v>2.0000000000000002E-5</v>
      </c>
      <c r="W66" s="14">
        <v>1.0000000000000001E-5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1.0000000000000001E-5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6.0000000000000002E-5</v>
      </c>
      <c r="AP66" s="14">
        <v>3.0000000000000001E-5</v>
      </c>
      <c r="AQ66" s="14">
        <v>3.0000000000000001E-5</v>
      </c>
      <c r="AR66" s="14">
        <v>0</v>
      </c>
      <c r="AS66" s="14">
        <v>0</v>
      </c>
      <c r="AT66" s="14">
        <v>2.0000000000000002E-5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2.0000000000000002E-5</v>
      </c>
      <c r="CK66" s="14">
        <v>0</v>
      </c>
      <c r="CL66" s="14">
        <v>4.2999999999999999E-4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2.4000000000000001E-4</v>
      </c>
      <c r="CS66" s="14">
        <v>3.0000000000000001E-5</v>
      </c>
      <c r="CT66" s="14">
        <v>5.0000000000000002E-5</v>
      </c>
      <c r="CU66" s="14">
        <v>0</v>
      </c>
      <c r="CV66" s="14">
        <v>6.0000000000000002E-5</v>
      </c>
      <c r="CW66" s="14">
        <v>1E-4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1.8000000000000001E-4</v>
      </c>
      <c r="DD66" s="14">
        <v>1.2E-4</v>
      </c>
      <c r="DE66" s="14">
        <v>6.0000000000000002E-5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1.0000000000000001E-5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6.9999999999999994E-5</v>
      </c>
      <c r="ES66" s="14">
        <v>0</v>
      </c>
      <c r="ET66" s="14">
        <v>0</v>
      </c>
      <c r="EU66" s="14">
        <v>0</v>
      </c>
      <c r="EV66" s="14">
        <v>0</v>
      </c>
      <c r="EW66" s="14">
        <v>2.0000000000000002E-5</v>
      </c>
      <c r="EX66" s="14">
        <v>2.0000000000000002E-5</v>
      </c>
      <c r="EY66" s="14">
        <v>0</v>
      </c>
      <c r="EZ66" s="14">
        <v>0</v>
      </c>
      <c r="FA66" s="14">
        <v>0</v>
      </c>
      <c r="FB66" s="14">
        <v>0</v>
      </c>
      <c r="FC66" s="14">
        <v>5.0000000000000002E-5</v>
      </c>
      <c r="FD66" s="14">
        <v>5.0000000000000002E-5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</row>
    <row r="67" spans="1:168" ht="15" x14ac:dyDescent="0.25">
      <c r="A67" s="5" t="s">
        <v>190</v>
      </c>
      <c r="B67" s="5" t="s">
        <v>6</v>
      </c>
      <c r="C67" s="13">
        <v>10.7935</v>
      </c>
      <c r="D67" s="13">
        <v>11.275550000000001</v>
      </c>
      <c r="E67" s="13">
        <v>7.6875099999999996</v>
      </c>
      <c r="F67" s="13">
        <v>7.5856399999999997</v>
      </c>
      <c r="G67" s="13">
        <v>1.93187</v>
      </c>
      <c r="H67" s="13">
        <v>1.87947</v>
      </c>
      <c r="I67" s="13">
        <v>0</v>
      </c>
      <c r="J67" s="13">
        <v>5.2400000000000002E-2</v>
      </c>
      <c r="K67" s="13">
        <v>0.75463000000000002</v>
      </c>
      <c r="L67" s="13">
        <v>2.5000000000000001E-4</v>
      </c>
      <c r="M67" s="13">
        <v>1.49E-3</v>
      </c>
      <c r="N67" s="13">
        <v>3.8710000000000001E-2</v>
      </c>
      <c r="O67" s="13">
        <v>6.1500000000000001E-3</v>
      </c>
      <c r="P67" s="13">
        <v>9.2310000000000003E-2</v>
      </c>
      <c r="Q67" s="13">
        <v>0.33267000000000002</v>
      </c>
      <c r="R67" s="13">
        <v>0.28305000000000002</v>
      </c>
      <c r="S67" s="13">
        <v>3.33243</v>
      </c>
      <c r="T67" s="13">
        <v>1.14E-3</v>
      </c>
      <c r="U67" s="13">
        <v>3.12358</v>
      </c>
      <c r="V67" s="13">
        <v>1.63862</v>
      </c>
      <c r="W67" s="13">
        <v>0.36543999999999999</v>
      </c>
      <c r="X67" s="13">
        <v>1.1141700000000001</v>
      </c>
      <c r="Y67" s="13">
        <v>5.3499999999999997E-3</v>
      </c>
      <c r="Z67" s="13">
        <v>0</v>
      </c>
      <c r="AA67" s="13">
        <v>0.18514</v>
      </c>
      <c r="AB67" s="13">
        <v>2.257E-2</v>
      </c>
      <c r="AC67" s="13">
        <v>0</v>
      </c>
      <c r="AD67" s="13">
        <v>1.54667</v>
      </c>
      <c r="AE67" s="13">
        <v>0.43121999999999999</v>
      </c>
      <c r="AF67" s="13">
        <v>0.63673000000000002</v>
      </c>
      <c r="AG67" s="13">
        <v>0.47871999999999998</v>
      </c>
      <c r="AH67" s="13">
        <v>2.0039999999999999E-2</v>
      </c>
      <c r="AI67" s="13">
        <v>0</v>
      </c>
      <c r="AJ67" s="13">
        <v>2.0039999999999999E-2</v>
      </c>
      <c r="AK67" s="13">
        <v>0.10188</v>
      </c>
      <c r="AL67" s="13">
        <v>0</v>
      </c>
      <c r="AM67" s="13">
        <v>0.10188</v>
      </c>
      <c r="AN67" s="13">
        <v>0</v>
      </c>
      <c r="AO67" s="13">
        <v>0.60418000000000005</v>
      </c>
      <c r="AP67" s="13">
        <v>0.47177000000000002</v>
      </c>
      <c r="AQ67" s="13">
        <v>0.13241</v>
      </c>
      <c r="AR67" s="13">
        <v>0</v>
      </c>
      <c r="AS67" s="13">
        <v>6.9984599999999997</v>
      </c>
      <c r="AT67" s="13">
        <v>0.88990000000000002</v>
      </c>
      <c r="AU67" s="13">
        <v>0.56162000000000001</v>
      </c>
      <c r="AV67" s="13">
        <v>0.55093000000000003</v>
      </c>
      <c r="AW67" s="13">
        <v>0</v>
      </c>
      <c r="AX67" s="13">
        <v>7.5000000000000002E-4</v>
      </c>
      <c r="AY67" s="13">
        <v>9.9399999999999992E-3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5.4309999999999997E-2</v>
      </c>
      <c r="BT67" s="13">
        <v>1.536E-2</v>
      </c>
      <c r="BU67" s="13">
        <v>5.7999999999999996E-3</v>
      </c>
      <c r="BV67" s="13">
        <v>3.3140000000000003E-2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0.25914999999999999</v>
      </c>
      <c r="CD67" s="13">
        <v>0.25407999999999997</v>
      </c>
      <c r="CE67" s="13">
        <v>5.9000000000000003E-4</v>
      </c>
      <c r="CF67" s="13">
        <v>1.0000000000000001E-5</v>
      </c>
      <c r="CG67" s="13">
        <v>4.4799999999999996E-3</v>
      </c>
      <c r="CH67" s="13">
        <v>0</v>
      </c>
      <c r="CI67" s="13">
        <v>0</v>
      </c>
      <c r="CJ67" s="13">
        <v>1.482E-2</v>
      </c>
      <c r="CK67" s="13">
        <v>0</v>
      </c>
      <c r="CL67" s="13">
        <v>2.0964100000000001</v>
      </c>
      <c r="CM67" s="13">
        <v>0.95193000000000005</v>
      </c>
      <c r="CN67" s="13">
        <v>0.89966000000000002</v>
      </c>
      <c r="CO67" s="13">
        <v>2.4039999999999999E-2</v>
      </c>
      <c r="CP67" s="13">
        <v>1.281E-2</v>
      </c>
      <c r="CQ67" s="13">
        <v>1.5429999999999999E-2</v>
      </c>
      <c r="CR67" s="13">
        <v>0.16891999999999999</v>
      </c>
      <c r="CS67" s="13">
        <v>0.10618</v>
      </c>
      <c r="CT67" s="13">
        <v>2.8999999999999998E-3</v>
      </c>
      <c r="CU67" s="13">
        <v>2.487E-2</v>
      </c>
      <c r="CV67" s="13">
        <v>1.069E-2</v>
      </c>
      <c r="CW67" s="13">
        <v>2.4279999999999999E-2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0.93108000000000002</v>
      </c>
      <c r="DD67" s="13">
        <v>0.79179999999999995</v>
      </c>
      <c r="DE67" s="13">
        <v>0.13927999999999999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3.4380000000000001E-2</v>
      </c>
      <c r="DN67" s="13">
        <v>1.0109999999999999E-2</v>
      </c>
      <c r="DO67" s="13">
        <v>0</v>
      </c>
      <c r="DP67" s="13">
        <v>0</v>
      </c>
      <c r="DQ67" s="13">
        <v>-0.48204999999999998</v>
      </c>
      <c r="DR67" s="13">
        <v>-3.89351</v>
      </c>
      <c r="DS67" s="13">
        <v>0.87322</v>
      </c>
      <c r="DT67" s="13">
        <v>-3.7164799999999998</v>
      </c>
      <c r="DU67" s="13">
        <v>-0.17702999999999999</v>
      </c>
      <c r="DV67" s="13">
        <v>1.5966899999999999</v>
      </c>
      <c r="DW67" s="13">
        <v>0.13420000000000001</v>
      </c>
      <c r="DX67" s="13">
        <v>1.3500799999999999</v>
      </c>
      <c r="DY67" s="13">
        <v>0.24661</v>
      </c>
      <c r="DZ67" s="13">
        <v>1.5916399999999999</v>
      </c>
      <c r="EA67" s="13">
        <v>0.27001999999999998</v>
      </c>
      <c r="EB67" s="13">
        <v>0.68515999999999999</v>
      </c>
      <c r="EC67" s="13">
        <v>0.90647</v>
      </c>
      <c r="ED67" s="13">
        <v>1.74586</v>
      </c>
      <c r="EE67" s="13">
        <v>1.56575</v>
      </c>
      <c r="EF67" s="13">
        <v>1.72357</v>
      </c>
      <c r="EG67" s="13">
        <v>2.2290000000000001E-2</v>
      </c>
      <c r="EH67" s="13">
        <v>0.77395000000000003</v>
      </c>
      <c r="EI67" s="13">
        <v>0</v>
      </c>
      <c r="EJ67" s="13">
        <v>5.1319999999999998E-2</v>
      </c>
      <c r="EK67" s="13">
        <v>0.72262999999999999</v>
      </c>
      <c r="EL67" s="13">
        <v>0</v>
      </c>
      <c r="EM67" s="13">
        <v>0</v>
      </c>
      <c r="EN67" s="13">
        <v>0</v>
      </c>
      <c r="EO67" s="13">
        <v>0</v>
      </c>
      <c r="EP67" s="13">
        <v>-2.2966899999999999</v>
      </c>
      <c r="EQ67" s="13">
        <v>0</v>
      </c>
      <c r="ER67" s="13">
        <v>0.58986000000000005</v>
      </c>
      <c r="ES67" s="13">
        <v>0.3896</v>
      </c>
      <c r="ET67" s="13">
        <v>0.22708</v>
      </c>
      <c r="EU67" s="13">
        <v>0.16252</v>
      </c>
      <c r="EV67" s="13">
        <v>0</v>
      </c>
      <c r="EW67" s="13">
        <v>7.0550000000000002E-2</v>
      </c>
      <c r="EX67" s="13">
        <v>4.8890000000000003E-2</v>
      </c>
      <c r="EY67" s="13">
        <v>2.1659999999999999E-2</v>
      </c>
      <c r="EZ67" s="13">
        <v>4.0000000000000002E-4</v>
      </c>
      <c r="FA67" s="13">
        <v>4.0000000000000002E-4</v>
      </c>
      <c r="FB67" s="13">
        <v>0</v>
      </c>
      <c r="FC67" s="13">
        <v>0.1293</v>
      </c>
      <c r="FD67" s="13">
        <v>0.12675</v>
      </c>
      <c r="FE67" s="13">
        <v>2.5600000000000002E-3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1.187E-2</v>
      </c>
    </row>
    <row r="68" spans="1:168" ht="15" x14ac:dyDescent="0.25">
      <c r="A68" s="5" t="s">
        <v>190</v>
      </c>
      <c r="B68" s="5" t="s">
        <v>7</v>
      </c>
      <c r="C68" s="14">
        <v>5.96408</v>
      </c>
      <c r="D68" s="14">
        <v>7.8550599999999999</v>
      </c>
      <c r="E68" s="14">
        <v>7.1823800000000002</v>
      </c>
      <c r="F68" s="14">
        <v>7.1823699999999997</v>
      </c>
      <c r="G68" s="14">
        <v>1.8933199999999999</v>
      </c>
      <c r="H68" s="14">
        <v>1.84171</v>
      </c>
      <c r="I68" s="14">
        <v>0</v>
      </c>
      <c r="J68" s="14">
        <v>5.1610000000000003E-2</v>
      </c>
      <c r="K68" s="14">
        <v>0.70421</v>
      </c>
      <c r="L68" s="14">
        <v>2.5000000000000001E-4</v>
      </c>
      <c r="M68" s="14">
        <v>1.49E-3</v>
      </c>
      <c r="N68" s="14">
        <v>3.8379999999999997E-2</v>
      </c>
      <c r="O68" s="14">
        <v>6.13E-3</v>
      </c>
      <c r="P68" s="14">
        <v>9.1219999999999996E-2</v>
      </c>
      <c r="Q68" s="14">
        <v>0.32600000000000001</v>
      </c>
      <c r="R68" s="14">
        <v>0.24074000000000001</v>
      </c>
      <c r="S68" s="14">
        <v>3.2817500000000002</v>
      </c>
      <c r="T68" s="14">
        <v>1.1299999999999999E-3</v>
      </c>
      <c r="U68" s="14">
        <v>3.0928599999999999</v>
      </c>
      <c r="V68" s="14">
        <v>1.6227</v>
      </c>
      <c r="W68" s="14">
        <v>0.36248000000000002</v>
      </c>
      <c r="X68" s="14">
        <v>1.1024400000000001</v>
      </c>
      <c r="Y68" s="14">
        <v>5.2300000000000003E-3</v>
      </c>
      <c r="Z68" s="14">
        <v>0</v>
      </c>
      <c r="AA68" s="14">
        <v>0.16738</v>
      </c>
      <c r="AB68" s="14">
        <v>2.0389999999999998E-2</v>
      </c>
      <c r="AC68" s="14">
        <v>0</v>
      </c>
      <c r="AD68" s="14">
        <v>1.2832300000000001</v>
      </c>
      <c r="AE68" s="14">
        <v>0.38517000000000001</v>
      </c>
      <c r="AF68" s="14">
        <v>0.46553</v>
      </c>
      <c r="AG68" s="14">
        <v>0.43253000000000003</v>
      </c>
      <c r="AH68" s="14">
        <v>1.985E-2</v>
      </c>
      <c r="AI68" s="14">
        <v>0</v>
      </c>
      <c r="AJ68" s="14">
        <v>1.985E-2</v>
      </c>
      <c r="AK68" s="14">
        <v>1.0000000000000001E-5</v>
      </c>
      <c r="AL68" s="14">
        <v>0</v>
      </c>
      <c r="AM68" s="14">
        <v>1.0000000000000001E-5</v>
      </c>
      <c r="AN68" s="14">
        <v>0</v>
      </c>
      <c r="AO68" s="14">
        <v>0.58781000000000005</v>
      </c>
      <c r="AP68" s="14">
        <v>0.46778999999999998</v>
      </c>
      <c r="AQ68" s="14">
        <v>0.12002</v>
      </c>
      <c r="AR68" s="14">
        <v>0</v>
      </c>
      <c r="AS68" s="14">
        <v>6.9984599999999997</v>
      </c>
      <c r="AT68" s="14">
        <v>0.61592999999999998</v>
      </c>
      <c r="AU68" s="14">
        <v>0.56162000000000001</v>
      </c>
      <c r="AV68" s="14">
        <v>0.55093000000000003</v>
      </c>
      <c r="AW68" s="14">
        <v>0</v>
      </c>
      <c r="AX68" s="14">
        <v>7.5000000000000002E-4</v>
      </c>
      <c r="AY68" s="14">
        <v>9.9399999999999992E-3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5.4309999999999997E-2</v>
      </c>
      <c r="BT68" s="14">
        <v>1.536E-2</v>
      </c>
      <c r="BU68" s="14">
        <v>5.7999999999999996E-3</v>
      </c>
      <c r="BV68" s="14">
        <v>3.3140000000000003E-2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4.4490000000000002E-2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3.4380000000000001E-2</v>
      </c>
      <c r="DN68" s="14">
        <v>1.0109999999999999E-2</v>
      </c>
      <c r="DO68" s="14">
        <v>0</v>
      </c>
      <c r="DP68" s="14">
        <v>0</v>
      </c>
      <c r="DQ68" s="14">
        <v>-1.8909800000000001</v>
      </c>
      <c r="DR68" s="14">
        <v>-4.7217900000000004</v>
      </c>
      <c r="DS68" s="14">
        <v>9.783E-2</v>
      </c>
      <c r="DT68" s="14">
        <v>-4.5436399999999999</v>
      </c>
      <c r="DU68" s="14">
        <v>-0.17815</v>
      </c>
      <c r="DV68" s="14">
        <v>1.46231</v>
      </c>
      <c r="DW68" s="14">
        <v>0</v>
      </c>
      <c r="DX68" s="14">
        <v>1.23492</v>
      </c>
      <c r="DY68" s="14">
        <v>0.22739000000000001</v>
      </c>
      <c r="DZ68" s="14">
        <v>1.32124</v>
      </c>
      <c r="EA68" s="14">
        <v>0</v>
      </c>
      <c r="EB68" s="14">
        <v>0.55918000000000001</v>
      </c>
      <c r="EC68" s="14">
        <v>0.76205999999999996</v>
      </c>
      <c r="ED68" s="14">
        <v>1.6615599999999999</v>
      </c>
      <c r="EE68" s="14">
        <v>1.4814400000000001</v>
      </c>
      <c r="EF68" s="14">
        <v>1.67242</v>
      </c>
      <c r="EG68" s="14">
        <v>-1.086E-2</v>
      </c>
      <c r="EH68" s="14">
        <v>0.68239000000000005</v>
      </c>
      <c r="EI68" s="14">
        <v>0</v>
      </c>
      <c r="EJ68" s="14">
        <v>4.582E-2</v>
      </c>
      <c r="EK68" s="14">
        <v>0.63656999999999997</v>
      </c>
      <c r="EL68" s="14">
        <v>0</v>
      </c>
      <c r="EM68" s="14">
        <v>0</v>
      </c>
      <c r="EN68" s="14">
        <v>0</v>
      </c>
      <c r="EO68" s="14">
        <v>0</v>
      </c>
      <c r="EP68" s="14">
        <v>-2.2966899999999999</v>
      </c>
      <c r="EQ68" s="14">
        <v>0</v>
      </c>
      <c r="ER68" s="14">
        <v>4.0000000000000002E-4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4.0000000000000002E-4</v>
      </c>
      <c r="FA68" s="14">
        <v>4.0000000000000002E-4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1.187E-2</v>
      </c>
    </row>
    <row r="69" spans="1:168" ht="15" x14ac:dyDescent="0.25">
      <c r="A69" s="5" t="s">
        <v>190</v>
      </c>
      <c r="B69" s="5" t="s">
        <v>8</v>
      </c>
      <c r="C69" s="13">
        <v>9.9180000000000004E-2</v>
      </c>
      <c r="D69" s="13">
        <v>6.8769999999999998E-2</v>
      </c>
      <c r="E69" s="13">
        <v>1.1900000000000001E-2</v>
      </c>
      <c r="F69" s="13">
        <v>8.26E-3</v>
      </c>
      <c r="G69" s="13">
        <v>6.0999999999999997E-4</v>
      </c>
      <c r="H69" s="13">
        <v>5.9999999999999995E-4</v>
      </c>
      <c r="I69" s="13">
        <v>0</v>
      </c>
      <c r="J69" s="13">
        <v>1.0000000000000001E-5</v>
      </c>
      <c r="K69" s="13">
        <v>5.9999999999999995E-4</v>
      </c>
      <c r="L69" s="13">
        <v>0</v>
      </c>
      <c r="M69" s="13">
        <v>0</v>
      </c>
      <c r="N69" s="13">
        <v>1.0000000000000001E-5</v>
      </c>
      <c r="O69" s="13">
        <v>0</v>
      </c>
      <c r="P69" s="13">
        <v>2.0000000000000002E-5</v>
      </c>
      <c r="Q69" s="13">
        <v>1E-4</v>
      </c>
      <c r="R69" s="13">
        <v>4.6999999999999999E-4</v>
      </c>
      <c r="S69" s="13">
        <v>1.6000000000000001E-4</v>
      </c>
      <c r="T69" s="13">
        <v>0</v>
      </c>
      <c r="U69" s="13">
        <v>1.4999999999999999E-4</v>
      </c>
      <c r="V69" s="13">
        <v>1E-4</v>
      </c>
      <c r="W69" s="13">
        <v>0</v>
      </c>
      <c r="X69" s="13">
        <v>5.0000000000000002E-5</v>
      </c>
      <c r="Y69" s="13">
        <v>0</v>
      </c>
      <c r="Z69" s="13">
        <v>0</v>
      </c>
      <c r="AA69" s="13">
        <v>1.0000000000000001E-5</v>
      </c>
      <c r="AB69" s="13">
        <v>0</v>
      </c>
      <c r="AC69" s="13">
        <v>0</v>
      </c>
      <c r="AD69" s="13">
        <v>6.8900000000000003E-3</v>
      </c>
      <c r="AE69" s="13">
        <v>1.2099999999999999E-3</v>
      </c>
      <c r="AF69" s="13">
        <v>5.4099999999999999E-3</v>
      </c>
      <c r="AG69" s="13">
        <v>2.5999999999999998E-4</v>
      </c>
      <c r="AH69" s="13">
        <v>0</v>
      </c>
      <c r="AI69" s="13">
        <v>0</v>
      </c>
      <c r="AJ69" s="13">
        <v>0</v>
      </c>
      <c r="AK69" s="13">
        <v>3.64E-3</v>
      </c>
      <c r="AL69" s="13">
        <v>0</v>
      </c>
      <c r="AM69" s="13">
        <v>3.64E-3</v>
      </c>
      <c r="AN69" s="13">
        <v>0</v>
      </c>
      <c r="AO69" s="13">
        <v>1.0000000000000001E-5</v>
      </c>
      <c r="AP69" s="13">
        <v>0</v>
      </c>
      <c r="AQ69" s="13">
        <v>1.0000000000000001E-5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3.7600000000000001E-2</v>
      </c>
      <c r="CM69" s="13">
        <v>3.4000000000000002E-2</v>
      </c>
      <c r="CN69" s="13">
        <v>3.2129999999999999E-2</v>
      </c>
      <c r="CO69" s="13">
        <v>8.5999999999999998E-4</v>
      </c>
      <c r="CP69" s="13">
        <v>4.6000000000000001E-4</v>
      </c>
      <c r="CQ69" s="13">
        <v>5.5000000000000003E-4</v>
      </c>
      <c r="CR69" s="13">
        <v>3.5999999999999999E-3</v>
      </c>
      <c r="CS69" s="13">
        <v>2.64E-3</v>
      </c>
      <c r="CT69" s="13">
        <v>2.0000000000000002E-5</v>
      </c>
      <c r="CU69" s="13">
        <v>7.3999999999999999E-4</v>
      </c>
      <c r="CV69" s="13">
        <v>1.9000000000000001E-4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3.0419999999999999E-2</v>
      </c>
      <c r="DR69" s="13">
        <v>1.3180000000000001E-2</v>
      </c>
      <c r="DS69" s="13">
        <v>1.145E-2</v>
      </c>
      <c r="DT69" s="13">
        <v>1.3180000000000001E-2</v>
      </c>
      <c r="DU69" s="13">
        <v>0</v>
      </c>
      <c r="DV69" s="13">
        <v>4.79E-3</v>
      </c>
      <c r="DW69" s="13">
        <v>4.79E-3</v>
      </c>
      <c r="DX69" s="13">
        <v>4.1099999999999999E-3</v>
      </c>
      <c r="DY69" s="13">
        <v>6.8000000000000005E-4</v>
      </c>
      <c r="DZ69" s="13">
        <v>9.6500000000000006E-3</v>
      </c>
      <c r="EA69" s="13">
        <v>9.6399999999999993E-3</v>
      </c>
      <c r="EB69" s="13">
        <v>4.4900000000000001E-3</v>
      </c>
      <c r="EC69" s="13">
        <v>5.1599999999999997E-3</v>
      </c>
      <c r="ED69" s="13">
        <v>2.7899999999999999E-3</v>
      </c>
      <c r="EE69" s="13">
        <v>2.7899999999999999E-3</v>
      </c>
      <c r="EF69" s="13">
        <v>1.6100000000000001E-3</v>
      </c>
      <c r="EG69" s="13">
        <v>1.1800000000000001E-3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0</v>
      </c>
      <c r="EQ69" s="13">
        <v>0</v>
      </c>
      <c r="ER69" s="13">
        <v>1.9269999999999999E-2</v>
      </c>
      <c r="ES69" s="13">
        <v>1.391E-2</v>
      </c>
      <c r="ET69" s="13">
        <v>8.1099999999999992E-3</v>
      </c>
      <c r="EU69" s="13">
        <v>5.7999999999999996E-3</v>
      </c>
      <c r="EV69" s="13">
        <v>0</v>
      </c>
      <c r="EW69" s="13">
        <v>1.89E-3</v>
      </c>
      <c r="EX69" s="13">
        <v>1.1100000000000001E-3</v>
      </c>
      <c r="EY69" s="13">
        <v>7.6999999999999996E-4</v>
      </c>
      <c r="EZ69" s="13">
        <v>0</v>
      </c>
      <c r="FA69" s="13">
        <v>0</v>
      </c>
      <c r="FB69" s="13">
        <v>0</v>
      </c>
      <c r="FC69" s="13">
        <v>3.47E-3</v>
      </c>
      <c r="FD69" s="13">
        <v>3.3800000000000002E-3</v>
      </c>
      <c r="FE69" s="13">
        <v>9.0000000000000006E-5</v>
      </c>
      <c r="FF69" s="13">
        <v>0</v>
      </c>
      <c r="FG69" s="13">
        <v>0</v>
      </c>
      <c r="FH69" s="13">
        <v>0</v>
      </c>
      <c r="FI69" s="13">
        <v>0</v>
      </c>
      <c r="FJ69" s="13">
        <v>0</v>
      </c>
      <c r="FK69" s="13">
        <v>0</v>
      </c>
      <c r="FL69" s="13">
        <v>0</v>
      </c>
    </row>
    <row r="70" spans="1:168" ht="15" x14ac:dyDescent="0.25">
      <c r="A70" s="5" t="s">
        <v>190</v>
      </c>
      <c r="B70" s="5" t="s">
        <v>9</v>
      </c>
      <c r="C70" s="14">
        <v>6.7299999999999999E-3</v>
      </c>
      <c r="D70" s="14">
        <v>4.62E-3</v>
      </c>
      <c r="E70" s="14">
        <v>6.4999999999999997E-4</v>
      </c>
      <c r="F70" s="14">
        <v>6.4999999999999997E-4</v>
      </c>
      <c r="G70" s="14">
        <v>8.0000000000000007E-5</v>
      </c>
      <c r="H70" s="14">
        <v>8.0000000000000007E-5</v>
      </c>
      <c r="I70" s="14">
        <v>0</v>
      </c>
      <c r="J70" s="14">
        <v>0</v>
      </c>
      <c r="K70" s="14">
        <v>1.2999999999999999E-4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1.0000000000000001E-5</v>
      </c>
      <c r="R70" s="14">
        <v>1.1E-4</v>
      </c>
      <c r="S70" s="14">
        <v>1.7000000000000001E-4</v>
      </c>
      <c r="T70" s="14">
        <v>0</v>
      </c>
      <c r="U70" s="14">
        <v>1E-4</v>
      </c>
      <c r="V70" s="14">
        <v>5.0000000000000002E-5</v>
      </c>
      <c r="W70" s="14">
        <v>1.0000000000000001E-5</v>
      </c>
      <c r="X70" s="14">
        <v>4.0000000000000003E-5</v>
      </c>
      <c r="Y70" s="14">
        <v>0</v>
      </c>
      <c r="Z70" s="14">
        <v>0</v>
      </c>
      <c r="AA70" s="14">
        <v>6.9999999999999994E-5</v>
      </c>
      <c r="AB70" s="14">
        <v>1.0000000000000001E-5</v>
      </c>
      <c r="AC70" s="14">
        <v>0</v>
      </c>
      <c r="AD70" s="14">
        <v>2.7E-4</v>
      </c>
      <c r="AE70" s="14">
        <v>5.0000000000000002E-5</v>
      </c>
      <c r="AF70" s="14">
        <v>6.9999999999999994E-5</v>
      </c>
      <c r="AG70" s="14">
        <v>1.4999999999999999E-4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6.0000000000000002E-5</v>
      </c>
      <c r="AP70" s="14">
        <v>1.0000000000000001E-5</v>
      </c>
      <c r="AQ70" s="14">
        <v>5.0000000000000002E-5</v>
      </c>
      <c r="AR70" s="14">
        <v>0</v>
      </c>
      <c r="AS70" s="14">
        <v>0</v>
      </c>
      <c r="AT70" s="14">
        <v>1.0000000000000001E-5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1.0000000000000001E-5</v>
      </c>
      <c r="CK70" s="14">
        <v>0</v>
      </c>
      <c r="CL70" s="14">
        <v>3.7699999999999999E-3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2.5999999999999998E-4</v>
      </c>
      <c r="CS70" s="14">
        <v>1.2E-4</v>
      </c>
      <c r="CT70" s="14">
        <v>1.0000000000000001E-5</v>
      </c>
      <c r="CU70" s="14">
        <v>2.0000000000000002E-5</v>
      </c>
      <c r="CV70" s="14">
        <v>2.0000000000000002E-5</v>
      </c>
      <c r="CW70" s="14">
        <v>9.0000000000000006E-5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3.5100000000000001E-3</v>
      </c>
      <c r="DD70" s="14">
        <v>2.99E-3</v>
      </c>
      <c r="DE70" s="14">
        <v>5.2999999999999998E-4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2.0999999999999999E-3</v>
      </c>
      <c r="DR70" s="14">
        <v>1.73E-3</v>
      </c>
      <c r="DS70" s="14">
        <v>1.72E-3</v>
      </c>
      <c r="DT70" s="14">
        <v>1.73E-3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2.0000000000000002E-5</v>
      </c>
      <c r="EE70" s="14">
        <v>2.0000000000000002E-5</v>
      </c>
      <c r="EF70" s="14">
        <v>2.0000000000000002E-5</v>
      </c>
      <c r="EG70" s="14">
        <v>0</v>
      </c>
      <c r="EH70" s="14">
        <v>3.5E-4</v>
      </c>
      <c r="EI70" s="14">
        <v>0</v>
      </c>
      <c r="EJ70" s="14">
        <v>2.0000000000000002E-5</v>
      </c>
      <c r="EK70" s="14">
        <v>3.2000000000000003E-4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1.9000000000000001E-4</v>
      </c>
      <c r="ES70" s="14">
        <v>0</v>
      </c>
      <c r="ET70" s="14">
        <v>0</v>
      </c>
      <c r="EU70" s="14">
        <v>0</v>
      </c>
      <c r="EV70" s="14">
        <v>0</v>
      </c>
      <c r="EW70" s="14">
        <v>6.9999999999999994E-5</v>
      </c>
      <c r="EX70" s="14">
        <v>6.9999999999999994E-5</v>
      </c>
      <c r="EY70" s="14">
        <v>0</v>
      </c>
      <c r="EZ70" s="14">
        <v>0</v>
      </c>
      <c r="FA70" s="14">
        <v>0</v>
      </c>
      <c r="FB70" s="14">
        <v>0</v>
      </c>
      <c r="FC70" s="14">
        <v>1.2E-4</v>
      </c>
      <c r="FD70" s="14">
        <v>1.2E-4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</row>
    <row r="71" spans="1:168" ht="15" x14ac:dyDescent="0.25">
      <c r="A71" s="5" t="s">
        <v>191</v>
      </c>
      <c r="B71" s="5" t="s">
        <v>6</v>
      </c>
      <c r="C71" s="13">
        <v>14.725070000000001</v>
      </c>
      <c r="D71" s="13">
        <v>19.51923</v>
      </c>
      <c r="E71" s="13">
        <v>11.845330000000001</v>
      </c>
      <c r="F71" s="13">
        <v>11.290290000000001</v>
      </c>
      <c r="G71" s="13">
        <v>2.4383400000000002</v>
      </c>
      <c r="H71" s="13">
        <v>1.0692900000000001</v>
      </c>
      <c r="I71" s="13">
        <v>1.3144800000000001</v>
      </c>
      <c r="J71" s="13">
        <v>5.457E-2</v>
      </c>
      <c r="K71" s="13">
        <v>1.2431399999999999</v>
      </c>
      <c r="L71" s="13">
        <v>0</v>
      </c>
      <c r="M71" s="13">
        <v>0</v>
      </c>
      <c r="N71" s="13">
        <v>0.2823</v>
      </c>
      <c r="O71" s="13">
        <v>4.4580000000000002E-2</v>
      </c>
      <c r="P71" s="13">
        <v>0.25452000000000002</v>
      </c>
      <c r="Q71" s="13">
        <v>0.44477</v>
      </c>
      <c r="R71" s="13">
        <v>0.21698000000000001</v>
      </c>
      <c r="S71" s="13">
        <v>6.0671400000000002</v>
      </c>
      <c r="T71" s="13">
        <v>2E-3</v>
      </c>
      <c r="U71" s="13">
        <v>5.8042400000000001</v>
      </c>
      <c r="V71" s="13">
        <v>3.3079200000000002</v>
      </c>
      <c r="W71" s="13">
        <v>0.26318999999999998</v>
      </c>
      <c r="X71" s="13">
        <v>2.2105000000000001</v>
      </c>
      <c r="Y71" s="13">
        <v>2.2630000000000001E-2</v>
      </c>
      <c r="Z71" s="13">
        <v>0</v>
      </c>
      <c r="AA71" s="13">
        <v>0.20624999999999999</v>
      </c>
      <c r="AB71" s="13">
        <v>1.485E-2</v>
      </c>
      <c r="AC71" s="13">
        <v>3.9789999999999999E-2</v>
      </c>
      <c r="AD71" s="13">
        <v>1.5212300000000001</v>
      </c>
      <c r="AE71" s="13">
        <v>0.37042999999999998</v>
      </c>
      <c r="AF71" s="13">
        <v>0.92796000000000001</v>
      </c>
      <c r="AG71" s="13">
        <v>0.22284999999999999</v>
      </c>
      <c r="AH71" s="13">
        <v>2.044E-2</v>
      </c>
      <c r="AI71" s="13">
        <v>0</v>
      </c>
      <c r="AJ71" s="13">
        <v>2.044E-2</v>
      </c>
      <c r="AK71" s="13">
        <v>0.55503999999999998</v>
      </c>
      <c r="AL71" s="13">
        <v>0</v>
      </c>
      <c r="AM71" s="13">
        <v>0.55503999999999998</v>
      </c>
      <c r="AN71" s="13">
        <v>0</v>
      </c>
      <c r="AO71" s="13">
        <v>1.0230900000000001</v>
      </c>
      <c r="AP71" s="13">
        <v>0.38085999999999998</v>
      </c>
      <c r="AQ71" s="13">
        <v>0.64222999999999997</v>
      </c>
      <c r="AR71" s="13">
        <v>0</v>
      </c>
      <c r="AS71" s="13">
        <v>5.8783300000000001</v>
      </c>
      <c r="AT71" s="13">
        <v>2.82233</v>
      </c>
      <c r="AU71" s="13">
        <v>0.53949000000000003</v>
      </c>
      <c r="AV71" s="13">
        <v>0.51132999999999995</v>
      </c>
      <c r="AW71" s="13">
        <v>1.5299999999999999E-3</v>
      </c>
      <c r="AX71" s="13">
        <v>7.2899999999999996E-3</v>
      </c>
      <c r="AY71" s="13">
        <v>1.9349999999999999E-2</v>
      </c>
      <c r="AZ71" s="13">
        <v>1.7442599999999999</v>
      </c>
      <c r="BA71" s="13">
        <v>1.58819</v>
      </c>
      <c r="BB71" s="13">
        <v>0.15606999999999999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1.8600000000000001E-3</v>
      </c>
      <c r="BL71" s="13">
        <v>1.8600000000000001E-3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1.8239999999999999E-2</v>
      </c>
      <c r="BT71" s="13">
        <v>1.5270000000000001E-2</v>
      </c>
      <c r="BU71" s="13">
        <v>2.0699999999999998E-3</v>
      </c>
      <c r="BV71" s="13">
        <v>8.9999999999999998E-4</v>
      </c>
      <c r="BW71" s="13">
        <v>6.1399999999999996E-3</v>
      </c>
      <c r="BX71" s="13">
        <v>6.11E-3</v>
      </c>
      <c r="BY71" s="13">
        <v>0</v>
      </c>
      <c r="BZ71" s="13">
        <v>3.0000000000000001E-5</v>
      </c>
      <c r="CA71" s="13">
        <v>0</v>
      </c>
      <c r="CB71" s="13">
        <v>0</v>
      </c>
      <c r="CC71" s="13">
        <v>0.50741999999999998</v>
      </c>
      <c r="CD71" s="13">
        <v>0.48015999999999998</v>
      </c>
      <c r="CE71" s="13">
        <v>1.4959999999999999E-2</v>
      </c>
      <c r="CF71" s="13">
        <v>3.5400000000000002E-3</v>
      </c>
      <c r="CG71" s="13">
        <v>8.7600000000000004E-3</v>
      </c>
      <c r="CH71" s="13">
        <v>0</v>
      </c>
      <c r="CI71" s="13">
        <v>0</v>
      </c>
      <c r="CJ71" s="13">
        <v>4.9300000000000004E-3</v>
      </c>
      <c r="CK71" s="13">
        <v>0</v>
      </c>
      <c r="CL71" s="13">
        <v>3.9617800000000001</v>
      </c>
      <c r="CM71" s="13">
        <v>1.7887</v>
      </c>
      <c r="CN71" s="13">
        <v>1.7005999999999999</v>
      </c>
      <c r="CO71" s="13">
        <v>5.0659999999999997E-2</v>
      </c>
      <c r="CP71" s="13">
        <v>2.308E-2</v>
      </c>
      <c r="CQ71" s="13">
        <v>1.436E-2</v>
      </c>
      <c r="CR71" s="13">
        <v>0.41082000000000002</v>
      </c>
      <c r="CS71" s="13">
        <v>0.24426</v>
      </c>
      <c r="CT71" s="13">
        <v>4.1999999999999997E-3</v>
      </c>
      <c r="CU71" s="13">
        <v>4.1200000000000001E-2</v>
      </c>
      <c r="CV71" s="13">
        <v>4.462E-2</v>
      </c>
      <c r="CW71" s="13">
        <v>7.6550000000000007E-2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1.7069799999999999</v>
      </c>
      <c r="DD71" s="13">
        <v>1.4513499999999999</v>
      </c>
      <c r="DE71" s="13">
        <v>0.25563000000000002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1.145E-2</v>
      </c>
      <c r="DN71" s="13">
        <v>4.3819999999999998E-2</v>
      </c>
      <c r="DO71" s="13">
        <v>0</v>
      </c>
      <c r="DP71" s="13">
        <v>0</v>
      </c>
      <c r="DQ71" s="13">
        <v>-4.7941500000000001</v>
      </c>
      <c r="DR71" s="13">
        <v>-5.6773999999999996</v>
      </c>
      <c r="DS71" s="13">
        <v>1.8120700000000001</v>
      </c>
      <c r="DT71" s="13">
        <v>-4.7570199999999998</v>
      </c>
      <c r="DU71" s="13">
        <v>-0.92037999999999998</v>
      </c>
      <c r="DV71" s="13">
        <v>0.33417000000000002</v>
      </c>
      <c r="DW71" s="13">
        <v>0.43095</v>
      </c>
      <c r="DX71" s="13">
        <v>-0.93152000000000001</v>
      </c>
      <c r="DY71" s="13">
        <v>1.2656799999999999</v>
      </c>
      <c r="DZ71" s="13">
        <v>-0.81384000000000001</v>
      </c>
      <c r="EA71" s="13">
        <v>1.86026</v>
      </c>
      <c r="EB71" s="13">
        <v>1.5451299999999999</v>
      </c>
      <c r="EC71" s="13">
        <v>-2.3589699999999998</v>
      </c>
      <c r="ED71" s="13">
        <v>0.81423000000000001</v>
      </c>
      <c r="EE71" s="13">
        <v>4.2100000000000002E-3</v>
      </c>
      <c r="EF71" s="13">
        <v>0.81423000000000001</v>
      </c>
      <c r="EG71" s="13">
        <v>0</v>
      </c>
      <c r="EH71" s="13">
        <v>0.88519000000000003</v>
      </c>
      <c r="EI71" s="13">
        <v>0</v>
      </c>
      <c r="EJ71" s="13">
        <v>0</v>
      </c>
      <c r="EK71" s="13">
        <v>0.88519000000000003</v>
      </c>
      <c r="EL71" s="13">
        <v>0.73202999999999996</v>
      </c>
      <c r="EM71" s="13">
        <v>0.73202999999999996</v>
      </c>
      <c r="EN71" s="13">
        <v>3.5899999999999999E-3</v>
      </c>
      <c r="EO71" s="13">
        <v>0</v>
      </c>
      <c r="EP71" s="13">
        <v>-1.0685500000000001</v>
      </c>
      <c r="EQ71" s="13">
        <v>0</v>
      </c>
      <c r="ER71" s="13">
        <v>0.85185</v>
      </c>
      <c r="ES71" s="13">
        <v>0.70837000000000006</v>
      </c>
      <c r="ET71" s="13">
        <v>0.54334000000000005</v>
      </c>
      <c r="EU71" s="13">
        <v>0.16502</v>
      </c>
      <c r="EV71" s="13">
        <v>0</v>
      </c>
      <c r="EW71" s="13">
        <v>0.11015</v>
      </c>
      <c r="EX71" s="13">
        <v>7.7060000000000003E-2</v>
      </c>
      <c r="EY71" s="13">
        <v>3.3090000000000001E-2</v>
      </c>
      <c r="EZ71" s="13">
        <v>8.8999999999999995E-4</v>
      </c>
      <c r="FA71" s="13">
        <v>8.8999999999999995E-4</v>
      </c>
      <c r="FB71" s="13">
        <v>0</v>
      </c>
      <c r="FC71" s="13">
        <v>3.2439999999999997E-2</v>
      </c>
      <c r="FD71" s="13">
        <v>3.2439999999999997E-2</v>
      </c>
      <c r="FE71" s="13">
        <v>0</v>
      </c>
      <c r="FF71" s="13">
        <v>0</v>
      </c>
      <c r="FG71" s="13">
        <v>0</v>
      </c>
      <c r="FH71" s="13">
        <v>3.88361</v>
      </c>
      <c r="FI71" s="13">
        <v>1.421E-2</v>
      </c>
      <c r="FJ71" s="13">
        <v>4.96E-3</v>
      </c>
      <c r="FK71" s="13">
        <v>0</v>
      </c>
      <c r="FL71" s="13">
        <v>3.7940000000000002E-2</v>
      </c>
    </row>
    <row r="72" spans="1:168" ht="15" x14ac:dyDescent="0.25">
      <c r="A72" s="5" t="s">
        <v>191</v>
      </c>
      <c r="B72" s="5" t="s">
        <v>7</v>
      </c>
      <c r="C72" s="14">
        <v>8.1834000000000007</v>
      </c>
      <c r="D72" s="14">
        <v>13.45237</v>
      </c>
      <c r="E72" s="14">
        <v>11.2105</v>
      </c>
      <c r="F72" s="14">
        <v>10.956910000000001</v>
      </c>
      <c r="G72" s="14">
        <v>2.3786200000000002</v>
      </c>
      <c r="H72" s="14">
        <v>1.01176</v>
      </c>
      <c r="I72" s="14">
        <v>1.3123800000000001</v>
      </c>
      <c r="J72" s="14">
        <v>5.4480000000000001E-2</v>
      </c>
      <c r="K72" s="14">
        <v>1.2259</v>
      </c>
      <c r="L72" s="14">
        <v>0</v>
      </c>
      <c r="M72" s="14">
        <v>0</v>
      </c>
      <c r="N72" s="14">
        <v>0.28115000000000001</v>
      </c>
      <c r="O72" s="14">
        <v>4.3049999999999998E-2</v>
      </c>
      <c r="P72" s="14">
        <v>0.25320999999999999</v>
      </c>
      <c r="Q72" s="14">
        <v>0.44109999999999999</v>
      </c>
      <c r="R72" s="14">
        <v>0.20738000000000001</v>
      </c>
      <c r="S72" s="14">
        <v>5.9940100000000003</v>
      </c>
      <c r="T72" s="14">
        <v>1.99E-3</v>
      </c>
      <c r="U72" s="14">
        <v>5.7533099999999999</v>
      </c>
      <c r="V72" s="14">
        <v>3.2776900000000002</v>
      </c>
      <c r="W72" s="14">
        <v>0.26106000000000001</v>
      </c>
      <c r="X72" s="14">
        <v>2.1923499999999998</v>
      </c>
      <c r="Y72" s="14">
        <v>2.2210000000000001E-2</v>
      </c>
      <c r="Z72" s="14">
        <v>0</v>
      </c>
      <c r="AA72" s="14">
        <v>0.18654999999999999</v>
      </c>
      <c r="AB72" s="14">
        <v>1.4710000000000001E-2</v>
      </c>
      <c r="AC72" s="14">
        <v>3.746E-2</v>
      </c>
      <c r="AD72" s="14">
        <v>1.3381000000000001</v>
      </c>
      <c r="AE72" s="14">
        <v>0.36237999999999998</v>
      </c>
      <c r="AF72" s="14">
        <v>0.77132000000000001</v>
      </c>
      <c r="AG72" s="14">
        <v>0.2044</v>
      </c>
      <c r="AH72" s="14">
        <v>2.0279999999999999E-2</v>
      </c>
      <c r="AI72" s="14">
        <v>0</v>
      </c>
      <c r="AJ72" s="14">
        <v>2.0279999999999999E-2</v>
      </c>
      <c r="AK72" s="14">
        <v>0.25359999999999999</v>
      </c>
      <c r="AL72" s="14">
        <v>0</v>
      </c>
      <c r="AM72" s="14">
        <v>0.25359999999999999</v>
      </c>
      <c r="AN72" s="14">
        <v>0</v>
      </c>
      <c r="AO72" s="14">
        <v>1.01414</v>
      </c>
      <c r="AP72" s="14">
        <v>0.37798999999999999</v>
      </c>
      <c r="AQ72" s="14">
        <v>0.63614999999999999</v>
      </c>
      <c r="AR72" s="14">
        <v>0</v>
      </c>
      <c r="AS72" s="14">
        <v>5.8783300000000001</v>
      </c>
      <c r="AT72" s="14">
        <v>2.14778</v>
      </c>
      <c r="AU72" s="14">
        <v>0.53949000000000003</v>
      </c>
      <c r="AV72" s="14">
        <v>0.51132999999999995</v>
      </c>
      <c r="AW72" s="14">
        <v>1.5299999999999999E-3</v>
      </c>
      <c r="AX72" s="14">
        <v>7.2899999999999996E-3</v>
      </c>
      <c r="AY72" s="14">
        <v>1.9349999999999999E-2</v>
      </c>
      <c r="AZ72" s="14">
        <v>1.58819</v>
      </c>
      <c r="BA72" s="14">
        <v>1.58819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1.8600000000000001E-3</v>
      </c>
      <c r="BL72" s="14">
        <v>1.8600000000000001E-3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1.8239999999999999E-2</v>
      </c>
      <c r="BT72" s="14">
        <v>1.5270000000000001E-2</v>
      </c>
      <c r="BU72" s="14">
        <v>2.0699999999999998E-3</v>
      </c>
      <c r="BV72" s="14">
        <v>8.9999999999999998E-4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5.527E-2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1.145E-2</v>
      </c>
      <c r="DN72" s="14">
        <v>4.3819999999999998E-2</v>
      </c>
      <c r="DO72" s="14">
        <v>0</v>
      </c>
      <c r="DP72" s="14">
        <v>0</v>
      </c>
      <c r="DQ72" s="14">
        <v>-5.2689700000000004</v>
      </c>
      <c r="DR72" s="14">
        <v>-6.0388799999999998</v>
      </c>
      <c r="DS72" s="14">
        <v>1.45089</v>
      </c>
      <c r="DT72" s="14">
        <v>-5.08995</v>
      </c>
      <c r="DU72" s="14">
        <v>-0.94893000000000005</v>
      </c>
      <c r="DV72" s="14">
        <v>0.28869</v>
      </c>
      <c r="DW72" s="14">
        <v>0.43047999999999997</v>
      </c>
      <c r="DX72" s="14">
        <v>-0.93161000000000005</v>
      </c>
      <c r="DY72" s="14">
        <v>1.2202900000000001</v>
      </c>
      <c r="DZ72" s="14">
        <v>-0.81689000000000001</v>
      </c>
      <c r="EA72" s="14">
        <v>1.85823</v>
      </c>
      <c r="EB72" s="14">
        <v>1.5425500000000001</v>
      </c>
      <c r="EC72" s="14">
        <v>-2.3594400000000002</v>
      </c>
      <c r="ED72" s="14">
        <v>0.81001999999999996</v>
      </c>
      <c r="EE72" s="14">
        <v>0</v>
      </c>
      <c r="EF72" s="14">
        <v>0.81001999999999996</v>
      </c>
      <c r="EG72" s="14">
        <v>0</v>
      </c>
      <c r="EH72" s="14">
        <v>0.82901000000000002</v>
      </c>
      <c r="EI72" s="14">
        <v>0</v>
      </c>
      <c r="EJ72" s="14">
        <v>0</v>
      </c>
      <c r="EK72" s="14">
        <v>0.82901000000000002</v>
      </c>
      <c r="EL72" s="14">
        <v>0.72763</v>
      </c>
      <c r="EM72" s="14">
        <v>0.72763</v>
      </c>
      <c r="EN72" s="14">
        <v>0</v>
      </c>
      <c r="EO72" s="14">
        <v>0</v>
      </c>
      <c r="EP72" s="14">
        <v>-1.0685500000000001</v>
      </c>
      <c r="EQ72" s="14">
        <v>0</v>
      </c>
      <c r="ER72" s="14">
        <v>8.7000000000000001E-4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8.7000000000000001E-4</v>
      </c>
      <c r="FA72" s="14">
        <v>8.7000000000000001E-4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3.88361</v>
      </c>
      <c r="FI72" s="14">
        <v>1.421E-2</v>
      </c>
      <c r="FJ72" s="14">
        <v>4.96E-3</v>
      </c>
      <c r="FK72" s="14">
        <v>0</v>
      </c>
      <c r="FL72" s="14">
        <v>3.7940000000000002E-2</v>
      </c>
    </row>
    <row r="73" spans="1:168" ht="15" x14ac:dyDescent="0.25">
      <c r="A73" s="5" t="s">
        <v>191</v>
      </c>
      <c r="B73" s="5" t="s">
        <v>8</v>
      </c>
      <c r="C73" s="13">
        <v>0.11940000000000001</v>
      </c>
      <c r="D73" s="13">
        <v>0.11928999999999999</v>
      </c>
      <c r="E73" s="13">
        <v>1.738E-2</v>
      </c>
      <c r="F73" s="13">
        <v>6.6100000000000004E-3</v>
      </c>
      <c r="G73" s="13">
        <v>9.3999999999999997E-4</v>
      </c>
      <c r="H73" s="13">
        <v>9.1E-4</v>
      </c>
      <c r="I73" s="13">
        <v>3.0000000000000001E-5</v>
      </c>
      <c r="J73" s="13">
        <v>0</v>
      </c>
      <c r="K73" s="13">
        <v>1.9000000000000001E-4</v>
      </c>
      <c r="L73" s="13">
        <v>0</v>
      </c>
      <c r="M73" s="13">
        <v>0</v>
      </c>
      <c r="N73" s="13">
        <v>2.0000000000000002E-5</v>
      </c>
      <c r="O73" s="13">
        <v>2.0000000000000002E-5</v>
      </c>
      <c r="P73" s="13">
        <v>2.0000000000000002E-5</v>
      </c>
      <c r="Q73" s="13">
        <v>6.0000000000000002E-5</v>
      </c>
      <c r="R73" s="13">
        <v>8.0000000000000007E-5</v>
      </c>
      <c r="S73" s="13">
        <v>2.5999999999999998E-4</v>
      </c>
      <c r="T73" s="13">
        <v>0</v>
      </c>
      <c r="U73" s="13">
        <v>2.4000000000000001E-4</v>
      </c>
      <c r="V73" s="13">
        <v>1.2E-4</v>
      </c>
      <c r="W73" s="13">
        <v>0</v>
      </c>
      <c r="X73" s="13">
        <v>1.1E-4</v>
      </c>
      <c r="Y73" s="13">
        <v>1.0000000000000001E-5</v>
      </c>
      <c r="Z73" s="13">
        <v>0</v>
      </c>
      <c r="AA73" s="13">
        <v>1.0000000000000001E-5</v>
      </c>
      <c r="AB73" s="13">
        <v>0</v>
      </c>
      <c r="AC73" s="13">
        <v>0</v>
      </c>
      <c r="AD73" s="13">
        <v>5.2199999999999998E-3</v>
      </c>
      <c r="AE73" s="13">
        <v>2.2000000000000001E-4</v>
      </c>
      <c r="AF73" s="13">
        <v>4.79E-3</v>
      </c>
      <c r="AG73" s="13">
        <v>2.1000000000000001E-4</v>
      </c>
      <c r="AH73" s="13">
        <v>0</v>
      </c>
      <c r="AI73" s="13">
        <v>0</v>
      </c>
      <c r="AJ73" s="13">
        <v>0</v>
      </c>
      <c r="AK73" s="13">
        <v>1.077E-2</v>
      </c>
      <c r="AL73" s="13">
        <v>0</v>
      </c>
      <c r="AM73" s="13">
        <v>1.077E-2</v>
      </c>
      <c r="AN73" s="13">
        <v>0</v>
      </c>
      <c r="AO73" s="13">
        <v>6.0000000000000002E-5</v>
      </c>
      <c r="AP73" s="13">
        <v>0</v>
      </c>
      <c r="AQ73" s="13">
        <v>6.0000000000000002E-5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7.2760000000000005E-2</v>
      </c>
      <c r="CM73" s="13">
        <v>6.3880000000000006E-2</v>
      </c>
      <c r="CN73" s="13">
        <v>6.0740000000000002E-2</v>
      </c>
      <c r="CO73" s="13">
        <v>1.81E-3</v>
      </c>
      <c r="CP73" s="13">
        <v>8.1999999999999998E-4</v>
      </c>
      <c r="CQ73" s="13">
        <v>5.1000000000000004E-4</v>
      </c>
      <c r="CR73" s="13">
        <v>8.8699999999999994E-3</v>
      </c>
      <c r="CS73" s="13">
        <v>6.2599999999999999E-3</v>
      </c>
      <c r="CT73" s="13">
        <v>6.9999999999999994E-5</v>
      </c>
      <c r="CU73" s="13">
        <v>1.4E-3</v>
      </c>
      <c r="CV73" s="13">
        <v>1.1299999999999999E-3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1.1E-4</v>
      </c>
      <c r="DR73" s="13">
        <v>1.0000000000000001E-5</v>
      </c>
      <c r="DS73" s="13">
        <v>0</v>
      </c>
      <c r="DT73" s="13">
        <v>1.0000000000000001E-5</v>
      </c>
      <c r="DU73" s="13">
        <v>0</v>
      </c>
      <c r="DV73" s="13">
        <v>2.0000000000000002E-5</v>
      </c>
      <c r="DW73" s="13">
        <v>2.0000000000000002E-5</v>
      </c>
      <c r="DX73" s="13">
        <v>0</v>
      </c>
      <c r="DY73" s="13">
        <v>1.0000000000000001E-5</v>
      </c>
      <c r="DZ73" s="13">
        <v>9.0000000000000006E-5</v>
      </c>
      <c r="EA73" s="13">
        <v>6.9999999999999994E-5</v>
      </c>
      <c r="EB73" s="13">
        <v>8.0000000000000007E-5</v>
      </c>
      <c r="EC73" s="13">
        <v>1.0000000000000001E-5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2.9149999999999999E-2</v>
      </c>
      <c r="ES73" s="13">
        <v>2.53E-2</v>
      </c>
      <c r="ET73" s="13">
        <v>1.941E-2</v>
      </c>
      <c r="EU73" s="13">
        <v>5.8900000000000003E-3</v>
      </c>
      <c r="EV73" s="13">
        <v>0</v>
      </c>
      <c r="EW73" s="13">
        <v>2.9399999999999999E-3</v>
      </c>
      <c r="EX73" s="13">
        <v>1.7600000000000001E-3</v>
      </c>
      <c r="EY73" s="13">
        <v>1.1800000000000001E-3</v>
      </c>
      <c r="EZ73" s="13">
        <v>0</v>
      </c>
      <c r="FA73" s="13">
        <v>0</v>
      </c>
      <c r="FB73" s="13">
        <v>0</v>
      </c>
      <c r="FC73" s="13">
        <v>9.2000000000000003E-4</v>
      </c>
      <c r="FD73" s="13">
        <v>9.2000000000000003E-4</v>
      </c>
      <c r="FE73" s="13">
        <v>0</v>
      </c>
      <c r="FF73" s="13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</row>
    <row r="74" spans="1:168" ht="15" x14ac:dyDescent="0.25">
      <c r="A74" s="5" t="s">
        <v>191</v>
      </c>
      <c r="B74" s="5" t="s">
        <v>9</v>
      </c>
      <c r="C74" s="14">
        <v>1.013E-2</v>
      </c>
      <c r="D74" s="14">
        <v>8.3499999999999998E-3</v>
      </c>
      <c r="E74" s="14">
        <v>5.5999999999999995E-4</v>
      </c>
      <c r="F74" s="14">
        <v>5.5999999999999995E-4</v>
      </c>
      <c r="G74" s="14">
        <v>1.2999999999999999E-4</v>
      </c>
      <c r="H74" s="14">
        <v>1.2E-4</v>
      </c>
      <c r="I74" s="14">
        <v>0</v>
      </c>
      <c r="J74" s="14">
        <v>0</v>
      </c>
      <c r="K74" s="14">
        <v>4.0000000000000003E-5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1.0000000000000001E-5</v>
      </c>
      <c r="R74" s="14">
        <v>3.0000000000000001E-5</v>
      </c>
      <c r="S74" s="14">
        <v>2.5000000000000001E-4</v>
      </c>
      <c r="T74" s="14">
        <v>0</v>
      </c>
      <c r="U74" s="14">
        <v>1.7000000000000001E-4</v>
      </c>
      <c r="V74" s="14">
        <v>1E-4</v>
      </c>
      <c r="W74" s="14">
        <v>1.0000000000000001E-5</v>
      </c>
      <c r="X74" s="14">
        <v>6.0000000000000002E-5</v>
      </c>
      <c r="Y74" s="14">
        <v>0</v>
      </c>
      <c r="Z74" s="14">
        <v>0</v>
      </c>
      <c r="AA74" s="14">
        <v>6.9999999999999994E-5</v>
      </c>
      <c r="AB74" s="14">
        <v>0</v>
      </c>
      <c r="AC74" s="14">
        <v>1.0000000000000001E-5</v>
      </c>
      <c r="AD74" s="14">
        <v>1.3999999999999999E-4</v>
      </c>
      <c r="AE74" s="14">
        <v>1.0000000000000001E-5</v>
      </c>
      <c r="AF74" s="14">
        <v>9.0000000000000006E-5</v>
      </c>
      <c r="AG74" s="14">
        <v>5.0000000000000002E-5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3.0000000000000001E-5</v>
      </c>
      <c r="AP74" s="14">
        <v>1.0000000000000001E-5</v>
      </c>
      <c r="AQ74" s="14">
        <v>2.0000000000000002E-5</v>
      </c>
      <c r="AR74" s="14">
        <v>0</v>
      </c>
      <c r="AS74" s="14">
        <v>0</v>
      </c>
      <c r="AT74" s="14">
        <v>6.0999999999999997E-4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5.9000000000000003E-4</v>
      </c>
      <c r="BA74" s="14">
        <v>0</v>
      </c>
      <c r="BB74" s="14">
        <v>5.9000000000000003E-4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2.0000000000000002E-5</v>
      </c>
      <c r="CK74" s="14">
        <v>0</v>
      </c>
      <c r="CL74" s="14">
        <v>7.0499999999999998E-3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6.0999999999999997E-4</v>
      </c>
      <c r="CS74" s="14">
        <v>2.5999999999999998E-4</v>
      </c>
      <c r="CT74" s="14">
        <v>1.0000000000000001E-5</v>
      </c>
      <c r="CU74" s="14">
        <v>1.0000000000000001E-5</v>
      </c>
      <c r="CV74" s="14">
        <v>5.0000000000000002E-5</v>
      </c>
      <c r="CW74" s="14">
        <v>2.9E-4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6.4400000000000004E-3</v>
      </c>
      <c r="DD74" s="14">
        <v>5.4799999999999996E-3</v>
      </c>
      <c r="DE74" s="14">
        <v>9.6000000000000002E-4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1.7799999999999999E-3</v>
      </c>
      <c r="DR74" s="14">
        <v>1.3600000000000001E-3</v>
      </c>
      <c r="DS74" s="14">
        <v>1.3600000000000001E-3</v>
      </c>
      <c r="DT74" s="14">
        <v>1.2600000000000001E-3</v>
      </c>
      <c r="DU74" s="14">
        <v>1.1E-4</v>
      </c>
      <c r="DV74" s="14">
        <v>1.7000000000000001E-4</v>
      </c>
      <c r="DW74" s="14">
        <v>0</v>
      </c>
      <c r="DX74" s="14">
        <v>0</v>
      </c>
      <c r="DY74" s="14">
        <v>1.7000000000000001E-4</v>
      </c>
      <c r="DZ74" s="14">
        <v>0</v>
      </c>
      <c r="EA74" s="14">
        <v>0</v>
      </c>
      <c r="EB74" s="14">
        <v>0</v>
      </c>
      <c r="EC74" s="14">
        <v>0</v>
      </c>
      <c r="ED74" s="14">
        <v>2.0000000000000002E-5</v>
      </c>
      <c r="EE74" s="14">
        <v>2.0000000000000002E-5</v>
      </c>
      <c r="EF74" s="14">
        <v>2.0000000000000002E-5</v>
      </c>
      <c r="EG74" s="14">
        <v>0</v>
      </c>
      <c r="EH74" s="14">
        <v>2.1000000000000001E-4</v>
      </c>
      <c r="EI74" s="14">
        <v>0</v>
      </c>
      <c r="EJ74" s="14">
        <v>0</v>
      </c>
      <c r="EK74" s="14">
        <v>2.1000000000000001E-4</v>
      </c>
      <c r="EL74" s="14">
        <v>2.0000000000000002E-5</v>
      </c>
      <c r="EM74" s="14">
        <v>2.0000000000000002E-5</v>
      </c>
      <c r="EN74" s="14">
        <v>1.0000000000000001E-5</v>
      </c>
      <c r="EO74" s="14">
        <v>0</v>
      </c>
      <c r="EP74" s="14">
        <v>0</v>
      </c>
      <c r="EQ74" s="14">
        <v>0</v>
      </c>
      <c r="ER74" s="14">
        <v>1.2999999999999999E-4</v>
      </c>
      <c r="ES74" s="14">
        <v>0</v>
      </c>
      <c r="ET74" s="14">
        <v>0</v>
      </c>
      <c r="EU74" s="14">
        <v>0</v>
      </c>
      <c r="EV74" s="14">
        <v>0</v>
      </c>
      <c r="EW74" s="14">
        <v>1.1E-4</v>
      </c>
      <c r="EX74" s="14">
        <v>1.1E-4</v>
      </c>
      <c r="EY74" s="14">
        <v>0</v>
      </c>
      <c r="EZ74" s="14">
        <v>0</v>
      </c>
      <c r="FA74" s="14">
        <v>0</v>
      </c>
      <c r="FB74" s="14">
        <v>0</v>
      </c>
      <c r="FC74" s="14">
        <v>3.0000000000000001E-5</v>
      </c>
      <c r="FD74" s="14">
        <v>3.0000000000000001E-5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</row>
    <row r="75" spans="1:168" ht="15" x14ac:dyDescent="0.25">
      <c r="A75" s="5" t="s">
        <v>192</v>
      </c>
      <c r="B75" s="5" t="s">
        <v>6</v>
      </c>
      <c r="C75" s="13">
        <v>10.24652</v>
      </c>
      <c r="D75" s="13">
        <v>10.58545</v>
      </c>
      <c r="E75" s="13">
        <v>9.1058299999999992</v>
      </c>
      <c r="F75" s="13">
        <v>9.0709499999999998</v>
      </c>
      <c r="G75" s="13">
        <v>0.22178999999999999</v>
      </c>
      <c r="H75" s="13">
        <v>0.22178999999999999</v>
      </c>
      <c r="I75" s="13">
        <v>0</v>
      </c>
      <c r="J75" s="13">
        <v>0</v>
      </c>
      <c r="K75" s="13">
        <v>1.2012499999999999</v>
      </c>
      <c r="L75" s="13">
        <v>0.30745</v>
      </c>
      <c r="M75" s="13">
        <v>5.1520000000000003E-2</v>
      </c>
      <c r="N75" s="13">
        <v>0.11987</v>
      </c>
      <c r="O75" s="13">
        <v>1.2700000000000001E-3</v>
      </c>
      <c r="P75" s="13">
        <v>1.196E-2</v>
      </c>
      <c r="Q75" s="13">
        <v>0.40465000000000001</v>
      </c>
      <c r="R75" s="13">
        <v>0.30452000000000001</v>
      </c>
      <c r="S75" s="13">
        <v>6.01166</v>
      </c>
      <c r="T75" s="13">
        <v>5.6999999999999998E-4</v>
      </c>
      <c r="U75" s="13">
        <v>6.0027799999999996</v>
      </c>
      <c r="V75" s="13">
        <v>2.6094599999999999</v>
      </c>
      <c r="W75" s="13">
        <v>0.15816</v>
      </c>
      <c r="X75" s="13">
        <v>3.2279</v>
      </c>
      <c r="Y75" s="13">
        <v>7.2500000000000004E-3</v>
      </c>
      <c r="Z75" s="13">
        <v>0</v>
      </c>
      <c r="AA75" s="13">
        <v>7.0299999999999998E-3</v>
      </c>
      <c r="AB75" s="13">
        <v>1.2800000000000001E-3</v>
      </c>
      <c r="AC75" s="13">
        <v>0</v>
      </c>
      <c r="AD75" s="13">
        <v>1.6361399999999999</v>
      </c>
      <c r="AE75" s="13">
        <v>0.56930999999999998</v>
      </c>
      <c r="AF75" s="13">
        <v>1.0425500000000001</v>
      </c>
      <c r="AG75" s="13">
        <v>2.427E-2</v>
      </c>
      <c r="AH75" s="13">
        <v>1.2E-4</v>
      </c>
      <c r="AI75" s="13">
        <v>0</v>
      </c>
      <c r="AJ75" s="13">
        <v>1.2E-4</v>
      </c>
      <c r="AK75" s="13">
        <v>3.4880000000000001E-2</v>
      </c>
      <c r="AL75" s="13">
        <v>0</v>
      </c>
      <c r="AM75" s="13">
        <v>3.4880000000000001E-2</v>
      </c>
      <c r="AN75" s="13">
        <v>0</v>
      </c>
      <c r="AO75" s="13">
        <v>1.85266</v>
      </c>
      <c r="AP75" s="13">
        <v>1.85259</v>
      </c>
      <c r="AQ75" s="13">
        <v>6.9999999999999994E-5</v>
      </c>
      <c r="AR75" s="13">
        <v>0</v>
      </c>
      <c r="AS75" s="13">
        <v>1.0241400000000001</v>
      </c>
      <c r="AT75" s="13">
        <v>0.64312000000000002</v>
      </c>
      <c r="AU75" s="13">
        <v>0.43214999999999998</v>
      </c>
      <c r="AV75" s="13">
        <v>0.36948999999999999</v>
      </c>
      <c r="AW75" s="13">
        <v>0</v>
      </c>
      <c r="AX75" s="13">
        <v>6.2659999999999993E-2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0.11439000000000001</v>
      </c>
      <c r="BL75" s="13">
        <v>0.11214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2.2499999999999998E-3</v>
      </c>
      <c r="BS75" s="13">
        <v>2.7439999999999999E-2</v>
      </c>
      <c r="BT75" s="13">
        <v>5.3800000000000002E-3</v>
      </c>
      <c r="BU75" s="13">
        <v>2.2399999999999998E-3</v>
      </c>
      <c r="BV75" s="13">
        <v>1.9820000000000001E-2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5.0369999999999998E-2</v>
      </c>
      <c r="CD75" s="13">
        <v>4.793E-2</v>
      </c>
      <c r="CE75" s="13">
        <v>1.49E-3</v>
      </c>
      <c r="CF75" s="13">
        <v>0</v>
      </c>
      <c r="CG75" s="13">
        <v>9.3999999999999997E-4</v>
      </c>
      <c r="CH75" s="13">
        <v>0</v>
      </c>
      <c r="CI75" s="13">
        <v>0</v>
      </c>
      <c r="CJ75" s="13">
        <v>1.8759999999999999E-2</v>
      </c>
      <c r="CK75" s="13">
        <v>0</v>
      </c>
      <c r="CL75" s="13">
        <v>0.73196000000000006</v>
      </c>
      <c r="CM75" s="13">
        <v>0.43380000000000002</v>
      </c>
      <c r="CN75" s="13">
        <v>0.42153000000000002</v>
      </c>
      <c r="CO75" s="13">
        <v>3.4299999999999999E-3</v>
      </c>
      <c r="CP75" s="13">
        <v>3.3700000000000002E-3</v>
      </c>
      <c r="CQ75" s="13">
        <v>5.4599999999999996E-3</v>
      </c>
      <c r="CR75" s="13">
        <v>0.13100999999999999</v>
      </c>
      <c r="CS75" s="13">
        <v>9.9699999999999997E-2</v>
      </c>
      <c r="CT75" s="13">
        <v>1.3999999999999999E-4</v>
      </c>
      <c r="CU75" s="13">
        <v>1.54E-2</v>
      </c>
      <c r="CV75" s="13">
        <v>1.9599999999999999E-3</v>
      </c>
      <c r="CW75" s="13">
        <v>1.38E-2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0.15517</v>
      </c>
      <c r="DD75" s="13">
        <v>0.10446</v>
      </c>
      <c r="DE75" s="13">
        <v>5.0720000000000001E-2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0</v>
      </c>
      <c r="DM75" s="13">
        <v>8.3400000000000002E-3</v>
      </c>
      <c r="DN75" s="13">
        <v>8.0000000000000007E-5</v>
      </c>
      <c r="DO75" s="13">
        <v>3.5599999999999998E-3</v>
      </c>
      <c r="DP75" s="13">
        <v>0</v>
      </c>
      <c r="DQ75" s="13">
        <v>-0.33893000000000001</v>
      </c>
      <c r="DR75" s="13">
        <v>-0.29835</v>
      </c>
      <c r="DS75" s="13">
        <v>0</v>
      </c>
      <c r="DT75" s="13">
        <v>-0.28131</v>
      </c>
      <c r="DU75" s="13">
        <v>-1.704E-2</v>
      </c>
      <c r="DV75" s="13">
        <v>-7.1499999999999994E-2</v>
      </c>
      <c r="DW75" s="13">
        <v>0</v>
      </c>
      <c r="DX75" s="13">
        <v>-7.6480000000000006E-2</v>
      </c>
      <c r="DY75" s="13">
        <v>4.9800000000000001E-3</v>
      </c>
      <c r="DZ75" s="13">
        <v>-1.238E-2</v>
      </c>
      <c r="EA75" s="13">
        <v>0</v>
      </c>
      <c r="EB75" s="13">
        <v>0</v>
      </c>
      <c r="EC75" s="13">
        <v>-1.238E-2</v>
      </c>
      <c r="ED75" s="13">
        <v>2.33E-3</v>
      </c>
      <c r="EE75" s="13">
        <v>0</v>
      </c>
      <c r="EF75" s="13">
        <v>0</v>
      </c>
      <c r="EG75" s="13">
        <v>2.33E-3</v>
      </c>
      <c r="EH75" s="13">
        <v>3.4520000000000002E-2</v>
      </c>
      <c r="EI75" s="13">
        <v>0</v>
      </c>
      <c r="EJ75" s="13">
        <v>0</v>
      </c>
      <c r="EK75" s="13">
        <v>3.4520000000000002E-2</v>
      </c>
      <c r="EL75" s="13">
        <v>1.8000000000000001E-4</v>
      </c>
      <c r="EM75" s="13">
        <v>1.8000000000000001E-4</v>
      </c>
      <c r="EN75" s="13">
        <v>0</v>
      </c>
      <c r="EO75" s="13">
        <v>0</v>
      </c>
      <c r="EP75" s="13">
        <v>6.2599999999999999E-3</v>
      </c>
      <c r="EQ75" s="13">
        <v>0</v>
      </c>
      <c r="ER75" s="13">
        <v>0.10453999999999999</v>
      </c>
      <c r="ES75" s="13">
        <v>5.9839999999999997E-2</v>
      </c>
      <c r="ET75" s="13">
        <v>5.9839999999999997E-2</v>
      </c>
      <c r="EU75" s="13">
        <v>0</v>
      </c>
      <c r="EV75" s="13">
        <v>0</v>
      </c>
      <c r="EW75" s="13">
        <v>3.7139999999999999E-2</v>
      </c>
      <c r="EX75" s="13">
        <v>1.255E-2</v>
      </c>
      <c r="EY75" s="13">
        <v>2.4590000000000001E-2</v>
      </c>
      <c r="EZ75" s="13">
        <v>0</v>
      </c>
      <c r="FA75" s="13">
        <v>0</v>
      </c>
      <c r="FB75" s="13">
        <v>0</v>
      </c>
      <c r="FC75" s="13">
        <v>7.5599999999999999E-3</v>
      </c>
      <c r="FD75" s="13">
        <v>7.5399999999999998E-3</v>
      </c>
      <c r="FE75" s="13">
        <v>2.0000000000000002E-5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</row>
    <row r="76" spans="1:168" ht="15" x14ac:dyDescent="0.25">
      <c r="A76" s="5" t="s">
        <v>192</v>
      </c>
      <c r="B76" s="5" t="s">
        <v>7</v>
      </c>
      <c r="C76" s="14">
        <v>9.2136399999999998</v>
      </c>
      <c r="D76" s="14">
        <v>9.5561600000000002</v>
      </c>
      <c r="E76" s="14">
        <v>8.9701900000000006</v>
      </c>
      <c r="F76" s="14">
        <v>8.9701500000000003</v>
      </c>
      <c r="G76" s="14">
        <v>0.21390999999999999</v>
      </c>
      <c r="H76" s="14">
        <v>0.21390999999999999</v>
      </c>
      <c r="I76" s="14">
        <v>0</v>
      </c>
      <c r="J76" s="14">
        <v>0</v>
      </c>
      <c r="K76" s="14">
        <v>1.1869700000000001</v>
      </c>
      <c r="L76" s="14">
        <v>0.30714999999999998</v>
      </c>
      <c r="M76" s="14">
        <v>5.1470000000000002E-2</v>
      </c>
      <c r="N76" s="14">
        <v>0.11976000000000001</v>
      </c>
      <c r="O76" s="14">
        <v>1.2700000000000001E-3</v>
      </c>
      <c r="P76" s="14">
        <v>1.1939999999999999E-2</v>
      </c>
      <c r="Q76" s="14">
        <v>0.40093000000000001</v>
      </c>
      <c r="R76" s="14">
        <v>0.29444999999999999</v>
      </c>
      <c r="S76" s="14">
        <v>5.9508999999999999</v>
      </c>
      <c r="T76" s="14">
        <v>5.5999999999999995E-4</v>
      </c>
      <c r="U76" s="14">
        <v>5.9421299999999997</v>
      </c>
      <c r="V76" s="14">
        <v>2.5790500000000001</v>
      </c>
      <c r="W76" s="14">
        <v>0.15614</v>
      </c>
      <c r="X76" s="14">
        <v>3.2000299999999999</v>
      </c>
      <c r="Y76" s="14">
        <v>6.9100000000000003E-3</v>
      </c>
      <c r="Z76" s="14">
        <v>0</v>
      </c>
      <c r="AA76" s="14">
        <v>7.0099999999999997E-3</v>
      </c>
      <c r="AB76" s="14">
        <v>1.1900000000000001E-3</v>
      </c>
      <c r="AC76" s="14">
        <v>0</v>
      </c>
      <c r="AD76" s="14">
        <v>1.61825</v>
      </c>
      <c r="AE76" s="14">
        <v>0.56669999999999998</v>
      </c>
      <c r="AF76" s="14">
        <v>1.0284500000000001</v>
      </c>
      <c r="AG76" s="14">
        <v>2.3099999999999999E-2</v>
      </c>
      <c r="AH76" s="14">
        <v>1.1E-4</v>
      </c>
      <c r="AI76" s="14">
        <v>0</v>
      </c>
      <c r="AJ76" s="14">
        <v>1.1E-4</v>
      </c>
      <c r="AK76" s="14">
        <v>4.0000000000000003E-5</v>
      </c>
      <c r="AL76" s="14">
        <v>0</v>
      </c>
      <c r="AM76" s="14">
        <v>4.0000000000000003E-5</v>
      </c>
      <c r="AN76" s="14">
        <v>0</v>
      </c>
      <c r="AO76" s="14">
        <v>1.8381700000000001</v>
      </c>
      <c r="AP76" s="14">
        <v>1.8381000000000001</v>
      </c>
      <c r="AQ76" s="14">
        <v>6.9999999999999994E-5</v>
      </c>
      <c r="AR76" s="14">
        <v>0</v>
      </c>
      <c r="AS76" s="14">
        <v>1.0241400000000001</v>
      </c>
      <c r="AT76" s="14">
        <v>0.57398000000000005</v>
      </c>
      <c r="AU76" s="14">
        <v>0.43214999999999998</v>
      </c>
      <c r="AV76" s="14">
        <v>0.36948999999999999</v>
      </c>
      <c r="AW76" s="14">
        <v>0</v>
      </c>
      <c r="AX76" s="14">
        <v>6.2659999999999993E-2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0.11439000000000001</v>
      </c>
      <c r="BL76" s="14">
        <v>0.11214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2.2499999999999998E-3</v>
      </c>
      <c r="BS76" s="14">
        <v>2.7439999999999999E-2</v>
      </c>
      <c r="BT76" s="14">
        <v>5.3800000000000002E-3</v>
      </c>
      <c r="BU76" s="14">
        <v>2.2399999999999998E-3</v>
      </c>
      <c r="BV76" s="14">
        <v>1.9820000000000001E-2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1.1990000000000001E-2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8.3400000000000002E-3</v>
      </c>
      <c r="DN76" s="14">
        <v>8.0000000000000007E-5</v>
      </c>
      <c r="DO76" s="14">
        <v>3.5599999999999998E-3</v>
      </c>
      <c r="DP76" s="14">
        <v>0</v>
      </c>
      <c r="DQ76" s="14">
        <v>-0.34251999999999999</v>
      </c>
      <c r="DR76" s="14">
        <v>-0.29835</v>
      </c>
      <c r="DS76" s="14">
        <v>0</v>
      </c>
      <c r="DT76" s="14">
        <v>-0.28131</v>
      </c>
      <c r="DU76" s="14">
        <v>-1.704E-2</v>
      </c>
      <c r="DV76" s="14">
        <v>-7.1790000000000007E-2</v>
      </c>
      <c r="DW76" s="14">
        <v>0</v>
      </c>
      <c r="DX76" s="14">
        <v>-7.6480000000000006E-2</v>
      </c>
      <c r="DY76" s="14">
        <v>4.6800000000000001E-3</v>
      </c>
      <c r="DZ76" s="14">
        <v>-1.251E-2</v>
      </c>
      <c r="EA76" s="14">
        <v>0</v>
      </c>
      <c r="EB76" s="14">
        <v>0</v>
      </c>
      <c r="EC76" s="14">
        <v>-1.251E-2</v>
      </c>
      <c r="ED76" s="14">
        <v>2.1199999999999999E-3</v>
      </c>
      <c r="EE76" s="14">
        <v>0</v>
      </c>
      <c r="EF76" s="14">
        <v>0</v>
      </c>
      <c r="EG76" s="14">
        <v>2.1199999999999999E-3</v>
      </c>
      <c r="EH76" s="14">
        <v>3.1579999999999997E-2</v>
      </c>
      <c r="EI76" s="14">
        <v>0</v>
      </c>
      <c r="EJ76" s="14">
        <v>0</v>
      </c>
      <c r="EK76" s="14">
        <v>3.1579999999999997E-2</v>
      </c>
      <c r="EL76" s="14">
        <v>1.8000000000000001E-4</v>
      </c>
      <c r="EM76" s="14">
        <v>1.8000000000000001E-4</v>
      </c>
      <c r="EN76" s="14">
        <v>0</v>
      </c>
      <c r="EO76" s="14">
        <v>0</v>
      </c>
      <c r="EP76" s="14">
        <v>6.2599999999999999E-3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</row>
    <row r="77" spans="1:168" ht="15" x14ac:dyDescent="0.25">
      <c r="A77" s="5" t="s">
        <v>192</v>
      </c>
      <c r="B77" s="5" t="s">
        <v>8</v>
      </c>
      <c r="C77" s="13">
        <v>2.443E-2</v>
      </c>
      <c r="D77" s="13">
        <v>2.443E-2</v>
      </c>
      <c r="E77" s="13">
        <v>2.1099999999999999E-3</v>
      </c>
      <c r="F77" s="13">
        <v>8.7000000000000001E-4</v>
      </c>
      <c r="G77" s="13">
        <v>1.2E-4</v>
      </c>
      <c r="H77" s="13">
        <v>1.2E-4</v>
      </c>
      <c r="I77" s="13">
        <v>0</v>
      </c>
      <c r="J77" s="13">
        <v>0</v>
      </c>
      <c r="K77" s="13">
        <v>1.1E-4</v>
      </c>
      <c r="L77" s="13">
        <v>1.0000000000000001E-5</v>
      </c>
      <c r="M77" s="13">
        <v>0</v>
      </c>
      <c r="N77" s="13">
        <v>0</v>
      </c>
      <c r="O77" s="13">
        <v>0</v>
      </c>
      <c r="P77" s="13">
        <v>0</v>
      </c>
      <c r="Q77" s="13">
        <v>6.0000000000000002E-5</v>
      </c>
      <c r="R77" s="13">
        <v>5.0000000000000002E-5</v>
      </c>
      <c r="S77" s="13">
        <v>1.3999999999999999E-4</v>
      </c>
      <c r="T77" s="13">
        <v>0</v>
      </c>
      <c r="U77" s="13">
        <v>1.3999999999999999E-4</v>
      </c>
      <c r="V77" s="13">
        <v>1.2E-4</v>
      </c>
      <c r="W77" s="13">
        <v>0</v>
      </c>
      <c r="X77" s="13">
        <v>0</v>
      </c>
      <c r="Y77" s="13">
        <v>1.0000000000000001E-5</v>
      </c>
      <c r="Z77" s="13">
        <v>0</v>
      </c>
      <c r="AA77" s="13">
        <v>0</v>
      </c>
      <c r="AB77" s="13">
        <v>0</v>
      </c>
      <c r="AC77" s="13">
        <v>0</v>
      </c>
      <c r="AD77" s="13">
        <v>4.8999999999999998E-4</v>
      </c>
      <c r="AE77" s="13">
        <v>6.9999999999999994E-5</v>
      </c>
      <c r="AF77" s="13">
        <v>4.2000000000000002E-4</v>
      </c>
      <c r="AG77" s="13">
        <v>0</v>
      </c>
      <c r="AH77" s="13">
        <v>0</v>
      </c>
      <c r="AI77" s="13">
        <v>0</v>
      </c>
      <c r="AJ77" s="13">
        <v>0</v>
      </c>
      <c r="AK77" s="13">
        <v>1.24E-3</v>
      </c>
      <c r="AL77" s="13">
        <v>0</v>
      </c>
      <c r="AM77" s="13">
        <v>1.24E-3</v>
      </c>
      <c r="AN77" s="13">
        <v>0</v>
      </c>
      <c r="AO77" s="13">
        <v>1.0000000000000001E-5</v>
      </c>
      <c r="AP77" s="13">
        <v>1.0000000000000001E-5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1.8929999999999999E-2</v>
      </c>
      <c r="CM77" s="13">
        <v>1.549E-2</v>
      </c>
      <c r="CN77" s="13">
        <v>1.5049999999999999E-2</v>
      </c>
      <c r="CO77" s="13">
        <v>1.2E-4</v>
      </c>
      <c r="CP77" s="13">
        <v>1.2E-4</v>
      </c>
      <c r="CQ77" s="13">
        <v>2.0000000000000001E-4</v>
      </c>
      <c r="CR77" s="13">
        <v>3.4299999999999999E-3</v>
      </c>
      <c r="CS77" s="13">
        <v>2.8800000000000002E-3</v>
      </c>
      <c r="CT77" s="13">
        <v>0</v>
      </c>
      <c r="CU77" s="13">
        <v>5.1999999999999995E-4</v>
      </c>
      <c r="CV77" s="13">
        <v>3.0000000000000001E-5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0</v>
      </c>
      <c r="DY77" s="13">
        <v>0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3.3999999999999998E-3</v>
      </c>
      <c r="ES77" s="13">
        <v>2.14E-3</v>
      </c>
      <c r="ET77" s="13">
        <v>2.14E-3</v>
      </c>
      <c r="EU77" s="13">
        <v>0</v>
      </c>
      <c r="EV77" s="13">
        <v>0</v>
      </c>
      <c r="EW77" s="13">
        <v>1.15E-3</v>
      </c>
      <c r="EX77" s="13">
        <v>2.9E-4</v>
      </c>
      <c r="EY77" s="13">
        <v>8.5999999999999998E-4</v>
      </c>
      <c r="EZ77" s="13">
        <v>0</v>
      </c>
      <c r="FA77" s="13">
        <v>0</v>
      </c>
      <c r="FB77" s="13">
        <v>0</v>
      </c>
      <c r="FC77" s="13">
        <v>1.1E-4</v>
      </c>
      <c r="FD77" s="13">
        <v>1.1E-4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</row>
    <row r="78" spans="1:168" ht="15" x14ac:dyDescent="0.25">
      <c r="A78" s="5" t="s">
        <v>192</v>
      </c>
      <c r="B78" s="5" t="s">
        <v>9</v>
      </c>
      <c r="C78" s="14">
        <v>1.07E-3</v>
      </c>
      <c r="D78" s="14">
        <v>1.06E-3</v>
      </c>
      <c r="E78" s="14">
        <v>2.9E-4</v>
      </c>
      <c r="F78" s="14">
        <v>2.9E-4</v>
      </c>
      <c r="G78" s="14">
        <v>2.0000000000000002E-5</v>
      </c>
      <c r="H78" s="14">
        <v>2.0000000000000002E-5</v>
      </c>
      <c r="I78" s="14">
        <v>0</v>
      </c>
      <c r="J78" s="14">
        <v>0</v>
      </c>
      <c r="K78" s="14">
        <v>4.0000000000000003E-5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1.0000000000000001E-5</v>
      </c>
      <c r="R78" s="14">
        <v>3.0000000000000001E-5</v>
      </c>
      <c r="S78" s="14">
        <v>2.1000000000000001E-4</v>
      </c>
      <c r="T78" s="14">
        <v>0</v>
      </c>
      <c r="U78" s="14">
        <v>2.1000000000000001E-4</v>
      </c>
      <c r="V78" s="14">
        <v>1E-4</v>
      </c>
      <c r="W78" s="14">
        <v>1.0000000000000001E-5</v>
      </c>
      <c r="X78" s="14">
        <v>1E-4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2.0000000000000002E-5</v>
      </c>
      <c r="AE78" s="14">
        <v>0</v>
      </c>
      <c r="AF78" s="14">
        <v>1.0000000000000001E-5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5.0000000000000002E-5</v>
      </c>
      <c r="AP78" s="14">
        <v>5.0000000000000002E-5</v>
      </c>
      <c r="AQ78" s="14">
        <v>0</v>
      </c>
      <c r="AR78" s="14">
        <v>0</v>
      </c>
      <c r="AS78" s="14">
        <v>0</v>
      </c>
      <c r="AT78" s="14">
        <v>2.0000000000000002E-5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2.0000000000000002E-5</v>
      </c>
      <c r="CK78" s="14">
        <v>0</v>
      </c>
      <c r="CL78" s="14">
        <v>7.2000000000000005E-4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1.2999999999999999E-4</v>
      </c>
      <c r="CS78" s="14">
        <v>6.9999999999999994E-5</v>
      </c>
      <c r="CT78" s="14">
        <v>0</v>
      </c>
      <c r="CU78" s="14">
        <v>0</v>
      </c>
      <c r="CV78" s="14">
        <v>0</v>
      </c>
      <c r="CW78" s="14">
        <v>5.0000000000000002E-5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5.9000000000000003E-4</v>
      </c>
      <c r="DD78" s="14">
        <v>3.8999999999999999E-4</v>
      </c>
      <c r="DE78" s="14">
        <v>1.9000000000000001E-4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1.0000000000000001E-5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0</v>
      </c>
      <c r="ED78" s="14">
        <v>0</v>
      </c>
      <c r="EE78" s="14">
        <v>0</v>
      </c>
      <c r="EF78" s="14">
        <v>0</v>
      </c>
      <c r="EG78" s="14">
        <v>0</v>
      </c>
      <c r="EH78" s="14">
        <v>1.0000000000000001E-5</v>
      </c>
      <c r="EI78" s="14">
        <v>0</v>
      </c>
      <c r="EJ78" s="14">
        <v>0</v>
      </c>
      <c r="EK78" s="14">
        <v>1.0000000000000001E-5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4.0000000000000003E-5</v>
      </c>
      <c r="ES78" s="14">
        <v>0</v>
      </c>
      <c r="ET78" s="14">
        <v>0</v>
      </c>
      <c r="EU78" s="14">
        <v>0</v>
      </c>
      <c r="EV78" s="14">
        <v>0</v>
      </c>
      <c r="EW78" s="14">
        <v>2.0000000000000002E-5</v>
      </c>
      <c r="EX78" s="14">
        <v>2.0000000000000002E-5</v>
      </c>
      <c r="EY78" s="14">
        <v>0</v>
      </c>
      <c r="EZ78" s="14">
        <v>0</v>
      </c>
      <c r="FA78" s="14">
        <v>0</v>
      </c>
      <c r="FB78" s="14">
        <v>0</v>
      </c>
      <c r="FC78" s="14">
        <v>2.0000000000000002E-5</v>
      </c>
      <c r="FD78" s="14">
        <v>2.0000000000000002E-5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</row>
    <row r="79" spans="1:168" ht="15" x14ac:dyDescent="0.25">
      <c r="A79" s="5" t="s">
        <v>193</v>
      </c>
      <c r="B79" s="5" t="s">
        <v>6</v>
      </c>
      <c r="C79" s="13">
        <v>60.393569999999997</v>
      </c>
      <c r="D79" s="13">
        <v>65.177390000000003</v>
      </c>
      <c r="E79" s="13">
        <v>46.604030000000002</v>
      </c>
      <c r="F79" s="13">
        <v>44.557490000000001</v>
      </c>
      <c r="G79" s="13">
        <v>13.093120000000001</v>
      </c>
      <c r="H79" s="13">
        <v>11.067679999999999</v>
      </c>
      <c r="I79" s="13">
        <v>1.6035699999999999</v>
      </c>
      <c r="J79" s="13">
        <v>0.42187000000000002</v>
      </c>
      <c r="K79" s="13">
        <v>5.2283499999999998</v>
      </c>
      <c r="L79" s="13">
        <v>0.2074</v>
      </c>
      <c r="M79" s="13">
        <v>0.18962999999999999</v>
      </c>
      <c r="N79" s="13">
        <v>0.40433000000000002</v>
      </c>
      <c r="O79" s="13">
        <v>0.42748000000000003</v>
      </c>
      <c r="P79" s="13">
        <v>0.86617999999999995</v>
      </c>
      <c r="Q79" s="13">
        <v>1.2377499999999999</v>
      </c>
      <c r="R79" s="13">
        <v>1.89557</v>
      </c>
      <c r="S79" s="13">
        <v>13.873810000000001</v>
      </c>
      <c r="T79" s="13">
        <v>4.7099999999999998E-3</v>
      </c>
      <c r="U79" s="13">
        <v>13.544499999999999</v>
      </c>
      <c r="V79" s="13">
        <v>7.2892900000000003</v>
      </c>
      <c r="W79" s="13">
        <v>2.0671200000000001</v>
      </c>
      <c r="X79" s="13">
        <v>4.0884200000000002</v>
      </c>
      <c r="Y79" s="13">
        <v>9.9669999999999995E-2</v>
      </c>
      <c r="Z79" s="13">
        <v>0</v>
      </c>
      <c r="AA79" s="13">
        <v>0.14716000000000001</v>
      </c>
      <c r="AB79" s="13">
        <v>1.6039999999999999E-2</v>
      </c>
      <c r="AC79" s="13">
        <v>0.16139000000000001</v>
      </c>
      <c r="AD79" s="13">
        <v>12.285450000000001</v>
      </c>
      <c r="AE79" s="13">
        <v>2.9104299999999999</v>
      </c>
      <c r="AF79" s="13">
        <v>7.8687100000000001</v>
      </c>
      <c r="AG79" s="13">
        <v>1.5063200000000001</v>
      </c>
      <c r="AH79" s="13">
        <v>7.6770000000000005E-2</v>
      </c>
      <c r="AI79" s="13">
        <v>4.8239999999999998E-2</v>
      </c>
      <c r="AJ79" s="13">
        <v>2.853E-2</v>
      </c>
      <c r="AK79" s="13">
        <v>2.0465399999999998</v>
      </c>
      <c r="AL79" s="13">
        <v>4.2009999999999999E-2</v>
      </c>
      <c r="AM79" s="13">
        <v>2.0045199999999999</v>
      </c>
      <c r="AN79" s="13">
        <v>0</v>
      </c>
      <c r="AO79" s="13">
        <v>0.84716000000000002</v>
      </c>
      <c r="AP79" s="13">
        <v>0.84716000000000002</v>
      </c>
      <c r="AQ79" s="13">
        <v>0</v>
      </c>
      <c r="AR79" s="13">
        <v>0</v>
      </c>
      <c r="AS79" s="13">
        <v>11.13697</v>
      </c>
      <c r="AT79" s="13">
        <v>7.4859900000000001</v>
      </c>
      <c r="AU79" s="13">
        <v>1.36222</v>
      </c>
      <c r="AV79" s="13">
        <v>0.88178999999999996</v>
      </c>
      <c r="AW79" s="13">
        <v>0.17263999999999999</v>
      </c>
      <c r="AX79" s="13">
        <v>4.3529999999999999E-2</v>
      </c>
      <c r="AY79" s="13">
        <v>0.26424999999999998</v>
      </c>
      <c r="AZ79" s="13">
        <v>2.5851899999999999</v>
      </c>
      <c r="BA79" s="13">
        <v>0.72948000000000002</v>
      </c>
      <c r="BB79" s="13">
        <v>3.2329999999999998E-2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1.44699</v>
      </c>
      <c r="BI79" s="13">
        <v>0</v>
      </c>
      <c r="BJ79" s="13">
        <v>0.37639</v>
      </c>
      <c r="BK79" s="13">
        <v>1.36219</v>
      </c>
      <c r="BL79" s="13">
        <v>1.36219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0.11549</v>
      </c>
      <c r="BT79" s="13">
        <v>2.256E-2</v>
      </c>
      <c r="BU79" s="13">
        <v>9.4500000000000001E-3</v>
      </c>
      <c r="BV79" s="13">
        <v>8.3479999999999999E-2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1.80728</v>
      </c>
      <c r="CD79" s="13">
        <v>1.62951</v>
      </c>
      <c r="CE79" s="13">
        <v>0.1394</v>
      </c>
      <c r="CF79" s="13">
        <v>6.96E-3</v>
      </c>
      <c r="CG79" s="13">
        <v>3.141E-2</v>
      </c>
      <c r="CH79" s="13">
        <v>0</v>
      </c>
      <c r="CI79" s="13">
        <v>0</v>
      </c>
      <c r="CJ79" s="13">
        <v>0.25362000000000001</v>
      </c>
      <c r="CK79" s="13">
        <v>0</v>
      </c>
      <c r="CL79" s="13">
        <v>6.9122000000000003</v>
      </c>
      <c r="CM79" s="13">
        <v>2.3125300000000002</v>
      </c>
      <c r="CN79" s="13">
        <v>1.8666700000000001</v>
      </c>
      <c r="CO79" s="13">
        <v>0.25662000000000001</v>
      </c>
      <c r="CP79" s="13">
        <v>0.12033000000000001</v>
      </c>
      <c r="CQ79" s="13">
        <v>6.8900000000000003E-2</v>
      </c>
      <c r="CR79" s="13">
        <v>1.0361199999999999</v>
      </c>
      <c r="CS79" s="13">
        <v>0.55535999999999996</v>
      </c>
      <c r="CT79" s="13">
        <v>3.1759999999999997E-2</v>
      </c>
      <c r="CU79" s="13">
        <v>0.24371999999999999</v>
      </c>
      <c r="CV79" s="13">
        <v>8.5620000000000002E-2</v>
      </c>
      <c r="CW79" s="13">
        <v>0.11967</v>
      </c>
      <c r="CX79" s="13">
        <v>2.2169999999999999E-2</v>
      </c>
      <c r="CY79" s="13">
        <v>2.2169999999999999E-2</v>
      </c>
      <c r="CZ79" s="13">
        <v>0</v>
      </c>
      <c r="DA79" s="13">
        <v>0</v>
      </c>
      <c r="DB79" s="13">
        <v>0</v>
      </c>
      <c r="DC79" s="13">
        <v>3.3273299999999999</v>
      </c>
      <c r="DD79" s="13">
        <v>3.1017299999999999</v>
      </c>
      <c r="DE79" s="13">
        <v>0.22561</v>
      </c>
      <c r="DF79" s="13">
        <v>0</v>
      </c>
      <c r="DG79" s="13">
        <v>4.0000000000000002E-4</v>
      </c>
      <c r="DH79" s="13">
        <v>4.0000000000000002E-4</v>
      </c>
      <c r="DI79" s="13">
        <v>0</v>
      </c>
      <c r="DJ79" s="13">
        <v>0</v>
      </c>
      <c r="DK79" s="13">
        <v>0</v>
      </c>
      <c r="DL79" s="13">
        <v>0</v>
      </c>
      <c r="DM79" s="13">
        <v>9.6200000000000001E-3</v>
      </c>
      <c r="DN79" s="13">
        <v>0.11237</v>
      </c>
      <c r="DO79" s="13">
        <v>9.1649999999999995E-2</v>
      </c>
      <c r="DP79" s="13">
        <v>0</v>
      </c>
      <c r="DQ79" s="13">
        <v>-4.78383</v>
      </c>
      <c r="DR79" s="13">
        <v>-4.2783899999999999</v>
      </c>
      <c r="DS79" s="13">
        <v>0</v>
      </c>
      <c r="DT79" s="13">
        <v>-2.8862100000000002</v>
      </c>
      <c r="DU79" s="13">
        <v>-1.39218</v>
      </c>
      <c r="DV79" s="13">
        <v>1.8799999999999999E-3</v>
      </c>
      <c r="DW79" s="13">
        <v>0</v>
      </c>
      <c r="DX79" s="13">
        <v>-0.13417000000000001</v>
      </c>
      <c r="DY79" s="13">
        <v>0.13605</v>
      </c>
      <c r="DZ79" s="13">
        <v>5.0499999999999998E-3</v>
      </c>
      <c r="EA79" s="13">
        <v>0</v>
      </c>
      <c r="EB79" s="13">
        <v>-0.18814</v>
      </c>
      <c r="EC79" s="13">
        <v>0.19319</v>
      </c>
      <c r="ED79" s="13">
        <v>5.3940000000000002E-2</v>
      </c>
      <c r="EE79" s="13">
        <v>4.4290000000000003E-2</v>
      </c>
      <c r="EF79" s="13">
        <v>5.6090000000000001E-2</v>
      </c>
      <c r="EG79" s="13">
        <v>-2.15E-3</v>
      </c>
      <c r="EH79" s="13">
        <v>0.15407999999999999</v>
      </c>
      <c r="EI79" s="13">
        <v>0</v>
      </c>
      <c r="EJ79" s="13">
        <v>0</v>
      </c>
      <c r="EK79" s="13">
        <v>0.15407999999999999</v>
      </c>
      <c r="EL79" s="13">
        <v>0</v>
      </c>
      <c r="EM79" s="13">
        <v>0</v>
      </c>
      <c r="EN79" s="13">
        <v>0</v>
      </c>
      <c r="EO79" s="13">
        <v>0</v>
      </c>
      <c r="EP79" s="13">
        <v>-0.72038000000000002</v>
      </c>
      <c r="EQ79" s="13">
        <v>0</v>
      </c>
      <c r="ER79" s="13">
        <v>4.1751800000000001</v>
      </c>
      <c r="ES79" s="13">
        <v>3.3958499999999998</v>
      </c>
      <c r="ET79" s="13">
        <v>2.0120100000000001</v>
      </c>
      <c r="EU79" s="13">
        <v>1.38384</v>
      </c>
      <c r="EV79" s="13">
        <v>0</v>
      </c>
      <c r="EW79" s="13">
        <v>0.14443</v>
      </c>
      <c r="EX79" s="13">
        <v>9.7790000000000002E-2</v>
      </c>
      <c r="EY79" s="13">
        <v>4.6640000000000001E-2</v>
      </c>
      <c r="EZ79" s="13">
        <v>2.913E-2</v>
      </c>
      <c r="FA79" s="13">
        <v>2.913E-2</v>
      </c>
      <c r="FB79" s="13">
        <v>0</v>
      </c>
      <c r="FC79" s="13">
        <v>0.60577000000000003</v>
      </c>
      <c r="FD79" s="13">
        <v>0.57789000000000001</v>
      </c>
      <c r="FE79" s="13">
        <v>2.7879999999999999E-2</v>
      </c>
      <c r="FF79" s="13">
        <v>0</v>
      </c>
      <c r="FG79" s="13">
        <v>0</v>
      </c>
      <c r="FH79" s="13">
        <v>46.752670000000002</v>
      </c>
      <c r="FI79" s="13">
        <v>0.59136999999999995</v>
      </c>
      <c r="FJ79" s="13">
        <v>0.32988000000000001</v>
      </c>
      <c r="FK79" s="13">
        <v>0</v>
      </c>
      <c r="FL79" s="13">
        <v>0</v>
      </c>
    </row>
    <row r="80" spans="1:168" ht="15" x14ac:dyDescent="0.25">
      <c r="A80" s="5" t="s">
        <v>193</v>
      </c>
      <c r="B80" s="5" t="s">
        <v>7</v>
      </c>
      <c r="C80" s="14">
        <v>44.53416</v>
      </c>
      <c r="D80" s="14">
        <v>49.366230000000002</v>
      </c>
      <c r="E80" s="14">
        <v>43.789209999999997</v>
      </c>
      <c r="F80" s="14">
        <v>43.642009999999999</v>
      </c>
      <c r="G80" s="14">
        <v>13.01145</v>
      </c>
      <c r="H80" s="14">
        <v>10.98892</v>
      </c>
      <c r="I80" s="14">
        <v>1.6010500000000001</v>
      </c>
      <c r="J80" s="14">
        <v>0.42148000000000002</v>
      </c>
      <c r="K80" s="14">
        <v>5.1888800000000002</v>
      </c>
      <c r="L80" s="14">
        <v>0.20713000000000001</v>
      </c>
      <c r="M80" s="14">
        <v>0.18945000000000001</v>
      </c>
      <c r="N80" s="14">
        <v>0.40378999999999998</v>
      </c>
      <c r="O80" s="14">
        <v>0.42299999999999999</v>
      </c>
      <c r="P80" s="14">
        <v>0.86038999999999999</v>
      </c>
      <c r="Q80" s="14">
        <v>1.2264299999999999</v>
      </c>
      <c r="R80" s="14">
        <v>1.87869</v>
      </c>
      <c r="S80" s="14">
        <v>13.71536</v>
      </c>
      <c r="T80" s="14">
        <v>4.6800000000000001E-3</v>
      </c>
      <c r="U80" s="14">
        <v>13.40021</v>
      </c>
      <c r="V80" s="14">
        <v>7.2200199999999999</v>
      </c>
      <c r="W80" s="14">
        <v>2.0493199999999998</v>
      </c>
      <c r="X80" s="14">
        <v>4.0341899999999997</v>
      </c>
      <c r="Y80" s="14">
        <v>9.6689999999999998E-2</v>
      </c>
      <c r="Z80" s="14">
        <v>0</v>
      </c>
      <c r="AA80" s="14">
        <v>0.13333999999999999</v>
      </c>
      <c r="AB80" s="14">
        <v>1.5890000000000001E-2</v>
      </c>
      <c r="AC80" s="14">
        <v>0.16123000000000001</v>
      </c>
      <c r="AD80" s="14">
        <v>11.64992</v>
      </c>
      <c r="AE80" s="14">
        <v>2.8889100000000001</v>
      </c>
      <c r="AF80" s="14">
        <v>7.2762599999999997</v>
      </c>
      <c r="AG80" s="14">
        <v>1.48475</v>
      </c>
      <c r="AH80" s="14">
        <v>7.6399999999999996E-2</v>
      </c>
      <c r="AI80" s="14">
        <v>4.8090000000000001E-2</v>
      </c>
      <c r="AJ80" s="14">
        <v>2.8320000000000001E-2</v>
      </c>
      <c r="AK80" s="14">
        <v>0.1472</v>
      </c>
      <c r="AL80" s="14">
        <v>7.4999999999999997E-3</v>
      </c>
      <c r="AM80" s="14">
        <v>0.13969999999999999</v>
      </c>
      <c r="AN80" s="14">
        <v>0</v>
      </c>
      <c r="AO80" s="14">
        <v>0.84087999999999996</v>
      </c>
      <c r="AP80" s="14">
        <v>0.84087999999999996</v>
      </c>
      <c r="AQ80" s="14">
        <v>0</v>
      </c>
      <c r="AR80" s="14">
        <v>0</v>
      </c>
      <c r="AS80" s="14">
        <v>11.13697</v>
      </c>
      <c r="AT80" s="14">
        <v>5.3347600000000002</v>
      </c>
      <c r="AU80" s="14">
        <v>1.36222</v>
      </c>
      <c r="AV80" s="14">
        <v>0.88178999999999996</v>
      </c>
      <c r="AW80" s="14">
        <v>0.17263999999999999</v>
      </c>
      <c r="AX80" s="14">
        <v>4.3529999999999999E-2</v>
      </c>
      <c r="AY80" s="14">
        <v>0.26424999999999998</v>
      </c>
      <c r="AZ80" s="14">
        <v>2.5008300000000001</v>
      </c>
      <c r="BA80" s="14">
        <v>0.72948000000000002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1.39496</v>
      </c>
      <c r="BI80" s="14">
        <v>0</v>
      </c>
      <c r="BJ80" s="14">
        <v>0.37639</v>
      </c>
      <c r="BK80" s="14">
        <v>1.35622</v>
      </c>
      <c r="BL80" s="14">
        <v>1.35622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0.11549</v>
      </c>
      <c r="BT80" s="14">
        <v>2.256E-2</v>
      </c>
      <c r="BU80" s="14">
        <v>9.4500000000000001E-3</v>
      </c>
      <c r="BV80" s="14">
        <v>8.3479999999999999E-2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0.21364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9.6200000000000001E-3</v>
      </c>
      <c r="DN80" s="14">
        <v>0.11237</v>
      </c>
      <c r="DO80" s="14">
        <v>9.1649999999999995E-2</v>
      </c>
      <c r="DP80" s="14">
        <v>0</v>
      </c>
      <c r="DQ80" s="14">
        <v>-4.8320800000000004</v>
      </c>
      <c r="DR80" s="14">
        <v>-4.3009300000000001</v>
      </c>
      <c r="DS80" s="14">
        <v>0</v>
      </c>
      <c r="DT80" s="14">
        <v>-2.9085399999999999</v>
      </c>
      <c r="DU80" s="14">
        <v>-1.39238</v>
      </c>
      <c r="DV80" s="14">
        <v>-9.4400000000000005E-3</v>
      </c>
      <c r="DW80" s="14">
        <v>0</v>
      </c>
      <c r="DX80" s="14">
        <v>-0.13472999999999999</v>
      </c>
      <c r="DY80" s="14">
        <v>0.12529000000000001</v>
      </c>
      <c r="DZ80" s="14">
        <v>-1.14E-3</v>
      </c>
      <c r="EA80" s="14">
        <v>0</v>
      </c>
      <c r="EB80" s="14">
        <v>-0.19378000000000001</v>
      </c>
      <c r="EC80" s="14">
        <v>0.19263</v>
      </c>
      <c r="ED80" s="14">
        <v>5.2089999999999997E-2</v>
      </c>
      <c r="EE80" s="14">
        <v>4.2430000000000002E-2</v>
      </c>
      <c r="EF80" s="14">
        <v>5.4239999999999997E-2</v>
      </c>
      <c r="EG80" s="14">
        <v>-2.15E-3</v>
      </c>
      <c r="EH80" s="14">
        <v>0.14773</v>
      </c>
      <c r="EI80" s="14">
        <v>0</v>
      </c>
      <c r="EJ80" s="14">
        <v>0</v>
      </c>
      <c r="EK80" s="14">
        <v>0.14773</v>
      </c>
      <c r="EL80" s="14">
        <v>0</v>
      </c>
      <c r="EM80" s="14">
        <v>0</v>
      </c>
      <c r="EN80" s="14">
        <v>0</v>
      </c>
      <c r="EO80" s="14">
        <v>0</v>
      </c>
      <c r="EP80" s="14">
        <v>-0.72038000000000002</v>
      </c>
      <c r="EQ80" s="14">
        <v>0</v>
      </c>
      <c r="ER80" s="14">
        <v>2.862E-2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2.862E-2</v>
      </c>
      <c r="FA80" s="14">
        <v>2.862E-2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4">
        <v>0</v>
      </c>
      <c r="FH80" s="14">
        <v>46.752670000000002</v>
      </c>
      <c r="FI80" s="14">
        <v>0.59136999999999995</v>
      </c>
      <c r="FJ80" s="14">
        <v>0.32988000000000001</v>
      </c>
      <c r="FK80" s="14">
        <v>0</v>
      </c>
      <c r="FL80" s="14">
        <v>0</v>
      </c>
    </row>
    <row r="81" spans="1:168" ht="15" x14ac:dyDescent="0.25">
      <c r="A81" s="5" t="s">
        <v>193</v>
      </c>
      <c r="B81" s="5" t="s">
        <v>8</v>
      </c>
      <c r="C81" s="13">
        <v>0.33456000000000002</v>
      </c>
      <c r="D81" s="13">
        <v>0.33417999999999998</v>
      </c>
      <c r="E81" s="13">
        <v>8.992E-2</v>
      </c>
      <c r="F81" s="13">
        <v>2.2100000000000002E-2</v>
      </c>
      <c r="G81" s="13">
        <v>1.0300000000000001E-3</v>
      </c>
      <c r="H81" s="13">
        <v>9.7999999999999997E-4</v>
      </c>
      <c r="I81" s="13">
        <v>4.0000000000000003E-5</v>
      </c>
      <c r="J81" s="13">
        <v>1.0000000000000001E-5</v>
      </c>
      <c r="K81" s="13">
        <v>4.8000000000000001E-4</v>
      </c>
      <c r="L81" s="13">
        <v>0</v>
      </c>
      <c r="M81" s="13">
        <v>0</v>
      </c>
      <c r="N81" s="13">
        <v>1.0000000000000001E-5</v>
      </c>
      <c r="O81" s="13">
        <v>5.0000000000000002E-5</v>
      </c>
      <c r="P81" s="13">
        <v>9.0000000000000006E-5</v>
      </c>
      <c r="Q81" s="13">
        <v>1.8000000000000001E-4</v>
      </c>
      <c r="R81" s="13">
        <v>1.3999999999999999E-4</v>
      </c>
      <c r="S81" s="13">
        <v>8.8000000000000003E-4</v>
      </c>
      <c r="T81" s="13">
        <v>0</v>
      </c>
      <c r="U81" s="13">
        <v>8.7000000000000001E-4</v>
      </c>
      <c r="V81" s="13">
        <v>5.9000000000000003E-4</v>
      </c>
      <c r="W81" s="13">
        <v>3.0000000000000001E-5</v>
      </c>
      <c r="X81" s="13">
        <v>1.6000000000000001E-4</v>
      </c>
      <c r="Y81" s="13">
        <v>9.0000000000000006E-5</v>
      </c>
      <c r="Z81" s="13">
        <v>0</v>
      </c>
      <c r="AA81" s="13">
        <v>1.0000000000000001E-5</v>
      </c>
      <c r="AB81" s="13">
        <v>0</v>
      </c>
      <c r="AC81" s="13">
        <v>0</v>
      </c>
      <c r="AD81" s="13">
        <v>1.9709999999999998E-2</v>
      </c>
      <c r="AE81" s="13">
        <v>6.0999999999999997E-4</v>
      </c>
      <c r="AF81" s="13">
        <v>1.8839999999999999E-2</v>
      </c>
      <c r="AG81" s="13">
        <v>2.5000000000000001E-4</v>
      </c>
      <c r="AH81" s="13">
        <v>0</v>
      </c>
      <c r="AI81" s="13">
        <v>0</v>
      </c>
      <c r="AJ81" s="13">
        <v>0</v>
      </c>
      <c r="AK81" s="13">
        <v>6.7820000000000005E-2</v>
      </c>
      <c r="AL81" s="13">
        <v>1.23E-3</v>
      </c>
      <c r="AM81" s="13">
        <v>6.6589999999999996E-2</v>
      </c>
      <c r="AN81" s="13">
        <v>0</v>
      </c>
      <c r="AO81" s="13">
        <v>1.0000000000000001E-5</v>
      </c>
      <c r="AP81" s="13">
        <v>1.0000000000000001E-5</v>
      </c>
      <c r="AQ81" s="13">
        <v>0</v>
      </c>
      <c r="AR81" s="13">
        <v>0</v>
      </c>
      <c r="AS81" s="13">
        <v>0</v>
      </c>
      <c r="AT81" s="13">
        <v>2.0699999999999998E-3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1.8600000000000001E-3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1.8600000000000001E-3</v>
      </c>
      <c r="BI81" s="13">
        <v>0</v>
      </c>
      <c r="BJ81" s="13">
        <v>0</v>
      </c>
      <c r="BK81" s="13">
        <v>2.1000000000000001E-4</v>
      </c>
      <c r="BL81" s="13">
        <v>2.1000000000000001E-4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0.10657999999999999</v>
      </c>
      <c r="CM81" s="13">
        <v>8.2589999999999997E-2</v>
      </c>
      <c r="CN81" s="13">
        <v>6.6669999999999993E-2</v>
      </c>
      <c r="CO81" s="13">
        <v>9.1699999999999993E-3</v>
      </c>
      <c r="CP81" s="13">
        <v>4.3E-3</v>
      </c>
      <c r="CQ81" s="13">
        <v>2.4599999999999999E-3</v>
      </c>
      <c r="CR81" s="13">
        <v>2.3189999999999999E-2</v>
      </c>
      <c r="CS81" s="13">
        <v>1.4330000000000001E-2</v>
      </c>
      <c r="CT81" s="13">
        <v>3.4000000000000002E-4</v>
      </c>
      <c r="CU81" s="13">
        <v>7.1799999999999998E-3</v>
      </c>
      <c r="CV81" s="13">
        <v>1.34E-3</v>
      </c>
      <c r="CW81" s="13">
        <v>0</v>
      </c>
      <c r="CX81" s="13">
        <v>7.9000000000000001E-4</v>
      </c>
      <c r="CY81" s="13">
        <v>7.9000000000000001E-4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3">
        <v>0</v>
      </c>
      <c r="DG81" s="13">
        <v>1.0000000000000001E-5</v>
      </c>
      <c r="DH81" s="13">
        <v>1.0000000000000001E-5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3.8000000000000002E-4</v>
      </c>
      <c r="DR81" s="13">
        <v>3.5E-4</v>
      </c>
      <c r="DS81" s="13">
        <v>0</v>
      </c>
      <c r="DT81" s="13">
        <v>3.5E-4</v>
      </c>
      <c r="DU81" s="13">
        <v>0</v>
      </c>
      <c r="DV81" s="13">
        <v>2.0000000000000002E-5</v>
      </c>
      <c r="DW81" s="13">
        <v>0</v>
      </c>
      <c r="DX81" s="13">
        <v>2.0000000000000002E-5</v>
      </c>
      <c r="DY81" s="13">
        <v>0</v>
      </c>
      <c r="DZ81" s="13">
        <v>2.0000000000000002E-5</v>
      </c>
      <c r="EA81" s="13">
        <v>0</v>
      </c>
      <c r="EB81" s="13">
        <v>2.0000000000000002E-5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0</v>
      </c>
      <c r="EQ81" s="13">
        <v>0</v>
      </c>
      <c r="ER81" s="13">
        <v>0.1356</v>
      </c>
      <c r="ES81" s="13">
        <v>0.12128</v>
      </c>
      <c r="ET81" s="13">
        <v>7.1859999999999993E-2</v>
      </c>
      <c r="EU81" s="13">
        <v>4.9419999999999999E-2</v>
      </c>
      <c r="EV81" s="13">
        <v>0</v>
      </c>
      <c r="EW81" s="13">
        <v>3.8899999999999998E-3</v>
      </c>
      <c r="EX81" s="13">
        <v>2.2300000000000002E-3</v>
      </c>
      <c r="EY81" s="13">
        <v>1.67E-3</v>
      </c>
      <c r="EZ81" s="13">
        <v>0</v>
      </c>
      <c r="FA81" s="13">
        <v>0</v>
      </c>
      <c r="FB81" s="13">
        <v>0</v>
      </c>
      <c r="FC81" s="13">
        <v>1.042E-2</v>
      </c>
      <c r="FD81" s="13">
        <v>9.4299999999999991E-3</v>
      </c>
      <c r="FE81" s="13">
        <v>1E-3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</row>
    <row r="82" spans="1:168" ht="15" x14ac:dyDescent="0.25">
      <c r="A82" s="5" t="s">
        <v>193</v>
      </c>
      <c r="B82" s="5" t="s">
        <v>9</v>
      </c>
      <c r="C82" s="14">
        <v>1.729E-2</v>
      </c>
      <c r="D82" s="14">
        <v>1.7149999999999999E-2</v>
      </c>
      <c r="E82" s="14">
        <v>1.1199999999999999E-3</v>
      </c>
      <c r="F82" s="14">
        <v>1.1199999999999999E-3</v>
      </c>
      <c r="G82" s="14">
        <v>2.0000000000000001E-4</v>
      </c>
      <c r="H82" s="14">
        <v>1.9000000000000001E-4</v>
      </c>
      <c r="I82" s="14">
        <v>1.0000000000000001E-5</v>
      </c>
      <c r="J82" s="14">
        <v>0</v>
      </c>
      <c r="K82" s="14">
        <v>1E-4</v>
      </c>
      <c r="L82" s="14">
        <v>0</v>
      </c>
      <c r="M82" s="14">
        <v>0</v>
      </c>
      <c r="N82" s="14">
        <v>0</v>
      </c>
      <c r="O82" s="14">
        <v>1.0000000000000001E-5</v>
      </c>
      <c r="P82" s="14">
        <v>1.0000000000000001E-5</v>
      </c>
      <c r="Q82" s="14">
        <v>2.0000000000000002E-5</v>
      </c>
      <c r="R82" s="14">
        <v>5.0000000000000002E-5</v>
      </c>
      <c r="S82" s="14">
        <v>5.1000000000000004E-4</v>
      </c>
      <c r="T82" s="14">
        <v>0</v>
      </c>
      <c r="U82" s="14">
        <v>4.4999999999999999E-4</v>
      </c>
      <c r="V82" s="14">
        <v>2.0000000000000001E-4</v>
      </c>
      <c r="W82" s="14">
        <v>6.0000000000000002E-5</v>
      </c>
      <c r="X82" s="14">
        <v>1.9000000000000001E-4</v>
      </c>
      <c r="Y82" s="14">
        <v>0</v>
      </c>
      <c r="Z82" s="14">
        <v>0</v>
      </c>
      <c r="AA82" s="14">
        <v>5.0000000000000002E-5</v>
      </c>
      <c r="AB82" s="14">
        <v>0</v>
      </c>
      <c r="AC82" s="14">
        <v>0</v>
      </c>
      <c r="AD82" s="14">
        <v>3.2000000000000003E-4</v>
      </c>
      <c r="AE82" s="14">
        <v>2.0000000000000002E-5</v>
      </c>
      <c r="AF82" s="14">
        <v>2.4000000000000001E-4</v>
      </c>
      <c r="AG82" s="14">
        <v>5.0000000000000002E-5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2.0000000000000002E-5</v>
      </c>
      <c r="AP82" s="14">
        <v>2.0000000000000002E-5</v>
      </c>
      <c r="AQ82" s="14">
        <v>0</v>
      </c>
      <c r="AR82" s="14">
        <v>0</v>
      </c>
      <c r="AS82" s="14">
        <v>0</v>
      </c>
      <c r="AT82" s="14">
        <v>6.8999999999999997E-4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1.2E-4</v>
      </c>
      <c r="BA82" s="14">
        <v>0</v>
      </c>
      <c r="BB82" s="14">
        <v>1.2E-4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5.6999999999999998E-4</v>
      </c>
      <c r="CK82" s="14">
        <v>0</v>
      </c>
      <c r="CL82" s="14">
        <v>1.4019999999999999E-2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1.4599999999999999E-3</v>
      </c>
      <c r="CS82" s="14">
        <v>5.8E-4</v>
      </c>
      <c r="CT82" s="14">
        <v>8.0000000000000007E-5</v>
      </c>
      <c r="CU82" s="14">
        <v>1.6000000000000001E-4</v>
      </c>
      <c r="CV82" s="14">
        <v>1.8000000000000001E-4</v>
      </c>
      <c r="CW82" s="14">
        <v>4.4999999999999999E-4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1.256E-2</v>
      </c>
      <c r="DD82" s="14">
        <v>1.17E-2</v>
      </c>
      <c r="DE82" s="14">
        <v>8.4999999999999995E-4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1.3999999999999999E-4</v>
      </c>
      <c r="DR82" s="14">
        <v>5.0000000000000002E-5</v>
      </c>
      <c r="DS82" s="14">
        <v>0</v>
      </c>
      <c r="DT82" s="14">
        <v>5.0000000000000002E-5</v>
      </c>
      <c r="DU82" s="14">
        <v>0</v>
      </c>
      <c r="DV82" s="14">
        <v>4.0000000000000003E-5</v>
      </c>
      <c r="DW82" s="14">
        <v>0</v>
      </c>
      <c r="DX82" s="14">
        <v>0</v>
      </c>
      <c r="DY82" s="14">
        <v>4.0000000000000003E-5</v>
      </c>
      <c r="DZ82" s="14">
        <v>2.0000000000000002E-5</v>
      </c>
      <c r="EA82" s="14">
        <v>0</v>
      </c>
      <c r="EB82" s="14">
        <v>2.0000000000000002E-5</v>
      </c>
      <c r="EC82" s="14">
        <v>0</v>
      </c>
      <c r="ED82" s="14">
        <v>1.0000000000000001E-5</v>
      </c>
      <c r="EE82" s="14">
        <v>1.0000000000000001E-5</v>
      </c>
      <c r="EF82" s="14">
        <v>1.0000000000000001E-5</v>
      </c>
      <c r="EG82" s="14">
        <v>0</v>
      </c>
      <c r="EH82" s="14">
        <v>2.0000000000000002E-5</v>
      </c>
      <c r="EI82" s="14">
        <v>0</v>
      </c>
      <c r="EJ82" s="14">
        <v>0</v>
      </c>
      <c r="EK82" s="14">
        <v>2.0000000000000002E-5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1.32E-3</v>
      </c>
      <c r="ES82" s="14">
        <v>0</v>
      </c>
      <c r="ET82" s="14">
        <v>0</v>
      </c>
      <c r="EU82" s="14">
        <v>0</v>
      </c>
      <c r="EV82" s="14">
        <v>0</v>
      </c>
      <c r="EW82" s="14">
        <v>1.2999999999999999E-4</v>
      </c>
      <c r="EX82" s="14">
        <v>1.2999999999999999E-4</v>
      </c>
      <c r="EY82" s="14">
        <v>0</v>
      </c>
      <c r="EZ82" s="14">
        <v>0</v>
      </c>
      <c r="FA82" s="14">
        <v>0</v>
      </c>
      <c r="FB82" s="14">
        <v>0</v>
      </c>
      <c r="FC82" s="14">
        <v>1.1800000000000001E-3</v>
      </c>
      <c r="FD82" s="14">
        <v>1.1800000000000001E-3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</row>
    <row r="83" spans="1:168" ht="15" x14ac:dyDescent="0.25">
      <c r="A83" s="5" t="s">
        <v>194</v>
      </c>
      <c r="B83" s="5" t="s">
        <v>6</v>
      </c>
      <c r="C83" s="13">
        <v>2.0200499999999999</v>
      </c>
      <c r="D83" s="13">
        <v>2.0184199999999999</v>
      </c>
      <c r="E83" s="13">
        <v>1.55081</v>
      </c>
      <c r="F83" s="13">
        <v>1.55081</v>
      </c>
      <c r="G83" s="13">
        <v>0.6986</v>
      </c>
      <c r="H83" s="13">
        <v>0.6986</v>
      </c>
      <c r="I83" s="13">
        <v>0</v>
      </c>
      <c r="J83" s="13">
        <v>0</v>
      </c>
      <c r="K83" s="13">
        <v>5.382E-2</v>
      </c>
      <c r="L83" s="13">
        <v>5.0000000000000002E-5</v>
      </c>
      <c r="M83" s="13">
        <v>0</v>
      </c>
      <c r="N83" s="13">
        <v>9.2099999999999994E-3</v>
      </c>
      <c r="O83" s="13">
        <v>1.1900000000000001E-3</v>
      </c>
      <c r="P83" s="13">
        <v>1.366E-2</v>
      </c>
      <c r="Q83" s="13">
        <v>1.542E-2</v>
      </c>
      <c r="R83" s="13">
        <v>1.4279999999999999E-2</v>
      </c>
      <c r="S83" s="13">
        <v>0.66115000000000002</v>
      </c>
      <c r="T83" s="13">
        <v>5.5000000000000003E-4</v>
      </c>
      <c r="U83" s="13">
        <v>0.62870999999999999</v>
      </c>
      <c r="V83" s="13">
        <v>0.40872999999999998</v>
      </c>
      <c r="W83" s="13">
        <v>0.10352</v>
      </c>
      <c r="X83" s="13">
        <v>0.11218</v>
      </c>
      <c r="Y83" s="13">
        <v>4.28E-3</v>
      </c>
      <c r="Z83" s="13">
        <v>0</v>
      </c>
      <c r="AA83" s="13">
        <v>0</v>
      </c>
      <c r="AB83" s="13">
        <v>3.1890000000000002E-2</v>
      </c>
      <c r="AC83" s="13">
        <v>0</v>
      </c>
      <c r="AD83" s="13">
        <v>0.13392000000000001</v>
      </c>
      <c r="AE83" s="13">
        <v>6.3439999999999996E-2</v>
      </c>
      <c r="AF83" s="13">
        <v>3.3599999999999998E-2</v>
      </c>
      <c r="AG83" s="13">
        <v>3.6880000000000003E-2</v>
      </c>
      <c r="AH83" s="13">
        <v>3.31E-3</v>
      </c>
      <c r="AI83" s="13">
        <v>0</v>
      </c>
      <c r="AJ83" s="13">
        <v>3.31E-3</v>
      </c>
      <c r="AK83" s="13">
        <v>0</v>
      </c>
      <c r="AL83" s="13">
        <v>0</v>
      </c>
      <c r="AM83" s="13">
        <v>0</v>
      </c>
      <c r="AN83" s="13">
        <v>0</v>
      </c>
      <c r="AO83" s="13">
        <v>7.6405399999999997</v>
      </c>
      <c r="AP83" s="13">
        <v>0.47208</v>
      </c>
      <c r="AQ83" s="13">
        <v>7.1684700000000001</v>
      </c>
      <c r="AR83" s="13">
        <v>0</v>
      </c>
      <c r="AS83" s="13">
        <v>3.9510000000000003E-2</v>
      </c>
      <c r="AT83" s="13">
        <v>0.21792</v>
      </c>
      <c r="AU83" s="13">
        <v>2.0000000000000001E-4</v>
      </c>
      <c r="AV83" s="13">
        <v>0</v>
      </c>
      <c r="AW83" s="13">
        <v>0</v>
      </c>
      <c r="AX83" s="13">
        <v>0</v>
      </c>
      <c r="AY83" s="13">
        <v>2.0000000000000001E-4</v>
      </c>
      <c r="AZ83" s="13">
        <v>4.0000000000000003E-5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4.0000000000000003E-5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5.1399999999999996E-3</v>
      </c>
      <c r="BT83" s="13">
        <v>3.9300000000000003E-3</v>
      </c>
      <c r="BU83" s="13">
        <v>6.8999999999999997E-4</v>
      </c>
      <c r="BV83" s="13">
        <v>5.1999999999999995E-4</v>
      </c>
      <c r="BW83" s="13">
        <v>2.5000000000000001E-4</v>
      </c>
      <c r="BX83" s="13">
        <v>2.5000000000000001E-4</v>
      </c>
      <c r="BY83" s="13">
        <v>0</v>
      </c>
      <c r="BZ83" s="13">
        <v>0</v>
      </c>
      <c r="CA83" s="13">
        <v>0</v>
      </c>
      <c r="CB83" s="13">
        <v>0</v>
      </c>
      <c r="CC83" s="13">
        <v>0.21117</v>
      </c>
      <c r="CD83" s="13">
        <v>0.20909</v>
      </c>
      <c r="CE83" s="13">
        <v>1.0499999999999999E-3</v>
      </c>
      <c r="CF83" s="13">
        <v>2.5999999999999998E-4</v>
      </c>
      <c r="CG83" s="13">
        <v>7.6999999999999996E-4</v>
      </c>
      <c r="CH83" s="13">
        <v>0</v>
      </c>
      <c r="CI83" s="13">
        <v>0</v>
      </c>
      <c r="CJ83" s="13">
        <v>1.1199999999999999E-3</v>
      </c>
      <c r="CK83" s="13">
        <v>0</v>
      </c>
      <c r="CL83" s="13">
        <v>8.3309999999999995E-2</v>
      </c>
      <c r="CM83" s="13">
        <v>3.943E-2</v>
      </c>
      <c r="CN83" s="13">
        <v>3.0769999999999999E-2</v>
      </c>
      <c r="CO83" s="13">
        <v>3.8300000000000001E-3</v>
      </c>
      <c r="CP83" s="13">
        <v>1.5200000000000001E-3</v>
      </c>
      <c r="CQ83" s="13">
        <v>3.3E-3</v>
      </c>
      <c r="CR83" s="13">
        <v>1.753E-2</v>
      </c>
      <c r="CS83" s="13">
        <v>8.0999999999999996E-3</v>
      </c>
      <c r="CT83" s="13">
        <v>2.5999999999999998E-4</v>
      </c>
      <c r="CU83" s="13">
        <v>9.3999999999999997E-4</v>
      </c>
      <c r="CV83" s="13">
        <v>4.0099999999999997E-3</v>
      </c>
      <c r="CW83" s="13">
        <v>4.2199999999999998E-3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2.6349999999999998E-2</v>
      </c>
      <c r="DD83" s="13">
        <v>1.9800000000000002E-2</v>
      </c>
      <c r="DE83" s="13">
        <v>6.5399999999999998E-3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1.6299999999999999E-3</v>
      </c>
      <c r="DR83" s="13">
        <v>-1.1E-4</v>
      </c>
      <c r="DS83" s="13">
        <v>0</v>
      </c>
      <c r="DT83" s="13">
        <v>-1.0000000000000001E-5</v>
      </c>
      <c r="DU83" s="13">
        <v>-1.1E-4</v>
      </c>
      <c r="DV83" s="13">
        <v>-2.2300000000000002E-3</v>
      </c>
      <c r="DW83" s="13">
        <v>0</v>
      </c>
      <c r="DX83" s="13">
        <v>-1.25E-3</v>
      </c>
      <c r="DY83" s="13">
        <v>-9.7999999999999997E-4</v>
      </c>
      <c r="DZ83" s="13">
        <v>3.1700000000000001E-3</v>
      </c>
      <c r="EA83" s="13">
        <v>0</v>
      </c>
      <c r="EB83" s="13">
        <v>-1.0000000000000001E-5</v>
      </c>
      <c r="EC83" s="13">
        <v>3.1900000000000001E-3</v>
      </c>
      <c r="ED83" s="13">
        <v>-1.0000000000000001E-5</v>
      </c>
      <c r="EE83" s="13">
        <v>0</v>
      </c>
      <c r="EF83" s="13">
        <v>-1.0000000000000001E-5</v>
      </c>
      <c r="EG83" s="13">
        <v>0</v>
      </c>
      <c r="EH83" s="13">
        <v>1.6000000000000001E-4</v>
      </c>
      <c r="EI83" s="13">
        <v>0</v>
      </c>
      <c r="EJ83" s="13">
        <v>0</v>
      </c>
      <c r="EK83" s="13">
        <v>1.6000000000000001E-4</v>
      </c>
      <c r="EL83" s="13">
        <v>6.4000000000000005E-4</v>
      </c>
      <c r="EM83" s="13">
        <v>6.4000000000000005E-4</v>
      </c>
      <c r="EN83" s="13">
        <v>4.0000000000000003E-5</v>
      </c>
      <c r="EO83" s="13">
        <v>0</v>
      </c>
      <c r="EP83" s="13">
        <v>0</v>
      </c>
      <c r="EQ83" s="13">
        <v>0</v>
      </c>
      <c r="ER83" s="13">
        <v>0.16638</v>
      </c>
      <c r="ES83" s="13">
        <v>0.15690000000000001</v>
      </c>
      <c r="ET83" s="13">
        <v>0.14807999999999999</v>
      </c>
      <c r="EU83" s="13">
        <v>8.8199999999999997E-3</v>
      </c>
      <c r="EV83" s="13">
        <v>0</v>
      </c>
      <c r="EW83" s="13">
        <v>5.2999999999999998E-4</v>
      </c>
      <c r="EX83" s="13">
        <v>0</v>
      </c>
      <c r="EY83" s="13">
        <v>5.2999999999999998E-4</v>
      </c>
      <c r="EZ83" s="13">
        <v>6.7000000000000002E-4</v>
      </c>
      <c r="FA83" s="13">
        <v>6.7000000000000002E-4</v>
      </c>
      <c r="FB83" s="13">
        <v>0</v>
      </c>
      <c r="FC83" s="13">
        <v>8.2799999999999992E-3</v>
      </c>
      <c r="FD83" s="13">
        <v>8.2799999999999992E-3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</row>
    <row r="84" spans="1:168" ht="15" x14ac:dyDescent="0.25">
      <c r="A84" s="5" t="s">
        <v>194</v>
      </c>
      <c r="B84" s="5" t="s">
        <v>7</v>
      </c>
      <c r="C84" s="14">
        <v>1.54918</v>
      </c>
      <c r="D84" s="14">
        <v>1.5477000000000001</v>
      </c>
      <c r="E84" s="14">
        <v>1.5417700000000001</v>
      </c>
      <c r="F84" s="14">
        <v>1.5417700000000001</v>
      </c>
      <c r="G84" s="14">
        <v>0.69786000000000004</v>
      </c>
      <c r="H84" s="14">
        <v>0.69786000000000004</v>
      </c>
      <c r="I84" s="14">
        <v>0</v>
      </c>
      <c r="J84" s="14">
        <v>0</v>
      </c>
      <c r="K84" s="14">
        <v>5.3670000000000002E-2</v>
      </c>
      <c r="L84" s="14">
        <v>5.0000000000000002E-5</v>
      </c>
      <c r="M84" s="14">
        <v>0</v>
      </c>
      <c r="N84" s="14">
        <v>9.1900000000000003E-3</v>
      </c>
      <c r="O84" s="14">
        <v>1.1900000000000001E-3</v>
      </c>
      <c r="P84" s="14">
        <v>1.362E-2</v>
      </c>
      <c r="Q84" s="14">
        <v>1.537E-2</v>
      </c>
      <c r="R84" s="14">
        <v>1.4239999999999999E-2</v>
      </c>
      <c r="S84" s="14">
        <v>0.65573000000000004</v>
      </c>
      <c r="T84" s="14">
        <v>5.4000000000000001E-4</v>
      </c>
      <c r="U84" s="14">
        <v>0.62360000000000004</v>
      </c>
      <c r="V84" s="14">
        <v>0.40550000000000003</v>
      </c>
      <c r="W84" s="14">
        <v>0.10292</v>
      </c>
      <c r="X84" s="14">
        <v>0.11101</v>
      </c>
      <c r="Y84" s="14">
        <v>4.1700000000000001E-3</v>
      </c>
      <c r="Z84" s="14">
        <v>0</v>
      </c>
      <c r="AA84" s="14">
        <v>0</v>
      </c>
      <c r="AB84" s="14">
        <v>3.1579999999999997E-2</v>
      </c>
      <c r="AC84" s="14">
        <v>0</v>
      </c>
      <c r="AD84" s="14">
        <v>0.13123000000000001</v>
      </c>
      <c r="AE84" s="14">
        <v>6.3149999999999998E-2</v>
      </c>
      <c r="AF84" s="14">
        <v>3.2980000000000002E-2</v>
      </c>
      <c r="AG84" s="14">
        <v>3.5090000000000003E-2</v>
      </c>
      <c r="AH84" s="14">
        <v>3.2799999999999999E-3</v>
      </c>
      <c r="AI84" s="14">
        <v>0</v>
      </c>
      <c r="AJ84" s="14">
        <v>3.2799999999999999E-3</v>
      </c>
      <c r="AK84" s="14">
        <v>0</v>
      </c>
      <c r="AL84" s="14">
        <v>0</v>
      </c>
      <c r="AM84" s="14">
        <v>0</v>
      </c>
      <c r="AN84" s="14">
        <v>0</v>
      </c>
      <c r="AO84" s="14">
        <v>7.5699699999999996</v>
      </c>
      <c r="AP84" s="14">
        <v>0.46860000000000002</v>
      </c>
      <c r="AQ84" s="14">
        <v>7.1013799999999998</v>
      </c>
      <c r="AR84" s="14">
        <v>0</v>
      </c>
      <c r="AS84" s="14">
        <v>3.9510000000000003E-2</v>
      </c>
      <c r="AT84" s="14">
        <v>5.3800000000000002E-3</v>
      </c>
      <c r="AU84" s="14">
        <v>2.0000000000000001E-4</v>
      </c>
      <c r="AV84" s="14">
        <v>0</v>
      </c>
      <c r="AW84" s="14">
        <v>0</v>
      </c>
      <c r="AX84" s="14">
        <v>0</v>
      </c>
      <c r="AY84" s="14">
        <v>2.0000000000000001E-4</v>
      </c>
      <c r="AZ84" s="14">
        <v>4.0000000000000003E-5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4.0000000000000003E-5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5.1399999999999996E-3</v>
      </c>
      <c r="BT84" s="14">
        <v>3.9300000000000003E-3</v>
      </c>
      <c r="BU84" s="14">
        <v>6.8999999999999997E-4</v>
      </c>
      <c r="BV84" s="14">
        <v>5.1999999999999995E-4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1.48E-3</v>
      </c>
      <c r="DR84" s="14">
        <v>-1.1E-4</v>
      </c>
      <c r="DS84" s="14">
        <v>0</v>
      </c>
      <c r="DT84" s="14">
        <v>-1.0000000000000001E-5</v>
      </c>
      <c r="DU84" s="14">
        <v>-1.1E-4</v>
      </c>
      <c r="DV84" s="14">
        <v>-2.2799999999999999E-3</v>
      </c>
      <c r="DW84" s="14">
        <v>0</v>
      </c>
      <c r="DX84" s="14">
        <v>-1.25E-3</v>
      </c>
      <c r="DY84" s="14">
        <v>-1.0300000000000001E-3</v>
      </c>
      <c r="DZ84" s="14">
        <v>3.1199999999999999E-3</v>
      </c>
      <c r="EA84" s="14">
        <v>0</v>
      </c>
      <c r="EB84" s="14">
        <v>-1.0000000000000001E-5</v>
      </c>
      <c r="EC84" s="14">
        <v>3.14E-3</v>
      </c>
      <c r="ED84" s="14">
        <v>-1.0000000000000001E-5</v>
      </c>
      <c r="EE84" s="14">
        <v>0</v>
      </c>
      <c r="EF84" s="14">
        <v>-1.0000000000000001E-5</v>
      </c>
      <c r="EG84" s="14">
        <v>0</v>
      </c>
      <c r="EH84" s="14">
        <v>1.4999999999999999E-4</v>
      </c>
      <c r="EI84" s="14">
        <v>0</v>
      </c>
      <c r="EJ84" s="14">
        <v>0</v>
      </c>
      <c r="EK84" s="14">
        <v>1.4999999999999999E-4</v>
      </c>
      <c r="EL84" s="14">
        <v>5.9999999999999995E-4</v>
      </c>
      <c r="EM84" s="14">
        <v>5.9999999999999995E-4</v>
      </c>
      <c r="EN84" s="14">
        <v>0</v>
      </c>
      <c r="EO84" s="14">
        <v>0</v>
      </c>
      <c r="EP84" s="14">
        <v>0</v>
      </c>
      <c r="EQ84" s="14">
        <v>0</v>
      </c>
      <c r="ER84" s="14">
        <v>5.5000000000000003E-4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5.5000000000000003E-4</v>
      </c>
      <c r="FA84" s="14">
        <v>5.5000000000000003E-4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</row>
    <row r="85" spans="1:168" ht="15" x14ac:dyDescent="0.25">
      <c r="A85" s="5" t="s">
        <v>194</v>
      </c>
      <c r="B85" s="5" t="s">
        <v>8</v>
      </c>
      <c r="C85" s="13">
        <v>7.45E-3</v>
      </c>
      <c r="D85" s="13">
        <v>7.45E-3</v>
      </c>
      <c r="E85" s="13">
        <v>9.0000000000000006E-5</v>
      </c>
      <c r="F85" s="13">
        <v>9.0000000000000006E-5</v>
      </c>
      <c r="G85" s="13">
        <v>1.0000000000000001E-5</v>
      </c>
      <c r="H85" s="13">
        <v>1.0000000000000001E-5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4.0000000000000003E-5</v>
      </c>
      <c r="T85" s="13">
        <v>0</v>
      </c>
      <c r="U85" s="13">
        <v>4.0000000000000003E-5</v>
      </c>
      <c r="V85" s="13">
        <v>3.0000000000000001E-5</v>
      </c>
      <c r="W85" s="13">
        <v>0</v>
      </c>
      <c r="X85" s="13">
        <v>1.0000000000000001E-5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3.0000000000000001E-5</v>
      </c>
      <c r="AE85" s="13">
        <v>1.0000000000000001E-5</v>
      </c>
      <c r="AF85" s="13">
        <v>2.0000000000000002E-5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6.4999999999999997E-4</v>
      </c>
      <c r="AP85" s="13">
        <v>0</v>
      </c>
      <c r="AQ85" s="13">
        <v>6.4999999999999997E-4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1.6299999999999999E-3</v>
      </c>
      <c r="CM85" s="13">
        <v>1.41E-3</v>
      </c>
      <c r="CN85" s="13">
        <v>1.1000000000000001E-3</v>
      </c>
      <c r="CO85" s="13">
        <v>1.3999999999999999E-4</v>
      </c>
      <c r="CP85" s="13">
        <v>5.0000000000000002E-5</v>
      </c>
      <c r="CQ85" s="13">
        <v>1.2E-4</v>
      </c>
      <c r="CR85" s="13">
        <v>2.2000000000000001E-4</v>
      </c>
      <c r="CS85" s="13">
        <v>1.1E-4</v>
      </c>
      <c r="CT85" s="13">
        <v>0</v>
      </c>
      <c r="CU85" s="13">
        <v>2.0000000000000002E-5</v>
      </c>
      <c r="CV85" s="13">
        <v>9.0000000000000006E-5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5.7299999999999999E-3</v>
      </c>
      <c r="ES85" s="13">
        <v>5.5999999999999999E-3</v>
      </c>
      <c r="ET85" s="13">
        <v>5.2900000000000004E-3</v>
      </c>
      <c r="EU85" s="13">
        <v>3.1E-4</v>
      </c>
      <c r="EV85" s="13">
        <v>0</v>
      </c>
      <c r="EW85" s="13">
        <v>2.0000000000000002E-5</v>
      </c>
      <c r="EX85" s="13">
        <v>0</v>
      </c>
      <c r="EY85" s="13">
        <v>2.0000000000000002E-5</v>
      </c>
      <c r="EZ85" s="13">
        <v>0</v>
      </c>
      <c r="FA85" s="13">
        <v>0</v>
      </c>
      <c r="FB85" s="13">
        <v>0</v>
      </c>
      <c r="FC85" s="13">
        <v>1.1E-4</v>
      </c>
      <c r="FD85" s="13">
        <v>1.1E-4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</row>
    <row r="86" spans="1:168" ht="15" x14ac:dyDescent="0.25">
      <c r="A86" s="5" t="s">
        <v>194</v>
      </c>
      <c r="B86" s="5" t="s">
        <v>9</v>
      </c>
      <c r="C86" s="14">
        <v>1.9000000000000001E-4</v>
      </c>
      <c r="D86" s="14">
        <v>1.9000000000000001E-4</v>
      </c>
      <c r="E86" s="14">
        <v>2.0000000000000002E-5</v>
      </c>
      <c r="F86" s="14">
        <v>2.0000000000000002E-5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2.0000000000000002E-5</v>
      </c>
      <c r="T86" s="14">
        <v>0</v>
      </c>
      <c r="U86" s="14">
        <v>2.0000000000000002E-5</v>
      </c>
      <c r="V86" s="14">
        <v>1.0000000000000001E-5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1.0000000000000001E-5</v>
      </c>
      <c r="AE86" s="14">
        <v>0</v>
      </c>
      <c r="AF86" s="14">
        <v>0</v>
      </c>
      <c r="AG86" s="14">
        <v>1.0000000000000001E-5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2.0000000000000001E-4</v>
      </c>
      <c r="AP86" s="14">
        <v>1.0000000000000001E-5</v>
      </c>
      <c r="AQ86" s="14">
        <v>1.8000000000000001E-4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1.3999999999999999E-4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4.0000000000000003E-5</v>
      </c>
      <c r="CS86" s="14">
        <v>2.0000000000000002E-5</v>
      </c>
      <c r="CT86" s="14">
        <v>0</v>
      </c>
      <c r="CU86" s="14">
        <v>0</v>
      </c>
      <c r="CV86" s="14">
        <v>1.0000000000000001E-5</v>
      </c>
      <c r="CW86" s="14">
        <v>2.0000000000000002E-5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1E-4</v>
      </c>
      <c r="DD86" s="14">
        <v>6.9999999999999994E-5</v>
      </c>
      <c r="DE86" s="14">
        <v>2.0000000000000002E-5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2.0000000000000002E-5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2.0000000000000002E-5</v>
      </c>
      <c r="FD86" s="14">
        <v>2.0000000000000002E-5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</row>
    <row r="87" spans="1:168" ht="15" x14ac:dyDescent="0.25">
      <c r="A87" s="5" t="s">
        <v>195</v>
      </c>
      <c r="B87" s="5" t="s">
        <v>6</v>
      </c>
      <c r="C87" s="13">
        <v>191.43287000000001</v>
      </c>
      <c r="D87" s="13">
        <v>187.37182999999999</v>
      </c>
      <c r="E87" s="13">
        <v>147.26430999999999</v>
      </c>
      <c r="F87" s="13">
        <v>145.51094000000001</v>
      </c>
      <c r="G87" s="13">
        <v>59.616770000000002</v>
      </c>
      <c r="H87" s="13">
        <v>47.638759999999998</v>
      </c>
      <c r="I87" s="13">
        <v>9.2346500000000002</v>
      </c>
      <c r="J87" s="13">
        <v>2.74336</v>
      </c>
      <c r="K87" s="13">
        <v>20.399080000000001</v>
      </c>
      <c r="L87" s="13">
        <v>4.9386400000000004</v>
      </c>
      <c r="M87" s="13">
        <v>0.17571000000000001</v>
      </c>
      <c r="N87" s="13">
        <v>6.0347400000000002</v>
      </c>
      <c r="O87" s="13">
        <v>1.01051</v>
      </c>
      <c r="P87" s="13">
        <v>3.4769600000000001</v>
      </c>
      <c r="Q87" s="13">
        <v>1.4131400000000001</v>
      </c>
      <c r="R87" s="13">
        <v>3.34938</v>
      </c>
      <c r="S87" s="13">
        <v>30.440860000000001</v>
      </c>
      <c r="T87" s="13">
        <v>3.245E-2</v>
      </c>
      <c r="U87" s="13">
        <v>29.21997</v>
      </c>
      <c r="V87" s="13">
        <v>16.985810000000001</v>
      </c>
      <c r="W87" s="13">
        <v>3.5786899999999999</v>
      </c>
      <c r="X87" s="13">
        <v>8.3127999999999993</v>
      </c>
      <c r="Y87" s="13">
        <v>0.34266999999999997</v>
      </c>
      <c r="Z87" s="13">
        <v>0</v>
      </c>
      <c r="AA87" s="13">
        <v>6.8900000000000003E-2</v>
      </c>
      <c r="AB87" s="13">
        <v>1.0290900000000001</v>
      </c>
      <c r="AC87" s="13">
        <v>9.0440000000000006E-2</v>
      </c>
      <c r="AD87" s="13">
        <v>34.900129999999997</v>
      </c>
      <c r="AE87" s="13">
        <v>7.6088300000000002</v>
      </c>
      <c r="AF87" s="13">
        <v>16.782800000000002</v>
      </c>
      <c r="AG87" s="13">
        <v>10.50849</v>
      </c>
      <c r="AH87" s="13">
        <v>0.15409999999999999</v>
      </c>
      <c r="AI87" s="13">
        <v>0</v>
      </c>
      <c r="AJ87" s="13">
        <v>0.15409999999999999</v>
      </c>
      <c r="AK87" s="13">
        <v>1.7533700000000001</v>
      </c>
      <c r="AL87" s="13">
        <v>7.9509999999999997E-2</v>
      </c>
      <c r="AM87" s="13">
        <v>1.6738599999999999</v>
      </c>
      <c r="AN87" s="13">
        <v>0</v>
      </c>
      <c r="AO87" s="13">
        <v>48.430250000000001</v>
      </c>
      <c r="AP87" s="13">
        <v>12.250769999999999</v>
      </c>
      <c r="AQ87" s="13">
        <v>36.179479999999998</v>
      </c>
      <c r="AR87" s="13">
        <v>0</v>
      </c>
      <c r="AS87" s="13">
        <v>13.55564</v>
      </c>
      <c r="AT87" s="13">
        <v>17.26276</v>
      </c>
      <c r="AU87" s="13">
        <v>1.49522</v>
      </c>
      <c r="AV87" s="13">
        <v>0.22040999999999999</v>
      </c>
      <c r="AW87" s="13">
        <v>0.18076</v>
      </c>
      <c r="AX87" s="13">
        <v>7.1230000000000002E-2</v>
      </c>
      <c r="AY87" s="13">
        <v>1.0228200000000001</v>
      </c>
      <c r="AZ87" s="13">
        <v>13.97936</v>
      </c>
      <c r="BA87" s="13">
        <v>2.4676300000000002</v>
      </c>
      <c r="BB87" s="13">
        <v>0.25094</v>
      </c>
      <c r="BC87" s="13">
        <v>0</v>
      </c>
      <c r="BD87" s="13">
        <v>0.64570000000000005</v>
      </c>
      <c r="BE87" s="13">
        <v>0</v>
      </c>
      <c r="BF87" s="13">
        <v>0</v>
      </c>
      <c r="BG87" s="13">
        <v>0</v>
      </c>
      <c r="BH87" s="13">
        <v>0.78071000000000002</v>
      </c>
      <c r="BI87" s="13">
        <v>0.31357000000000002</v>
      </c>
      <c r="BJ87" s="13">
        <v>9.5208100000000009</v>
      </c>
      <c r="BK87" s="13">
        <v>0.11557000000000001</v>
      </c>
      <c r="BL87" s="13">
        <v>1.9429999999999999E-2</v>
      </c>
      <c r="BM87" s="13">
        <v>0</v>
      </c>
      <c r="BN87" s="13">
        <v>9.6140000000000003E-2</v>
      </c>
      <c r="BO87" s="13">
        <v>0</v>
      </c>
      <c r="BP87" s="13">
        <v>0</v>
      </c>
      <c r="BQ87" s="13">
        <v>0</v>
      </c>
      <c r="BR87" s="13">
        <v>0</v>
      </c>
      <c r="BS87" s="13">
        <v>0.33323999999999998</v>
      </c>
      <c r="BT87" s="13">
        <v>9.3469999999999998E-2</v>
      </c>
      <c r="BU87" s="13">
        <v>0.21007999999999999</v>
      </c>
      <c r="BV87" s="13">
        <v>2.9690000000000001E-2</v>
      </c>
      <c r="BW87" s="13">
        <v>3.8780000000000002E-2</v>
      </c>
      <c r="BX87" s="13">
        <v>3.8780000000000002E-2</v>
      </c>
      <c r="BY87" s="13">
        <v>0</v>
      </c>
      <c r="BZ87" s="13">
        <v>0</v>
      </c>
      <c r="CA87" s="13">
        <v>0</v>
      </c>
      <c r="CB87" s="13">
        <v>0</v>
      </c>
      <c r="CC87" s="13">
        <v>1.0415399999999999</v>
      </c>
      <c r="CD87" s="13">
        <v>0.86485999999999996</v>
      </c>
      <c r="CE87" s="13">
        <v>0</v>
      </c>
      <c r="CF87" s="13">
        <v>0</v>
      </c>
      <c r="CG87" s="13">
        <v>0</v>
      </c>
      <c r="CH87" s="13">
        <v>0</v>
      </c>
      <c r="CI87" s="13">
        <v>0.17666999999999999</v>
      </c>
      <c r="CJ87" s="13">
        <v>0.2412</v>
      </c>
      <c r="CK87" s="13">
        <v>1.7860000000000001E-2</v>
      </c>
      <c r="CL87" s="13">
        <v>18.80772</v>
      </c>
      <c r="CM87" s="13">
        <v>9.2440499999999997</v>
      </c>
      <c r="CN87" s="13">
        <v>8.2225199999999994</v>
      </c>
      <c r="CO87" s="13">
        <v>0.21240999999999999</v>
      </c>
      <c r="CP87" s="13">
        <v>0.52041000000000004</v>
      </c>
      <c r="CQ87" s="13">
        <v>0.28871000000000002</v>
      </c>
      <c r="CR87" s="13">
        <v>4.9861000000000004</v>
      </c>
      <c r="CS87" s="13">
        <v>2.53756</v>
      </c>
      <c r="CT87" s="13">
        <v>6.6899999999999998E-3</v>
      </c>
      <c r="CU87" s="13">
        <v>2.0023900000000001</v>
      </c>
      <c r="CV87" s="13">
        <v>0.21165999999999999</v>
      </c>
      <c r="CW87" s="13">
        <v>0.2278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4.49444</v>
      </c>
      <c r="DD87" s="13">
        <v>3.9449900000000002</v>
      </c>
      <c r="DE87" s="13">
        <v>0.54944999999999999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3.2250000000000001E-2</v>
      </c>
      <c r="DN87" s="13">
        <v>5.0869999999999999E-2</v>
      </c>
      <c r="DO87" s="13">
        <v>0</v>
      </c>
      <c r="DP87" s="13">
        <v>0</v>
      </c>
      <c r="DQ87" s="13">
        <v>4.0610400000000002</v>
      </c>
      <c r="DR87" s="13">
        <v>-2.3302999999999998</v>
      </c>
      <c r="DS87" s="13">
        <v>2.8999999999999998E-3</v>
      </c>
      <c r="DT87" s="13">
        <v>-1.6133200000000001</v>
      </c>
      <c r="DU87" s="13">
        <v>-0.71697999999999995</v>
      </c>
      <c r="DV87" s="13">
        <v>2.6756600000000001</v>
      </c>
      <c r="DW87" s="13">
        <v>1.3220000000000001E-2</v>
      </c>
      <c r="DX87" s="13">
        <v>1.17805</v>
      </c>
      <c r="DY87" s="13">
        <v>1.4976100000000001</v>
      </c>
      <c r="DZ87" s="13">
        <v>1.89008</v>
      </c>
      <c r="EA87" s="13">
        <v>0.22685</v>
      </c>
      <c r="EB87" s="13">
        <v>2.5470700000000002</v>
      </c>
      <c r="EC87" s="13">
        <v>-0.65698999999999996</v>
      </c>
      <c r="ED87" s="13">
        <v>0.35188999999999998</v>
      </c>
      <c r="EE87" s="13">
        <v>0.35676000000000002</v>
      </c>
      <c r="EF87" s="13">
        <v>0.30044999999999999</v>
      </c>
      <c r="EG87" s="13">
        <v>5.144E-2</v>
      </c>
      <c r="EH87" s="13">
        <v>1.14175</v>
      </c>
      <c r="EI87" s="13">
        <v>0</v>
      </c>
      <c r="EJ87" s="13">
        <v>0.35882999999999998</v>
      </c>
      <c r="EK87" s="13">
        <v>0.78291999999999995</v>
      </c>
      <c r="EL87" s="13">
        <v>0.19539000000000001</v>
      </c>
      <c r="EM87" s="13">
        <v>0.19539000000000001</v>
      </c>
      <c r="EN87" s="13">
        <v>8.9200000000000008E-3</v>
      </c>
      <c r="EO87" s="13">
        <v>0</v>
      </c>
      <c r="EP87" s="13">
        <v>0.13655999999999999</v>
      </c>
      <c r="EQ87" s="13">
        <v>0</v>
      </c>
      <c r="ER87" s="13">
        <v>3.5966399999999998</v>
      </c>
      <c r="ES87" s="13">
        <v>2.6494499999999999</v>
      </c>
      <c r="ET87" s="13">
        <v>2.6494499999999999</v>
      </c>
      <c r="EU87" s="13">
        <v>0</v>
      </c>
      <c r="EV87" s="13">
        <v>0</v>
      </c>
      <c r="EW87" s="13">
        <v>0.20663999999999999</v>
      </c>
      <c r="EX87" s="13">
        <v>0.15085000000000001</v>
      </c>
      <c r="EY87" s="13">
        <v>5.5789999999999999E-2</v>
      </c>
      <c r="EZ87" s="13">
        <v>6.9300000000000004E-3</v>
      </c>
      <c r="FA87" s="13">
        <v>0</v>
      </c>
      <c r="FB87" s="13">
        <v>6.9300000000000004E-3</v>
      </c>
      <c r="FC87" s="13">
        <v>0.73360999999999998</v>
      </c>
      <c r="FD87" s="13">
        <v>0.56022000000000005</v>
      </c>
      <c r="FE87" s="13">
        <v>4.9349999999999998E-2</v>
      </c>
      <c r="FF87" s="13">
        <v>0.12404999999999999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0.44040000000000001</v>
      </c>
    </row>
    <row r="88" spans="1:168" ht="15" x14ac:dyDescent="0.25">
      <c r="A88" s="5" t="s">
        <v>195</v>
      </c>
      <c r="B88" s="5" t="s">
        <v>7</v>
      </c>
      <c r="C88" s="14">
        <v>162.07183000000001</v>
      </c>
      <c r="D88" s="14">
        <v>158.70465999999999</v>
      </c>
      <c r="E88" s="14">
        <v>144.11347000000001</v>
      </c>
      <c r="F88" s="14">
        <v>143.01213999999999</v>
      </c>
      <c r="G88" s="14">
        <v>59.262799999999999</v>
      </c>
      <c r="H88" s="14">
        <v>47.32734</v>
      </c>
      <c r="I88" s="14">
        <v>9.2091700000000003</v>
      </c>
      <c r="J88" s="14">
        <v>2.7262900000000001</v>
      </c>
      <c r="K88" s="14">
        <v>20.297940000000001</v>
      </c>
      <c r="L88" s="14">
        <v>4.9294099999999998</v>
      </c>
      <c r="M88" s="14">
        <v>0.17513000000000001</v>
      </c>
      <c r="N88" s="14">
        <v>6.0142100000000003</v>
      </c>
      <c r="O88" s="14">
        <v>1.0071300000000001</v>
      </c>
      <c r="P88" s="14">
        <v>3.4626700000000001</v>
      </c>
      <c r="Q88" s="14">
        <v>1.4068499999999999</v>
      </c>
      <c r="R88" s="14">
        <v>3.30253</v>
      </c>
      <c r="S88" s="14">
        <v>30.038229999999999</v>
      </c>
      <c r="T88" s="14">
        <v>3.2160000000000001E-2</v>
      </c>
      <c r="U88" s="14">
        <v>28.829339999999998</v>
      </c>
      <c r="V88" s="14">
        <v>16.773209999999999</v>
      </c>
      <c r="W88" s="14">
        <v>3.54671</v>
      </c>
      <c r="X88" s="14">
        <v>8.1747399999999999</v>
      </c>
      <c r="Y88" s="14">
        <v>0.33467999999999998</v>
      </c>
      <c r="Z88" s="14">
        <v>0</v>
      </c>
      <c r="AA88" s="14">
        <v>6.8629999999999997E-2</v>
      </c>
      <c r="AB88" s="14">
        <v>1.0177</v>
      </c>
      <c r="AC88" s="14">
        <v>9.0399999999999994E-2</v>
      </c>
      <c r="AD88" s="14">
        <v>33.261499999999998</v>
      </c>
      <c r="AE88" s="14">
        <v>7.5502000000000002</v>
      </c>
      <c r="AF88" s="14">
        <v>16.35624</v>
      </c>
      <c r="AG88" s="14">
        <v>9.3550599999999999</v>
      </c>
      <c r="AH88" s="14">
        <v>0.15167</v>
      </c>
      <c r="AI88" s="14">
        <v>0</v>
      </c>
      <c r="AJ88" s="14">
        <v>0.15167</v>
      </c>
      <c r="AK88" s="14">
        <v>1.1013299999999999</v>
      </c>
      <c r="AL88" s="14">
        <v>7.4020000000000002E-2</v>
      </c>
      <c r="AM88" s="14">
        <v>1.02732</v>
      </c>
      <c r="AN88" s="14">
        <v>0</v>
      </c>
      <c r="AO88" s="14">
        <v>47.987749999999998</v>
      </c>
      <c r="AP88" s="14">
        <v>12.15827</v>
      </c>
      <c r="AQ88" s="14">
        <v>35.829479999999997</v>
      </c>
      <c r="AR88" s="14">
        <v>0</v>
      </c>
      <c r="AS88" s="14">
        <v>13.55564</v>
      </c>
      <c r="AT88" s="14">
        <v>14.06766</v>
      </c>
      <c r="AU88" s="14">
        <v>1.49522</v>
      </c>
      <c r="AV88" s="14">
        <v>0.22040999999999999</v>
      </c>
      <c r="AW88" s="14">
        <v>0.18076</v>
      </c>
      <c r="AX88" s="14">
        <v>7.1230000000000002E-2</v>
      </c>
      <c r="AY88" s="14">
        <v>1.0228200000000001</v>
      </c>
      <c r="AZ88" s="14">
        <v>12.1257</v>
      </c>
      <c r="BA88" s="14">
        <v>2.4676300000000002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0.45832000000000001</v>
      </c>
      <c r="BI88" s="14">
        <v>0</v>
      </c>
      <c r="BJ88" s="14">
        <v>9.1997400000000003</v>
      </c>
      <c r="BK88" s="14">
        <v>9.5350000000000004E-2</v>
      </c>
      <c r="BL88" s="14">
        <v>1.9429999999999999E-2</v>
      </c>
      <c r="BM88" s="14">
        <v>0</v>
      </c>
      <c r="BN88" s="14">
        <v>7.5920000000000001E-2</v>
      </c>
      <c r="BO88" s="14">
        <v>0</v>
      </c>
      <c r="BP88" s="14">
        <v>0</v>
      </c>
      <c r="BQ88" s="14">
        <v>0</v>
      </c>
      <c r="BR88" s="14">
        <v>0</v>
      </c>
      <c r="BS88" s="14">
        <v>0.33289000000000002</v>
      </c>
      <c r="BT88" s="14">
        <v>9.3469999999999998E-2</v>
      </c>
      <c r="BU88" s="14">
        <v>0.20973</v>
      </c>
      <c r="BV88" s="14">
        <v>2.9690000000000001E-2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6.4000000000000005E-4</v>
      </c>
      <c r="CK88" s="14">
        <v>1.7860000000000001E-2</v>
      </c>
      <c r="CL88" s="14">
        <v>8.3119999999999999E-2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3.2250000000000001E-2</v>
      </c>
      <c r="DN88" s="14">
        <v>5.0869999999999999E-2</v>
      </c>
      <c r="DO88" s="14">
        <v>0</v>
      </c>
      <c r="DP88" s="14">
        <v>0</v>
      </c>
      <c r="DQ88" s="14">
        <v>3.3671799999999998</v>
      </c>
      <c r="DR88" s="14">
        <v>-2.3351099999999998</v>
      </c>
      <c r="DS88" s="14">
        <v>0</v>
      </c>
      <c r="DT88" s="14">
        <v>-1.6170599999999999</v>
      </c>
      <c r="DU88" s="14">
        <v>-0.71806000000000003</v>
      </c>
      <c r="DV88" s="14">
        <v>2.6022099999999999</v>
      </c>
      <c r="DW88" s="14">
        <v>0</v>
      </c>
      <c r="DX88" s="14">
        <v>1.16483</v>
      </c>
      <c r="DY88" s="14">
        <v>1.4373800000000001</v>
      </c>
      <c r="DZ88" s="14">
        <v>1.6626799999999999</v>
      </c>
      <c r="EA88" s="14">
        <v>0</v>
      </c>
      <c r="EB88" s="14">
        <v>2.3199000000000001</v>
      </c>
      <c r="EC88" s="14">
        <v>-0.65722999999999998</v>
      </c>
      <c r="ED88" s="14">
        <v>-6.5700000000000003E-3</v>
      </c>
      <c r="EE88" s="14">
        <v>0</v>
      </c>
      <c r="EF88" s="14">
        <v>0</v>
      </c>
      <c r="EG88" s="14">
        <v>-6.5700000000000003E-3</v>
      </c>
      <c r="EH88" s="14">
        <v>1.12093</v>
      </c>
      <c r="EI88" s="14">
        <v>0</v>
      </c>
      <c r="EJ88" s="14">
        <v>0.35882999999999998</v>
      </c>
      <c r="EK88" s="14">
        <v>0.7621</v>
      </c>
      <c r="EL88" s="14">
        <v>0.18647</v>
      </c>
      <c r="EM88" s="14">
        <v>0.18647</v>
      </c>
      <c r="EN88" s="14">
        <v>0</v>
      </c>
      <c r="EO88" s="14">
        <v>0</v>
      </c>
      <c r="EP88" s="14">
        <v>0.13655999999999999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0.44040000000000001</v>
      </c>
    </row>
    <row r="89" spans="1:168" ht="15" x14ac:dyDescent="0.25">
      <c r="A89" s="5" t="s">
        <v>195</v>
      </c>
      <c r="B89" s="5" t="s">
        <v>8</v>
      </c>
      <c r="C89" s="13">
        <v>0.71391000000000004</v>
      </c>
      <c r="D89" s="13">
        <v>0.69250999999999996</v>
      </c>
      <c r="E89" s="13">
        <v>8.9200000000000002E-2</v>
      </c>
      <c r="F89" s="13">
        <v>6.5909999999999996E-2</v>
      </c>
      <c r="G89" s="13">
        <v>4.2399999999999998E-3</v>
      </c>
      <c r="H89" s="13">
        <v>3.3500000000000001E-3</v>
      </c>
      <c r="I89" s="13">
        <v>6.3000000000000003E-4</v>
      </c>
      <c r="J89" s="13">
        <v>2.5999999999999998E-4</v>
      </c>
      <c r="K89" s="13">
        <v>2.2100000000000002E-3</v>
      </c>
      <c r="L89" s="13">
        <v>1E-4</v>
      </c>
      <c r="M89" s="13">
        <v>2.0000000000000002E-5</v>
      </c>
      <c r="N89" s="13">
        <v>6.3000000000000003E-4</v>
      </c>
      <c r="O89" s="13">
        <v>1E-4</v>
      </c>
      <c r="P89" s="13">
        <v>4.4000000000000002E-4</v>
      </c>
      <c r="Q89" s="13">
        <v>1.8000000000000001E-4</v>
      </c>
      <c r="R89" s="13">
        <v>7.3999999999999999E-4</v>
      </c>
      <c r="S89" s="13">
        <v>2.6800000000000001E-3</v>
      </c>
      <c r="T89" s="13">
        <v>0</v>
      </c>
      <c r="U89" s="13">
        <v>2.5200000000000001E-3</v>
      </c>
      <c r="V89" s="13">
        <v>1.66E-3</v>
      </c>
      <c r="W89" s="13">
        <v>2.5999999999999998E-4</v>
      </c>
      <c r="X89" s="13">
        <v>3.6999999999999999E-4</v>
      </c>
      <c r="Y89" s="13">
        <v>2.3000000000000001E-4</v>
      </c>
      <c r="Z89" s="13">
        <v>0</v>
      </c>
      <c r="AA89" s="13">
        <v>0</v>
      </c>
      <c r="AB89" s="13">
        <v>1.6000000000000001E-4</v>
      </c>
      <c r="AC89" s="13">
        <v>0</v>
      </c>
      <c r="AD89" s="13">
        <v>5.6770000000000001E-2</v>
      </c>
      <c r="AE89" s="13">
        <v>1.8799999999999999E-3</v>
      </c>
      <c r="AF89" s="13">
        <v>1.4330000000000001E-2</v>
      </c>
      <c r="AG89" s="13">
        <v>4.0559999999999999E-2</v>
      </c>
      <c r="AH89" s="13">
        <v>1.0000000000000001E-5</v>
      </c>
      <c r="AI89" s="13">
        <v>0</v>
      </c>
      <c r="AJ89" s="13">
        <v>1.0000000000000001E-5</v>
      </c>
      <c r="AK89" s="13">
        <v>2.3290000000000002E-2</v>
      </c>
      <c r="AL89" s="13">
        <v>2.0000000000000001E-4</v>
      </c>
      <c r="AM89" s="13">
        <v>2.3089999999999999E-2</v>
      </c>
      <c r="AN89" s="13">
        <v>0</v>
      </c>
      <c r="AO89" s="13">
        <v>3.7499999999999999E-3</v>
      </c>
      <c r="AP89" s="13">
        <v>9.0000000000000006E-5</v>
      </c>
      <c r="AQ89" s="13">
        <v>3.6700000000000001E-3</v>
      </c>
      <c r="AR89" s="13">
        <v>0</v>
      </c>
      <c r="AS89" s="13">
        <v>0</v>
      </c>
      <c r="AT89" s="13">
        <v>1.384E-2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1.1950000000000001E-2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1.1509999999999999E-2</v>
      </c>
      <c r="BI89" s="13">
        <v>0</v>
      </c>
      <c r="BJ89" s="13">
        <v>4.2999999999999999E-4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0</v>
      </c>
      <c r="BS89" s="13">
        <v>1.0000000000000001E-5</v>
      </c>
      <c r="BT89" s="13">
        <v>0</v>
      </c>
      <c r="BU89" s="13">
        <v>1.0000000000000001E-5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1.89E-3</v>
      </c>
      <c r="CK89" s="13">
        <v>0</v>
      </c>
      <c r="CL89" s="13">
        <v>0.48224</v>
      </c>
      <c r="CM89" s="13">
        <v>0.33013999999999999</v>
      </c>
      <c r="CN89" s="13">
        <v>0.29365999999999998</v>
      </c>
      <c r="CO89" s="13">
        <v>7.5900000000000004E-3</v>
      </c>
      <c r="CP89" s="13">
        <v>1.8589999999999999E-2</v>
      </c>
      <c r="CQ89" s="13">
        <v>1.031E-2</v>
      </c>
      <c r="CR89" s="13">
        <v>0.15210000000000001</v>
      </c>
      <c r="CS89" s="13">
        <v>7.9119999999999996E-2</v>
      </c>
      <c r="CT89" s="13">
        <v>1.8000000000000001E-4</v>
      </c>
      <c r="CU89" s="13">
        <v>6.8290000000000003E-2</v>
      </c>
      <c r="CV89" s="13">
        <v>4.5100000000000001E-3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0</v>
      </c>
      <c r="DF89" s="13">
        <v>0</v>
      </c>
      <c r="DG89" s="13">
        <v>0</v>
      </c>
      <c r="DH89" s="13">
        <v>0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2.1399999999999999E-2</v>
      </c>
      <c r="DR89" s="13">
        <v>9.0000000000000006E-5</v>
      </c>
      <c r="DS89" s="13">
        <v>6.9999999999999994E-5</v>
      </c>
      <c r="DT89" s="13">
        <v>9.0000000000000006E-5</v>
      </c>
      <c r="DU89" s="13">
        <v>0</v>
      </c>
      <c r="DV89" s="13">
        <v>4.6999999999999999E-4</v>
      </c>
      <c r="DW89" s="13">
        <v>4.6999999999999999E-4</v>
      </c>
      <c r="DX89" s="13">
        <v>4.6999999999999999E-4</v>
      </c>
      <c r="DY89" s="13">
        <v>0</v>
      </c>
      <c r="DZ89" s="13">
        <v>8.0999999999999996E-3</v>
      </c>
      <c r="EA89" s="13">
        <v>8.0999999999999996E-3</v>
      </c>
      <c r="EB89" s="13">
        <v>8.0999999999999996E-3</v>
      </c>
      <c r="EC89" s="13">
        <v>0</v>
      </c>
      <c r="ED89" s="13">
        <v>1.274E-2</v>
      </c>
      <c r="EE89" s="13">
        <v>1.274E-2</v>
      </c>
      <c r="EF89" s="13">
        <v>1.073E-2</v>
      </c>
      <c r="EG89" s="13">
        <v>2.0100000000000001E-3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0</v>
      </c>
      <c r="EQ89" s="13">
        <v>0</v>
      </c>
      <c r="ER89" s="13">
        <v>0.10723000000000001</v>
      </c>
      <c r="ES89" s="13">
        <v>9.4619999999999996E-2</v>
      </c>
      <c r="ET89" s="13">
        <v>9.4619999999999996E-2</v>
      </c>
      <c r="EU89" s="13">
        <v>0</v>
      </c>
      <c r="EV89" s="13">
        <v>0</v>
      </c>
      <c r="EW89" s="13">
        <v>4.5500000000000002E-3</v>
      </c>
      <c r="EX89" s="13">
        <v>2.7899999999999999E-3</v>
      </c>
      <c r="EY89" s="13">
        <v>1.7600000000000001E-3</v>
      </c>
      <c r="EZ89" s="13">
        <v>1.7000000000000001E-4</v>
      </c>
      <c r="FA89" s="13">
        <v>0</v>
      </c>
      <c r="FB89" s="13">
        <v>1.7000000000000001E-4</v>
      </c>
      <c r="FC89" s="13">
        <v>7.8899999999999994E-3</v>
      </c>
      <c r="FD89" s="13">
        <v>4.6100000000000004E-3</v>
      </c>
      <c r="FE89" s="13">
        <v>4.0999999999999999E-4</v>
      </c>
      <c r="FF89" s="13">
        <v>2.8700000000000002E-3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</row>
    <row r="90" spans="1:168" ht="15" x14ac:dyDescent="0.25">
      <c r="A90" s="5" t="s">
        <v>195</v>
      </c>
      <c r="B90" s="5" t="s">
        <v>9</v>
      </c>
      <c r="C90" s="14">
        <v>2.9610000000000001E-2</v>
      </c>
      <c r="D90" s="14">
        <v>2.9250000000000002E-2</v>
      </c>
      <c r="E90" s="14">
        <v>2.47E-3</v>
      </c>
      <c r="F90" s="14">
        <v>2.47E-3</v>
      </c>
      <c r="G90" s="14">
        <v>8.8999999999999995E-4</v>
      </c>
      <c r="H90" s="14">
        <v>8.1999999999999998E-4</v>
      </c>
      <c r="I90" s="14">
        <v>3.0000000000000001E-5</v>
      </c>
      <c r="J90" s="14">
        <v>4.0000000000000003E-5</v>
      </c>
      <c r="K90" s="14">
        <v>1.4999999999999999E-4</v>
      </c>
      <c r="L90" s="14">
        <v>2.0000000000000002E-5</v>
      </c>
      <c r="M90" s="14">
        <v>0</v>
      </c>
      <c r="N90" s="14">
        <v>1.0000000000000001E-5</v>
      </c>
      <c r="O90" s="14">
        <v>0</v>
      </c>
      <c r="P90" s="14">
        <v>1.0000000000000001E-5</v>
      </c>
      <c r="Q90" s="14">
        <v>0</v>
      </c>
      <c r="R90" s="14">
        <v>1E-4</v>
      </c>
      <c r="S90" s="14">
        <v>1.24E-3</v>
      </c>
      <c r="T90" s="14">
        <v>0</v>
      </c>
      <c r="U90" s="14">
        <v>1.2099999999999999E-3</v>
      </c>
      <c r="V90" s="14">
        <v>6.3000000000000003E-4</v>
      </c>
      <c r="W90" s="14">
        <v>9.0000000000000006E-5</v>
      </c>
      <c r="X90" s="14">
        <v>4.8000000000000001E-4</v>
      </c>
      <c r="Y90" s="14">
        <v>1.0000000000000001E-5</v>
      </c>
      <c r="Z90" s="14">
        <v>0</v>
      </c>
      <c r="AA90" s="14">
        <v>0</v>
      </c>
      <c r="AB90" s="14">
        <v>3.0000000000000001E-5</v>
      </c>
      <c r="AC90" s="14">
        <v>0</v>
      </c>
      <c r="AD90" s="14">
        <v>1.9000000000000001E-4</v>
      </c>
      <c r="AE90" s="14">
        <v>2.0000000000000002E-5</v>
      </c>
      <c r="AF90" s="14">
        <v>1E-4</v>
      </c>
      <c r="AG90" s="14">
        <v>6.9999999999999994E-5</v>
      </c>
      <c r="AH90" s="14">
        <v>1.0000000000000001E-5</v>
      </c>
      <c r="AI90" s="14">
        <v>0</v>
      </c>
      <c r="AJ90" s="14">
        <v>1.0000000000000001E-5</v>
      </c>
      <c r="AK90" s="14">
        <v>0</v>
      </c>
      <c r="AL90" s="14">
        <v>0</v>
      </c>
      <c r="AM90" s="14">
        <v>0</v>
      </c>
      <c r="AN90" s="14">
        <v>0</v>
      </c>
      <c r="AO90" s="14">
        <v>1.2700000000000001E-3</v>
      </c>
      <c r="AP90" s="14">
        <v>3.4000000000000002E-4</v>
      </c>
      <c r="AQ90" s="14">
        <v>9.3000000000000005E-4</v>
      </c>
      <c r="AR90" s="14">
        <v>0</v>
      </c>
      <c r="AS90" s="14">
        <v>0</v>
      </c>
      <c r="AT90" s="14">
        <v>4.8399999999999997E-3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4.5500000000000002E-3</v>
      </c>
      <c r="BA90" s="14">
        <v>0</v>
      </c>
      <c r="BB90" s="14">
        <v>9.5E-4</v>
      </c>
      <c r="BC90" s="14">
        <v>0</v>
      </c>
      <c r="BD90" s="14">
        <v>2.4399999999999999E-3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1.17E-3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2.9E-4</v>
      </c>
      <c r="CK90" s="14">
        <v>0</v>
      </c>
      <c r="CL90" s="14">
        <v>1.9709999999999998E-2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2.7499999999999998E-3</v>
      </c>
      <c r="CS90" s="14">
        <v>1.2199999999999999E-3</v>
      </c>
      <c r="CT90" s="14">
        <v>1.0000000000000001E-5</v>
      </c>
      <c r="CU90" s="14">
        <v>3.4000000000000002E-4</v>
      </c>
      <c r="CV90" s="14">
        <v>3.2000000000000003E-4</v>
      </c>
      <c r="CW90" s="14">
        <v>8.5999999999999998E-4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1.6959999999999999E-2</v>
      </c>
      <c r="DD90" s="14">
        <v>1.489E-2</v>
      </c>
      <c r="DE90" s="14">
        <v>2.0699999999999998E-3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3.6000000000000002E-4</v>
      </c>
      <c r="DR90" s="14">
        <v>1.0000000000000001E-5</v>
      </c>
      <c r="DS90" s="14">
        <v>0</v>
      </c>
      <c r="DT90" s="14">
        <v>0</v>
      </c>
      <c r="DU90" s="14">
        <v>0</v>
      </c>
      <c r="DV90" s="14">
        <v>2.3000000000000001E-4</v>
      </c>
      <c r="DW90" s="14">
        <v>0</v>
      </c>
      <c r="DX90" s="14">
        <v>0</v>
      </c>
      <c r="DY90" s="14">
        <v>2.3000000000000001E-4</v>
      </c>
      <c r="DZ90" s="14">
        <v>0</v>
      </c>
      <c r="EA90" s="14">
        <v>0</v>
      </c>
      <c r="EB90" s="14">
        <v>0</v>
      </c>
      <c r="EC90" s="14">
        <v>0</v>
      </c>
      <c r="ED90" s="14">
        <v>1.0000000000000001E-5</v>
      </c>
      <c r="EE90" s="14">
        <v>0</v>
      </c>
      <c r="EF90" s="14">
        <v>0</v>
      </c>
      <c r="EG90" s="14">
        <v>1.0000000000000001E-5</v>
      </c>
      <c r="EH90" s="14">
        <v>8.0000000000000007E-5</v>
      </c>
      <c r="EI90" s="14">
        <v>0</v>
      </c>
      <c r="EJ90" s="14">
        <v>0</v>
      </c>
      <c r="EK90" s="14">
        <v>8.0000000000000007E-5</v>
      </c>
      <c r="EL90" s="14">
        <v>3.0000000000000001E-5</v>
      </c>
      <c r="EM90" s="14">
        <v>3.0000000000000001E-5</v>
      </c>
      <c r="EN90" s="14">
        <v>3.0000000000000001E-5</v>
      </c>
      <c r="EO90" s="14">
        <v>0</v>
      </c>
      <c r="EP90" s="14">
        <v>0</v>
      </c>
      <c r="EQ90" s="14">
        <v>0</v>
      </c>
      <c r="ER90" s="14">
        <v>2.2399999999999998E-3</v>
      </c>
      <c r="ES90" s="14">
        <v>0</v>
      </c>
      <c r="ET90" s="14">
        <v>0</v>
      </c>
      <c r="EU90" s="14">
        <v>0</v>
      </c>
      <c r="EV90" s="14">
        <v>0</v>
      </c>
      <c r="EW90" s="14">
        <v>2.9999999999999997E-4</v>
      </c>
      <c r="EX90" s="14">
        <v>2.7E-4</v>
      </c>
      <c r="EY90" s="14">
        <v>2.0000000000000002E-5</v>
      </c>
      <c r="EZ90" s="14">
        <v>1.0000000000000001E-5</v>
      </c>
      <c r="FA90" s="14">
        <v>0</v>
      </c>
      <c r="FB90" s="14">
        <v>1.0000000000000001E-5</v>
      </c>
      <c r="FC90" s="14">
        <v>1.9300000000000001E-3</v>
      </c>
      <c r="FD90" s="14">
        <v>1.6299999999999999E-3</v>
      </c>
      <c r="FE90" s="14">
        <v>1.3999999999999999E-4</v>
      </c>
      <c r="FF90" s="14">
        <v>1.6000000000000001E-4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</row>
    <row r="91" spans="1:168" ht="15" x14ac:dyDescent="0.25">
      <c r="A91" s="5" t="s">
        <v>196</v>
      </c>
      <c r="B91" s="5" t="s">
        <v>6</v>
      </c>
      <c r="C91" s="13">
        <v>81.272800000000004</v>
      </c>
      <c r="D91" s="13">
        <v>79.441490000000002</v>
      </c>
      <c r="E91" s="13">
        <v>54.70834</v>
      </c>
      <c r="F91" s="13">
        <v>54.156109999999998</v>
      </c>
      <c r="G91" s="13">
        <v>10.00254</v>
      </c>
      <c r="H91" s="13">
        <v>6.9824400000000004</v>
      </c>
      <c r="I91" s="13">
        <v>2.83073</v>
      </c>
      <c r="J91" s="13">
        <v>0.18937000000000001</v>
      </c>
      <c r="K91" s="13">
        <v>10.92559</v>
      </c>
      <c r="L91" s="13">
        <v>1.7729999999999999</v>
      </c>
      <c r="M91" s="13">
        <v>0.32521</v>
      </c>
      <c r="N91" s="13">
        <v>1.4806999999999999</v>
      </c>
      <c r="O91" s="13">
        <v>1.91465</v>
      </c>
      <c r="P91" s="13">
        <v>0.77056000000000002</v>
      </c>
      <c r="Q91" s="13">
        <v>1.7132799999999999</v>
      </c>
      <c r="R91" s="13">
        <v>2.9481999999999999</v>
      </c>
      <c r="S91" s="13">
        <v>24.387329999999999</v>
      </c>
      <c r="T91" s="13">
        <v>4.6420000000000003E-2</v>
      </c>
      <c r="U91" s="13">
        <v>23.560089999999999</v>
      </c>
      <c r="V91" s="13">
        <v>14.404999999999999</v>
      </c>
      <c r="W91" s="13">
        <v>1.54688</v>
      </c>
      <c r="X91" s="13">
        <v>7.4337799999999996</v>
      </c>
      <c r="Y91" s="13">
        <v>0.17443</v>
      </c>
      <c r="Z91" s="13">
        <v>0</v>
      </c>
      <c r="AA91" s="13">
        <v>9.7890000000000005E-2</v>
      </c>
      <c r="AB91" s="13">
        <v>8.1159999999999996E-2</v>
      </c>
      <c r="AC91" s="13">
        <v>0.60177999999999998</v>
      </c>
      <c r="AD91" s="13">
        <v>8.8116299999999992</v>
      </c>
      <c r="AE91" s="13">
        <v>1.3736699999999999</v>
      </c>
      <c r="AF91" s="13">
        <v>6.4997600000000002</v>
      </c>
      <c r="AG91" s="13">
        <v>0.93818999999999997</v>
      </c>
      <c r="AH91" s="13">
        <v>2.9010000000000001E-2</v>
      </c>
      <c r="AI91" s="13">
        <v>0</v>
      </c>
      <c r="AJ91" s="13">
        <v>2.9010000000000001E-2</v>
      </c>
      <c r="AK91" s="13">
        <v>0.55223999999999995</v>
      </c>
      <c r="AL91" s="13">
        <v>0</v>
      </c>
      <c r="AM91" s="13">
        <v>0.55223999999999995</v>
      </c>
      <c r="AN91" s="13">
        <v>0</v>
      </c>
      <c r="AO91" s="13">
        <v>2.5915699999999999</v>
      </c>
      <c r="AP91" s="13">
        <v>2.5488900000000001</v>
      </c>
      <c r="AQ91" s="13">
        <v>4.2689999999999999E-2</v>
      </c>
      <c r="AR91" s="13">
        <v>0</v>
      </c>
      <c r="AS91" s="13">
        <v>23.777419999999999</v>
      </c>
      <c r="AT91" s="13">
        <v>15.50184</v>
      </c>
      <c r="AU91" s="13">
        <v>2.9167800000000002</v>
      </c>
      <c r="AV91" s="13">
        <v>1.82666</v>
      </c>
      <c r="AW91" s="13">
        <v>0.57281000000000004</v>
      </c>
      <c r="AX91" s="13">
        <v>3.8289999999999998E-2</v>
      </c>
      <c r="AY91" s="13">
        <v>0.47902</v>
      </c>
      <c r="AZ91" s="13">
        <v>0.64027999999999996</v>
      </c>
      <c r="BA91" s="13">
        <v>0.36016999999999999</v>
      </c>
      <c r="BB91" s="13">
        <v>5.0099999999999999E-2</v>
      </c>
      <c r="BC91" s="13">
        <v>0</v>
      </c>
      <c r="BD91" s="13">
        <v>0</v>
      </c>
      <c r="BE91" s="13">
        <v>4.3119999999999999E-2</v>
      </c>
      <c r="BF91" s="13">
        <v>0</v>
      </c>
      <c r="BG91" s="13">
        <v>0</v>
      </c>
      <c r="BH91" s="13">
        <v>4.2000000000000003E-2</v>
      </c>
      <c r="BI91" s="13">
        <v>0</v>
      </c>
      <c r="BJ91" s="13">
        <v>0.1449</v>
      </c>
      <c r="BK91" s="13">
        <v>9.4700000000000006</v>
      </c>
      <c r="BL91" s="13">
        <v>9.4347499999999993</v>
      </c>
      <c r="BM91" s="13">
        <v>1.8360000000000001E-2</v>
      </c>
      <c r="BN91" s="13">
        <v>5.8199999999999997E-3</v>
      </c>
      <c r="BO91" s="13">
        <v>5.6600000000000001E-3</v>
      </c>
      <c r="BP91" s="13">
        <v>5.4000000000000003E-3</v>
      </c>
      <c r="BQ91" s="13">
        <v>0</v>
      </c>
      <c r="BR91" s="13">
        <v>0</v>
      </c>
      <c r="BS91" s="13">
        <v>0.15325</v>
      </c>
      <c r="BT91" s="13">
        <v>1.864E-2</v>
      </c>
      <c r="BU91" s="13">
        <v>2.0990000000000002E-2</v>
      </c>
      <c r="BV91" s="13">
        <v>0.11362</v>
      </c>
      <c r="BW91" s="13">
        <v>7.8409999999999994E-2</v>
      </c>
      <c r="BX91" s="13">
        <v>7.8409999999999994E-2</v>
      </c>
      <c r="BY91" s="13">
        <v>0</v>
      </c>
      <c r="BZ91" s="13">
        <v>0</v>
      </c>
      <c r="CA91" s="13">
        <v>0</v>
      </c>
      <c r="CB91" s="13">
        <v>0</v>
      </c>
      <c r="CC91" s="13">
        <v>1.8427500000000001</v>
      </c>
      <c r="CD91" s="13">
        <v>1.7784</v>
      </c>
      <c r="CE91" s="13">
        <v>1.4880000000000001E-2</v>
      </c>
      <c r="CF91" s="13">
        <v>2.351E-2</v>
      </c>
      <c r="CG91" s="13">
        <v>2.596E-2</v>
      </c>
      <c r="CH91" s="13">
        <v>0</v>
      </c>
      <c r="CI91" s="13">
        <v>0</v>
      </c>
      <c r="CJ91" s="13">
        <v>0.40037</v>
      </c>
      <c r="CK91" s="13">
        <v>0</v>
      </c>
      <c r="CL91" s="13">
        <v>7.6831300000000002</v>
      </c>
      <c r="CM91" s="13">
        <v>4.3883799999999997</v>
      </c>
      <c r="CN91" s="13">
        <v>4.1168100000000001</v>
      </c>
      <c r="CO91" s="13">
        <v>0.10854999999999999</v>
      </c>
      <c r="CP91" s="13">
        <v>6.7479999999999998E-2</v>
      </c>
      <c r="CQ91" s="13">
        <v>9.554E-2</v>
      </c>
      <c r="CR91" s="13">
        <v>1.24454</v>
      </c>
      <c r="CS91" s="13">
        <v>0.89165000000000005</v>
      </c>
      <c r="CT91" s="13">
        <v>1.328E-2</v>
      </c>
      <c r="CU91" s="13">
        <v>0.17566999999999999</v>
      </c>
      <c r="CV91" s="13">
        <v>4.3299999999999998E-2</v>
      </c>
      <c r="CW91" s="13">
        <v>0.12064999999999999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1.89527</v>
      </c>
      <c r="DD91" s="13">
        <v>1.4894099999999999</v>
      </c>
      <c r="DE91" s="13">
        <v>0.40586</v>
      </c>
      <c r="DF91" s="13">
        <v>0</v>
      </c>
      <c r="DG91" s="13">
        <v>1.1E-4</v>
      </c>
      <c r="DH91" s="13">
        <v>1.1E-4</v>
      </c>
      <c r="DI91" s="13">
        <v>0</v>
      </c>
      <c r="DJ91" s="13">
        <v>0</v>
      </c>
      <c r="DK91" s="13">
        <v>0</v>
      </c>
      <c r="DL91" s="13">
        <v>0</v>
      </c>
      <c r="DM91" s="13">
        <v>9.6500000000000002E-2</v>
      </c>
      <c r="DN91" s="13">
        <v>3.2030000000000003E-2</v>
      </c>
      <c r="DO91" s="13">
        <v>2.63E-2</v>
      </c>
      <c r="DP91" s="13">
        <v>0</v>
      </c>
      <c r="DQ91" s="13">
        <v>1.83131</v>
      </c>
      <c r="DR91" s="13">
        <v>1.06734</v>
      </c>
      <c r="DS91" s="13">
        <v>0.24301</v>
      </c>
      <c r="DT91" s="13">
        <v>2.5640900000000002</v>
      </c>
      <c r="DU91" s="13">
        <v>-1.49675</v>
      </c>
      <c r="DV91" s="13">
        <v>0.31309999999999999</v>
      </c>
      <c r="DW91" s="13">
        <v>0.22997000000000001</v>
      </c>
      <c r="DX91" s="13">
        <v>0.12053999999999999</v>
      </c>
      <c r="DY91" s="13">
        <v>0.19256000000000001</v>
      </c>
      <c r="DZ91" s="13">
        <v>0.61546999999999996</v>
      </c>
      <c r="EA91" s="13">
        <v>0.39</v>
      </c>
      <c r="EB91" s="13">
        <v>0.39004</v>
      </c>
      <c r="EC91" s="13">
        <v>0.22542999999999999</v>
      </c>
      <c r="ED91" s="13">
        <v>9.5089999999999994E-2</v>
      </c>
      <c r="EE91" s="13">
        <v>2.1760000000000002E-2</v>
      </c>
      <c r="EF91" s="13">
        <v>2.1770000000000001E-2</v>
      </c>
      <c r="EG91" s="13">
        <v>7.3319999999999996E-2</v>
      </c>
      <c r="EH91" s="13">
        <v>1.19438</v>
      </c>
      <c r="EI91" s="13">
        <v>0</v>
      </c>
      <c r="EJ91" s="13">
        <v>6.9519999999999998E-2</v>
      </c>
      <c r="EK91" s="13">
        <v>1.12486</v>
      </c>
      <c r="EL91" s="13">
        <v>0.51524999999999999</v>
      </c>
      <c r="EM91" s="13">
        <v>0.51524999999999999</v>
      </c>
      <c r="EN91" s="13">
        <v>1.051E-2</v>
      </c>
      <c r="EO91" s="13">
        <v>0</v>
      </c>
      <c r="EP91" s="13">
        <v>-1.96932</v>
      </c>
      <c r="EQ91" s="13">
        <v>0</v>
      </c>
      <c r="ER91" s="13">
        <v>1.5481799999999999</v>
      </c>
      <c r="ES91" s="13">
        <v>1.06016</v>
      </c>
      <c r="ET91" s="13">
        <v>1.06016</v>
      </c>
      <c r="EU91" s="13">
        <v>0</v>
      </c>
      <c r="EV91" s="13">
        <v>0</v>
      </c>
      <c r="EW91" s="13">
        <v>0.14368</v>
      </c>
      <c r="EX91" s="13">
        <v>0.11916</v>
      </c>
      <c r="EY91" s="13">
        <v>2.452E-2</v>
      </c>
      <c r="EZ91" s="13">
        <v>2.2300000000000002E-3</v>
      </c>
      <c r="FA91" s="13">
        <v>2.0600000000000002E-3</v>
      </c>
      <c r="FB91" s="13">
        <v>1.7000000000000001E-4</v>
      </c>
      <c r="FC91" s="13">
        <v>0.34211999999999998</v>
      </c>
      <c r="FD91" s="13">
        <v>0.33757999999999999</v>
      </c>
      <c r="FE91" s="13">
        <v>4.5500000000000002E-3</v>
      </c>
      <c r="FF91" s="13">
        <v>0</v>
      </c>
      <c r="FG91" s="13">
        <v>0</v>
      </c>
      <c r="FH91" s="13">
        <v>30.28707</v>
      </c>
      <c r="FI91" s="13">
        <v>4.2819999999999997E-2</v>
      </c>
      <c r="FJ91" s="13">
        <v>0</v>
      </c>
      <c r="FK91" s="13">
        <v>0</v>
      </c>
      <c r="FL91" s="13">
        <v>0</v>
      </c>
    </row>
    <row r="92" spans="1:168" ht="15" x14ac:dyDescent="0.25">
      <c r="A92" s="5" t="s">
        <v>196</v>
      </c>
      <c r="B92" s="5" t="s">
        <v>7</v>
      </c>
      <c r="C92" s="14">
        <v>68.183120000000002</v>
      </c>
      <c r="D92" s="14">
        <v>66.566509999999994</v>
      </c>
      <c r="E92" s="14">
        <v>53.341549999999998</v>
      </c>
      <c r="F92" s="14">
        <v>53.214260000000003</v>
      </c>
      <c r="G92" s="14">
        <v>9.8849</v>
      </c>
      <c r="H92" s="14">
        <v>6.8724499999999997</v>
      </c>
      <c r="I92" s="14">
        <v>2.82437</v>
      </c>
      <c r="J92" s="14">
        <v>0.18808</v>
      </c>
      <c r="K92" s="14">
        <v>10.79278</v>
      </c>
      <c r="L92" s="14">
        <v>1.7714099999999999</v>
      </c>
      <c r="M92" s="14">
        <v>0.32478000000000001</v>
      </c>
      <c r="N92" s="14">
        <v>1.4708399999999999</v>
      </c>
      <c r="O92" s="14">
        <v>1.8829800000000001</v>
      </c>
      <c r="P92" s="14">
        <v>0.76919999999999999</v>
      </c>
      <c r="Q92" s="14">
        <v>1.69424</v>
      </c>
      <c r="R92" s="14">
        <v>2.87934</v>
      </c>
      <c r="S92" s="14">
        <v>24.12351</v>
      </c>
      <c r="T92" s="14">
        <v>4.6039999999999998E-2</v>
      </c>
      <c r="U92" s="14">
        <v>23.309170000000002</v>
      </c>
      <c r="V92" s="14">
        <v>14.25695</v>
      </c>
      <c r="W92" s="14">
        <v>1.52884</v>
      </c>
      <c r="X92" s="14">
        <v>7.3534600000000001</v>
      </c>
      <c r="Y92" s="14">
        <v>0.16991000000000001</v>
      </c>
      <c r="Z92" s="14">
        <v>0</v>
      </c>
      <c r="AA92" s="14">
        <v>9.2410000000000006E-2</v>
      </c>
      <c r="AB92" s="14">
        <v>7.4829999999999994E-2</v>
      </c>
      <c r="AC92" s="14">
        <v>0.60104999999999997</v>
      </c>
      <c r="AD92" s="14">
        <v>8.38462</v>
      </c>
      <c r="AE92" s="14">
        <v>1.3622000000000001</v>
      </c>
      <c r="AF92" s="14">
        <v>6.1856900000000001</v>
      </c>
      <c r="AG92" s="14">
        <v>0.83672999999999997</v>
      </c>
      <c r="AH92" s="14">
        <v>2.845E-2</v>
      </c>
      <c r="AI92" s="14">
        <v>0</v>
      </c>
      <c r="AJ92" s="14">
        <v>2.845E-2</v>
      </c>
      <c r="AK92" s="14">
        <v>0.12728999999999999</v>
      </c>
      <c r="AL92" s="14">
        <v>0</v>
      </c>
      <c r="AM92" s="14">
        <v>0.12728999999999999</v>
      </c>
      <c r="AN92" s="14">
        <v>0</v>
      </c>
      <c r="AO92" s="14">
        <v>2.5693999999999999</v>
      </c>
      <c r="AP92" s="14">
        <v>2.52996</v>
      </c>
      <c r="AQ92" s="14">
        <v>3.9440000000000003E-2</v>
      </c>
      <c r="AR92" s="14">
        <v>0</v>
      </c>
      <c r="AS92" s="14">
        <v>23.777419999999999</v>
      </c>
      <c r="AT92" s="14">
        <v>13.06808</v>
      </c>
      <c r="AU92" s="14">
        <v>2.9167800000000002</v>
      </c>
      <c r="AV92" s="14">
        <v>1.82666</v>
      </c>
      <c r="AW92" s="14">
        <v>0.57281000000000004</v>
      </c>
      <c r="AX92" s="14">
        <v>3.8289999999999998E-2</v>
      </c>
      <c r="AY92" s="14">
        <v>0.47902</v>
      </c>
      <c r="AZ92" s="14">
        <v>0.53771999999999998</v>
      </c>
      <c r="BA92" s="14">
        <v>0.35769000000000001</v>
      </c>
      <c r="BB92" s="14">
        <v>0</v>
      </c>
      <c r="BC92" s="14">
        <v>0</v>
      </c>
      <c r="BD92" s="14">
        <v>0</v>
      </c>
      <c r="BE92" s="14">
        <v>4.3119999999999999E-2</v>
      </c>
      <c r="BF92" s="14">
        <v>0</v>
      </c>
      <c r="BG92" s="14">
        <v>0</v>
      </c>
      <c r="BH92" s="14">
        <v>0</v>
      </c>
      <c r="BI92" s="14">
        <v>0</v>
      </c>
      <c r="BJ92" s="14">
        <v>0.13691</v>
      </c>
      <c r="BK92" s="14">
        <v>9.4602799999999991</v>
      </c>
      <c r="BL92" s="14">
        <v>9.4307999999999996</v>
      </c>
      <c r="BM92" s="14">
        <v>1.8360000000000001E-2</v>
      </c>
      <c r="BN92" s="14">
        <v>5.7200000000000003E-3</v>
      </c>
      <c r="BO92" s="14">
        <v>0</v>
      </c>
      <c r="BP92" s="14">
        <v>5.4000000000000003E-3</v>
      </c>
      <c r="BQ92" s="14">
        <v>0</v>
      </c>
      <c r="BR92" s="14">
        <v>0</v>
      </c>
      <c r="BS92" s="14">
        <v>0.15325</v>
      </c>
      <c r="BT92" s="14">
        <v>1.864E-2</v>
      </c>
      <c r="BU92" s="14">
        <v>2.0990000000000002E-2</v>
      </c>
      <c r="BV92" s="14">
        <v>0.11362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5.0000000000000002E-5</v>
      </c>
      <c r="CK92" s="14">
        <v>0</v>
      </c>
      <c r="CL92" s="14">
        <v>0.15483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9.6500000000000002E-2</v>
      </c>
      <c r="DN92" s="14">
        <v>3.2030000000000003E-2</v>
      </c>
      <c r="DO92" s="14">
        <v>2.63E-2</v>
      </c>
      <c r="DP92" s="14">
        <v>0</v>
      </c>
      <c r="DQ92" s="14">
        <v>1.6166100000000001</v>
      </c>
      <c r="DR92" s="14">
        <v>1.02817</v>
      </c>
      <c r="DS92" s="14">
        <v>0.22270000000000001</v>
      </c>
      <c r="DT92" s="14">
        <v>2.5435099999999999</v>
      </c>
      <c r="DU92" s="14">
        <v>-1.5153399999999999</v>
      </c>
      <c r="DV92" s="14">
        <v>0.28494999999999998</v>
      </c>
      <c r="DW92" s="14">
        <v>0.21870000000000001</v>
      </c>
      <c r="DX92" s="14">
        <v>0.10927000000000001</v>
      </c>
      <c r="DY92" s="14">
        <v>0.17568</v>
      </c>
      <c r="DZ92" s="14">
        <v>0.59648999999999996</v>
      </c>
      <c r="EA92" s="14">
        <v>0.37106</v>
      </c>
      <c r="EB92" s="14">
        <v>0.37106</v>
      </c>
      <c r="EC92" s="14">
        <v>0.22542999999999999</v>
      </c>
      <c r="ED92" s="14">
        <v>9.3950000000000006E-2</v>
      </c>
      <c r="EE92" s="14">
        <v>2.0629999999999999E-2</v>
      </c>
      <c r="EF92" s="14">
        <v>2.0629999999999999E-2</v>
      </c>
      <c r="EG92" s="14">
        <v>7.3319999999999996E-2</v>
      </c>
      <c r="EH92" s="14">
        <v>1.0788199999999999</v>
      </c>
      <c r="EI92" s="14">
        <v>0</v>
      </c>
      <c r="EJ92" s="14">
        <v>6.3339999999999994E-2</v>
      </c>
      <c r="EK92" s="14">
        <v>1.0154799999999999</v>
      </c>
      <c r="EL92" s="14">
        <v>0.50353999999999999</v>
      </c>
      <c r="EM92" s="14">
        <v>0.50353999999999999</v>
      </c>
      <c r="EN92" s="14">
        <v>0</v>
      </c>
      <c r="EO92" s="14">
        <v>0</v>
      </c>
      <c r="EP92" s="14">
        <v>-1.96932</v>
      </c>
      <c r="EQ92" s="14">
        <v>0</v>
      </c>
      <c r="ER92" s="14">
        <v>2.0500000000000002E-3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2.0500000000000002E-3</v>
      </c>
      <c r="FA92" s="14">
        <v>2.0500000000000002E-3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30.28707</v>
      </c>
      <c r="FI92" s="14">
        <v>4.2819999999999997E-2</v>
      </c>
      <c r="FJ92" s="14">
        <v>0</v>
      </c>
      <c r="FK92" s="14">
        <v>0</v>
      </c>
      <c r="FL92" s="14">
        <v>0</v>
      </c>
    </row>
    <row r="93" spans="1:168" ht="15" x14ac:dyDescent="0.25">
      <c r="A93" s="5" t="s">
        <v>196</v>
      </c>
      <c r="B93" s="5" t="s">
        <v>8</v>
      </c>
      <c r="C93" s="13">
        <v>0.26175999999999999</v>
      </c>
      <c r="D93" s="13">
        <v>0.26042999999999999</v>
      </c>
      <c r="E93" s="13">
        <v>2.8369999999999999E-2</v>
      </c>
      <c r="F93" s="13">
        <v>1.319E-2</v>
      </c>
      <c r="G93" s="13">
        <v>1E-3</v>
      </c>
      <c r="H93" s="13">
        <v>8.8000000000000003E-4</v>
      </c>
      <c r="I93" s="13">
        <v>8.0000000000000007E-5</v>
      </c>
      <c r="J93" s="13">
        <v>4.0000000000000003E-5</v>
      </c>
      <c r="K93" s="13">
        <v>7.9000000000000001E-4</v>
      </c>
      <c r="L93" s="13">
        <v>3.0000000000000001E-5</v>
      </c>
      <c r="M93" s="13">
        <v>1.0000000000000001E-5</v>
      </c>
      <c r="N93" s="13">
        <v>1E-4</v>
      </c>
      <c r="O93" s="13">
        <v>2.3000000000000001E-4</v>
      </c>
      <c r="P93" s="13">
        <v>2.0000000000000002E-5</v>
      </c>
      <c r="Q93" s="13">
        <v>1.8000000000000001E-4</v>
      </c>
      <c r="R93" s="13">
        <v>2.3000000000000001E-4</v>
      </c>
      <c r="S93" s="13">
        <v>8.3000000000000001E-4</v>
      </c>
      <c r="T93" s="13">
        <v>0</v>
      </c>
      <c r="U93" s="13">
        <v>8.0000000000000004E-4</v>
      </c>
      <c r="V93" s="13">
        <v>5.9999999999999995E-4</v>
      </c>
      <c r="W93" s="13">
        <v>5.0000000000000002E-5</v>
      </c>
      <c r="X93" s="13">
        <v>2.0000000000000002E-5</v>
      </c>
      <c r="Y93" s="13">
        <v>1.2999999999999999E-4</v>
      </c>
      <c r="Z93" s="13">
        <v>0</v>
      </c>
      <c r="AA93" s="13">
        <v>0</v>
      </c>
      <c r="AB93" s="13">
        <v>1.0000000000000001E-5</v>
      </c>
      <c r="AC93" s="13">
        <v>1.0000000000000001E-5</v>
      </c>
      <c r="AD93" s="13">
        <v>1.057E-2</v>
      </c>
      <c r="AE93" s="13">
        <v>2.4000000000000001E-4</v>
      </c>
      <c r="AF93" s="13">
        <v>8.26E-3</v>
      </c>
      <c r="AG93" s="13">
        <v>2.0699999999999998E-3</v>
      </c>
      <c r="AH93" s="13">
        <v>0</v>
      </c>
      <c r="AI93" s="13">
        <v>0</v>
      </c>
      <c r="AJ93" s="13">
        <v>0</v>
      </c>
      <c r="AK93" s="13">
        <v>1.5180000000000001E-2</v>
      </c>
      <c r="AL93" s="13">
        <v>0</v>
      </c>
      <c r="AM93" s="13">
        <v>1.5180000000000001E-2</v>
      </c>
      <c r="AN93" s="13">
        <v>0</v>
      </c>
      <c r="AO93" s="13">
        <v>2.0000000000000002E-5</v>
      </c>
      <c r="AP93" s="13">
        <v>2.0000000000000002E-5</v>
      </c>
      <c r="AQ93" s="13">
        <v>0</v>
      </c>
      <c r="AR93" s="13">
        <v>0</v>
      </c>
      <c r="AS93" s="13">
        <v>0</v>
      </c>
      <c r="AT93" s="13">
        <v>2.0100000000000001E-3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1.8699999999999999E-3</v>
      </c>
      <c r="BA93" s="13">
        <v>9.0000000000000006E-5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1.5E-3</v>
      </c>
      <c r="BI93" s="13">
        <v>0</v>
      </c>
      <c r="BJ93" s="13">
        <v>2.9E-4</v>
      </c>
      <c r="BK93" s="13">
        <v>1.3999999999999999E-4</v>
      </c>
      <c r="BL93" s="13">
        <v>1.3999999999999999E-4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0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0</v>
      </c>
      <c r="CJ93" s="13">
        <v>0</v>
      </c>
      <c r="CK93" s="13">
        <v>0</v>
      </c>
      <c r="CL93" s="13">
        <v>0.18257999999999999</v>
      </c>
      <c r="CM93" s="13">
        <v>0.15673000000000001</v>
      </c>
      <c r="CN93" s="13">
        <v>0.14702999999999999</v>
      </c>
      <c r="CO93" s="13">
        <v>3.8800000000000002E-3</v>
      </c>
      <c r="CP93" s="13">
        <v>2.4099999999999998E-3</v>
      </c>
      <c r="CQ93" s="13">
        <v>3.4099999999999998E-3</v>
      </c>
      <c r="CR93" s="13">
        <v>2.5850000000000001E-2</v>
      </c>
      <c r="CS93" s="13">
        <v>2.0899999999999998E-2</v>
      </c>
      <c r="CT93" s="13">
        <v>1E-4</v>
      </c>
      <c r="CU93" s="13">
        <v>4.1799999999999997E-3</v>
      </c>
      <c r="CV93" s="13">
        <v>6.6E-4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1.33E-3</v>
      </c>
      <c r="DR93" s="13">
        <v>1.2E-4</v>
      </c>
      <c r="DS93" s="13">
        <v>1.2E-4</v>
      </c>
      <c r="DT93" s="13">
        <v>1.2E-4</v>
      </c>
      <c r="DU93" s="13">
        <v>0</v>
      </c>
      <c r="DV93" s="13">
        <v>4.0000000000000002E-4</v>
      </c>
      <c r="DW93" s="13">
        <v>4.0000000000000002E-4</v>
      </c>
      <c r="DX93" s="13">
        <v>4.0000000000000002E-4</v>
      </c>
      <c r="DY93" s="13">
        <v>0</v>
      </c>
      <c r="DZ93" s="13">
        <v>6.8000000000000005E-4</v>
      </c>
      <c r="EA93" s="13">
        <v>6.8000000000000005E-4</v>
      </c>
      <c r="EB93" s="13">
        <v>6.8000000000000005E-4</v>
      </c>
      <c r="EC93" s="13">
        <v>0</v>
      </c>
      <c r="ED93" s="13">
        <v>1.0000000000000001E-5</v>
      </c>
      <c r="EE93" s="13">
        <v>1.0000000000000001E-5</v>
      </c>
      <c r="EF93" s="13">
        <v>1.0000000000000001E-5</v>
      </c>
      <c r="EG93" s="13">
        <v>0</v>
      </c>
      <c r="EH93" s="13">
        <v>1.2E-4</v>
      </c>
      <c r="EI93" s="13">
        <v>0</v>
      </c>
      <c r="EJ93" s="13">
        <v>1.2E-4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4.7469999999999998E-2</v>
      </c>
      <c r="ES93" s="13">
        <v>3.7859999999999998E-2</v>
      </c>
      <c r="ET93" s="13">
        <v>3.7859999999999998E-2</v>
      </c>
      <c r="EU93" s="13">
        <v>0</v>
      </c>
      <c r="EV93" s="13">
        <v>0</v>
      </c>
      <c r="EW93" s="13">
        <v>2.7200000000000002E-3</v>
      </c>
      <c r="EX93" s="13">
        <v>1.8500000000000001E-3</v>
      </c>
      <c r="EY93" s="13">
        <v>8.8000000000000003E-4</v>
      </c>
      <c r="EZ93" s="13">
        <v>1.0000000000000001E-5</v>
      </c>
      <c r="FA93" s="13">
        <v>0</v>
      </c>
      <c r="FB93" s="13">
        <v>1.0000000000000001E-5</v>
      </c>
      <c r="FC93" s="13">
        <v>6.8799999999999998E-3</v>
      </c>
      <c r="FD93" s="13">
        <v>6.7499999999999999E-3</v>
      </c>
      <c r="FE93" s="13">
        <v>1.2999999999999999E-4</v>
      </c>
      <c r="FF93" s="13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</row>
    <row r="94" spans="1:168" ht="15" x14ac:dyDescent="0.25">
      <c r="A94" s="5" t="s">
        <v>196</v>
      </c>
      <c r="B94" s="5" t="s">
        <v>9</v>
      </c>
      <c r="C94" s="14">
        <v>1.3100000000000001E-2</v>
      </c>
      <c r="D94" s="14">
        <v>1.243E-2</v>
      </c>
      <c r="E94" s="14">
        <v>2.16E-3</v>
      </c>
      <c r="F94" s="14">
        <v>2.16E-3</v>
      </c>
      <c r="G94" s="14">
        <v>3.4000000000000002E-4</v>
      </c>
      <c r="H94" s="14">
        <v>3.2000000000000003E-4</v>
      </c>
      <c r="I94" s="14">
        <v>2.0000000000000002E-5</v>
      </c>
      <c r="J94" s="14">
        <v>0</v>
      </c>
      <c r="K94" s="14">
        <v>4.2000000000000002E-4</v>
      </c>
      <c r="L94" s="14">
        <v>0</v>
      </c>
      <c r="M94" s="14">
        <v>0</v>
      </c>
      <c r="N94" s="14">
        <v>3.0000000000000001E-5</v>
      </c>
      <c r="O94" s="14">
        <v>1E-4</v>
      </c>
      <c r="P94" s="14">
        <v>0</v>
      </c>
      <c r="Q94" s="14">
        <v>5.0000000000000002E-5</v>
      </c>
      <c r="R94" s="14">
        <v>2.4000000000000001E-4</v>
      </c>
      <c r="S94" s="14">
        <v>9.1E-4</v>
      </c>
      <c r="T94" s="14">
        <v>0</v>
      </c>
      <c r="U94" s="14">
        <v>8.5999999999999998E-4</v>
      </c>
      <c r="V94" s="14">
        <v>4.8999999999999998E-4</v>
      </c>
      <c r="W94" s="14">
        <v>6.0000000000000002E-5</v>
      </c>
      <c r="X94" s="14">
        <v>2.9999999999999997E-4</v>
      </c>
      <c r="Y94" s="14">
        <v>0</v>
      </c>
      <c r="Z94" s="14">
        <v>0</v>
      </c>
      <c r="AA94" s="14">
        <v>2.0000000000000002E-5</v>
      </c>
      <c r="AB94" s="14">
        <v>2.0000000000000002E-5</v>
      </c>
      <c r="AC94" s="14">
        <v>0</v>
      </c>
      <c r="AD94" s="14">
        <v>4.8999999999999998E-4</v>
      </c>
      <c r="AE94" s="14">
        <v>2.0000000000000002E-5</v>
      </c>
      <c r="AF94" s="14">
        <v>3.1E-4</v>
      </c>
      <c r="AG94" s="14">
        <v>1.6000000000000001E-4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8.0000000000000007E-5</v>
      </c>
      <c r="AP94" s="14">
        <v>6.9999999999999994E-5</v>
      </c>
      <c r="AQ94" s="14">
        <v>1.0000000000000001E-5</v>
      </c>
      <c r="AR94" s="14">
        <v>0</v>
      </c>
      <c r="AS94" s="14">
        <v>0</v>
      </c>
      <c r="AT94" s="14">
        <v>3.3E-4</v>
      </c>
      <c r="AU94" s="14">
        <v>0</v>
      </c>
      <c r="AV94" s="14">
        <v>0</v>
      </c>
      <c r="AW94" s="14">
        <v>0</v>
      </c>
      <c r="AX94" s="14">
        <v>0</v>
      </c>
      <c r="AY94" s="14">
        <v>0</v>
      </c>
      <c r="AZ94" s="14">
        <v>1.9000000000000001E-4</v>
      </c>
      <c r="BA94" s="14">
        <v>0</v>
      </c>
      <c r="BB94" s="14">
        <v>1.9000000000000001E-4</v>
      </c>
      <c r="BC94" s="14">
        <v>0</v>
      </c>
      <c r="BD94" s="14">
        <v>0</v>
      </c>
      <c r="BE94" s="14">
        <v>0</v>
      </c>
      <c r="BF94" s="14">
        <v>0</v>
      </c>
      <c r="BG94" s="14">
        <v>0</v>
      </c>
      <c r="BH94" s="14">
        <v>0</v>
      </c>
      <c r="BI94" s="14">
        <v>0</v>
      </c>
      <c r="BJ94" s="14">
        <v>0</v>
      </c>
      <c r="BK94" s="14">
        <v>0</v>
      </c>
      <c r="BL94" s="14">
        <v>0</v>
      </c>
      <c r="BM94" s="14">
        <v>0</v>
      </c>
      <c r="BN94" s="14">
        <v>0</v>
      </c>
      <c r="BO94" s="14">
        <v>0</v>
      </c>
      <c r="BP94" s="14">
        <v>0</v>
      </c>
      <c r="BQ94" s="14">
        <v>0</v>
      </c>
      <c r="BR94" s="14">
        <v>0</v>
      </c>
      <c r="BS94" s="14">
        <v>0</v>
      </c>
      <c r="BT94" s="14">
        <v>0</v>
      </c>
      <c r="BU94" s="14">
        <v>0</v>
      </c>
      <c r="BV94" s="14">
        <v>0</v>
      </c>
      <c r="BW94" s="14">
        <v>0</v>
      </c>
      <c r="BX94" s="14">
        <v>0</v>
      </c>
      <c r="BY94" s="14">
        <v>0</v>
      </c>
      <c r="BZ94" s="14">
        <v>0</v>
      </c>
      <c r="CA94" s="14">
        <v>0</v>
      </c>
      <c r="CB94" s="14">
        <v>0</v>
      </c>
      <c r="CC94" s="14">
        <v>0</v>
      </c>
      <c r="CD94" s="14">
        <v>0</v>
      </c>
      <c r="CE94" s="14">
        <v>0</v>
      </c>
      <c r="CF94" s="14">
        <v>0</v>
      </c>
      <c r="CG94" s="14">
        <v>0</v>
      </c>
      <c r="CH94" s="14">
        <v>0</v>
      </c>
      <c r="CI94" s="14">
        <v>0</v>
      </c>
      <c r="CJ94" s="14">
        <v>1.3999999999999999E-4</v>
      </c>
      <c r="CK94" s="14">
        <v>0</v>
      </c>
      <c r="CL94" s="14">
        <v>9.1199999999999996E-3</v>
      </c>
      <c r="CM94" s="14">
        <v>0</v>
      </c>
      <c r="CN94" s="14">
        <v>0</v>
      </c>
      <c r="CO94" s="14">
        <v>0</v>
      </c>
      <c r="CP94" s="14">
        <v>0</v>
      </c>
      <c r="CQ94" s="14">
        <v>0</v>
      </c>
      <c r="CR94" s="14">
        <v>1.97E-3</v>
      </c>
      <c r="CS94" s="14">
        <v>1.16E-3</v>
      </c>
      <c r="CT94" s="14">
        <v>4.0000000000000003E-5</v>
      </c>
      <c r="CU94" s="14">
        <v>2.2000000000000001E-4</v>
      </c>
      <c r="CV94" s="14">
        <v>9.0000000000000006E-5</v>
      </c>
      <c r="CW94" s="14">
        <v>4.6000000000000001E-4</v>
      </c>
      <c r="CX94" s="14">
        <v>0</v>
      </c>
      <c r="CY94" s="14">
        <v>0</v>
      </c>
      <c r="CZ94" s="14">
        <v>0</v>
      </c>
      <c r="DA94" s="14">
        <v>0</v>
      </c>
      <c r="DB94" s="14">
        <v>0</v>
      </c>
      <c r="DC94" s="14">
        <v>7.1500000000000001E-3</v>
      </c>
      <c r="DD94" s="14">
        <v>5.62E-3</v>
      </c>
      <c r="DE94" s="14">
        <v>1.5299999999999999E-3</v>
      </c>
      <c r="DF94" s="14">
        <v>0</v>
      </c>
      <c r="DG94" s="14">
        <v>0</v>
      </c>
      <c r="DH94" s="14">
        <v>0</v>
      </c>
      <c r="DI94" s="14">
        <v>0</v>
      </c>
      <c r="DJ94" s="14">
        <v>0</v>
      </c>
      <c r="DK94" s="14">
        <v>0</v>
      </c>
      <c r="DL94" s="14">
        <v>0</v>
      </c>
      <c r="DM94" s="14">
        <v>0</v>
      </c>
      <c r="DN94" s="14">
        <v>0</v>
      </c>
      <c r="DO94" s="14">
        <v>0</v>
      </c>
      <c r="DP94" s="14">
        <v>0</v>
      </c>
      <c r="DQ94" s="14">
        <v>6.7000000000000002E-4</v>
      </c>
      <c r="DR94" s="14">
        <v>1.2999999999999999E-4</v>
      </c>
      <c r="DS94" s="14">
        <v>6.0000000000000002E-5</v>
      </c>
      <c r="DT94" s="14">
        <v>6.0000000000000002E-5</v>
      </c>
      <c r="DU94" s="14">
        <v>6.9999999999999994E-5</v>
      </c>
      <c r="DV94" s="14">
        <v>6.0000000000000002E-5</v>
      </c>
      <c r="DW94" s="14">
        <v>0</v>
      </c>
      <c r="DX94" s="14">
        <v>0</v>
      </c>
      <c r="DY94" s="14">
        <v>6.0000000000000002E-5</v>
      </c>
      <c r="DZ94" s="14">
        <v>0</v>
      </c>
      <c r="EA94" s="14">
        <v>0</v>
      </c>
      <c r="EB94" s="14">
        <v>0</v>
      </c>
      <c r="EC94" s="14">
        <v>0</v>
      </c>
      <c r="ED94" s="14">
        <v>0</v>
      </c>
      <c r="EE94" s="14">
        <v>0</v>
      </c>
      <c r="EF94" s="14">
        <v>0</v>
      </c>
      <c r="EG94" s="14">
        <v>0</v>
      </c>
      <c r="EH94" s="14">
        <v>4.2000000000000002E-4</v>
      </c>
      <c r="EI94" s="14">
        <v>0</v>
      </c>
      <c r="EJ94" s="14">
        <v>1.0000000000000001E-5</v>
      </c>
      <c r="EK94" s="14">
        <v>4.0999999999999999E-4</v>
      </c>
      <c r="EL94" s="14">
        <v>4.0000000000000003E-5</v>
      </c>
      <c r="EM94" s="14">
        <v>4.0000000000000003E-5</v>
      </c>
      <c r="EN94" s="14">
        <v>4.0000000000000003E-5</v>
      </c>
      <c r="EO94" s="14">
        <v>0</v>
      </c>
      <c r="EP94" s="14">
        <v>0</v>
      </c>
      <c r="EQ94" s="14">
        <v>0</v>
      </c>
      <c r="ER94" s="14">
        <v>8.1999999999999998E-4</v>
      </c>
      <c r="ES94" s="14">
        <v>0</v>
      </c>
      <c r="ET94" s="14">
        <v>0</v>
      </c>
      <c r="EU94" s="14">
        <v>0</v>
      </c>
      <c r="EV94" s="14">
        <v>0</v>
      </c>
      <c r="EW94" s="14">
        <v>2.5000000000000001E-4</v>
      </c>
      <c r="EX94" s="14">
        <v>2.5000000000000001E-4</v>
      </c>
      <c r="EY94" s="14">
        <v>0</v>
      </c>
      <c r="EZ94" s="14">
        <v>0</v>
      </c>
      <c r="FA94" s="14">
        <v>0</v>
      </c>
      <c r="FB94" s="14">
        <v>0</v>
      </c>
      <c r="FC94" s="14">
        <v>5.5999999999999995E-4</v>
      </c>
      <c r="FD94" s="14">
        <v>5.5999999999999995E-4</v>
      </c>
      <c r="FE94" s="14">
        <v>0</v>
      </c>
      <c r="FF94" s="14">
        <v>0</v>
      </c>
      <c r="FG94" s="14">
        <v>0</v>
      </c>
      <c r="FH94" s="14">
        <v>0</v>
      </c>
      <c r="FI94" s="14">
        <v>0</v>
      </c>
      <c r="FJ94" s="14">
        <v>0</v>
      </c>
      <c r="FK94" s="14">
        <v>0</v>
      </c>
      <c r="FL94" s="14">
        <v>0</v>
      </c>
    </row>
    <row r="95" spans="1:168" ht="15" x14ac:dyDescent="0.25">
      <c r="A95" s="5" t="s">
        <v>197</v>
      </c>
      <c r="B95" s="5" t="s">
        <v>6</v>
      </c>
      <c r="C95" s="13">
        <v>366.67428999999998</v>
      </c>
      <c r="D95" s="13">
        <v>408.49635000000001</v>
      </c>
      <c r="E95" s="13">
        <v>344.31015000000002</v>
      </c>
      <c r="F95" s="13">
        <v>317.9425</v>
      </c>
      <c r="G95" s="13">
        <v>163.30258000000001</v>
      </c>
      <c r="H95" s="13">
        <v>155.80768</v>
      </c>
      <c r="I95" s="13">
        <v>4.3587699999999998</v>
      </c>
      <c r="J95" s="13">
        <v>3.1361300000000001</v>
      </c>
      <c r="K95" s="13">
        <v>31.552579999999999</v>
      </c>
      <c r="L95" s="13">
        <v>5.4619600000000004</v>
      </c>
      <c r="M95" s="13">
        <v>1.10528</v>
      </c>
      <c r="N95" s="13">
        <v>6.6211399999999996</v>
      </c>
      <c r="O95" s="13">
        <v>1.37921</v>
      </c>
      <c r="P95" s="13">
        <v>4.5467199999999997</v>
      </c>
      <c r="Q95" s="13">
        <v>9.4614999999999991</v>
      </c>
      <c r="R95" s="13">
        <v>2.9767700000000001</v>
      </c>
      <c r="S95" s="13">
        <v>64.975759999999994</v>
      </c>
      <c r="T95" s="13">
        <v>8.7179999999999994E-2</v>
      </c>
      <c r="U95" s="13">
        <v>63.572539999999996</v>
      </c>
      <c r="V95" s="13">
        <v>34.628300000000003</v>
      </c>
      <c r="W95" s="13">
        <v>8.0386399999999991</v>
      </c>
      <c r="X95" s="13">
        <v>20.75301</v>
      </c>
      <c r="Y95" s="13">
        <v>0.15260000000000001</v>
      </c>
      <c r="Z95" s="13">
        <v>0</v>
      </c>
      <c r="AA95" s="13">
        <v>0.35582000000000003</v>
      </c>
      <c r="AB95" s="13">
        <v>1.157E-2</v>
      </c>
      <c r="AC95" s="13">
        <v>0.94864000000000004</v>
      </c>
      <c r="AD95" s="13">
        <v>58.111579999999996</v>
      </c>
      <c r="AE95" s="13">
        <v>7.0205599999999997</v>
      </c>
      <c r="AF95" s="13">
        <v>38.851329999999997</v>
      </c>
      <c r="AG95" s="13">
        <v>12.239699999999999</v>
      </c>
      <c r="AH95" s="13">
        <v>0</v>
      </c>
      <c r="AI95" s="13">
        <v>0</v>
      </c>
      <c r="AJ95" s="13">
        <v>0</v>
      </c>
      <c r="AK95" s="13">
        <v>26.367650000000001</v>
      </c>
      <c r="AL95" s="13">
        <v>21.46632</v>
      </c>
      <c r="AM95" s="13">
        <v>4.9013299999999997</v>
      </c>
      <c r="AN95" s="13">
        <v>0</v>
      </c>
      <c r="AO95" s="13">
        <v>3.9034</v>
      </c>
      <c r="AP95" s="13">
        <v>3.0470799999999998</v>
      </c>
      <c r="AQ95" s="13">
        <v>0.85631999999999997</v>
      </c>
      <c r="AR95" s="13">
        <v>0</v>
      </c>
      <c r="AS95" s="13">
        <v>47.851329999999997</v>
      </c>
      <c r="AT95" s="13">
        <v>24.94999</v>
      </c>
      <c r="AU95" s="13">
        <v>11.65063</v>
      </c>
      <c r="AV95" s="13">
        <v>7.6553300000000002</v>
      </c>
      <c r="AW95" s="13">
        <v>1.4265000000000001</v>
      </c>
      <c r="AX95" s="13">
        <v>0.48616999999999999</v>
      </c>
      <c r="AY95" s="13">
        <v>2.0826199999999999</v>
      </c>
      <c r="AZ95" s="13">
        <v>5.1608599999999996</v>
      </c>
      <c r="BA95" s="13">
        <v>3.4845199999999998</v>
      </c>
      <c r="BB95" s="13">
        <v>0.45130999999999999</v>
      </c>
      <c r="BC95" s="13">
        <v>0</v>
      </c>
      <c r="BD95" s="13">
        <v>3.5220000000000001E-2</v>
      </c>
      <c r="BE95" s="13">
        <v>0</v>
      </c>
      <c r="BF95" s="13">
        <v>0</v>
      </c>
      <c r="BG95" s="13">
        <v>0</v>
      </c>
      <c r="BH95" s="13">
        <v>1.18981</v>
      </c>
      <c r="BI95" s="13">
        <v>0</v>
      </c>
      <c r="BJ95" s="13">
        <v>0</v>
      </c>
      <c r="BK95" s="13">
        <v>2.62304</v>
      </c>
      <c r="BL95" s="13">
        <v>2.16473</v>
      </c>
      <c r="BM95" s="13">
        <v>0.25624999999999998</v>
      </c>
      <c r="BN95" s="13">
        <v>0</v>
      </c>
      <c r="BO95" s="13">
        <v>0</v>
      </c>
      <c r="BP95" s="13">
        <v>3.3550000000000003E-2</v>
      </c>
      <c r="BQ95" s="13">
        <v>0.16850000000000001</v>
      </c>
      <c r="BR95" s="13">
        <v>0</v>
      </c>
      <c r="BS95" s="13">
        <v>0.30456</v>
      </c>
      <c r="BT95" s="13">
        <v>0.15010999999999999</v>
      </c>
      <c r="BU95" s="13">
        <v>9.0759999999999993E-2</v>
      </c>
      <c r="BV95" s="13">
        <v>6.3689999999999997E-2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4.9813599999999996</v>
      </c>
      <c r="CD95" s="13">
        <v>4.6798700000000002</v>
      </c>
      <c r="CE95" s="13">
        <v>7.6829999999999996E-2</v>
      </c>
      <c r="CF95" s="13">
        <v>0.10786</v>
      </c>
      <c r="CG95" s="13">
        <v>0.11625000000000001</v>
      </c>
      <c r="CH95" s="13">
        <v>5.5000000000000003E-4</v>
      </c>
      <c r="CI95" s="13">
        <v>0</v>
      </c>
      <c r="CJ95" s="13">
        <v>0.22955</v>
      </c>
      <c r="CK95" s="13">
        <v>0</v>
      </c>
      <c r="CL95" s="13">
        <v>33.825229999999998</v>
      </c>
      <c r="CM95" s="13">
        <v>14.094279999999999</v>
      </c>
      <c r="CN95" s="13">
        <v>13.44027</v>
      </c>
      <c r="CO95" s="13">
        <v>6.1990000000000003E-2</v>
      </c>
      <c r="CP95" s="13">
        <v>0.49675999999999998</v>
      </c>
      <c r="CQ95" s="13">
        <v>9.5269999999999994E-2</v>
      </c>
      <c r="CR95" s="13">
        <v>4.1004800000000001</v>
      </c>
      <c r="CS95" s="13">
        <v>1.56697</v>
      </c>
      <c r="CT95" s="13">
        <v>4.7299999999999998E-3</v>
      </c>
      <c r="CU95" s="13">
        <v>0.96069000000000004</v>
      </c>
      <c r="CV95" s="13">
        <v>0.29916999999999999</v>
      </c>
      <c r="CW95" s="13">
        <v>1.26892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14.305199999999999</v>
      </c>
      <c r="DD95" s="13">
        <v>11.566660000000001</v>
      </c>
      <c r="DE95" s="13">
        <v>2.73855</v>
      </c>
      <c r="DF95" s="13">
        <v>0</v>
      </c>
      <c r="DG95" s="13">
        <v>3.807E-2</v>
      </c>
      <c r="DH95" s="13">
        <v>9.5899999999999996E-3</v>
      </c>
      <c r="DI95" s="13">
        <v>6.0000000000000002E-5</v>
      </c>
      <c r="DJ95" s="13">
        <v>2.1900000000000001E-3</v>
      </c>
      <c r="DK95" s="13">
        <v>0</v>
      </c>
      <c r="DL95" s="13">
        <v>2.622E-2</v>
      </c>
      <c r="DM95" s="13">
        <v>0.52693000000000001</v>
      </c>
      <c r="DN95" s="13">
        <v>0.49310999999999999</v>
      </c>
      <c r="DO95" s="13">
        <v>0.26713999999999999</v>
      </c>
      <c r="DP95" s="13">
        <v>0</v>
      </c>
      <c r="DQ95" s="13">
        <v>-41.82206</v>
      </c>
      <c r="DR95" s="13">
        <v>-39.311329999999998</v>
      </c>
      <c r="DS95" s="13">
        <v>0</v>
      </c>
      <c r="DT95" s="13">
        <v>-36.786709999999999</v>
      </c>
      <c r="DU95" s="13">
        <v>-2.5246200000000001</v>
      </c>
      <c r="DV95" s="13">
        <v>-3.2272599999999998</v>
      </c>
      <c r="DW95" s="13">
        <v>0</v>
      </c>
      <c r="DX95" s="13">
        <v>-3.3612000000000002</v>
      </c>
      <c r="DY95" s="13">
        <v>0.13394</v>
      </c>
      <c r="DZ95" s="13">
        <v>-0.16339000000000001</v>
      </c>
      <c r="EA95" s="13">
        <v>0</v>
      </c>
      <c r="EB95" s="13">
        <v>0.73545000000000005</v>
      </c>
      <c r="EC95" s="13">
        <v>-0.89883000000000002</v>
      </c>
      <c r="ED95" s="13">
        <v>1.2346699999999999</v>
      </c>
      <c r="EE95" s="13">
        <v>5.6800000000000002E-3</v>
      </c>
      <c r="EF95" s="13">
        <v>1.9609999999999999E-2</v>
      </c>
      <c r="EG95" s="13">
        <v>1.21506</v>
      </c>
      <c r="EH95" s="13">
        <v>4.1974099999999996</v>
      </c>
      <c r="EI95" s="13">
        <v>0</v>
      </c>
      <c r="EJ95" s="13">
        <v>-0.22678999999999999</v>
      </c>
      <c r="EK95" s="13">
        <v>4.4241999999999999</v>
      </c>
      <c r="EL95" s="13">
        <v>0</v>
      </c>
      <c r="EM95" s="13">
        <v>0</v>
      </c>
      <c r="EN95" s="13">
        <v>0</v>
      </c>
      <c r="EO95" s="13">
        <v>0</v>
      </c>
      <c r="EP95" s="13">
        <v>-4.7731500000000002</v>
      </c>
      <c r="EQ95" s="13">
        <v>0</v>
      </c>
      <c r="ER95" s="13">
        <v>4.9694799999999999</v>
      </c>
      <c r="ES95" s="13">
        <v>1.75918</v>
      </c>
      <c r="ET95" s="13">
        <v>1.3871199999999999</v>
      </c>
      <c r="EU95" s="13">
        <v>0.12086</v>
      </c>
      <c r="EV95" s="13">
        <v>0.25119999999999998</v>
      </c>
      <c r="EW95" s="13">
        <v>0.26208999999999999</v>
      </c>
      <c r="EX95" s="13">
        <v>0.25380000000000003</v>
      </c>
      <c r="EY95" s="13">
        <v>8.2900000000000005E-3</v>
      </c>
      <c r="EZ95" s="13">
        <v>0</v>
      </c>
      <c r="FA95" s="13">
        <v>0</v>
      </c>
      <c r="FB95" s="13">
        <v>0</v>
      </c>
      <c r="FC95" s="13">
        <v>2.9482200000000001</v>
      </c>
      <c r="FD95" s="13">
        <v>2.4477600000000002</v>
      </c>
      <c r="FE95" s="13">
        <v>0.50044999999999995</v>
      </c>
      <c r="FF95" s="13">
        <v>0</v>
      </c>
      <c r="FG95" s="13">
        <v>0</v>
      </c>
      <c r="FH95" s="13">
        <v>15.744450000000001</v>
      </c>
      <c r="FI95" s="13">
        <v>8.3099999999999997E-3</v>
      </c>
      <c r="FJ95" s="13">
        <v>6.0699999999999999E-3</v>
      </c>
      <c r="FK95" s="13">
        <v>0</v>
      </c>
      <c r="FL95" s="13">
        <v>0.4415</v>
      </c>
    </row>
    <row r="96" spans="1:168" ht="15" x14ac:dyDescent="0.25">
      <c r="A96" s="5" t="s">
        <v>197</v>
      </c>
      <c r="B96" s="5" t="s">
        <v>7</v>
      </c>
      <c r="C96" s="14">
        <v>292.35408000000001</v>
      </c>
      <c r="D96" s="14">
        <v>336.16014000000001</v>
      </c>
      <c r="E96" s="14">
        <v>315.2482</v>
      </c>
      <c r="F96" s="14">
        <v>310.41275999999999</v>
      </c>
      <c r="G96" s="14">
        <v>162.62547000000001</v>
      </c>
      <c r="H96" s="14">
        <v>155.14304999999999</v>
      </c>
      <c r="I96" s="14">
        <v>4.3513000000000002</v>
      </c>
      <c r="J96" s="14">
        <v>3.1311200000000001</v>
      </c>
      <c r="K96" s="14">
        <v>31.250039999999998</v>
      </c>
      <c r="L96" s="14">
        <v>5.4521800000000002</v>
      </c>
      <c r="M96" s="14">
        <v>1.1010800000000001</v>
      </c>
      <c r="N96" s="14">
        <v>6.5830399999999996</v>
      </c>
      <c r="O96" s="14">
        <v>1.3042899999999999</v>
      </c>
      <c r="P96" s="14">
        <v>4.5255400000000003</v>
      </c>
      <c r="Q96" s="14">
        <v>9.3748000000000005</v>
      </c>
      <c r="R96" s="14">
        <v>2.9091100000000001</v>
      </c>
      <c r="S96" s="14">
        <v>64.315560000000005</v>
      </c>
      <c r="T96" s="14">
        <v>8.652E-2</v>
      </c>
      <c r="U96" s="14">
        <v>62.947519999999997</v>
      </c>
      <c r="V96" s="14">
        <v>34.297429999999999</v>
      </c>
      <c r="W96" s="14">
        <v>7.9788500000000004</v>
      </c>
      <c r="X96" s="14">
        <v>20.5245</v>
      </c>
      <c r="Y96" s="14">
        <v>0.14674000000000001</v>
      </c>
      <c r="Z96" s="14">
        <v>0</v>
      </c>
      <c r="AA96" s="14">
        <v>0.32235000000000003</v>
      </c>
      <c r="AB96" s="14">
        <v>1.146E-2</v>
      </c>
      <c r="AC96" s="14">
        <v>0.94771000000000005</v>
      </c>
      <c r="AD96" s="14">
        <v>52.221690000000002</v>
      </c>
      <c r="AE96" s="14">
        <v>6.91235</v>
      </c>
      <c r="AF96" s="14">
        <v>34.305929999999996</v>
      </c>
      <c r="AG96" s="14">
        <v>11.003410000000001</v>
      </c>
      <c r="AH96" s="14">
        <v>0</v>
      </c>
      <c r="AI96" s="14">
        <v>0</v>
      </c>
      <c r="AJ96" s="14">
        <v>0</v>
      </c>
      <c r="AK96" s="14">
        <v>4.8354400000000002</v>
      </c>
      <c r="AL96" s="14">
        <v>2.9786700000000002</v>
      </c>
      <c r="AM96" s="14">
        <v>1.85677</v>
      </c>
      <c r="AN96" s="14">
        <v>0</v>
      </c>
      <c r="AO96" s="14">
        <v>3.8721800000000002</v>
      </c>
      <c r="AP96" s="14">
        <v>3.02407</v>
      </c>
      <c r="AQ96" s="14">
        <v>0.84811000000000003</v>
      </c>
      <c r="AR96" s="14">
        <v>0</v>
      </c>
      <c r="AS96" s="14">
        <v>47.851329999999997</v>
      </c>
      <c r="AT96" s="14">
        <v>19.183250000000001</v>
      </c>
      <c r="AU96" s="14">
        <v>11.65063</v>
      </c>
      <c r="AV96" s="14">
        <v>7.6553300000000002</v>
      </c>
      <c r="AW96" s="14">
        <v>1.4265000000000001</v>
      </c>
      <c r="AX96" s="14">
        <v>0.48616999999999999</v>
      </c>
      <c r="AY96" s="14">
        <v>2.0826199999999999</v>
      </c>
      <c r="AZ96" s="14">
        <v>4.6200200000000002</v>
      </c>
      <c r="BA96" s="14">
        <v>3.4845199999999998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1.13551</v>
      </c>
      <c r="BI96" s="14">
        <v>0</v>
      </c>
      <c r="BJ96" s="14">
        <v>0</v>
      </c>
      <c r="BK96" s="14">
        <v>2.60805</v>
      </c>
      <c r="BL96" s="14">
        <v>2.1515200000000001</v>
      </c>
      <c r="BM96" s="14">
        <v>0.25446999999999997</v>
      </c>
      <c r="BN96" s="14">
        <v>0</v>
      </c>
      <c r="BO96" s="14">
        <v>0</v>
      </c>
      <c r="BP96" s="14">
        <v>3.3550000000000003E-2</v>
      </c>
      <c r="BQ96" s="14">
        <v>0.16850000000000001</v>
      </c>
      <c r="BR96" s="14">
        <v>0</v>
      </c>
      <c r="BS96" s="14">
        <v>0.30456</v>
      </c>
      <c r="BT96" s="14">
        <v>0.15010999999999999</v>
      </c>
      <c r="BU96" s="14">
        <v>9.0759999999999993E-2</v>
      </c>
      <c r="BV96" s="14">
        <v>6.3689999999999997E-2</v>
      </c>
      <c r="BW96" s="14">
        <v>0</v>
      </c>
      <c r="BX96" s="14">
        <v>0</v>
      </c>
      <c r="BY96" s="14">
        <v>0</v>
      </c>
      <c r="BZ96" s="14">
        <v>0</v>
      </c>
      <c r="CA96" s="14">
        <v>0</v>
      </c>
      <c r="CB96" s="14"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4">
        <v>0</v>
      </c>
      <c r="CI96" s="14">
        <v>0</v>
      </c>
      <c r="CJ96" s="14">
        <v>0</v>
      </c>
      <c r="CK96" s="14">
        <v>0</v>
      </c>
      <c r="CL96" s="14">
        <v>1.28718</v>
      </c>
      <c r="CM96" s="14">
        <v>0</v>
      </c>
      <c r="CN96" s="14">
        <v>0</v>
      </c>
      <c r="CO96" s="14">
        <v>0</v>
      </c>
      <c r="CP96" s="14">
        <v>0</v>
      </c>
      <c r="CQ96" s="14">
        <v>0</v>
      </c>
      <c r="CR96" s="14">
        <v>0</v>
      </c>
      <c r="CS96" s="14">
        <v>0</v>
      </c>
      <c r="CT96" s="14">
        <v>0</v>
      </c>
      <c r="CU96" s="14">
        <v>0</v>
      </c>
      <c r="CV96" s="14">
        <v>0</v>
      </c>
      <c r="CW96" s="14">
        <v>0</v>
      </c>
      <c r="CX96" s="14">
        <v>0</v>
      </c>
      <c r="CY96" s="14">
        <v>0</v>
      </c>
      <c r="CZ96" s="14">
        <v>0</v>
      </c>
      <c r="DA96" s="14">
        <v>0</v>
      </c>
      <c r="DB96" s="14">
        <v>0</v>
      </c>
      <c r="DC96" s="14">
        <v>0</v>
      </c>
      <c r="DD96" s="14">
        <v>0</v>
      </c>
      <c r="DE96" s="14">
        <v>0</v>
      </c>
      <c r="DF96" s="14">
        <v>0</v>
      </c>
      <c r="DG96" s="14">
        <v>0</v>
      </c>
      <c r="DH96" s="14">
        <v>0</v>
      </c>
      <c r="DI96" s="14">
        <v>0</v>
      </c>
      <c r="DJ96" s="14">
        <v>0</v>
      </c>
      <c r="DK96" s="14">
        <v>0</v>
      </c>
      <c r="DL96" s="14">
        <v>0</v>
      </c>
      <c r="DM96" s="14">
        <v>0.52693000000000001</v>
      </c>
      <c r="DN96" s="14">
        <v>0.49310999999999999</v>
      </c>
      <c r="DO96" s="14">
        <v>0.26713999999999999</v>
      </c>
      <c r="DP96" s="14">
        <v>0</v>
      </c>
      <c r="DQ96" s="14">
        <v>-43.806060000000002</v>
      </c>
      <c r="DR96" s="14">
        <v>-39.474350000000001</v>
      </c>
      <c r="DS96" s="14">
        <v>0</v>
      </c>
      <c r="DT96" s="14">
        <v>-36.812890000000003</v>
      </c>
      <c r="DU96" s="14">
        <v>-2.6614599999999999</v>
      </c>
      <c r="DV96" s="14">
        <v>-3.2406799999999998</v>
      </c>
      <c r="DW96" s="14">
        <v>0</v>
      </c>
      <c r="DX96" s="14">
        <v>-3.3612000000000002</v>
      </c>
      <c r="DY96" s="14">
        <v>0.12052</v>
      </c>
      <c r="DZ96" s="14">
        <v>-0.16622999999999999</v>
      </c>
      <c r="EA96" s="14">
        <v>0</v>
      </c>
      <c r="EB96" s="14">
        <v>0.73260999999999998</v>
      </c>
      <c r="EC96" s="14">
        <v>-0.89883000000000002</v>
      </c>
      <c r="ED96" s="14">
        <v>1.22848</v>
      </c>
      <c r="EE96" s="14">
        <v>0</v>
      </c>
      <c r="EF96" s="14">
        <v>1.392E-2</v>
      </c>
      <c r="EG96" s="14">
        <v>1.2145600000000001</v>
      </c>
      <c r="EH96" s="14">
        <v>2.6198700000000001</v>
      </c>
      <c r="EI96" s="14">
        <v>0</v>
      </c>
      <c r="EJ96" s="14">
        <v>-0.22678999999999999</v>
      </c>
      <c r="EK96" s="14">
        <v>2.84667</v>
      </c>
      <c r="EL96" s="14">
        <v>0</v>
      </c>
      <c r="EM96" s="14">
        <v>0</v>
      </c>
      <c r="EN96" s="14">
        <v>0</v>
      </c>
      <c r="EO96" s="14">
        <v>0</v>
      </c>
      <c r="EP96" s="14">
        <v>-4.7731500000000002</v>
      </c>
      <c r="EQ96" s="14">
        <v>0</v>
      </c>
      <c r="ER96" s="14">
        <v>0</v>
      </c>
      <c r="ES96" s="14">
        <v>0</v>
      </c>
      <c r="ET96" s="14">
        <v>0</v>
      </c>
      <c r="EU96" s="14">
        <v>0</v>
      </c>
      <c r="EV96" s="14">
        <v>0</v>
      </c>
      <c r="EW96" s="14">
        <v>0</v>
      </c>
      <c r="EX96" s="14">
        <v>0</v>
      </c>
      <c r="EY96" s="14">
        <v>0</v>
      </c>
      <c r="EZ96" s="14">
        <v>0</v>
      </c>
      <c r="FA96" s="14">
        <v>0</v>
      </c>
      <c r="FB96" s="14">
        <v>0</v>
      </c>
      <c r="FC96" s="14">
        <v>0</v>
      </c>
      <c r="FD96" s="14">
        <v>0</v>
      </c>
      <c r="FE96" s="14">
        <v>0</v>
      </c>
      <c r="FF96" s="14">
        <v>0</v>
      </c>
      <c r="FG96" s="14">
        <v>0</v>
      </c>
      <c r="FH96" s="14">
        <v>15.744450000000001</v>
      </c>
      <c r="FI96" s="14">
        <v>8.3099999999999997E-3</v>
      </c>
      <c r="FJ96" s="14">
        <v>6.0699999999999999E-3</v>
      </c>
      <c r="FK96" s="14">
        <v>0</v>
      </c>
      <c r="FL96" s="14">
        <v>0.4415</v>
      </c>
    </row>
    <row r="97" spans="1:168" ht="15" x14ac:dyDescent="0.25">
      <c r="A97" s="5" t="s">
        <v>197</v>
      </c>
      <c r="B97" s="5" t="s">
        <v>8</v>
      </c>
      <c r="C97" s="13">
        <v>1.6569</v>
      </c>
      <c r="D97" s="13">
        <v>1.65618</v>
      </c>
      <c r="E97" s="13">
        <v>0.94874999999999998</v>
      </c>
      <c r="F97" s="13">
        <v>0.17976</v>
      </c>
      <c r="G97" s="13">
        <v>9.6000000000000002E-4</v>
      </c>
      <c r="H97" s="13">
        <v>7.9000000000000001E-4</v>
      </c>
      <c r="I97" s="13">
        <v>1.1E-4</v>
      </c>
      <c r="J97" s="13">
        <v>6.0000000000000002E-5</v>
      </c>
      <c r="K97" s="13">
        <v>4.7000000000000002E-3</v>
      </c>
      <c r="L97" s="13">
        <v>1.4999999999999999E-4</v>
      </c>
      <c r="M97" s="13">
        <v>6.0000000000000002E-5</v>
      </c>
      <c r="N97" s="13">
        <v>5.6999999999999998E-4</v>
      </c>
      <c r="O97" s="13">
        <v>1.1800000000000001E-3</v>
      </c>
      <c r="P97" s="13">
        <v>3.2000000000000003E-4</v>
      </c>
      <c r="Q97" s="13">
        <v>1.3600000000000001E-3</v>
      </c>
      <c r="R97" s="13">
        <v>1.06E-3</v>
      </c>
      <c r="S97" s="13">
        <v>3.46E-3</v>
      </c>
      <c r="T97" s="13">
        <v>0</v>
      </c>
      <c r="U97" s="13">
        <v>3.4199999999999999E-3</v>
      </c>
      <c r="V97" s="13">
        <v>2.2799999999999999E-3</v>
      </c>
      <c r="W97" s="13">
        <v>1.4999999999999999E-4</v>
      </c>
      <c r="X97" s="13">
        <v>8.0999999999999996E-4</v>
      </c>
      <c r="Y97" s="13">
        <v>1.8000000000000001E-4</v>
      </c>
      <c r="Z97" s="13">
        <v>0</v>
      </c>
      <c r="AA97" s="13">
        <v>2.0000000000000002E-5</v>
      </c>
      <c r="AB97" s="13">
        <v>0</v>
      </c>
      <c r="AC97" s="13">
        <v>2.0000000000000002E-5</v>
      </c>
      <c r="AD97" s="13">
        <v>0.17063999999999999</v>
      </c>
      <c r="AE97" s="13">
        <v>3.0599999999999998E-3</v>
      </c>
      <c r="AF97" s="13">
        <v>0.14949999999999999</v>
      </c>
      <c r="AG97" s="13">
        <v>1.8089999999999998E-2</v>
      </c>
      <c r="AH97" s="13">
        <v>0</v>
      </c>
      <c r="AI97" s="13">
        <v>0</v>
      </c>
      <c r="AJ97" s="13">
        <v>0</v>
      </c>
      <c r="AK97" s="13">
        <v>0.76898999999999995</v>
      </c>
      <c r="AL97" s="13">
        <v>0.66027000000000002</v>
      </c>
      <c r="AM97" s="13">
        <v>0.10872</v>
      </c>
      <c r="AN97" s="13">
        <v>0</v>
      </c>
      <c r="AO97" s="13">
        <v>1E-4</v>
      </c>
      <c r="AP97" s="13">
        <v>2.0000000000000002E-5</v>
      </c>
      <c r="AQ97" s="13">
        <v>8.0000000000000007E-5</v>
      </c>
      <c r="AR97" s="13">
        <v>0</v>
      </c>
      <c r="AS97" s="13">
        <v>0</v>
      </c>
      <c r="AT97" s="13">
        <v>2.47E-3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1.9400000000000001E-3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1.9400000000000001E-3</v>
      </c>
      <c r="BI97" s="13">
        <v>0</v>
      </c>
      <c r="BJ97" s="13">
        <v>0</v>
      </c>
      <c r="BK97" s="13">
        <v>5.4000000000000001E-4</v>
      </c>
      <c r="BL97" s="13">
        <v>4.6999999999999999E-4</v>
      </c>
      <c r="BM97" s="13">
        <v>6.0000000000000002E-5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13">
        <v>0</v>
      </c>
      <c r="CC97" s="13">
        <v>0</v>
      </c>
      <c r="CD97" s="13">
        <v>0</v>
      </c>
      <c r="CE97" s="13">
        <v>0</v>
      </c>
      <c r="CF97" s="13">
        <v>0</v>
      </c>
      <c r="CG97" s="13">
        <v>0</v>
      </c>
      <c r="CH97" s="13">
        <v>0</v>
      </c>
      <c r="CI97" s="13">
        <v>0</v>
      </c>
      <c r="CJ97" s="13">
        <v>0</v>
      </c>
      <c r="CK97" s="13">
        <v>0</v>
      </c>
      <c r="CL97" s="13">
        <v>0.56296000000000002</v>
      </c>
      <c r="CM97" s="13">
        <v>0.50336999999999998</v>
      </c>
      <c r="CN97" s="13">
        <v>0.48000999999999999</v>
      </c>
      <c r="CO97" s="13">
        <v>2.2100000000000002E-3</v>
      </c>
      <c r="CP97" s="13">
        <v>1.7739999999999999E-2</v>
      </c>
      <c r="CQ97" s="13">
        <v>3.3999999999999998E-3</v>
      </c>
      <c r="CR97" s="13">
        <v>5.8610000000000002E-2</v>
      </c>
      <c r="CS97" s="13">
        <v>2.563E-2</v>
      </c>
      <c r="CT97" s="13">
        <v>5.0000000000000002E-5</v>
      </c>
      <c r="CU97" s="13">
        <v>2.5340000000000001E-2</v>
      </c>
      <c r="CV97" s="13">
        <v>7.5900000000000004E-3</v>
      </c>
      <c r="CW97" s="13">
        <v>0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9.7999999999999997E-4</v>
      </c>
      <c r="DH97" s="13">
        <v>2.7999999999999998E-4</v>
      </c>
      <c r="DI97" s="13">
        <v>0</v>
      </c>
      <c r="DJ97" s="13">
        <v>4.0000000000000003E-5</v>
      </c>
      <c r="DK97" s="13">
        <v>0</v>
      </c>
      <c r="DL97" s="13">
        <v>6.4999999999999997E-4</v>
      </c>
      <c r="DM97" s="13">
        <v>0</v>
      </c>
      <c r="DN97" s="13">
        <v>0</v>
      </c>
      <c r="DO97" s="13">
        <v>0</v>
      </c>
      <c r="DP97" s="13">
        <v>0</v>
      </c>
      <c r="DQ97" s="13">
        <v>7.2000000000000005E-4</v>
      </c>
      <c r="DR97" s="13">
        <v>6.6E-4</v>
      </c>
      <c r="DS97" s="13">
        <v>0</v>
      </c>
      <c r="DT97" s="13">
        <v>6.0999999999999997E-4</v>
      </c>
      <c r="DU97" s="13">
        <v>4.0000000000000003E-5</v>
      </c>
      <c r="DV97" s="13">
        <v>0</v>
      </c>
      <c r="DW97" s="13">
        <v>0</v>
      </c>
      <c r="DX97" s="13">
        <v>0</v>
      </c>
      <c r="DY97" s="13">
        <v>0</v>
      </c>
      <c r="DZ97" s="13">
        <v>6.9999999999999994E-5</v>
      </c>
      <c r="EA97" s="13">
        <v>0</v>
      </c>
      <c r="EB97" s="13">
        <v>6.9999999999999994E-5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13">
        <v>0</v>
      </c>
      <c r="EQ97" s="13">
        <v>0</v>
      </c>
      <c r="ER97" s="13">
        <v>0.14199999999999999</v>
      </c>
      <c r="ES97" s="13">
        <v>6.2829999999999997E-2</v>
      </c>
      <c r="ET97" s="13">
        <v>4.9540000000000001E-2</v>
      </c>
      <c r="EU97" s="13">
        <v>4.3200000000000001E-3</v>
      </c>
      <c r="EV97" s="13">
        <v>8.9700000000000005E-3</v>
      </c>
      <c r="EW97" s="13">
        <v>6.0800000000000003E-3</v>
      </c>
      <c r="EX97" s="13">
        <v>5.7800000000000004E-3</v>
      </c>
      <c r="EY97" s="13">
        <v>2.9999999999999997E-4</v>
      </c>
      <c r="EZ97" s="13">
        <v>0</v>
      </c>
      <c r="FA97" s="13">
        <v>0</v>
      </c>
      <c r="FB97" s="13">
        <v>0</v>
      </c>
      <c r="FC97" s="13">
        <v>7.3090000000000002E-2</v>
      </c>
      <c r="FD97" s="13">
        <v>6.3439999999999996E-2</v>
      </c>
      <c r="FE97" s="13">
        <v>9.6500000000000006E-3</v>
      </c>
      <c r="FF97" s="13">
        <v>0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0</v>
      </c>
    </row>
    <row r="98" spans="1:168" ht="15" x14ac:dyDescent="0.25">
      <c r="A98" s="5" t="s">
        <v>197</v>
      </c>
      <c r="B98" s="5" t="s">
        <v>9</v>
      </c>
      <c r="C98" s="14">
        <v>8.6169999999999997E-2</v>
      </c>
      <c r="D98" s="14">
        <v>7.8759999999999997E-2</v>
      </c>
      <c r="E98" s="14">
        <v>9.4199999999999996E-3</v>
      </c>
      <c r="F98" s="14">
        <v>9.4199999999999996E-3</v>
      </c>
      <c r="G98" s="14">
        <v>2.4499999999999999E-3</v>
      </c>
      <c r="H98" s="14">
        <v>2.4199999999999998E-3</v>
      </c>
      <c r="I98" s="14">
        <v>2.0000000000000002E-5</v>
      </c>
      <c r="J98" s="14">
        <v>1.0000000000000001E-5</v>
      </c>
      <c r="K98" s="14">
        <v>6.4999999999999997E-4</v>
      </c>
      <c r="L98" s="14">
        <v>2.0000000000000002E-5</v>
      </c>
      <c r="M98" s="14">
        <v>1.0000000000000001E-5</v>
      </c>
      <c r="N98" s="14">
        <v>8.0000000000000007E-5</v>
      </c>
      <c r="O98" s="14">
        <v>1.6000000000000001E-4</v>
      </c>
      <c r="P98" s="14">
        <v>5.0000000000000002E-5</v>
      </c>
      <c r="Q98" s="14">
        <v>1.8000000000000001E-4</v>
      </c>
      <c r="R98" s="14">
        <v>1.3999999999999999E-4</v>
      </c>
      <c r="S98" s="14">
        <v>2.1299999999999999E-3</v>
      </c>
      <c r="T98" s="14">
        <v>0</v>
      </c>
      <c r="U98" s="14">
        <v>2E-3</v>
      </c>
      <c r="V98" s="14">
        <v>1.01E-3</v>
      </c>
      <c r="W98" s="14">
        <v>2.1000000000000001E-4</v>
      </c>
      <c r="X98" s="14">
        <v>7.7999999999999999E-4</v>
      </c>
      <c r="Y98" s="14">
        <v>0</v>
      </c>
      <c r="Z98" s="14">
        <v>0</v>
      </c>
      <c r="AA98" s="14">
        <v>1.2E-4</v>
      </c>
      <c r="AB98" s="14">
        <v>0</v>
      </c>
      <c r="AC98" s="14">
        <v>0</v>
      </c>
      <c r="AD98" s="14">
        <v>4.1999999999999997E-3</v>
      </c>
      <c r="AE98" s="14">
        <v>9.0000000000000006E-5</v>
      </c>
      <c r="AF98" s="14">
        <v>1.3600000000000001E-3</v>
      </c>
      <c r="AG98" s="14">
        <v>2.7499999999999998E-3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1.1E-4</v>
      </c>
      <c r="AP98" s="14">
        <v>8.0000000000000007E-5</v>
      </c>
      <c r="AQ98" s="14">
        <v>2.0000000000000002E-5</v>
      </c>
      <c r="AR98" s="14">
        <v>0</v>
      </c>
      <c r="AS98" s="14">
        <v>0</v>
      </c>
      <c r="AT98" s="14">
        <v>2.2799999999999999E-3</v>
      </c>
      <c r="AU98" s="14">
        <v>0</v>
      </c>
      <c r="AV98" s="14">
        <v>0</v>
      </c>
      <c r="AW98" s="14">
        <v>0</v>
      </c>
      <c r="AX98" s="14">
        <v>0</v>
      </c>
      <c r="AY98" s="14">
        <v>0</v>
      </c>
      <c r="AZ98" s="14">
        <v>1.8400000000000001E-3</v>
      </c>
      <c r="BA98" s="14">
        <v>0</v>
      </c>
      <c r="BB98" s="14">
        <v>1.6999999999999999E-3</v>
      </c>
      <c r="BC98" s="14">
        <v>0</v>
      </c>
      <c r="BD98" s="14">
        <v>1.2999999999999999E-4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4">
        <v>0</v>
      </c>
      <c r="BZ98" s="14">
        <v>0</v>
      </c>
      <c r="CA98" s="14">
        <v>0</v>
      </c>
      <c r="CB98" s="14">
        <v>0</v>
      </c>
      <c r="CC98" s="14">
        <v>0</v>
      </c>
      <c r="CD98" s="14">
        <v>0</v>
      </c>
      <c r="CE98" s="14">
        <v>0</v>
      </c>
      <c r="CF98" s="14">
        <v>0</v>
      </c>
      <c r="CG98" s="14">
        <v>0</v>
      </c>
      <c r="CH98" s="14">
        <v>0</v>
      </c>
      <c r="CI98" s="14">
        <v>0</v>
      </c>
      <c r="CJ98" s="14">
        <v>4.4999999999999999E-4</v>
      </c>
      <c r="CK98" s="14">
        <v>0</v>
      </c>
      <c r="CL98" s="14">
        <v>6.3299999999999995E-2</v>
      </c>
      <c r="CM98" s="14">
        <v>0</v>
      </c>
      <c r="CN98" s="14">
        <v>0</v>
      </c>
      <c r="CO98" s="14">
        <v>0</v>
      </c>
      <c r="CP98" s="14">
        <v>0</v>
      </c>
      <c r="CQ98" s="14">
        <v>0</v>
      </c>
      <c r="CR98" s="14">
        <v>9.2800000000000001E-3</v>
      </c>
      <c r="CS98" s="14">
        <v>3.2100000000000002E-3</v>
      </c>
      <c r="CT98" s="14">
        <v>1.0000000000000001E-5</v>
      </c>
      <c r="CU98" s="14">
        <v>9.5E-4</v>
      </c>
      <c r="CV98" s="14">
        <v>3.3E-4</v>
      </c>
      <c r="CW98" s="14">
        <v>4.79E-3</v>
      </c>
      <c r="CX98" s="14">
        <v>0</v>
      </c>
      <c r="CY98" s="14">
        <v>0</v>
      </c>
      <c r="CZ98" s="14">
        <v>0</v>
      </c>
      <c r="DA98" s="14">
        <v>0</v>
      </c>
      <c r="DB98" s="14">
        <v>0</v>
      </c>
      <c r="DC98" s="14">
        <v>5.398E-2</v>
      </c>
      <c r="DD98" s="14">
        <v>4.3650000000000001E-2</v>
      </c>
      <c r="DE98" s="14">
        <v>1.0330000000000001E-2</v>
      </c>
      <c r="DF98" s="14">
        <v>0</v>
      </c>
      <c r="DG98" s="14">
        <v>4.0000000000000003E-5</v>
      </c>
      <c r="DH98" s="14">
        <v>1.0000000000000001E-5</v>
      </c>
      <c r="DI98" s="14">
        <v>0</v>
      </c>
      <c r="DJ98" s="14">
        <v>0</v>
      </c>
      <c r="DK98" s="14">
        <v>0</v>
      </c>
      <c r="DL98" s="14">
        <v>3.0000000000000001E-5</v>
      </c>
      <c r="DM98" s="14">
        <v>0</v>
      </c>
      <c r="DN98" s="14">
        <v>0</v>
      </c>
      <c r="DO98" s="14">
        <v>0</v>
      </c>
      <c r="DP98" s="14">
        <v>0</v>
      </c>
      <c r="DQ98" s="14">
        <v>7.4099999999999999E-3</v>
      </c>
      <c r="DR98" s="14">
        <v>5.5000000000000003E-4</v>
      </c>
      <c r="DS98" s="14">
        <v>0</v>
      </c>
      <c r="DT98" s="14">
        <v>3.0000000000000001E-5</v>
      </c>
      <c r="DU98" s="14">
        <v>5.1000000000000004E-4</v>
      </c>
      <c r="DV98" s="14">
        <v>5.0000000000000002E-5</v>
      </c>
      <c r="DW98" s="14">
        <v>0</v>
      </c>
      <c r="DX98" s="14">
        <v>0</v>
      </c>
      <c r="DY98" s="14">
        <v>5.0000000000000002E-5</v>
      </c>
      <c r="DZ98" s="14">
        <v>0</v>
      </c>
      <c r="EA98" s="14">
        <v>0</v>
      </c>
      <c r="EB98" s="14">
        <v>0</v>
      </c>
      <c r="EC98" s="14">
        <v>0</v>
      </c>
      <c r="ED98" s="14">
        <v>2.0000000000000002E-5</v>
      </c>
      <c r="EE98" s="14">
        <v>2.0000000000000002E-5</v>
      </c>
      <c r="EF98" s="14">
        <v>2.0000000000000002E-5</v>
      </c>
      <c r="EG98" s="14">
        <v>0</v>
      </c>
      <c r="EH98" s="14">
        <v>5.9500000000000004E-3</v>
      </c>
      <c r="EI98" s="14">
        <v>0</v>
      </c>
      <c r="EJ98" s="14">
        <v>0</v>
      </c>
      <c r="EK98" s="14">
        <v>5.9500000000000004E-3</v>
      </c>
      <c r="EL98" s="14">
        <v>0</v>
      </c>
      <c r="EM98" s="14">
        <v>0</v>
      </c>
      <c r="EN98" s="14">
        <v>0</v>
      </c>
      <c r="EO98" s="14">
        <v>0</v>
      </c>
      <c r="EP98" s="14">
        <v>0</v>
      </c>
      <c r="EQ98" s="14">
        <v>0</v>
      </c>
      <c r="ER98" s="14">
        <v>3.7499999999999999E-3</v>
      </c>
      <c r="ES98" s="14">
        <v>0</v>
      </c>
      <c r="ET98" s="14">
        <v>0</v>
      </c>
      <c r="EU98" s="14">
        <v>0</v>
      </c>
      <c r="EV98" s="14">
        <v>0</v>
      </c>
      <c r="EW98" s="14">
        <v>3.5E-4</v>
      </c>
      <c r="EX98" s="14">
        <v>3.5E-4</v>
      </c>
      <c r="EY98" s="14">
        <v>0</v>
      </c>
      <c r="EZ98" s="14">
        <v>0</v>
      </c>
      <c r="FA98" s="14">
        <v>0</v>
      </c>
      <c r="FB98" s="14">
        <v>0</v>
      </c>
      <c r="FC98" s="14">
        <v>3.3999999999999998E-3</v>
      </c>
      <c r="FD98" s="14">
        <v>2.5300000000000001E-3</v>
      </c>
      <c r="FE98" s="14">
        <v>8.7000000000000001E-4</v>
      </c>
      <c r="FF98" s="14">
        <v>0</v>
      </c>
      <c r="FG98" s="14">
        <v>0</v>
      </c>
      <c r="FH98" s="14">
        <v>0</v>
      </c>
      <c r="FI98" s="14">
        <v>0</v>
      </c>
      <c r="FJ98" s="14">
        <v>0</v>
      </c>
      <c r="FK98" s="14">
        <v>0</v>
      </c>
      <c r="FL98" s="14">
        <v>0</v>
      </c>
    </row>
    <row r="99" spans="1:168" ht="15" x14ac:dyDescent="0.25">
      <c r="A99" s="5" t="s">
        <v>198</v>
      </c>
      <c r="B99" s="5" t="s">
        <v>6</v>
      </c>
      <c r="C99" s="13">
        <v>63.21002</v>
      </c>
      <c r="D99" s="13">
        <v>67.171570000000003</v>
      </c>
      <c r="E99" s="13">
        <v>48.393830000000001</v>
      </c>
      <c r="F99" s="13">
        <v>47.264490000000002</v>
      </c>
      <c r="G99" s="13">
        <v>17.870470000000001</v>
      </c>
      <c r="H99" s="13">
        <v>15.65916</v>
      </c>
      <c r="I99" s="13">
        <v>2.2113100000000001</v>
      </c>
      <c r="J99" s="13">
        <v>0</v>
      </c>
      <c r="K99" s="13">
        <v>7.5573600000000001</v>
      </c>
      <c r="L99" s="13">
        <v>9.7919999999999993E-2</v>
      </c>
      <c r="M99" s="13">
        <v>0</v>
      </c>
      <c r="N99" s="13">
        <v>1.1597200000000001</v>
      </c>
      <c r="O99" s="13">
        <v>1.32121</v>
      </c>
      <c r="P99" s="13">
        <v>0.73953000000000002</v>
      </c>
      <c r="Q99" s="13">
        <v>2.6395400000000002</v>
      </c>
      <c r="R99" s="13">
        <v>1.59944</v>
      </c>
      <c r="S99" s="13">
        <v>17.237729999999999</v>
      </c>
      <c r="T99" s="13">
        <v>0.50234000000000001</v>
      </c>
      <c r="U99" s="13">
        <v>16.438420000000001</v>
      </c>
      <c r="V99" s="13">
        <v>9.9195600000000006</v>
      </c>
      <c r="W99" s="13">
        <v>3.4319999999999999</v>
      </c>
      <c r="X99" s="13">
        <v>2.9011200000000001</v>
      </c>
      <c r="Y99" s="13">
        <v>0.18573000000000001</v>
      </c>
      <c r="Z99" s="13">
        <v>0</v>
      </c>
      <c r="AA99" s="13">
        <v>3.1690000000000003E-2</v>
      </c>
      <c r="AB99" s="13">
        <v>0.26528000000000002</v>
      </c>
      <c r="AC99" s="13">
        <v>0</v>
      </c>
      <c r="AD99" s="13">
        <v>4.5397999999999996</v>
      </c>
      <c r="AE99" s="13">
        <v>1.2242299999999999</v>
      </c>
      <c r="AF99" s="13">
        <v>2.1072899999999999</v>
      </c>
      <c r="AG99" s="13">
        <v>1.20828</v>
      </c>
      <c r="AH99" s="13">
        <v>5.9130000000000002E-2</v>
      </c>
      <c r="AI99" s="13">
        <v>0</v>
      </c>
      <c r="AJ99" s="13">
        <v>5.9130000000000002E-2</v>
      </c>
      <c r="AK99" s="13">
        <v>1.12934</v>
      </c>
      <c r="AL99" s="13">
        <v>1.762E-2</v>
      </c>
      <c r="AM99" s="13">
        <v>1.1117300000000001</v>
      </c>
      <c r="AN99" s="13">
        <v>0</v>
      </c>
      <c r="AO99" s="13">
        <v>6.8359800000000002</v>
      </c>
      <c r="AP99" s="13">
        <v>4.1535200000000003</v>
      </c>
      <c r="AQ99" s="13">
        <v>2.6824699999999999</v>
      </c>
      <c r="AR99" s="13">
        <v>0</v>
      </c>
      <c r="AS99" s="13">
        <v>11.57438</v>
      </c>
      <c r="AT99" s="13">
        <v>5.8978200000000003</v>
      </c>
      <c r="AU99" s="13">
        <v>3.1255799999999998</v>
      </c>
      <c r="AV99" s="13">
        <v>2.2508699999999999</v>
      </c>
      <c r="AW99" s="13">
        <v>0.41456999999999999</v>
      </c>
      <c r="AX99" s="13">
        <v>0.15662000000000001</v>
      </c>
      <c r="AY99" s="13">
        <v>0.30352000000000001</v>
      </c>
      <c r="AZ99" s="13">
        <v>0.44805</v>
      </c>
      <c r="BA99" s="13">
        <v>0</v>
      </c>
      <c r="BB99" s="13">
        <v>4.1160000000000002E-2</v>
      </c>
      <c r="BC99" s="13">
        <v>0</v>
      </c>
      <c r="BD99" s="13">
        <v>0</v>
      </c>
      <c r="BE99" s="13">
        <v>0</v>
      </c>
      <c r="BF99" s="13">
        <v>3.0000000000000001E-5</v>
      </c>
      <c r="BG99" s="13">
        <v>0</v>
      </c>
      <c r="BH99" s="13">
        <v>0.40684999999999999</v>
      </c>
      <c r="BI99" s="13">
        <v>0</v>
      </c>
      <c r="BJ99" s="13">
        <v>0</v>
      </c>
      <c r="BK99" s="13">
        <v>7.5480000000000005E-2</v>
      </c>
      <c r="BL99" s="13">
        <v>6.225E-2</v>
      </c>
      <c r="BM99" s="13">
        <v>0</v>
      </c>
      <c r="BN99" s="13">
        <v>0</v>
      </c>
      <c r="BO99" s="13">
        <v>0</v>
      </c>
      <c r="BP99" s="13">
        <v>1.323E-2</v>
      </c>
      <c r="BQ99" s="13">
        <v>0</v>
      </c>
      <c r="BR99" s="13">
        <v>0</v>
      </c>
      <c r="BS99" s="13">
        <v>0.21256</v>
      </c>
      <c r="BT99" s="13">
        <v>6.4269999999999994E-2</v>
      </c>
      <c r="BU99" s="13">
        <v>4.7000000000000002E-3</v>
      </c>
      <c r="BV99" s="13">
        <v>0.14358000000000001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1.9839199999999999</v>
      </c>
      <c r="CD99" s="13">
        <v>1.8514299999999999</v>
      </c>
      <c r="CE99" s="13">
        <v>4.9880000000000001E-2</v>
      </c>
      <c r="CF99" s="13">
        <v>6.6619999999999999E-2</v>
      </c>
      <c r="CG99" s="13">
        <v>1.6E-2</v>
      </c>
      <c r="CH99" s="13">
        <v>0</v>
      </c>
      <c r="CI99" s="13">
        <v>0</v>
      </c>
      <c r="CJ99" s="13">
        <v>5.2229999999999999E-2</v>
      </c>
      <c r="CK99" s="13">
        <v>0</v>
      </c>
      <c r="CL99" s="13">
        <v>7.1503699999999997</v>
      </c>
      <c r="CM99" s="13">
        <v>3.9931399999999999</v>
      </c>
      <c r="CN99" s="13">
        <v>3.1635900000000001</v>
      </c>
      <c r="CO99" s="13">
        <v>0.61855000000000004</v>
      </c>
      <c r="CP99" s="13">
        <v>7.0699999999999999E-2</v>
      </c>
      <c r="CQ99" s="13">
        <v>0.14030000000000001</v>
      </c>
      <c r="CR99" s="13">
        <v>0.99292000000000002</v>
      </c>
      <c r="CS99" s="13">
        <v>0.29082000000000002</v>
      </c>
      <c r="CT99" s="13">
        <v>2.384E-2</v>
      </c>
      <c r="CU99" s="13">
        <v>0.46988000000000002</v>
      </c>
      <c r="CV99" s="13">
        <v>0.13155</v>
      </c>
      <c r="CW99" s="13">
        <v>7.6829999999999996E-2</v>
      </c>
      <c r="CX99" s="13">
        <v>0.16242999999999999</v>
      </c>
      <c r="CY99" s="13">
        <v>0.16242999999999999</v>
      </c>
      <c r="CZ99" s="13">
        <v>0</v>
      </c>
      <c r="DA99" s="13">
        <v>0</v>
      </c>
      <c r="DB99" s="13">
        <v>0</v>
      </c>
      <c r="DC99" s="13">
        <v>1.94251</v>
      </c>
      <c r="DD99" s="13">
        <v>1.55819</v>
      </c>
      <c r="DE99" s="13">
        <v>0.38431999999999999</v>
      </c>
      <c r="DF99" s="13">
        <v>0</v>
      </c>
      <c r="DG99" s="13">
        <v>8.8900000000000003E-3</v>
      </c>
      <c r="DH99" s="13">
        <v>8.8900000000000003E-3</v>
      </c>
      <c r="DI99" s="13">
        <v>0</v>
      </c>
      <c r="DJ99" s="13">
        <v>0</v>
      </c>
      <c r="DK99" s="13">
        <v>0</v>
      </c>
      <c r="DL99" s="13">
        <v>0</v>
      </c>
      <c r="DM99" s="13">
        <v>6.96E-3</v>
      </c>
      <c r="DN99" s="13">
        <v>3.4779999999999998E-2</v>
      </c>
      <c r="DO99" s="13">
        <v>8.7299999999999999E-3</v>
      </c>
      <c r="DP99" s="13">
        <v>0</v>
      </c>
      <c r="DQ99" s="13">
        <v>-3.9615499999999999</v>
      </c>
      <c r="DR99" s="13">
        <v>-1.3371599999999999</v>
      </c>
      <c r="DS99" s="13">
        <v>0</v>
      </c>
      <c r="DT99" s="13">
        <v>0.26798</v>
      </c>
      <c r="DU99" s="13">
        <v>-1.60514</v>
      </c>
      <c r="DV99" s="13">
        <v>0.47627000000000003</v>
      </c>
      <c r="DW99" s="13">
        <v>0</v>
      </c>
      <c r="DX99" s="13">
        <v>-0.41538000000000003</v>
      </c>
      <c r="DY99" s="13">
        <v>0.89165000000000005</v>
      </c>
      <c r="DZ99" s="13">
        <v>-3.0377900000000002</v>
      </c>
      <c r="EA99" s="13">
        <v>0</v>
      </c>
      <c r="EB99" s="13">
        <v>-2.6965599999999998</v>
      </c>
      <c r="EC99" s="13">
        <v>-0.34123999999999999</v>
      </c>
      <c r="ED99" s="13">
        <v>0.43209999999999998</v>
      </c>
      <c r="EE99" s="13">
        <v>0</v>
      </c>
      <c r="EF99" s="13">
        <v>3.6000000000000002E-4</v>
      </c>
      <c r="EG99" s="13">
        <v>0.43174000000000001</v>
      </c>
      <c r="EH99" s="13">
        <v>3.0800000000000001E-2</v>
      </c>
      <c r="EI99" s="13">
        <v>0</v>
      </c>
      <c r="EJ99" s="13">
        <v>0</v>
      </c>
      <c r="EK99" s="13">
        <v>3.0800000000000001E-2</v>
      </c>
      <c r="EL99" s="13">
        <v>0</v>
      </c>
      <c r="EM99" s="13">
        <v>0</v>
      </c>
      <c r="EN99" s="13">
        <v>0</v>
      </c>
      <c r="EO99" s="13">
        <v>0</v>
      </c>
      <c r="EP99" s="13">
        <v>-0.52576999999999996</v>
      </c>
      <c r="EQ99" s="13">
        <v>0</v>
      </c>
      <c r="ER99" s="13">
        <v>5.5885899999999999</v>
      </c>
      <c r="ES99" s="13">
        <v>4.0380700000000003</v>
      </c>
      <c r="ET99" s="13">
        <v>3.2583199999999999</v>
      </c>
      <c r="EU99" s="13">
        <v>0.77975000000000005</v>
      </c>
      <c r="EV99" s="13">
        <v>0</v>
      </c>
      <c r="EW99" s="13">
        <v>7.6329999999999995E-2</v>
      </c>
      <c r="EX99" s="13">
        <v>6.4930000000000002E-2</v>
      </c>
      <c r="EY99" s="13">
        <v>1.14E-2</v>
      </c>
      <c r="EZ99" s="13">
        <v>7.7100000000000002E-2</v>
      </c>
      <c r="FA99" s="13">
        <v>3.295E-2</v>
      </c>
      <c r="FB99" s="13">
        <v>4.4150000000000002E-2</v>
      </c>
      <c r="FC99" s="13">
        <v>1.3970800000000001</v>
      </c>
      <c r="FD99" s="13">
        <v>1.32403</v>
      </c>
      <c r="FE99" s="13">
        <v>7.3050000000000004E-2</v>
      </c>
      <c r="FF99" s="13">
        <v>0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0.14096</v>
      </c>
    </row>
    <row r="100" spans="1:168" ht="15" x14ac:dyDescent="0.25">
      <c r="A100" s="5" t="s">
        <v>198</v>
      </c>
      <c r="B100" s="5" t="s">
        <v>7</v>
      </c>
      <c r="C100" s="14">
        <v>47.277670000000001</v>
      </c>
      <c r="D100" s="14">
        <v>51.48124</v>
      </c>
      <c r="E100" s="14">
        <v>47.455500000000001</v>
      </c>
      <c r="F100" s="14">
        <v>46.40766</v>
      </c>
      <c r="G100" s="14">
        <v>17.721129999999999</v>
      </c>
      <c r="H100" s="14">
        <v>15.512079999999999</v>
      </c>
      <c r="I100" s="14">
        <v>2.20905</v>
      </c>
      <c r="J100" s="14">
        <v>0</v>
      </c>
      <c r="K100" s="14">
        <v>7.4052499999999997</v>
      </c>
      <c r="L100" s="14">
        <v>9.783E-2</v>
      </c>
      <c r="M100" s="14">
        <v>0</v>
      </c>
      <c r="N100" s="14">
        <v>1.1558999999999999</v>
      </c>
      <c r="O100" s="14">
        <v>1.25597</v>
      </c>
      <c r="P100" s="14">
        <v>0.73301000000000005</v>
      </c>
      <c r="Q100" s="14">
        <v>2.5910899999999999</v>
      </c>
      <c r="R100" s="14">
        <v>1.57145</v>
      </c>
      <c r="S100" s="14">
        <v>17.069099999999999</v>
      </c>
      <c r="T100" s="14">
        <v>0.49812000000000001</v>
      </c>
      <c r="U100" s="14">
        <v>16.279640000000001</v>
      </c>
      <c r="V100" s="14">
        <v>9.8204600000000006</v>
      </c>
      <c r="W100" s="14">
        <v>3.4061699999999999</v>
      </c>
      <c r="X100" s="14">
        <v>2.8710300000000002</v>
      </c>
      <c r="Y100" s="14">
        <v>0.18198</v>
      </c>
      <c r="Z100" s="14">
        <v>0</v>
      </c>
      <c r="AA100" s="14">
        <v>2.8559999999999999E-2</v>
      </c>
      <c r="AB100" s="14">
        <v>0.26278000000000001</v>
      </c>
      <c r="AC100" s="14">
        <v>0</v>
      </c>
      <c r="AD100" s="14">
        <v>4.1535000000000002</v>
      </c>
      <c r="AE100" s="14">
        <v>1.2132700000000001</v>
      </c>
      <c r="AF100" s="14">
        <v>1.7842800000000001</v>
      </c>
      <c r="AG100" s="14">
        <v>1.15595</v>
      </c>
      <c r="AH100" s="14">
        <v>5.8680000000000003E-2</v>
      </c>
      <c r="AI100" s="14">
        <v>0</v>
      </c>
      <c r="AJ100" s="14">
        <v>5.8680000000000003E-2</v>
      </c>
      <c r="AK100" s="14">
        <v>1.0478400000000001</v>
      </c>
      <c r="AL100" s="14">
        <v>0</v>
      </c>
      <c r="AM100" s="14">
        <v>1.0478400000000001</v>
      </c>
      <c r="AN100" s="14">
        <v>0</v>
      </c>
      <c r="AO100" s="14">
        <v>6.77752</v>
      </c>
      <c r="AP100" s="14">
        <v>4.12019</v>
      </c>
      <c r="AQ100" s="14">
        <v>2.65733</v>
      </c>
      <c r="AR100" s="14">
        <v>0</v>
      </c>
      <c r="AS100" s="14">
        <v>11.57438</v>
      </c>
      <c r="AT100" s="14">
        <v>3.8023199999999999</v>
      </c>
      <c r="AU100" s="14">
        <v>3.1255799999999998</v>
      </c>
      <c r="AV100" s="14">
        <v>2.2508699999999999</v>
      </c>
      <c r="AW100" s="14">
        <v>0.41456999999999999</v>
      </c>
      <c r="AX100" s="14">
        <v>0.15662000000000001</v>
      </c>
      <c r="AY100" s="14">
        <v>0.30352000000000001</v>
      </c>
      <c r="AZ100" s="14">
        <v>0.38869999999999999</v>
      </c>
      <c r="BA100" s="14">
        <v>0</v>
      </c>
      <c r="BB100" s="14">
        <v>0</v>
      </c>
      <c r="BC100" s="14">
        <v>0</v>
      </c>
      <c r="BD100" s="14">
        <v>0</v>
      </c>
      <c r="BE100" s="14">
        <v>0</v>
      </c>
      <c r="BF100" s="14">
        <v>3.0000000000000001E-5</v>
      </c>
      <c r="BG100" s="14">
        <v>0</v>
      </c>
      <c r="BH100" s="14">
        <v>0.38868000000000003</v>
      </c>
      <c r="BI100" s="14">
        <v>0</v>
      </c>
      <c r="BJ100" s="14">
        <v>0</v>
      </c>
      <c r="BK100" s="14">
        <v>7.5480000000000005E-2</v>
      </c>
      <c r="BL100" s="14">
        <v>6.225E-2</v>
      </c>
      <c r="BM100" s="14">
        <v>0</v>
      </c>
      <c r="BN100" s="14">
        <v>0</v>
      </c>
      <c r="BO100" s="14">
        <v>0</v>
      </c>
      <c r="BP100" s="14">
        <v>1.323E-2</v>
      </c>
      <c r="BQ100" s="14">
        <v>0</v>
      </c>
      <c r="BR100" s="14">
        <v>0</v>
      </c>
      <c r="BS100" s="14">
        <v>0.21256</v>
      </c>
      <c r="BT100" s="14">
        <v>6.4269999999999994E-2</v>
      </c>
      <c r="BU100" s="14">
        <v>4.7000000000000002E-3</v>
      </c>
      <c r="BV100" s="14">
        <v>0.14358000000000001</v>
      </c>
      <c r="BW100" s="14">
        <v>0</v>
      </c>
      <c r="BX100" s="14">
        <v>0</v>
      </c>
      <c r="BY100" s="14">
        <v>0</v>
      </c>
      <c r="BZ100" s="14">
        <v>0</v>
      </c>
      <c r="CA100" s="14">
        <v>0</v>
      </c>
      <c r="CB100" s="14">
        <v>0</v>
      </c>
      <c r="CC100" s="14">
        <v>0</v>
      </c>
      <c r="CD100" s="14">
        <v>0</v>
      </c>
      <c r="CE100" s="14">
        <v>0</v>
      </c>
      <c r="CF100" s="14">
        <v>0</v>
      </c>
      <c r="CG100" s="14">
        <v>0</v>
      </c>
      <c r="CH100" s="14">
        <v>0</v>
      </c>
      <c r="CI100" s="14">
        <v>0</v>
      </c>
      <c r="CJ100" s="14">
        <v>0</v>
      </c>
      <c r="CK100" s="14">
        <v>0</v>
      </c>
      <c r="CL100" s="14">
        <v>5.0470000000000001E-2</v>
      </c>
      <c r="CM100" s="14">
        <v>0</v>
      </c>
      <c r="CN100" s="14">
        <v>0</v>
      </c>
      <c r="CO100" s="14">
        <v>0</v>
      </c>
      <c r="CP100" s="14">
        <v>0</v>
      </c>
      <c r="CQ100" s="14">
        <v>0</v>
      </c>
      <c r="CR100" s="14">
        <v>0</v>
      </c>
      <c r="CS100" s="14">
        <v>0</v>
      </c>
      <c r="CT100" s="14">
        <v>0</v>
      </c>
      <c r="CU100" s="14">
        <v>0</v>
      </c>
      <c r="CV100" s="14">
        <v>0</v>
      </c>
      <c r="CW100" s="14">
        <v>0</v>
      </c>
      <c r="CX100" s="14">
        <v>0</v>
      </c>
      <c r="CY100" s="14">
        <v>0</v>
      </c>
      <c r="CZ100" s="14">
        <v>0</v>
      </c>
      <c r="DA100" s="14">
        <v>0</v>
      </c>
      <c r="DB100" s="14">
        <v>0</v>
      </c>
      <c r="DC100" s="14">
        <v>0</v>
      </c>
      <c r="DD100" s="14">
        <v>0</v>
      </c>
      <c r="DE100" s="14">
        <v>0</v>
      </c>
      <c r="DF100" s="14">
        <v>0</v>
      </c>
      <c r="DG100" s="14">
        <v>0</v>
      </c>
      <c r="DH100" s="14">
        <v>0</v>
      </c>
      <c r="DI100" s="14">
        <v>0</v>
      </c>
      <c r="DJ100" s="14">
        <v>0</v>
      </c>
      <c r="DK100" s="14">
        <v>0</v>
      </c>
      <c r="DL100" s="14">
        <v>0</v>
      </c>
      <c r="DM100" s="14">
        <v>6.96E-3</v>
      </c>
      <c r="DN100" s="14">
        <v>3.4779999999999998E-2</v>
      </c>
      <c r="DO100" s="14">
        <v>8.7299999999999999E-3</v>
      </c>
      <c r="DP100" s="14">
        <v>0</v>
      </c>
      <c r="DQ100" s="14">
        <v>-4.2035600000000004</v>
      </c>
      <c r="DR100" s="14">
        <v>-1.4373800000000001</v>
      </c>
      <c r="DS100" s="14">
        <v>0</v>
      </c>
      <c r="DT100" s="14">
        <v>0.18501999999999999</v>
      </c>
      <c r="DU100" s="14">
        <v>-1.6224099999999999</v>
      </c>
      <c r="DV100" s="14">
        <v>0.4194</v>
      </c>
      <c r="DW100" s="14">
        <v>0</v>
      </c>
      <c r="DX100" s="14">
        <v>-0.41724</v>
      </c>
      <c r="DY100" s="14">
        <v>0.83664000000000005</v>
      </c>
      <c r="DZ100" s="14">
        <v>-3.0790000000000002</v>
      </c>
      <c r="EA100" s="14">
        <v>0</v>
      </c>
      <c r="EB100" s="14">
        <v>-2.7259199999999999</v>
      </c>
      <c r="EC100" s="14">
        <v>-0.35306999999999999</v>
      </c>
      <c r="ED100" s="14">
        <v>0.40215000000000001</v>
      </c>
      <c r="EE100" s="14">
        <v>0</v>
      </c>
      <c r="EF100" s="14">
        <v>3.3E-4</v>
      </c>
      <c r="EG100" s="14">
        <v>0.40182000000000001</v>
      </c>
      <c r="EH100" s="14">
        <v>1.703E-2</v>
      </c>
      <c r="EI100" s="14">
        <v>0</v>
      </c>
      <c r="EJ100" s="14">
        <v>0</v>
      </c>
      <c r="EK100" s="14">
        <v>1.703E-2</v>
      </c>
      <c r="EL100" s="14">
        <v>0</v>
      </c>
      <c r="EM100" s="14">
        <v>0</v>
      </c>
      <c r="EN100" s="14">
        <v>0</v>
      </c>
      <c r="EO100" s="14">
        <v>0</v>
      </c>
      <c r="EP100" s="14">
        <v>-0.52576999999999996</v>
      </c>
      <c r="EQ100" s="14">
        <v>0</v>
      </c>
      <c r="ER100" s="14">
        <v>3.1980000000000001E-2</v>
      </c>
      <c r="ES100" s="14">
        <v>0</v>
      </c>
      <c r="ET100" s="14">
        <v>0</v>
      </c>
      <c r="EU100" s="14">
        <v>0</v>
      </c>
      <c r="EV100" s="14">
        <v>0</v>
      </c>
      <c r="EW100" s="14">
        <v>0</v>
      </c>
      <c r="EX100" s="14">
        <v>0</v>
      </c>
      <c r="EY100" s="14">
        <v>0</v>
      </c>
      <c r="EZ100" s="14">
        <v>3.1980000000000001E-2</v>
      </c>
      <c r="FA100" s="14">
        <v>3.1980000000000001E-2</v>
      </c>
      <c r="FB100" s="14">
        <v>0</v>
      </c>
      <c r="FC100" s="14">
        <v>0</v>
      </c>
      <c r="FD100" s="14">
        <v>0</v>
      </c>
      <c r="FE100" s="14">
        <v>0</v>
      </c>
      <c r="FF100" s="14">
        <v>0</v>
      </c>
      <c r="FG100" s="14">
        <v>0</v>
      </c>
      <c r="FH100" s="14">
        <v>0</v>
      </c>
      <c r="FI100" s="14">
        <v>0</v>
      </c>
      <c r="FJ100" s="14">
        <v>0</v>
      </c>
      <c r="FK100" s="14">
        <v>0</v>
      </c>
      <c r="FL100" s="14">
        <v>0.14096</v>
      </c>
    </row>
    <row r="101" spans="1:168" ht="15" x14ac:dyDescent="0.25">
      <c r="A101" s="5" t="s">
        <v>198</v>
      </c>
      <c r="B101" s="5" t="s">
        <v>8</v>
      </c>
      <c r="C101" s="13">
        <v>0.36525999999999997</v>
      </c>
      <c r="D101" s="13">
        <v>0.36366999999999999</v>
      </c>
      <c r="E101" s="13">
        <v>1.4880000000000001E-2</v>
      </c>
      <c r="F101" s="13">
        <v>1.206E-2</v>
      </c>
      <c r="G101" s="13">
        <v>5.5999999999999995E-4</v>
      </c>
      <c r="H101" s="13">
        <v>5.1999999999999995E-4</v>
      </c>
      <c r="I101" s="13">
        <v>4.0000000000000003E-5</v>
      </c>
      <c r="J101" s="13">
        <v>0</v>
      </c>
      <c r="K101" s="13">
        <v>1.98E-3</v>
      </c>
      <c r="L101" s="13">
        <v>0</v>
      </c>
      <c r="M101" s="13">
        <v>0</v>
      </c>
      <c r="N101" s="13">
        <v>2.0000000000000002E-5</v>
      </c>
      <c r="O101" s="13">
        <v>9.2000000000000003E-4</v>
      </c>
      <c r="P101" s="13">
        <v>3.0000000000000001E-5</v>
      </c>
      <c r="Q101" s="13">
        <v>9.5E-4</v>
      </c>
      <c r="R101" s="13">
        <v>6.0000000000000002E-5</v>
      </c>
      <c r="S101" s="13">
        <v>8.8999999999999995E-4</v>
      </c>
      <c r="T101" s="13">
        <v>2.0000000000000002E-5</v>
      </c>
      <c r="U101" s="13">
        <v>8.4999999999999995E-4</v>
      </c>
      <c r="V101" s="13">
        <v>5.1999999999999995E-4</v>
      </c>
      <c r="W101" s="13">
        <v>6.0000000000000002E-5</v>
      </c>
      <c r="X101" s="13">
        <v>1.6000000000000001E-4</v>
      </c>
      <c r="Y101" s="13">
        <v>1.1E-4</v>
      </c>
      <c r="Z101" s="13">
        <v>0</v>
      </c>
      <c r="AA101" s="13">
        <v>0</v>
      </c>
      <c r="AB101" s="13">
        <v>2.0000000000000002E-5</v>
      </c>
      <c r="AC101" s="13">
        <v>0</v>
      </c>
      <c r="AD101" s="13">
        <v>8.6300000000000005E-3</v>
      </c>
      <c r="AE101" s="13">
        <v>4.0000000000000003E-5</v>
      </c>
      <c r="AF101" s="13">
        <v>8.5100000000000002E-3</v>
      </c>
      <c r="AG101" s="13">
        <v>8.0000000000000007E-5</v>
      </c>
      <c r="AH101" s="13">
        <v>0</v>
      </c>
      <c r="AI101" s="13">
        <v>0</v>
      </c>
      <c r="AJ101" s="13">
        <v>0</v>
      </c>
      <c r="AK101" s="13">
        <v>2.82E-3</v>
      </c>
      <c r="AL101" s="13">
        <v>6.3000000000000003E-4</v>
      </c>
      <c r="AM101" s="13">
        <v>2.1900000000000001E-3</v>
      </c>
      <c r="AN101" s="13">
        <v>0</v>
      </c>
      <c r="AO101" s="13">
        <v>3.4000000000000002E-4</v>
      </c>
      <c r="AP101" s="13">
        <v>1E-4</v>
      </c>
      <c r="AQ101" s="13">
        <v>2.4000000000000001E-4</v>
      </c>
      <c r="AR101" s="13">
        <v>0</v>
      </c>
      <c r="AS101" s="13">
        <v>0</v>
      </c>
      <c r="AT101" s="13">
        <v>6.4999999999999997E-4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6.4999999999999997E-4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6.4999999999999997E-4</v>
      </c>
      <c r="BI101" s="13">
        <v>0</v>
      </c>
      <c r="BJ101" s="13">
        <v>0</v>
      </c>
      <c r="BK101" s="13">
        <v>0</v>
      </c>
      <c r="BL101" s="13">
        <v>0</v>
      </c>
      <c r="BM101" s="13">
        <v>0</v>
      </c>
      <c r="BN101" s="13">
        <v>0</v>
      </c>
      <c r="BO101" s="13">
        <v>0</v>
      </c>
      <c r="BP101" s="13">
        <v>0</v>
      </c>
      <c r="BQ101" s="13">
        <v>0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0</v>
      </c>
      <c r="BZ101" s="13">
        <v>0</v>
      </c>
      <c r="CA101" s="13">
        <v>0</v>
      </c>
      <c r="CB101" s="13">
        <v>0</v>
      </c>
      <c r="CC101" s="13">
        <v>0</v>
      </c>
      <c r="CD101" s="13">
        <v>0</v>
      </c>
      <c r="CE101" s="13">
        <v>0</v>
      </c>
      <c r="CF101" s="13">
        <v>0</v>
      </c>
      <c r="CG101" s="13">
        <v>0</v>
      </c>
      <c r="CH101" s="13">
        <v>0</v>
      </c>
      <c r="CI101" s="13">
        <v>0</v>
      </c>
      <c r="CJ101" s="13">
        <v>0</v>
      </c>
      <c r="CK101" s="13">
        <v>0</v>
      </c>
      <c r="CL101" s="13">
        <v>0.17779</v>
      </c>
      <c r="CM101" s="13">
        <v>0.14260999999999999</v>
      </c>
      <c r="CN101" s="13">
        <v>0.11298999999999999</v>
      </c>
      <c r="CO101" s="13">
        <v>2.2089999999999999E-2</v>
      </c>
      <c r="CP101" s="13">
        <v>2.5300000000000001E-3</v>
      </c>
      <c r="CQ101" s="13">
        <v>5.0099999999999997E-3</v>
      </c>
      <c r="CR101" s="13">
        <v>2.912E-2</v>
      </c>
      <c r="CS101" s="13">
        <v>8.8199999999999997E-3</v>
      </c>
      <c r="CT101" s="13">
        <v>7.2999999999999996E-4</v>
      </c>
      <c r="CU101" s="13">
        <v>1.6650000000000002E-2</v>
      </c>
      <c r="CV101" s="13">
        <v>2.9199999999999999E-3</v>
      </c>
      <c r="CW101" s="13">
        <v>0</v>
      </c>
      <c r="CX101" s="13">
        <v>5.7999999999999996E-3</v>
      </c>
      <c r="CY101" s="13">
        <v>5.7999999999999996E-3</v>
      </c>
      <c r="CZ101" s="13">
        <v>0</v>
      </c>
      <c r="DA101" s="13">
        <v>0</v>
      </c>
      <c r="DB101" s="13">
        <v>0</v>
      </c>
      <c r="DC101" s="13">
        <v>0</v>
      </c>
      <c r="DD101" s="13">
        <v>0</v>
      </c>
      <c r="DE101" s="13">
        <v>0</v>
      </c>
      <c r="DF101" s="13">
        <v>0</v>
      </c>
      <c r="DG101" s="13">
        <v>2.5999999999999998E-4</v>
      </c>
      <c r="DH101" s="13">
        <v>2.5999999999999998E-4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0</v>
      </c>
      <c r="DQ101" s="13">
        <v>1.5900000000000001E-3</v>
      </c>
      <c r="DR101" s="13">
        <v>1.0300000000000001E-3</v>
      </c>
      <c r="DS101" s="13">
        <v>0</v>
      </c>
      <c r="DT101" s="13">
        <v>1.0200000000000001E-3</v>
      </c>
      <c r="DU101" s="13">
        <v>0</v>
      </c>
      <c r="DV101" s="13">
        <v>5.0000000000000002E-5</v>
      </c>
      <c r="DW101" s="13">
        <v>0</v>
      </c>
      <c r="DX101" s="13">
        <v>5.0000000000000002E-5</v>
      </c>
      <c r="DY101" s="13">
        <v>0</v>
      </c>
      <c r="DZ101" s="13">
        <v>5.1000000000000004E-4</v>
      </c>
      <c r="EA101" s="13">
        <v>0</v>
      </c>
      <c r="EB101" s="13">
        <v>5.0000000000000001E-4</v>
      </c>
      <c r="EC101" s="13">
        <v>0</v>
      </c>
      <c r="ED101" s="13">
        <v>0</v>
      </c>
      <c r="EE101" s="13">
        <v>0</v>
      </c>
      <c r="EF101" s="13">
        <v>0</v>
      </c>
      <c r="EG101" s="13">
        <v>0</v>
      </c>
      <c r="EH101" s="13">
        <v>0</v>
      </c>
      <c r="EI101" s="13">
        <v>0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0</v>
      </c>
      <c r="EQ101" s="13">
        <v>0</v>
      </c>
      <c r="ER101" s="13">
        <v>0.17035</v>
      </c>
      <c r="ES101" s="13">
        <v>0.14421999999999999</v>
      </c>
      <c r="ET101" s="13">
        <v>0.11637</v>
      </c>
      <c r="EU101" s="13">
        <v>2.785E-2</v>
      </c>
      <c r="EV101" s="13">
        <v>0</v>
      </c>
      <c r="EW101" s="13">
        <v>1.89E-3</v>
      </c>
      <c r="EX101" s="13">
        <v>1.48E-3</v>
      </c>
      <c r="EY101" s="13">
        <v>4.0999999999999999E-4</v>
      </c>
      <c r="EZ101" s="13">
        <v>1.0399999999999999E-3</v>
      </c>
      <c r="FA101" s="13">
        <v>1.0000000000000001E-5</v>
      </c>
      <c r="FB101" s="13">
        <v>1.0399999999999999E-3</v>
      </c>
      <c r="FC101" s="13">
        <v>2.3199999999999998E-2</v>
      </c>
      <c r="FD101" s="13">
        <v>2.0959999999999999E-2</v>
      </c>
      <c r="FE101" s="13">
        <v>2.2499999999999998E-3</v>
      </c>
      <c r="FF101" s="13">
        <v>0</v>
      </c>
      <c r="FG101" s="13">
        <v>0</v>
      </c>
      <c r="FH101" s="13">
        <v>0</v>
      </c>
      <c r="FI101" s="13">
        <v>0</v>
      </c>
      <c r="FJ101" s="13">
        <v>0</v>
      </c>
      <c r="FK101" s="13">
        <v>0</v>
      </c>
      <c r="FL101" s="13">
        <v>0</v>
      </c>
    </row>
    <row r="102" spans="1:168" ht="15" x14ac:dyDescent="0.25">
      <c r="A102" s="5" t="s">
        <v>198</v>
      </c>
      <c r="B102" s="5" t="s">
        <v>9</v>
      </c>
      <c r="C102" s="14">
        <v>1.3950000000000001E-2</v>
      </c>
      <c r="D102" s="14">
        <v>1.321E-2</v>
      </c>
      <c r="E102" s="14">
        <v>1.97E-3</v>
      </c>
      <c r="F102" s="14">
        <v>1.9599999999999999E-3</v>
      </c>
      <c r="G102" s="14">
        <v>5.0000000000000001E-4</v>
      </c>
      <c r="H102" s="14">
        <v>5.0000000000000001E-4</v>
      </c>
      <c r="I102" s="14">
        <v>0</v>
      </c>
      <c r="J102" s="14">
        <v>0</v>
      </c>
      <c r="K102" s="14">
        <v>3.6000000000000002E-4</v>
      </c>
      <c r="L102" s="14">
        <v>0</v>
      </c>
      <c r="M102" s="14">
        <v>0</v>
      </c>
      <c r="N102" s="14">
        <v>1.0000000000000001E-5</v>
      </c>
      <c r="O102" s="14">
        <v>1.4999999999999999E-4</v>
      </c>
      <c r="P102" s="14">
        <v>2.0000000000000002E-5</v>
      </c>
      <c r="Q102" s="14">
        <v>8.0000000000000007E-5</v>
      </c>
      <c r="R102" s="14">
        <v>1E-4</v>
      </c>
      <c r="S102" s="14">
        <v>5.4000000000000001E-4</v>
      </c>
      <c r="T102" s="14">
        <v>1.0000000000000001E-5</v>
      </c>
      <c r="U102" s="14">
        <v>5.1000000000000004E-4</v>
      </c>
      <c r="V102" s="14">
        <v>3.2000000000000003E-4</v>
      </c>
      <c r="W102" s="14">
        <v>9.0000000000000006E-5</v>
      </c>
      <c r="X102" s="14">
        <v>1E-4</v>
      </c>
      <c r="Y102" s="14">
        <v>0</v>
      </c>
      <c r="Z102" s="14">
        <v>0</v>
      </c>
      <c r="AA102" s="14">
        <v>1.0000000000000001E-5</v>
      </c>
      <c r="AB102" s="14">
        <v>1.0000000000000001E-5</v>
      </c>
      <c r="AC102" s="14">
        <v>0</v>
      </c>
      <c r="AD102" s="14">
        <v>5.5000000000000003E-4</v>
      </c>
      <c r="AE102" s="14">
        <v>4.0000000000000003E-5</v>
      </c>
      <c r="AF102" s="14">
        <v>3.2000000000000003E-4</v>
      </c>
      <c r="AG102" s="14">
        <v>1.9000000000000001E-4</v>
      </c>
      <c r="AH102" s="14">
        <v>0</v>
      </c>
      <c r="AI102" s="14">
        <v>0</v>
      </c>
      <c r="AJ102" s="14">
        <v>0</v>
      </c>
      <c r="AK102" s="14">
        <v>1.0000000000000001E-5</v>
      </c>
      <c r="AL102" s="14">
        <v>0</v>
      </c>
      <c r="AM102" s="14">
        <v>1.0000000000000001E-5</v>
      </c>
      <c r="AN102" s="14">
        <v>0</v>
      </c>
      <c r="AO102" s="14">
        <v>1.8000000000000001E-4</v>
      </c>
      <c r="AP102" s="14">
        <v>1.2E-4</v>
      </c>
      <c r="AQ102" s="14">
        <v>6.9999999999999994E-5</v>
      </c>
      <c r="AR102" s="14">
        <v>0</v>
      </c>
      <c r="AS102" s="14">
        <v>0</v>
      </c>
      <c r="AT102" s="14">
        <v>2.5999999999999998E-4</v>
      </c>
      <c r="AU102" s="14">
        <v>0</v>
      </c>
      <c r="AV102" s="14">
        <v>0</v>
      </c>
      <c r="AW102" s="14">
        <v>0</v>
      </c>
      <c r="AX102" s="14">
        <v>0</v>
      </c>
      <c r="AY102" s="14">
        <v>0</v>
      </c>
      <c r="AZ102" s="14">
        <v>1.6000000000000001E-4</v>
      </c>
      <c r="BA102" s="14">
        <v>0</v>
      </c>
      <c r="BB102" s="14">
        <v>1.6000000000000001E-4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0</v>
      </c>
      <c r="BI102" s="14">
        <v>0</v>
      </c>
      <c r="BJ102" s="14">
        <v>0</v>
      </c>
      <c r="BK102" s="14">
        <v>0</v>
      </c>
      <c r="BL102" s="14">
        <v>0</v>
      </c>
      <c r="BM102" s="14">
        <v>0</v>
      </c>
      <c r="BN102" s="14">
        <v>0</v>
      </c>
      <c r="BO102" s="14">
        <v>0</v>
      </c>
      <c r="BP102" s="14">
        <v>0</v>
      </c>
      <c r="BQ102" s="14">
        <v>0</v>
      </c>
      <c r="BR102" s="14">
        <v>0</v>
      </c>
      <c r="BS102" s="14">
        <v>0</v>
      </c>
      <c r="BT102" s="14">
        <v>0</v>
      </c>
      <c r="BU102" s="14">
        <v>0</v>
      </c>
      <c r="BV102" s="14">
        <v>0</v>
      </c>
      <c r="BW102" s="14">
        <v>0</v>
      </c>
      <c r="BX102" s="14">
        <v>0</v>
      </c>
      <c r="BY102" s="14">
        <v>0</v>
      </c>
      <c r="BZ102" s="14">
        <v>0</v>
      </c>
      <c r="CA102" s="14">
        <v>0</v>
      </c>
      <c r="CB102" s="14">
        <v>0</v>
      </c>
      <c r="CC102" s="14">
        <v>0</v>
      </c>
      <c r="CD102" s="14">
        <v>0</v>
      </c>
      <c r="CE102" s="14">
        <v>0</v>
      </c>
      <c r="CF102" s="14">
        <v>0</v>
      </c>
      <c r="CG102" s="14">
        <v>0</v>
      </c>
      <c r="CH102" s="14">
        <v>0</v>
      </c>
      <c r="CI102" s="14">
        <v>0</v>
      </c>
      <c r="CJ102" s="14">
        <v>1.1E-4</v>
      </c>
      <c r="CK102" s="14">
        <v>0</v>
      </c>
      <c r="CL102" s="14">
        <v>8.0099999999999998E-3</v>
      </c>
      <c r="CM102" s="14">
        <v>0</v>
      </c>
      <c r="CN102" s="14">
        <v>0</v>
      </c>
      <c r="CO102" s="14">
        <v>0</v>
      </c>
      <c r="CP102" s="14">
        <v>0</v>
      </c>
      <c r="CQ102" s="14">
        <v>0</v>
      </c>
      <c r="CR102" s="14">
        <v>6.7000000000000002E-4</v>
      </c>
      <c r="CS102" s="14">
        <v>1.7000000000000001E-4</v>
      </c>
      <c r="CT102" s="14">
        <v>1.0000000000000001E-5</v>
      </c>
      <c r="CU102" s="14">
        <v>1.0000000000000001E-5</v>
      </c>
      <c r="CV102" s="14">
        <v>1.9000000000000001E-4</v>
      </c>
      <c r="CW102" s="14">
        <v>2.9E-4</v>
      </c>
      <c r="CX102" s="14">
        <v>0</v>
      </c>
      <c r="CY102" s="14">
        <v>0</v>
      </c>
      <c r="CZ102" s="14">
        <v>0</v>
      </c>
      <c r="DA102" s="14">
        <v>0</v>
      </c>
      <c r="DB102" s="14">
        <v>0</v>
      </c>
      <c r="DC102" s="14">
        <v>7.3299999999999997E-3</v>
      </c>
      <c r="DD102" s="14">
        <v>5.8799999999999998E-3</v>
      </c>
      <c r="DE102" s="14">
        <v>1.4499999999999999E-3</v>
      </c>
      <c r="DF102" s="14">
        <v>0</v>
      </c>
      <c r="DG102" s="14">
        <v>1.0000000000000001E-5</v>
      </c>
      <c r="DH102" s="14">
        <v>1.0000000000000001E-5</v>
      </c>
      <c r="DI102" s="14">
        <v>0</v>
      </c>
      <c r="DJ102" s="14">
        <v>0</v>
      </c>
      <c r="DK102" s="14">
        <v>0</v>
      </c>
      <c r="DL102" s="14">
        <v>0</v>
      </c>
      <c r="DM102" s="14">
        <v>0</v>
      </c>
      <c r="DN102" s="14">
        <v>0</v>
      </c>
      <c r="DO102" s="14">
        <v>0</v>
      </c>
      <c r="DP102" s="14">
        <v>0</v>
      </c>
      <c r="DQ102" s="14">
        <v>7.5000000000000002E-4</v>
      </c>
      <c r="DR102" s="14">
        <v>2.7E-4</v>
      </c>
      <c r="DS102" s="14">
        <v>0</v>
      </c>
      <c r="DT102" s="14">
        <v>2.0000000000000001E-4</v>
      </c>
      <c r="DU102" s="14">
        <v>6.0000000000000002E-5</v>
      </c>
      <c r="DV102" s="14">
        <v>2.1000000000000001E-4</v>
      </c>
      <c r="DW102" s="14">
        <v>0</v>
      </c>
      <c r="DX102" s="14">
        <v>0</v>
      </c>
      <c r="DY102" s="14">
        <v>2.1000000000000001E-4</v>
      </c>
      <c r="DZ102" s="14">
        <v>1E-4</v>
      </c>
      <c r="EA102" s="14">
        <v>0</v>
      </c>
      <c r="EB102" s="14">
        <v>6.0000000000000002E-5</v>
      </c>
      <c r="EC102" s="14">
        <v>4.0000000000000003E-5</v>
      </c>
      <c r="ED102" s="14">
        <v>1.1E-4</v>
      </c>
      <c r="EE102" s="14">
        <v>0</v>
      </c>
      <c r="EF102" s="14">
        <v>0</v>
      </c>
      <c r="EG102" s="14">
        <v>1.1E-4</v>
      </c>
      <c r="EH102" s="14">
        <v>5.0000000000000002E-5</v>
      </c>
      <c r="EI102" s="14">
        <v>0</v>
      </c>
      <c r="EJ102" s="14">
        <v>0</v>
      </c>
      <c r="EK102" s="14">
        <v>5.0000000000000002E-5</v>
      </c>
      <c r="EL102" s="14">
        <v>0</v>
      </c>
      <c r="EM102" s="14">
        <v>0</v>
      </c>
      <c r="EN102" s="14">
        <v>0</v>
      </c>
      <c r="EO102" s="14">
        <v>0</v>
      </c>
      <c r="EP102" s="14">
        <v>0</v>
      </c>
      <c r="EQ102" s="14">
        <v>0</v>
      </c>
      <c r="ER102" s="14">
        <v>2.97E-3</v>
      </c>
      <c r="ES102" s="14">
        <v>0</v>
      </c>
      <c r="ET102" s="14">
        <v>0</v>
      </c>
      <c r="EU102" s="14">
        <v>0</v>
      </c>
      <c r="EV102" s="14">
        <v>0</v>
      </c>
      <c r="EW102" s="14">
        <v>9.0000000000000006E-5</v>
      </c>
      <c r="EX102" s="14">
        <v>9.0000000000000006E-5</v>
      </c>
      <c r="EY102" s="14">
        <v>0</v>
      </c>
      <c r="EZ102" s="14">
        <v>6.0000000000000002E-5</v>
      </c>
      <c r="FA102" s="14">
        <v>0</v>
      </c>
      <c r="FB102" s="14">
        <v>6.0000000000000002E-5</v>
      </c>
      <c r="FC102" s="14">
        <v>2.82E-3</v>
      </c>
      <c r="FD102" s="14">
        <v>2.7799999999999999E-3</v>
      </c>
      <c r="FE102" s="14">
        <v>4.0000000000000003E-5</v>
      </c>
      <c r="FF102" s="14">
        <v>0</v>
      </c>
      <c r="FG102" s="14">
        <v>0</v>
      </c>
      <c r="FH102" s="14">
        <v>0</v>
      </c>
      <c r="FI102" s="14">
        <v>0</v>
      </c>
      <c r="FJ102" s="14">
        <v>0</v>
      </c>
      <c r="FK102" s="14">
        <v>0</v>
      </c>
      <c r="FL102" s="14">
        <v>0</v>
      </c>
    </row>
    <row r="103" spans="1:168" ht="15" x14ac:dyDescent="0.25">
      <c r="A103" s="5" t="s">
        <v>199</v>
      </c>
      <c r="B103" s="5" t="s">
        <v>6</v>
      </c>
      <c r="C103" s="13">
        <v>71.774649999999994</v>
      </c>
      <c r="D103" s="13">
        <v>118.54509</v>
      </c>
      <c r="E103" s="13">
        <v>79.818460000000002</v>
      </c>
      <c r="F103" s="13">
        <v>69.716200000000001</v>
      </c>
      <c r="G103" s="13">
        <v>24.997489999999999</v>
      </c>
      <c r="H103" s="13">
        <v>22.361740000000001</v>
      </c>
      <c r="I103" s="13">
        <v>1.40974</v>
      </c>
      <c r="J103" s="13">
        <v>1.22601</v>
      </c>
      <c r="K103" s="13">
        <v>13.75961</v>
      </c>
      <c r="L103" s="13">
        <v>0.92645</v>
      </c>
      <c r="M103" s="13">
        <v>0.44025999999999998</v>
      </c>
      <c r="N103" s="13">
        <v>2.9807600000000001</v>
      </c>
      <c r="O103" s="13">
        <v>0.1769</v>
      </c>
      <c r="P103" s="13">
        <v>0.86504000000000003</v>
      </c>
      <c r="Q103" s="13">
        <v>3.1896399999999998</v>
      </c>
      <c r="R103" s="13">
        <v>5.1805599999999998</v>
      </c>
      <c r="S103" s="13">
        <v>18.42754</v>
      </c>
      <c r="T103" s="13">
        <v>0.16758999999999999</v>
      </c>
      <c r="U103" s="13">
        <v>17.808129999999998</v>
      </c>
      <c r="V103" s="13">
        <v>9.2425899999999999</v>
      </c>
      <c r="W103" s="13">
        <v>2.5968900000000001</v>
      </c>
      <c r="X103" s="13">
        <v>5.9151999999999996</v>
      </c>
      <c r="Y103" s="13">
        <v>3.8179999999999999E-2</v>
      </c>
      <c r="Z103" s="13">
        <v>1.5270000000000001E-2</v>
      </c>
      <c r="AA103" s="13">
        <v>0.32018999999999997</v>
      </c>
      <c r="AB103" s="13">
        <v>0.12772</v>
      </c>
      <c r="AC103" s="13">
        <v>3.9100000000000003E-3</v>
      </c>
      <c r="AD103" s="13">
        <v>11.88036</v>
      </c>
      <c r="AE103" s="13">
        <v>2.2549000000000001</v>
      </c>
      <c r="AF103" s="13">
        <v>7.9957200000000004</v>
      </c>
      <c r="AG103" s="13">
        <v>1.62974</v>
      </c>
      <c r="AH103" s="13">
        <v>0.6512</v>
      </c>
      <c r="AI103" s="13">
        <v>0.6512</v>
      </c>
      <c r="AJ103" s="13">
        <v>0</v>
      </c>
      <c r="AK103" s="13">
        <v>10.102259999999999</v>
      </c>
      <c r="AL103" s="13">
        <v>6.3929999999999998</v>
      </c>
      <c r="AM103" s="13">
        <v>3.70926</v>
      </c>
      <c r="AN103" s="13">
        <v>0</v>
      </c>
      <c r="AO103" s="13">
        <v>0.4718</v>
      </c>
      <c r="AP103" s="13">
        <v>0.41570000000000001</v>
      </c>
      <c r="AQ103" s="13">
        <v>5.6099999999999997E-2</v>
      </c>
      <c r="AR103" s="13">
        <v>0</v>
      </c>
      <c r="AS103" s="13">
        <v>17.557200000000002</v>
      </c>
      <c r="AT103" s="13">
        <v>12.99661</v>
      </c>
      <c r="AU103" s="13">
        <v>4.7763499999999999</v>
      </c>
      <c r="AV103" s="13">
        <v>3.5048300000000001</v>
      </c>
      <c r="AW103" s="13">
        <v>0.86814000000000002</v>
      </c>
      <c r="AX103" s="13">
        <v>5.0819999999999997E-2</v>
      </c>
      <c r="AY103" s="13">
        <v>0.35256999999999999</v>
      </c>
      <c r="AZ103" s="13">
        <v>1.6418200000000001</v>
      </c>
      <c r="BA103" s="13">
        <v>1.0403800000000001</v>
      </c>
      <c r="BB103" s="13">
        <v>0.20552999999999999</v>
      </c>
      <c r="BC103" s="13">
        <v>0</v>
      </c>
      <c r="BD103" s="13">
        <v>0</v>
      </c>
      <c r="BE103" s="13">
        <v>1.252E-2</v>
      </c>
      <c r="BF103" s="13">
        <v>0</v>
      </c>
      <c r="BG103" s="13">
        <v>7.3899999999999993E-2</v>
      </c>
      <c r="BH103" s="13">
        <v>8.5100000000000002E-3</v>
      </c>
      <c r="BI103" s="13">
        <v>0</v>
      </c>
      <c r="BJ103" s="13">
        <v>0.30098000000000003</v>
      </c>
      <c r="BK103" s="13">
        <v>4.1059099999999997</v>
      </c>
      <c r="BL103" s="13">
        <v>3.7536399999999999</v>
      </c>
      <c r="BM103" s="13">
        <v>0</v>
      </c>
      <c r="BN103" s="13">
        <v>0.34353</v>
      </c>
      <c r="BO103" s="13">
        <v>0</v>
      </c>
      <c r="BP103" s="13">
        <v>7.7400000000000004E-3</v>
      </c>
      <c r="BQ103" s="13">
        <v>1E-3</v>
      </c>
      <c r="BR103" s="13">
        <v>0</v>
      </c>
      <c r="BS103" s="13">
        <v>0.66332999999999998</v>
      </c>
      <c r="BT103" s="13">
        <v>5.7369999999999997E-2</v>
      </c>
      <c r="BU103" s="13">
        <v>3.7599999999999999E-3</v>
      </c>
      <c r="BV103" s="13">
        <v>0.60219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0</v>
      </c>
      <c r="CC103" s="13">
        <v>1.7611300000000001</v>
      </c>
      <c r="CD103" s="13">
        <v>1.71882</v>
      </c>
      <c r="CE103" s="13">
        <v>1.8699999999999999E-3</v>
      </c>
      <c r="CF103" s="13">
        <v>3.1900000000000001E-3</v>
      </c>
      <c r="CG103" s="13">
        <v>3.7260000000000001E-2</v>
      </c>
      <c r="CH103" s="13">
        <v>0</v>
      </c>
      <c r="CI103" s="13">
        <v>0</v>
      </c>
      <c r="CJ103" s="13">
        <v>4.8079999999999998E-2</v>
      </c>
      <c r="CK103" s="13">
        <v>0</v>
      </c>
      <c r="CL103" s="13">
        <v>19.361719999999998</v>
      </c>
      <c r="CM103" s="13">
        <v>8.8078400000000006</v>
      </c>
      <c r="CN103" s="13">
        <v>5.4784300000000004</v>
      </c>
      <c r="CO103" s="13">
        <v>2.6866500000000002</v>
      </c>
      <c r="CP103" s="13">
        <v>0.16367999999999999</v>
      </c>
      <c r="CQ103" s="13">
        <v>0.47908000000000001</v>
      </c>
      <c r="CR103" s="13">
        <v>1.5837699999999999</v>
      </c>
      <c r="CS103" s="13">
        <v>0.41258</v>
      </c>
      <c r="CT103" s="13">
        <v>0.24679999999999999</v>
      </c>
      <c r="CU103" s="13">
        <v>0.40734999999999999</v>
      </c>
      <c r="CV103" s="13">
        <v>0.13561000000000001</v>
      </c>
      <c r="CW103" s="13">
        <v>0.38145000000000001</v>
      </c>
      <c r="CX103" s="13">
        <v>3.585E-2</v>
      </c>
      <c r="CY103" s="13">
        <v>3.585E-2</v>
      </c>
      <c r="CZ103" s="13">
        <v>0</v>
      </c>
      <c r="DA103" s="13">
        <v>0</v>
      </c>
      <c r="DB103" s="13">
        <v>0</v>
      </c>
      <c r="DC103" s="13">
        <v>8.4193800000000003</v>
      </c>
      <c r="DD103" s="13">
        <v>6.4415100000000001</v>
      </c>
      <c r="DE103" s="13">
        <v>1.97787</v>
      </c>
      <c r="DF103" s="13">
        <v>0</v>
      </c>
      <c r="DG103" s="13">
        <v>0.38945999999999997</v>
      </c>
      <c r="DH103" s="13">
        <v>0.38945999999999997</v>
      </c>
      <c r="DI103" s="13">
        <v>0</v>
      </c>
      <c r="DJ103" s="13">
        <v>0</v>
      </c>
      <c r="DK103" s="13">
        <v>0</v>
      </c>
      <c r="DL103" s="13">
        <v>0</v>
      </c>
      <c r="DM103" s="13">
        <v>4.2790000000000002E-2</v>
      </c>
      <c r="DN103" s="13">
        <v>8.2629999999999995E-2</v>
      </c>
      <c r="DO103" s="13">
        <v>0</v>
      </c>
      <c r="DP103" s="13">
        <v>0</v>
      </c>
      <c r="DQ103" s="13">
        <v>-46.770440000000001</v>
      </c>
      <c r="DR103" s="13">
        <v>-28.282070000000001</v>
      </c>
      <c r="DS103" s="13">
        <v>0</v>
      </c>
      <c r="DT103" s="13">
        <v>-26.54889</v>
      </c>
      <c r="DU103" s="13">
        <v>-1.7331799999999999</v>
      </c>
      <c r="DV103" s="13">
        <v>-13.156969999999999</v>
      </c>
      <c r="DW103" s="13">
        <v>0.17094999999999999</v>
      </c>
      <c r="DX103" s="13">
        <v>-4.2341800000000003</v>
      </c>
      <c r="DY103" s="13">
        <v>-8.9227900000000009</v>
      </c>
      <c r="DZ103" s="13">
        <v>-2.51458</v>
      </c>
      <c r="EA103" s="13">
        <v>3.3169999999999998E-2</v>
      </c>
      <c r="EB103" s="13">
        <v>-2.49498</v>
      </c>
      <c r="EC103" s="13">
        <v>-1.9599999999999999E-2</v>
      </c>
      <c r="ED103" s="13">
        <v>-0.40094000000000002</v>
      </c>
      <c r="EE103" s="13">
        <v>0</v>
      </c>
      <c r="EF103" s="13">
        <v>0</v>
      </c>
      <c r="EG103" s="13">
        <v>-0.40094000000000002</v>
      </c>
      <c r="EH103" s="13">
        <v>1.03477</v>
      </c>
      <c r="EI103" s="13">
        <v>0</v>
      </c>
      <c r="EJ103" s="13">
        <v>0</v>
      </c>
      <c r="EK103" s="13">
        <v>1.03477</v>
      </c>
      <c r="EL103" s="13">
        <v>-4.0629999999999999E-2</v>
      </c>
      <c r="EM103" s="13">
        <v>-4.0629999999999999E-2</v>
      </c>
      <c r="EN103" s="13">
        <v>0</v>
      </c>
      <c r="EO103" s="13">
        <v>0</v>
      </c>
      <c r="EP103" s="13">
        <v>-3.4100100000000002</v>
      </c>
      <c r="EQ103" s="13">
        <v>0</v>
      </c>
      <c r="ER103" s="13">
        <v>6.36829</v>
      </c>
      <c r="ES103" s="13">
        <v>4.1269</v>
      </c>
      <c r="ET103" s="13">
        <v>2.0154299999999998</v>
      </c>
      <c r="EU103" s="13">
        <v>2.1114600000000001</v>
      </c>
      <c r="EV103" s="13">
        <v>0</v>
      </c>
      <c r="EW103" s="13">
        <v>8.4589999999999999E-2</v>
      </c>
      <c r="EX103" s="13">
        <v>5.9299999999999999E-2</v>
      </c>
      <c r="EY103" s="13">
        <v>2.529E-2</v>
      </c>
      <c r="EZ103" s="13">
        <v>8.1499999999999993E-3</v>
      </c>
      <c r="FA103" s="13">
        <v>8.1499999999999993E-3</v>
      </c>
      <c r="FB103" s="13">
        <v>0</v>
      </c>
      <c r="FC103" s="13">
        <v>2.1486499999999999</v>
      </c>
      <c r="FD103" s="13">
        <v>2.0143</v>
      </c>
      <c r="FE103" s="13">
        <v>0.13435</v>
      </c>
      <c r="FF103" s="13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</row>
    <row r="104" spans="1:168" ht="15" x14ac:dyDescent="0.25">
      <c r="A104" s="5" t="s">
        <v>199</v>
      </c>
      <c r="B104" s="5" t="s">
        <v>7</v>
      </c>
      <c r="C104" s="14">
        <v>33.035789999999999</v>
      </c>
      <c r="D104" s="14">
        <v>79.874420000000001</v>
      </c>
      <c r="E104" s="14">
        <v>68.777180000000001</v>
      </c>
      <c r="F104" s="14">
        <v>67.91619</v>
      </c>
      <c r="G104" s="14">
        <v>24.90109</v>
      </c>
      <c r="H104" s="14">
        <v>22.269269999999999</v>
      </c>
      <c r="I104" s="14">
        <v>1.4083399999999999</v>
      </c>
      <c r="J104" s="14">
        <v>1.2234700000000001</v>
      </c>
      <c r="K104" s="14">
        <v>13.699909999999999</v>
      </c>
      <c r="L104" s="14">
        <v>0.92510000000000003</v>
      </c>
      <c r="M104" s="14">
        <v>0.43983</v>
      </c>
      <c r="N104" s="14">
        <v>2.9754299999999998</v>
      </c>
      <c r="O104" s="14">
        <v>0.17637</v>
      </c>
      <c r="P104" s="14">
        <v>0.86141000000000001</v>
      </c>
      <c r="Q104" s="14">
        <v>3.1642999999999999</v>
      </c>
      <c r="R104" s="14">
        <v>5.15747</v>
      </c>
      <c r="S104" s="14">
        <v>18.19145</v>
      </c>
      <c r="T104" s="14">
        <v>0.16617000000000001</v>
      </c>
      <c r="U104" s="14">
        <v>17.605029999999999</v>
      </c>
      <c r="V104" s="14">
        <v>9.1422899999999991</v>
      </c>
      <c r="W104" s="14">
        <v>2.5733100000000002</v>
      </c>
      <c r="X104" s="14">
        <v>5.8526899999999999</v>
      </c>
      <c r="Y104" s="14">
        <v>3.6740000000000002E-2</v>
      </c>
      <c r="Z104" s="14">
        <v>0</v>
      </c>
      <c r="AA104" s="14">
        <v>0.28994999999999999</v>
      </c>
      <c r="AB104" s="14">
        <v>0.12647</v>
      </c>
      <c r="AC104" s="14">
        <v>3.8300000000000001E-3</v>
      </c>
      <c r="AD104" s="14">
        <v>10.474690000000001</v>
      </c>
      <c r="AE104" s="14">
        <v>2.2071700000000001</v>
      </c>
      <c r="AF104" s="14">
        <v>6.7655700000000003</v>
      </c>
      <c r="AG104" s="14">
        <v>1.5019499999999999</v>
      </c>
      <c r="AH104" s="14">
        <v>0.64905000000000002</v>
      </c>
      <c r="AI104" s="14">
        <v>0.64905000000000002</v>
      </c>
      <c r="AJ104" s="14">
        <v>0</v>
      </c>
      <c r="AK104" s="14">
        <v>0.86099000000000003</v>
      </c>
      <c r="AL104" s="14">
        <v>0</v>
      </c>
      <c r="AM104" s="14">
        <v>0.86099000000000003</v>
      </c>
      <c r="AN104" s="14">
        <v>0</v>
      </c>
      <c r="AO104" s="14">
        <v>0.46676000000000001</v>
      </c>
      <c r="AP104" s="14">
        <v>0.41121000000000002</v>
      </c>
      <c r="AQ104" s="14">
        <v>5.5550000000000002E-2</v>
      </c>
      <c r="AR104" s="14">
        <v>0</v>
      </c>
      <c r="AS104" s="14">
        <v>17.557200000000002</v>
      </c>
      <c r="AT104" s="14">
        <v>10.965070000000001</v>
      </c>
      <c r="AU104" s="14">
        <v>4.7763499999999999</v>
      </c>
      <c r="AV104" s="14">
        <v>3.5048300000000001</v>
      </c>
      <c r="AW104" s="14">
        <v>0.86814000000000002</v>
      </c>
      <c r="AX104" s="14">
        <v>5.0819999999999997E-2</v>
      </c>
      <c r="AY104" s="14">
        <v>0.35256999999999999</v>
      </c>
      <c r="AZ104" s="14">
        <v>1.4287700000000001</v>
      </c>
      <c r="BA104" s="14">
        <v>1.0403800000000001</v>
      </c>
      <c r="BB104" s="14">
        <v>0</v>
      </c>
      <c r="BC104" s="14">
        <v>0</v>
      </c>
      <c r="BD104" s="14">
        <v>0</v>
      </c>
      <c r="BE104" s="14">
        <v>5.79E-3</v>
      </c>
      <c r="BF104" s="14">
        <v>0</v>
      </c>
      <c r="BG104" s="14">
        <v>7.3899999999999993E-2</v>
      </c>
      <c r="BH104" s="14">
        <v>7.7200000000000003E-3</v>
      </c>
      <c r="BI104" s="14">
        <v>0</v>
      </c>
      <c r="BJ104" s="14">
        <v>0.30098000000000003</v>
      </c>
      <c r="BK104" s="14">
        <v>4.0966300000000002</v>
      </c>
      <c r="BL104" s="14">
        <v>3.7488299999999999</v>
      </c>
      <c r="BM104" s="14">
        <v>0</v>
      </c>
      <c r="BN104" s="14">
        <v>0.33906999999999998</v>
      </c>
      <c r="BO104" s="14">
        <v>0</v>
      </c>
      <c r="BP104" s="14">
        <v>7.7400000000000004E-3</v>
      </c>
      <c r="BQ104" s="14">
        <v>1E-3</v>
      </c>
      <c r="BR104" s="14">
        <v>0</v>
      </c>
      <c r="BS104" s="14">
        <v>0.66332999999999998</v>
      </c>
      <c r="BT104" s="14">
        <v>5.7369999999999997E-2</v>
      </c>
      <c r="BU104" s="14">
        <v>3.7599999999999999E-3</v>
      </c>
      <c r="BV104" s="14">
        <v>0.60219</v>
      </c>
      <c r="BW104" s="14">
        <v>0</v>
      </c>
      <c r="BX104" s="14">
        <v>0</v>
      </c>
      <c r="BY104" s="14">
        <v>0</v>
      </c>
      <c r="BZ104" s="14">
        <v>0</v>
      </c>
      <c r="CA104" s="14">
        <v>0</v>
      </c>
      <c r="CB104" s="14">
        <v>0</v>
      </c>
      <c r="CC104" s="14">
        <v>0</v>
      </c>
      <c r="CD104" s="14">
        <v>0</v>
      </c>
      <c r="CE104" s="14">
        <v>0</v>
      </c>
      <c r="CF104" s="14">
        <v>0</v>
      </c>
      <c r="CG104" s="14">
        <v>0</v>
      </c>
      <c r="CH104" s="14">
        <v>0</v>
      </c>
      <c r="CI104" s="14">
        <v>0</v>
      </c>
      <c r="CJ104" s="14">
        <v>0</v>
      </c>
      <c r="CK104" s="14">
        <v>0</v>
      </c>
      <c r="CL104" s="14">
        <v>0.12542</v>
      </c>
      <c r="CM104" s="14">
        <v>0</v>
      </c>
      <c r="CN104" s="14">
        <v>0</v>
      </c>
      <c r="CO104" s="14">
        <v>0</v>
      </c>
      <c r="CP104" s="14">
        <v>0</v>
      </c>
      <c r="CQ104" s="14">
        <v>0</v>
      </c>
      <c r="CR104" s="14">
        <v>0</v>
      </c>
      <c r="CS104" s="14">
        <v>0</v>
      </c>
      <c r="CT104" s="14">
        <v>0</v>
      </c>
      <c r="CU104" s="14">
        <v>0</v>
      </c>
      <c r="CV104" s="14">
        <v>0</v>
      </c>
      <c r="CW104" s="14">
        <v>0</v>
      </c>
      <c r="CX104" s="14">
        <v>0</v>
      </c>
      <c r="CY104" s="14">
        <v>0</v>
      </c>
      <c r="CZ104" s="14">
        <v>0</v>
      </c>
      <c r="DA104" s="14">
        <v>0</v>
      </c>
      <c r="DB104" s="14">
        <v>0</v>
      </c>
      <c r="DC104" s="14">
        <v>0</v>
      </c>
      <c r="DD104" s="14">
        <v>0</v>
      </c>
      <c r="DE104" s="14">
        <v>0</v>
      </c>
      <c r="DF104" s="14">
        <v>0</v>
      </c>
      <c r="DG104" s="14">
        <v>0</v>
      </c>
      <c r="DH104" s="14">
        <v>0</v>
      </c>
      <c r="DI104" s="14">
        <v>0</v>
      </c>
      <c r="DJ104" s="14">
        <v>0</v>
      </c>
      <c r="DK104" s="14">
        <v>0</v>
      </c>
      <c r="DL104" s="14">
        <v>0</v>
      </c>
      <c r="DM104" s="14">
        <v>4.2790000000000002E-2</v>
      </c>
      <c r="DN104" s="14">
        <v>8.2629999999999995E-2</v>
      </c>
      <c r="DO104" s="14">
        <v>0</v>
      </c>
      <c r="DP104" s="14">
        <v>0</v>
      </c>
      <c r="DQ104" s="14">
        <v>-46.838630000000002</v>
      </c>
      <c r="DR104" s="14">
        <v>-28.28558</v>
      </c>
      <c r="DS104" s="14">
        <v>0</v>
      </c>
      <c r="DT104" s="14">
        <v>-26.552389999999999</v>
      </c>
      <c r="DU104" s="14">
        <v>-1.7331799999999999</v>
      </c>
      <c r="DV104" s="14">
        <v>-13.1577</v>
      </c>
      <c r="DW104" s="14">
        <v>0.17094999999999999</v>
      </c>
      <c r="DX104" s="14">
        <v>-4.2341800000000003</v>
      </c>
      <c r="DY104" s="14">
        <v>-8.9235199999999999</v>
      </c>
      <c r="DZ104" s="14">
        <v>-2.57375</v>
      </c>
      <c r="EA104" s="14">
        <v>3.3169999999999998E-2</v>
      </c>
      <c r="EB104" s="14">
        <v>-2.4965899999999999</v>
      </c>
      <c r="EC104" s="14">
        <v>-7.7160000000000006E-2</v>
      </c>
      <c r="ED104" s="14">
        <v>-0.40166000000000002</v>
      </c>
      <c r="EE104" s="14">
        <v>0</v>
      </c>
      <c r="EF104" s="14">
        <v>0</v>
      </c>
      <c r="EG104" s="14">
        <v>-0.40166000000000002</v>
      </c>
      <c r="EH104" s="14">
        <v>1.0306999999999999</v>
      </c>
      <c r="EI104" s="14">
        <v>0</v>
      </c>
      <c r="EJ104" s="14">
        <v>0</v>
      </c>
      <c r="EK104" s="14">
        <v>1.0306999999999999</v>
      </c>
      <c r="EL104" s="14">
        <v>-4.0629999999999999E-2</v>
      </c>
      <c r="EM104" s="14">
        <v>-4.0629999999999999E-2</v>
      </c>
      <c r="EN104" s="14">
        <v>0</v>
      </c>
      <c r="EO104" s="14">
        <v>0</v>
      </c>
      <c r="EP104" s="14">
        <v>-3.4100100000000002</v>
      </c>
      <c r="EQ104" s="14">
        <v>0</v>
      </c>
      <c r="ER104" s="14">
        <v>6.7499999999999999E-3</v>
      </c>
      <c r="ES104" s="14">
        <v>0</v>
      </c>
      <c r="ET104" s="14">
        <v>0</v>
      </c>
      <c r="EU104" s="14">
        <v>0</v>
      </c>
      <c r="EV104" s="14">
        <v>0</v>
      </c>
      <c r="EW104" s="14">
        <v>0</v>
      </c>
      <c r="EX104" s="14">
        <v>0</v>
      </c>
      <c r="EY104" s="14">
        <v>0</v>
      </c>
      <c r="EZ104" s="14">
        <v>6.7499999999999999E-3</v>
      </c>
      <c r="FA104" s="14">
        <v>6.7499999999999999E-3</v>
      </c>
      <c r="FB104" s="14">
        <v>0</v>
      </c>
      <c r="FC104" s="14">
        <v>0</v>
      </c>
      <c r="FD104" s="14">
        <v>0</v>
      </c>
      <c r="FE104" s="14">
        <v>0</v>
      </c>
      <c r="FF104" s="14">
        <v>0</v>
      </c>
      <c r="FG104" s="14">
        <v>0</v>
      </c>
      <c r="FH104" s="14">
        <v>0</v>
      </c>
      <c r="FI104" s="14">
        <v>0</v>
      </c>
      <c r="FJ104" s="14">
        <v>0</v>
      </c>
      <c r="FK104" s="14">
        <v>0</v>
      </c>
      <c r="FL104" s="14">
        <v>0</v>
      </c>
    </row>
    <row r="105" spans="1:168" ht="15" x14ac:dyDescent="0.25">
      <c r="A105" s="5" t="s">
        <v>199</v>
      </c>
      <c r="B105" s="5" t="s">
        <v>8</v>
      </c>
      <c r="C105" s="13">
        <v>0.94025999999999998</v>
      </c>
      <c r="D105" s="13">
        <v>0.94018000000000002</v>
      </c>
      <c r="E105" s="13">
        <v>0.37393999999999999</v>
      </c>
      <c r="F105" s="13">
        <v>4.3920000000000001E-2</v>
      </c>
      <c r="G105" s="13">
        <v>4.8999999999999998E-4</v>
      </c>
      <c r="H105" s="13">
        <v>4.2999999999999999E-4</v>
      </c>
      <c r="I105" s="13">
        <v>3.0000000000000001E-5</v>
      </c>
      <c r="J105" s="13">
        <v>3.0000000000000001E-5</v>
      </c>
      <c r="K105" s="13">
        <v>9.3999999999999997E-4</v>
      </c>
      <c r="L105" s="13">
        <v>2.0000000000000002E-5</v>
      </c>
      <c r="M105" s="13">
        <v>1.0000000000000001E-5</v>
      </c>
      <c r="N105" s="13">
        <v>9.0000000000000006E-5</v>
      </c>
      <c r="O105" s="13">
        <v>1.0000000000000001E-5</v>
      </c>
      <c r="P105" s="13">
        <v>6.0000000000000002E-5</v>
      </c>
      <c r="Q105" s="13">
        <v>3.8999999999999999E-4</v>
      </c>
      <c r="R105" s="13">
        <v>3.6999999999999999E-4</v>
      </c>
      <c r="S105" s="13">
        <v>1.3600000000000001E-3</v>
      </c>
      <c r="T105" s="13">
        <v>0</v>
      </c>
      <c r="U105" s="13">
        <v>1.32E-3</v>
      </c>
      <c r="V105" s="13">
        <v>8.1999999999999998E-4</v>
      </c>
      <c r="W105" s="13">
        <v>9.0000000000000006E-5</v>
      </c>
      <c r="X105" s="13">
        <v>2.9E-4</v>
      </c>
      <c r="Y105" s="13">
        <v>5.0000000000000002E-5</v>
      </c>
      <c r="Z105" s="13">
        <v>6.9999999999999994E-5</v>
      </c>
      <c r="AA105" s="13">
        <v>2.0000000000000002E-5</v>
      </c>
      <c r="AB105" s="13">
        <v>1.0000000000000001E-5</v>
      </c>
      <c r="AC105" s="13">
        <v>0</v>
      </c>
      <c r="AD105" s="13">
        <v>4.1110000000000001E-2</v>
      </c>
      <c r="AE105" s="13">
        <v>1.49E-3</v>
      </c>
      <c r="AF105" s="13">
        <v>3.9010000000000003E-2</v>
      </c>
      <c r="AG105" s="13">
        <v>6.0999999999999997E-4</v>
      </c>
      <c r="AH105" s="13">
        <v>3.0000000000000001E-5</v>
      </c>
      <c r="AI105" s="13">
        <v>3.0000000000000001E-5</v>
      </c>
      <c r="AJ105" s="13">
        <v>0</v>
      </c>
      <c r="AK105" s="13">
        <v>0.33001999999999998</v>
      </c>
      <c r="AL105" s="13">
        <v>0.22832</v>
      </c>
      <c r="AM105" s="13">
        <v>0.1017</v>
      </c>
      <c r="AN105" s="13">
        <v>0</v>
      </c>
      <c r="AO105" s="13">
        <v>3.0000000000000001E-5</v>
      </c>
      <c r="AP105" s="13">
        <v>3.0000000000000001E-5</v>
      </c>
      <c r="AQ105" s="13">
        <v>1.0000000000000001E-5</v>
      </c>
      <c r="AR105" s="13">
        <v>0</v>
      </c>
      <c r="AS105" s="13">
        <v>0</v>
      </c>
      <c r="AT105" s="13">
        <v>4.4000000000000002E-4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2.7E-4</v>
      </c>
      <c r="BA105" s="13">
        <v>0</v>
      </c>
      <c r="BB105" s="13">
        <v>0</v>
      </c>
      <c r="BC105" s="13">
        <v>0</v>
      </c>
      <c r="BD105" s="13">
        <v>0</v>
      </c>
      <c r="BE105" s="13">
        <v>2.4000000000000001E-4</v>
      </c>
      <c r="BF105" s="13">
        <v>0</v>
      </c>
      <c r="BG105" s="13">
        <v>0</v>
      </c>
      <c r="BH105" s="13">
        <v>3.0000000000000001E-5</v>
      </c>
      <c r="BI105" s="13">
        <v>0</v>
      </c>
      <c r="BJ105" s="13">
        <v>0</v>
      </c>
      <c r="BK105" s="13">
        <v>1.7000000000000001E-4</v>
      </c>
      <c r="BL105" s="13">
        <v>1.7000000000000001E-4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  <c r="CC105" s="13">
        <v>0</v>
      </c>
      <c r="CD105" s="13">
        <v>0</v>
      </c>
      <c r="CE105" s="13">
        <v>0</v>
      </c>
      <c r="CF105" s="13">
        <v>0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0.35311999999999999</v>
      </c>
      <c r="CM105" s="13">
        <v>0.31457000000000002</v>
      </c>
      <c r="CN105" s="13">
        <v>0.19566</v>
      </c>
      <c r="CO105" s="13">
        <v>9.5949999999999994E-2</v>
      </c>
      <c r="CP105" s="13">
        <v>5.8500000000000002E-3</v>
      </c>
      <c r="CQ105" s="13">
        <v>1.711E-2</v>
      </c>
      <c r="CR105" s="13">
        <v>2.648E-2</v>
      </c>
      <c r="CS105" s="13">
        <v>9.8300000000000002E-3</v>
      </c>
      <c r="CT105" s="13">
        <v>2.96E-3</v>
      </c>
      <c r="CU105" s="13">
        <v>1.078E-2</v>
      </c>
      <c r="CV105" s="13">
        <v>2.8999999999999998E-3</v>
      </c>
      <c r="CW105" s="13">
        <v>0</v>
      </c>
      <c r="CX105" s="13">
        <v>1.2800000000000001E-3</v>
      </c>
      <c r="CY105" s="13">
        <v>1.2800000000000001E-3</v>
      </c>
      <c r="CZ105" s="13">
        <v>0</v>
      </c>
      <c r="DA105" s="13">
        <v>0</v>
      </c>
      <c r="DB105" s="13">
        <v>0</v>
      </c>
      <c r="DC105" s="13">
        <v>0</v>
      </c>
      <c r="DD105" s="13">
        <v>0</v>
      </c>
      <c r="DE105" s="13">
        <v>0</v>
      </c>
      <c r="DF105" s="13">
        <v>0</v>
      </c>
      <c r="DG105" s="13">
        <v>1.0789999999999999E-2</v>
      </c>
      <c r="DH105" s="13">
        <v>1.0789999999999999E-2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0</v>
      </c>
      <c r="DQ105" s="13">
        <v>8.0000000000000007E-5</v>
      </c>
      <c r="DR105" s="13">
        <v>8.0000000000000007E-5</v>
      </c>
      <c r="DS105" s="13">
        <v>0</v>
      </c>
      <c r="DT105" s="13">
        <v>8.0000000000000007E-5</v>
      </c>
      <c r="DU105" s="13">
        <v>0</v>
      </c>
      <c r="DV105" s="13">
        <v>0</v>
      </c>
      <c r="DW105" s="13">
        <v>0</v>
      </c>
      <c r="DX105" s="13">
        <v>0</v>
      </c>
      <c r="DY105" s="13">
        <v>0</v>
      </c>
      <c r="DZ105" s="13">
        <v>0</v>
      </c>
      <c r="EA105" s="13">
        <v>0</v>
      </c>
      <c r="EB105" s="13">
        <v>0</v>
      </c>
      <c r="EC105" s="13">
        <v>0</v>
      </c>
      <c r="ED105" s="13">
        <v>0</v>
      </c>
      <c r="EE105" s="13">
        <v>0</v>
      </c>
      <c r="EF105" s="13">
        <v>0</v>
      </c>
      <c r="EG105" s="13">
        <v>0</v>
      </c>
      <c r="EH105" s="13">
        <v>0</v>
      </c>
      <c r="EI105" s="13">
        <v>0</v>
      </c>
      <c r="EJ105" s="13">
        <v>0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0</v>
      </c>
      <c r="EQ105" s="13">
        <v>0</v>
      </c>
      <c r="ER105" s="13">
        <v>0.21268999999999999</v>
      </c>
      <c r="ES105" s="13">
        <v>0.14738999999999999</v>
      </c>
      <c r="ET105" s="13">
        <v>7.1980000000000002E-2</v>
      </c>
      <c r="EU105" s="13">
        <v>7.5410000000000005E-2</v>
      </c>
      <c r="EV105" s="13">
        <v>0</v>
      </c>
      <c r="EW105" s="13">
        <v>2.2499999999999998E-3</v>
      </c>
      <c r="EX105" s="13">
        <v>1.3500000000000001E-3</v>
      </c>
      <c r="EY105" s="13">
        <v>8.9999999999999998E-4</v>
      </c>
      <c r="EZ105" s="13">
        <v>0</v>
      </c>
      <c r="FA105" s="13">
        <v>0</v>
      </c>
      <c r="FB105" s="13">
        <v>0</v>
      </c>
      <c r="FC105" s="13">
        <v>6.3039999999999999E-2</v>
      </c>
      <c r="FD105" s="13">
        <v>5.8250000000000003E-2</v>
      </c>
      <c r="FE105" s="13">
        <v>4.7999999999999996E-3</v>
      </c>
      <c r="FF105" s="13">
        <v>0</v>
      </c>
      <c r="FG105" s="13">
        <v>0</v>
      </c>
      <c r="FH105" s="13">
        <v>0</v>
      </c>
      <c r="FI105" s="13">
        <v>0</v>
      </c>
      <c r="FJ105" s="13">
        <v>0</v>
      </c>
      <c r="FK105" s="13">
        <v>0</v>
      </c>
      <c r="FL105" s="13">
        <v>0</v>
      </c>
    </row>
    <row r="106" spans="1:168" ht="15" x14ac:dyDescent="0.25">
      <c r="A106" s="5" t="s">
        <v>199</v>
      </c>
      <c r="B106" s="5" t="s">
        <v>9</v>
      </c>
      <c r="C106" s="14">
        <v>0.04</v>
      </c>
      <c r="D106" s="14">
        <v>3.9750000000000001E-2</v>
      </c>
      <c r="E106" s="14">
        <v>2.15E-3</v>
      </c>
      <c r="F106" s="14">
        <v>2.15E-3</v>
      </c>
      <c r="G106" s="14">
        <v>3.1E-4</v>
      </c>
      <c r="H106" s="14">
        <v>2.9999999999999997E-4</v>
      </c>
      <c r="I106" s="14">
        <v>0</v>
      </c>
      <c r="J106" s="14">
        <v>1.0000000000000001E-5</v>
      </c>
      <c r="K106" s="14">
        <v>1.2999999999999999E-4</v>
      </c>
      <c r="L106" s="14">
        <v>0</v>
      </c>
      <c r="M106" s="14">
        <v>0</v>
      </c>
      <c r="N106" s="14">
        <v>1.0000000000000001E-5</v>
      </c>
      <c r="O106" s="14">
        <v>0</v>
      </c>
      <c r="P106" s="14">
        <v>1.0000000000000001E-5</v>
      </c>
      <c r="Q106" s="14">
        <v>5.0000000000000002E-5</v>
      </c>
      <c r="R106" s="14">
        <v>5.0000000000000002E-5</v>
      </c>
      <c r="S106" s="14">
        <v>7.5000000000000002E-4</v>
      </c>
      <c r="T106" s="14">
        <v>0</v>
      </c>
      <c r="U106" s="14">
        <v>6.3000000000000003E-4</v>
      </c>
      <c r="V106" s="14">
        <v>2.9E-4</v>
      </c>
      <c r="W106" s="14">
        <v>8.0000000000000007E-5</v>
      </c>
      <c r="X106" s="14">
        <v>2.1000000000000001E-4</v>
      </c>
      <c r="Y106" s="14">
        <v>0</v>
      </c>
      <c r="Z106" s="14">
        <v>5.0000000000000002E-5</v>
      </c>
      <c r="AA106" s="14">
        <v>1.1E-4</v>
      </c>
      <c r="AB106" s="14">
        <v>0</v>
      </c>
      <c r="AC106" s="14">
        <v>0</v>
      </c>
      <c r="AD106" s="14">
        <v>9.6000000000000002E-4</v>
      </c>
      <c r="AE106" s="14">
        <v>2.0000000000000002E-5</v>
      </c>
      <c r="AF106" s="14">
        <v>5.1999999999999995E-4</v>
      </c>
      <c r="AG106" s="14">
        <v>4.2000000000000002E-4</v>
      </c>
      <c r="AH106" s="14">
        <v>1.0000000000000001E-5</v>
      </c>
      <c r="AI106" s="14">
        <v>1.0000000000000001E-5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2.0000000000000002E-5</v>
      </c>
      <c r="AP106" s="14">
        <v>1.0000000000000001E-5</v>
      </c>
      <c r="AQ106" s="14">
        <v>0</v>
      </c>
      <c r="AR106" s="14">
        <v>0</v>
      </c>
      <c r="AS106" s="14">
        <v>0</v>
      </c>
      <c r="AT106" s="14">
        <v>7.7999999999999999E-4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7.7999999999999999E-4</v>
      </c>
      <c r="BA106" s="14">
        <v>0</v>
      </c>
      <c r="BB106" s="14">
        <v>7.7999999999999999E-4</v>
      </c>
      <c r="BC106" s="14">
        <v>0</v>
      </c>
      <c r="BD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0</v>
      </c>
      <c r="BJ106" s="14">
        <v>0</v>
      </c>
      <c r="BK106" s="14">
        <v>0</v>
      </c>
      <c r="BL106" s="14">
        <v>0</v>
      </c>
      <c r="BM106" s="14">
        <v>0</v>
      </c>
      <c r="BN106" s="14">
        <v>0</v>
      </c>
      <c r="BO106" s="14">
        <v>0</v>
      </c>
      <c r="BP106" s="14">
        <v>0</v>
      </c>
      <c r="BQ106" s="14">
        <v>0</v>
      </c>
      <c r="BR106" s="14">
        <v>0</v>
      </c>
      <c r="BS106" s="14">
        <v>0</v>
      </c>
      <c r="BT106" s="14">
        <v>0</v>
      </c>
      <c r="BU106" s="14">
        <v>0</v>
      </c>
      <c r="BV106" s="14">
        <v>0</v>
      </c>
      <c r="BW106" s="14">
        <v>0</v>
      </c>
      <c r="BX106" s="14">
        <v>0</v>
      </c>
      <c r="BY106" s="14">
        <v>0</v>
      </c>
      <c r="BZ106" s="14">
        <v>0</v>
      </c>
      <c r="CA106" s="14">
        <v>0</v>
      </c>
      <c r="CB106" s="14">
        <v>0</v>
      </c>
      <c r="CC106" s="14">
        <v>0</v>
      </c>
      <c r="CD106" s="14">
        <v>0</v>
      </c>
      <c r="CE106" s="14">
        <v>0</v>
      </c>
      <c r="CF106" s="14">
        <v>0</v>
      </c>
      <c r="CG106" s="14">
        <v>0</v>
      </c>
      <c r="CH106" s="14">
        <v>0</v>
      </c>
      <c r="CI106" s="14">
        <v>0</v>
      </c>
      <c r="CJ106" s="14">
        <v>1.0000000000000001E-5</v>
      </c>
      <c r="CK106" s="14">
        <v>0</v>
      </c>
      <c r="CL106" s="14">
        <v>3.5279999999999999E-2</v>
      </c>
      <c r="CM106" s="14">
        <v>0</v>
      </c>
      <c r="CN106" s="14">
        <v>0</v>
      </c>
      <c r="CO106" s="14">
        <v>0</v>
      </c>
      <c r="CP106" s="14">
        <v>0</v>
      </c>
      <c r="CQ106" s="14">
        <v>0</v>
      </c>
      <c r="CR106" s="14">
        <v>3.1800000000000001E-3</v>
      </c>
      <c r="CS106" s="14">
        <v>5.1999999999999995E-4</v>
      </c>
      <c r="CT106" s="14">
        <v>6.2E-4</v>
      </c>
      <c r="CU106" s="14">
        <v>4.0000000000000002E-4</v>
      </c>
      <c r="CV106" s="14">
        <v>2.1000000000000001E-4</v>
      </c>
      <c r="CW106" s="14">
        <v>1.4400000000000001E-3</v>
      </c>
      <c r="CX106" s="14">
        <v>0</v>
      </c>
      <c r="CY106" s="14">
        <v>0</v>
      </c>
      <c r="CZ106" s="14">
        <v>0</v>
      </c>
      <c r="DA106" s="14">
        <v>0</v>
      </c>
      <c r="DB106" s="14">
        <v>0</v>
      </c>
      <c r="DC106" s="14">
        <v>3.177E-2</v>
      </c>
      <c r="DD106" s="14">
        <v>2.4309999999999998E-2</v>
      </c>
      <c r="DE106" s="14">
        <v>7.4599999999999996E-3</v>
      </c>
      <c r="DF106" s="14">
        <v>0</v>
      </c>
      <c r="DG106" s="14">
        <v>3.3E-4</v>
      </c>
      <c r="DH106" s="14">
        <v>3.3E-4</v>
      </c>
      <c r="DI106" s="14">
        <v>0</v>
      </c>
      <c r="DJ106" s="14">
        <v>0</v>
      </c>
      <c r="DK106" s="14">
        <v>0</v>
      </c>
      <c r="DL106" s="14">
        <v>0</v>
      </c>
      <c r="DM106" s="14">
        <v>0</v>
      </c>
      <c r="DN106" s="14">
        <v>0</v>
      </c>
      <c r="DO106" s="14">
        <v>0</v>
      </c>
      <c r="DP106" s="14">
        <v>0</v>
      </c>
      <c r="DQ106" s="14">
        <v>2.5000000000000001E-4</v>
      </c>
      <c r="DR106" s="14">
        <v>0</v>
      </c>
      <c r="DS106" s="14">
        <v>0</v>
      </c>
      <c r="DT106" s="14">
        <v>0</v>
      </c>
      <c r="DU106" s="14">
        <v>0</v>
      </c>
      <c r="DV106" s="14">
        <v>0</v>
      </c>
      <c r="DW106" s="14">
        <v>0</v>
      </c>
      <c r="DX106" s="14">
        <v>0</v>
      </c>
      <c r="DY106" s="14">
        <v>0</v>
      </c>
      <c r="DZ106" s="14">
        <v>2.2000000000000001E-4</v>
      </c>
      <c r="EA106" s="14">
        <v>0</v>
      </c>
      <c r="EB106" s="14">
        <v>1.0000000000000001E-5</v>
      </c>
      <c r="EC106" s="14">
        <v>2.2000000000000001E-4</v>
      </c>
      <c r="ED106" s="14">
        <v>0</v>
      </c>
      <c r="EE106" s="14">
        <v>0</v>
      </c>
      <c r="EF106" s="14">
        <v>0</v>
      </c>
      <c r="EG106" s="14">
        <v>0</v>
      </c>
      <c r="EH106" s="14">
        <v>2.0000000000000002E-5</v>
      </c>
      <c r="EI106" s="14">
        <v>0</v>
      </c>
      <c r="EJ106" s="14">
        <v>0</v>
      </c>
      <c r="EK106" s="14">
        <v>2.0000000000000002E-5</v>
      </c>
      <c r="EL106" s="14">
        <v>0</v>
      </c>
      <c r="EM106" s="14">
        <v>0</v>
      </c>
      <c r="EN106" s="14">
        <v>0</v>
      </c>
      <c r="EO106" s="14">
        <v>0</v>
      </c>
      <c r="EP106" s="14">
        <v>0</v>
      </c>
      <c r="EQ106" s="14">
        <v>0</v>
      </c>
      <c r="ER106" s="14">
        <v>1.5299999999999999E-3</v>
      </c>
      <c r="ES106" s="14">
        <v>0</v>
      </c>
      <c r="ET106" s="14">
        <v>0</v>
      </c>
      <c r="EU106" s="14">
        <v>0</v>
      </c>
      <c r="EV106" s="14">
        <v>0</v>
      </c>
      <c r="EW106" s="14">
        <v>8.0000000000000007E-5</v>
      </c>
      <c r="EX106" s="14">
        <v>8.0000000000000007E-5</v>
      </c>
      <c r="EY106" s="14">
        <v>0</v>
      </c>
      <c r="EZ106" s="14">
        <v>1.0000000000000001E-5</v>
      </c>
      <c r="FA106" s="14">
        <v>1.0000000000000001E-5</v>
      </c>
      <c r="FB106" s="14">
        <v>0</v>
      </c>
      <c r="FC106" s="14">
        <v>1.4499999999999999E-3</v>
      </c>
      <c r="FD106" s="14">
        <v>1.4499999999999999E-3</v>
      </c>
      <c r="FE106" s="14">
        <v>0</v>
      </c>
      <c r="FF106" s="14">
        <v>0</v>
      </c>
      <c r="FG106" s="14">
        <v>0</v>
      </c>
      <c r="FH106" s="14">
        <v>0</v>
      </c>
      <c r="FI106" s="14">
        <v>0</v>
      </c>
      <c r="FJ106" s="14">
        <v>0</v>
      </c>
      <c r="FK106" s="14">
        <v>0</v>
      </c>
      <c r="FL106" s="14">
        <v>0</v>
      </c>
    </row>
    <row r="107" spans="1:168" ht="15" x14ac:dyDescent="0.25">
      <c r="A107" s="5" t="s">
        <v>200</v>
      </c>
      <c r="B107" s="5" t="s">
        <v>6</v>
      </c>
      <c r="C107" s="13">
        <v>18.477329999999998</v>
      </c>
      <c r="D107" s="13">
        <v>17.655560000000001</v>
      </c>
      <c r="E107" s="13">
        <v>14.26867</v>
      </c>
      <c r="F107" s="13">
        <v>13.847910000000001</v>
      </c>
      <c r="G107" s="13">
        <v>4.8079499999999999</v>
      </c>
      <c r="H107" s="13">
        <v>4.8078599999999998</v>
      </c>
      <c r="I107" s="13">
        <v>0</v>
      </c>
      <c r="J107" s="13">
        <v>9.0000000000000006E-5</v>
      </c>
      <c r="K107" s="13">
        <v>1.8261499999999999</v>
      </c>
      <c r="L107" s="13">
        <v>0.21367</v>
      </c>
      <c r="M107" s="13">
        <v>0.12612000000000001</v>
      </c>
      <c r="N107" s="13">
        <v>6.6500000000000004E-2</v>
      </c>
      <c r="O107" s="13">
        <v>0.31536999999999998</v>
      </c>
      <c r="P107" s="13">
        <v>0.11138000000000001</v>
      </c>
      <c r="Q107" s="13">
        <v>0.47354000000000002</v>
      </c>
      <c r="R107" s="13">
        <v>0.51956999999999998</v>
      </c>
      <c r="S107" s="13">
        <v>5.8348199999999997</v>
      </c>
      <c r="T107" s="13">
        <v>2.0100000000000001E-3</v>
      </c>
      <c r="U107" s="13">
        <v>5.8029099999999998</v>
      </c>
      <c r="V107" s="13">
        <v>3.74979</v>
      </c>
      <c r="W107" s="13">
        <v>0.49036999999999997</v>
      </c>
      <c r="X107" s="13">
        <v>1.5356099999999999</v>
      </c>
      <c r="Y107" s="13">
        <v>2.7140000000000001E-2</v>
      </c>
      <c r="Z107" s="13">
        <v>0</v>
      </c>
      <c r="AA107" s="13">
        <v>2.904E-2</v>
      </c>
      <c r="AB107" s="13">
        <v>5.0000000000000002E-5</v>
      </c>
      <c r="AC107" s="13">
        <v>8.1999999999999998E-4</v>
      </c>
      <c r="AD107" s="13">
        <v>1.3750800000000001</v>
      </c>
      <c r="AE107" s="13">
        <v>0.33295999999999998</v>
      </c>
      <c r="AF107" s="13">
        <v>0.80235999999999996</v>
      </c>
      <c r="AG107" s="13">
        <v>0.23976</v>
      </c>
      <c r="AH107" s="13">
        <v>3.9100000000000003E-3</v>
      </c>
      <c r="AI107" s="13">
        <v>0</v>
      </c>
      <c r="AJ107" s="13">
        <v>3.9100000000000003E-3</v>
      </c>
      <c r="AK107" s="13">
        <v>0.42076000000000002</v>
      </c>
      <c r="AL107" s="13">
        <v>0.37702000000000002</v>
      </c>
      <c r="AM107" s="13">
        <v>4.3740000000000001E-2</v>
      </c>
      <c r="AN107" s="13">
        <v>0</v>
      </c>
      <c r="AO107" s="13">
        <v>0.83613000000000004</v>
      </c>
      <c r="AP107" s="13">
        <v>0.1022</v>
      </c>
      <c r="AQ107" s="13">
        <v>0.73392999999999997</v>
      </c>
      <c r="AR107" s="13">
        <v>5.5000000000000003E-4</v>
      </c>
      <c r="AS107" s="13">
        <v>3.0387599999999999</v>
      </c>
      <c r="AT107" s="13">
        <v>1.1962299999999999</v>
      </c>
      <c r="AU107" s="13">
        <v>0.54049000000000003</v>
      </c>
      <c r="AV107" s="13">
        <v>0.45007999999999998</v>
      </c>
      <c r="AW107" s="13">
        <v>6.1210000000000001E-2</v>
      </c>
      <c r="AX107" s="13">
        <v>1.1860000000000001E-2</v>
      </c>
      <c r="AY107" s="13">
        <v>1.7340000000000001E-2</v>
      </c>
      <c r="AZ107" s="13">
        <v>5.815E-2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4.4970000000000003E-2</v>
      </c>
      <c r="BG107" s="13">
        <v>0</v>
      </c>
      <c r="BH107" s="13">
        <v>0</v>
      </c>
      <c r="BI107" s="13">
        <v>0</v>
      </c>
      <c r="BJ107" s="13">
        <v>1.3169999999999999E-2</v>
      </c>
      <c r="BK107" s="13">
        <v>0.2162</v>
      </c>
      <c r="BL107" s="13">
        <v>5.985E-2</v>
      </c>
      <c r="BM107" s="13">
        <v>0</v>
      </c>
      <c r="BN107" s="13">
        <v>0.14696999999999999</v>
      </c>
      <c r="BO107" s="13">
        <v>0</v>
      </c>
      <c r="BP107" s="13">
        <v>6.7499999999999999E-3</v>
      </c>
      <c r="BQ107" s="13">
        <v>2.6199999999999999E-3</v>
      </c>
      <c r="BR107" s="13">
        <v>0</v>
      </c>
      <c r="BS107" s="13">
        <v>3.3779999999999998E-2</v>
      </c>
      <c r="BT107" s="13">
        <v>2.3269999999999999E-2</v>
      </c>
      <c r="BU107" s="13">
        <v>4.3400000000000001E-3</v>
      </c>
      <c r="BV107" s="13">
        <v>6.1700000000000001E-3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  <c r="CC107" s="13">
        <v>0.30460999999999999</v>
      </c>
      <c r="CD107" s="13">
        <v>0.29799999999999999</v>
      </c>
      <c r="CE107" s="13">
        <v>1.41E-3</v>
      </c>
      <c r="CF107" s="13">
        <v>4.8000000000000001E-4</v>
      </c>
      <c r="CG107" s="13">
        <v>4.7200000000000002E-3</v>
      </c>
      <c r="CH107" s="13">
        <v>0</v>
      </c>
      <c r="CI107" s="13">
        <v>0</v>
      </c>
      <c r="CJ107" s="13">
        <v>4.2999999999999997E-2</v>
      </c>
      <c r="CK107" s="13">
        <v>0</v>
      </c>
      <c r="CL107" s="13">
        <v>1.70842</v>
      </c>
      <c r="CM107" s="13">
        <v>1.0234399999999999</v>
      </c>
      <c r="CN107" s="13">
        <v>0.96904000000000001</v>
      </c>
      <c r="CO107" s="13">
        <v>2.768E-2</v>
      </c>
      <c r="CP107" s="13">
        <v>1.0880000000000001E-2</v>
      </c>
      <c r="CQ107" s="13">
        <v>1.583E-2</v>
      </c>
      <c r="CR107" s="13">
        <v>0.2737</v>
      </c>
      <c r="CS107" s="13">
        <v>0.19350999999999999</v>
      </c>
      <c r="CT107" s="13">
        <v>1.74E-3</v>
      </c>
      <c r="CU107" s="13">
        <v>3.1669999999999997E-2</v>
      </c>
      <c r="CV107" s="13">
        <v>2.155E-2</v>
      </c>
      <c r="CW107" s="13">
        <v>2.5229999999999999E-2</v>
      </c>
      <c r="CX107" s="13">
        <v>0</v>
      </c>
      <c r="CY107" s="13">
        <v>0</v>
      </c>
      <c r="CZ107" s="13">
        <v>0</v>
      </c>
      <c r="DA107" s="13">
        <v>0</v>
      </c>
      <c r="DB107" s="13">
        <v>0</v>
      </c>
      <c r="DC107" s="13">
        <v>0.38491999999999998</v>
      </c>
      <c r="DD107" s="13">
        <v>0.28260999999999997</v>
      </c>
      <c r="DE107" s="13">
        <v>0.10231</v>
      </c>
      <c r="DF107" s="13">
        <v>0</v>
      </c>
      <c r="DG107" s="13">
        <v>0</v>
      </c>
      <c r="DH107" s="13">
        <v>0</v>
      </c>
      <c r="DI107" s="13">
        <v>0</v>
      </c>
      <c r="DJ107" s="13">
        <v>0</v>
      </c>
      <c r="DK107" s="13">
        <v>0</v>
      </c>
      <c r="DL107" s="13">
        <v>0</v>
      </c>
      <c r="DM107" s="13">
        <v>1.163E-2</v>
      </c>
      <c r="DN107" s="13">
        <v>1.052E-2</v>
      </c>
      <c r="DO107" s="13">
        <v>4.2100000000000002E-3</v>
      </c>
      <c r="DP107" s="13">
        <v>0</v>
      </c>
      <c r="DQ107" s="13">
        <v>0.82177</v>
      </c>
      <c r="DR107" s="13">
        <v>0.96750999999999998</v>
      </c>
      <c r="DS107" s="13">
        <v>0</v>
      </c>
      <c r="DT107" s="13">
        <v>1.4453400000000001</v>
      </c>
      <c r="DU107" s="13">
        <v>-0.47782999999999998</v>
      </c>
      <c r="DV107" s="13">
        <v>0.13550999999999999</v>
      </c>
      <c r="DW107" s="13">
        <v>0</v>
      </c>
      <c r="DX107" s="13">
        <v>7.4690000000000006E-2</v>
      </c>
      <c r="DY107" s="13">
        <v>6.0830000000000002E-2</v>
      </c>
      <c r="DZ107" s="13">
        <v>-0.43457000000000001</v>
      </c>
      <c r="EA107" s="13">
        <v>0</v>
      </c>
      <c r="EB107" s="13">
        <v>-0.44296999999999997</v>
      </c>
      <c r="EC107" s="13">
        <v>8.3999999999999995E-3</v>
      </c>
      <c r="ED107" s="13">
        <v>3.8240000000000003E-2</v>
      </c>
      <c r="EE107" s="13">
        <v>0</v>
      </c>
      <c r="EF107" s="13">
        <v>0</v>
      </c>
      <c r="EG107" s="13">
        <v>3.8240000000000003E-2</v>
      </c>
      <c r="EH107" s="13">
        <v>0.23702000000000001</v>
      </c>
      <c r="EI107" s="13">
        <v>0</v>
      </c>
      <c r="EJ107" s="13">
        <v>-9.1749999999999998E-2</v>
      </c>
      <c r="EK107" s="13">
        <v>0.32877000000000001</v>
      </c>
      <c r="EL107" s="13">
        <v>3.9899999999999996E-3</v>
      </c>
      <c r="EM107" s="13">
        <v>3.9899999999999996E-3</v>
      </c>
      <c r="EN107" s="13">
        <v>2.9E-4</v>
      </c>
      <c r="EO107" s="13">
        <v>0</v>
      </c>
      <c r="EP107" s="13">
        <v>-0.12592</v>
      </c>
      <c r="EQ107" s="13">
        <v>0</v>
      </c>
      <c r="ER107" s="13">
        <v>0.48224</v>
      </c>
      <c r="ES107" s="13">
        <v>0.2621</v>
      </c>
      <c r="ET107" s="13">
        <v>0.2621</v>
      </c>
      <c r="EU107" s="13">
        <v>0</v>
      </c>
      <c r="EV107" s="13">
        <v>0</v>
      </c>
      <c r="EW107" s="13">
        <v>1.8679999999999999E-2</v>
      </c>
      <c r="EX107" s="13">
        <v>1.8679999999999999E-2</v>
      </c>
      <c r="EY107" s="13">
        <v>0</v>
      </c>
      <c r="EZ107" s="13">
        <v>2.0750000000000001E-2</v>
      </c>
      <c r="FA107" s="13">
        <v>2.0750000000000001E-2</v>
      </c>
      <c r="FB107" s="13">
        <v>0</v>
      </c>
      <c r="FC107" s="13">
        <v>0.18071999999999999</v>
      </c>
      <c r="FD107" s="13">
        <v>0.17372000000000001</v>
      </c>
      <c r="FE107" s="13">
        <v>7.0000000000000001E-3</v>
      </c>
      <c r="FF107" s="13">
        <v>0</v>
      </c>
      <c r="FG107" s="13">
        <v>0</v>
      </c>
      <c r="FH107" s="13">
        <v>3.2489400000000002</v>
      </c>
      <c r="FI107" s="13">
        <v>0</v>
      </c>
      <c r="FJ107" s="13">
        <v>0</v>
      </c>
      <c r="FK107" s="13">
        <v>0</v>
      </c>
      <c r="FL107" s="13">
        <v>0</v>
      </c>
    </row>
    <row r="108" spans="1:168" ht="15" x14ac:dyDescent="0.25">
      <c r="A108" s="5" t="s">
        <v>200</v>
      </c>
      <c r="B108" s="5" t="s">
        <v>7</v>
      </c>
      <c r="C108" s="14">
        <v>15.348610000000001</v>
      </c>
      <c r="D108" s="14">
        <v>14.56335</v>
      </c>
      <c r="E108" s="14">
        <v>13.68172</v>
      </c>
      <c r="F108" s="14">
        <v>13.55077</v>
      </c>
      <c r="G108" s="14">
        <v>4.7842399999999996</v>
      </c>
      <c r="H108" s="14">
        <v>4.7841399999999998</v>
      </c>
      <c r="I108" s="14">
        <v>0</v>
      </c>
      <c r="J108" s="14">
        <v>9.0000000000000006E-5</v>
      </c>
      <c r="K108" s="14">
        <v>1.8043</v>
      </c>
      <c r="L108" s="14">
        <v>0.21329999999999999</v>
      </c>
      <c r="M108" s="14">
        <v>0.12595999999999999</v>
      </c>
      <c r="N108" s="14">
        <v>6.497E-2</v>
      </c>
      <c r="O108" s="14">
        <v>0.31347999999999998</v>
      </c>
      <c r="P108" s="14">
        <v>0.1111</v>
      </c>
      <c r="Q108" s="14">
        <v>0.46883000000000002</v>
      </c>
      <c r="R108" s="14">
        <v>0.50666</v>
      </c>
      <c r="S108" s="14">
        <v>5.7709299999999999</v>
      </c>
      <c r="T108" s="14">
        <v>1.99E-3</v>
      </c>
      <c r="U108" s="14">
        <v>5.7417199999999999</v>
      </c>
      <c r="V108" s="14">
        <v>3.7167300000000001</v>
      </c>
      <c r="W108" s="14">
        <v>0.48685</v>
      </c>
      <c r="X108" s="14">
        <v>1.5116000000000001</v>
      </c>
      <c r="Y108" s="14">
        <v>2.6540000000000001E-2</v>
      </c>
      <c r="Z108" s="14">
        <v>0</v>
      </c>
      <c r="AA108" s="14">
        <v>2.6349999999999998E-2</v>
      </c>
      <c r="AB108" s="14">
        <v>5.0000000000000002E-5</v>
      </c>
      <c r="AC108" s="14">
        <v>8.1999999999999998E-4</v>
      </c>
      <c r="AD108" s="14">
        <v>1.1874199999999999</v>
      </c>
      <c r="AE108" s="14">
        <v>0.33130999999999999</v>
      </c>
      <c r="AF108" s="14">
        <v>0.63809000000000005</v>
      </c>
      <c r="AG108" s="14">
        <v>0.21803</v>
      </c>
      <c r="AH108" s="14">
        <v>3.8800000000000002E-3</v>
      </c>
      <c r="AI108" s="14">
        <v>0</v>
      </c>
      <c r="AJ108" s="14">
        <v>3.8800000000000002E-3</v>
      </c>
      <c r="AK108" s="14">
        <v>0.13095000000000001</v>
      </c>
      <c r="AL108" s="14">
        <v>0.1308</v>
      </c>
      <c r="AM108" s="14">
        <v>1.4999999999999999E-4</v>
      </c>
      <c r="AN108" s="14">
        <v>0</v>
      </c>
      <c r="AO108" s="14">
        <v>0.82850999999999997</v>
      </c>
      <c r="AP108" s="14">
        <v>0.10143000000000001</v>
      </c>
      <c r="AQ108" s="14">
        <v>0.72707999999999995</v>
      </c>
      <c r="AR108" s="14">
        <v>5.5000000000000003E-4</v>
      </c>
      <c r="AS108" s="14">
        <v>3.0387599999999999</v>
      </c>
      <c r="AT108" s="14">
        <v>0.83460000000000001</v>
      </c>
      <c r="AU108" s="14">
        <v>0.54049000000000003</v>
      </c>
      <c r="AV108" s="14">
        <v>0.45007999999999998</v>
      </c>
      <c r="AW108" s="14">
        <v>6.1210000000000001E-2</v>
      </c>
      <c r="AX108" s="14">
        <v>1.1860000000000001E-2</v>
      </c>
      <c r="AY108" s="14">
        <v>1.7340000000000001E-2</v>
      </c>
      <c r="AZ108" s="14">
        <v>5.815E-2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4.4970000000000003E-2</v>
      </c>
      <c r="BG108" s="14">
        <v>0</v>
      </c>
      <c r="BH108" s="14">
        <v>0</v>
      </c>
      <c r="BI108" s="14">
        <v>0</v>
      </c>
      <c r="BJ108" s="14">
        <v>1.3169999999999999E-2</v>
      </c>
      <c r="BK108" s="14">
        <v>0.20218</v>
      </c>
      <c r="BL108" s="14">
        <v>5.985E-2</v>
      </c>
      <c r="BM108" s="14">
        <v>0</v>
      </c>
      <c r="BN108" s="14">
        <v>0.13295000000000001</v>
      </c>
      <c r="BO108" s="14">
        <v>0</v>
      </c>
      <c r="BP108" s="14">
        <v>6.7499999999999999E-3</v>
      </c>
      <c r="BQ108" s="14">
        <v>2.6199999999999999E-3</v>
      </c>
      <c r="BR108" s="14">
        <v>0</v>
      </c>
      <c r="BS108" s="14">
        <v>3.3779999999999998E-2</v>
      </c>
      <c r="BT108" s="14">
        <v>2.3269999999999999E-2</v>
      </c>
      <c r="BU108" s="14">
        <v>4.3400000000000001E-3</v>
      </c>
      <c r="BV108" s="14">
        <v>6.1700000000000001E-3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14">
        <v>2.6360000000000001E-2</v>
      </c>
      <c r="CM108" s="14">
        <v>0</v>
      </c>
      <c r="CN108" s="14">
        <v>0</v>
      </c>
      <c r="CO108" s="14">
        <v>0</v>
      </c>
      <c r="CP108" s="14">
        <v>0</v>
      </c>
      <c r="CQ108" s="14">
        <v>0</v>
      </c>
      <c r="CR108" s="14">
        <v>0</v>
      </c>
      <c r="CS108" s="14">
        <v>0</v>
      </c>
      <c r="CT108" s="14">
        <v>0</v>
      </c>
      <c r="CU108" s="14">
        <v>0</v>
      </c>
      <c r="CV108" s="14">
        <v>0</v>
      </c>
      <c r="CW108" s="14">
        <v>0</v>
      </c>
      <c r="CX108" s="14">
        <v>0</v>
      </c>
      <c r="CY108" s="14">
        <v>0</v>
      </c>
      <c r="CZ108" s="14">
        <v>0</v>
      </c>
      <c r="DA108" s="14">
        <v>0</v>
      </c>
      <c r="DB108" s="14">
        <v>0</v>
      </c>
      <c r="DC108" s="14">
        <v>0</v>
      </c>
      <c r="DD108" s="14">
        <v>0</v>
      </c>
      <c r="DE108" s="14">
        <v>0</v>
      </c>
      <c r="DF108" s="14">
        <v>0</v>
      </c>
      <c r="DG108" s="14">
        <v>0</v>
      </c>
      <c r="DH108" s="14">
        <v>0</v>
      </c>
      <c r="DI108" s="14">
        <v>0</v>
      </c>
      <c r="DJ108" s="14">
        <v>0</v>
      </c>
      <c r="DK108" s="14">
        <v>0</v>
      </c>
      <c r="DL108" s="14">
        <v>0</v>
      </c>
      <c r="DM108" s="14">
        <v>1.163E-2</v>
      </c>
      <c r="DN108" s="14">
        <v>1.052E-2</v>
      </c>
      <c r="DO108" s="14">
        <v>4.2100000000000002E-3</v>
      </c>
      <c r="DP108" s="14">
        <v>0</v>
      </c>
      <c r="DQ108" s="14">
        <v>0.78525999999999996</v>
      </c>
      <c r="DR108" s="14">
        <v>0.96743000000000001</v>
      </c>
      <c r="DS108" s="14">
        <v>0</v>
      </c>
      <c r="DT108" s="14">
        <v>1.4452700000000001</v>
      </c>
      <c r="DU108" s="14">
        <v>-0.47782999999999998</v>
      </c>
      <c r="DV108" s="14">
        <v>0.12956000000000001</v>
      </c>
      <c r="DW108" s="14">
        <v>0</v>
      </c>
      <c r="DX108" s="14">
        <v>7.4690000000000006E-2</v>
      </c>
      <c r="DY108" s="14">
        <v>5.4870000000000002E-2</v>
      </c>
      <c r="DZ108" s="14">
        <v>-0.43772</v>
      </c>
      <c r="EA108" s="14">
        <v>0</v>
      </c>
      <c r="EB108" s="14">
        <v>-0.4451</v>
      </c>
      <c r="EC108" s="14">
        <v>7.3699999999999998E-3</v>
      </c>
      <c r="ED108" s="14">
        <v>3.687E-2</v>
      </c>
      <c r="EE108" s="14">
        <v>0</v>
      </c>
      <c r="EF108" s="14">
        <v>0</v>
      </c>
      <c r="EG108" s="14">
        <v>3.687E-2</v>
      </c>
      <c r="EH108" s="14">
        <v>0.21142</v>
      </c>
      <c r="EI108" s="14">
        <v>0</v>
      </c>
      <c r="EJ108" s="14">
        <v>-9.1749999999999998E-2</v>
      </c>
      <c r="EK108" s="14">
        <v>0.30317</v>
      </c>
      <c r="EL108" s="14">
        <v>3.63E-3</v>
      </c>
      <c r="EM108" s="14">
        <v>3.63E-3</v>
      </c>
      <c r="EN108" s="14">
        <v>0</v>
      </c>
      <c r="EO108" s="14">
        <v>0</v>
      </c>
      <c r="EP108" s="14">
        <v>-0.12592</v>
      </c>
      <c r="EQ108" s="14">
        <v>0</v>
      </c>
      <c r="ER108" s="14">
        <v>2.0670000000000001E-2</v>
      </c>
      <c r="ES108" s="14">
        <v>0</v>
      </c>
      <c r="ET108" s="14">
        <v>0</v>
      </c>
      <c r="EU108" s="14">
        <v>0</v>
      </c>
      <c r="EV108" s="14">
        <v>0</v>
      </c>
      <c r="EW108" s="14">
        <v>0</v>
      </c>
      <c r="EX108" s="14">
        <v>0</v>
      </c>
      <c r="EY108" s="14">
        <v>0</v>
      </c>
      <c r="EZ108" s="14">
        <v>2.0670000000000001E-2</v>
      </c>
      <c r="FA108" s="14">
        <v>2.0670000000000001E-2</v>
      </c>
      <c r="FB108" s="14">
        <v>0</v>
      </c>
      <c r="FC108" s="14">
        <v>0</v>
      </c>
      <c r="FD108" s="14">
        <v>0</v>
      </c>
      <c r="FE108" s="14">
        <v>0</v>
      </c>
      <c r="FF108" s="14">
        <v>0</v>
      </c>
      <c r="FG108" s="14">
        <v>0</v>
      </c>
      <c r="FH108" s="14">
        <v>3.2489400000000002</v>
      </c>
      <c r="FI108" s="14">
        <v>0</v>
      </c>
      <c r="FJ108" s="14">
        <v>0</v>
      </c>
      <c r="FK108" s="14">
        <v>0</v>
      </c>
      <c r="FL108" s="14">
        <v>0</v>
      </c>
    </row>
    <row r="109" spans="1:168" ht="15" x14ac:dyDescent="0.25">
      <c r="A109" s="5" t="s">
        <v>200</v>
      </c>
      <c r="B109" s="5" t="s">
        <v>8</v>
      </c>
      <c r="C109" s="13">
        <v>7.5270000000000004E-2</v>
      </c>
      <c r="D109" s="13">
        <v>7.5270000000000004E-2</v>
      </c>
      <c r="E109" s="13">
        <v>1.6060000000000001E-2</v>
      </c>
      <c r="F109" s="13">
        <v>5.7099999999999998E-3</v>
      </c>
      <c r="G109" s="13">
        <v>1.2E-4</v>
      </c>
      <c r="H109" s="13">
        <v>1.2E-4</v>
      </c>
      <c r="I109" s="13">
        <v>0</v>
      </c>
      <c r="J109" s="13">
        <v>0</v>
      </c>
      <c r="K109" s="13">
        <v>2.2000000000000001E-4</v>
      </c>
      <c r="L109" s="13">
        <v>1.0000000000000001E-5</v>
      </c>
      <c r="M109" s="13">
        <v>0</v>
      </c>
      <c r="N109" s="13">
        <v>2.0000000000000002E-5</v>
      </c>
      <c r="O109" s="13">
        <v>3.0000000000000001E-5</v>
      </c>
      <c r="P109" s="13">
        <v>0</v>
      </c>
      <c r="Q109" s="13">
        <v>6.9999999999999994E-5</v>
      </c>
      <c r="R109" s="13">
        <v>8.0000000000000007E-5</v>
      </c>
      <c r="S109" s="13">
        <v>1.9000000000000001E-4</v>
      </c>
      <c r="T109" s="13">
        <v>0</v>
      </c>
      <c r="U109" s="13">
        <v>1.8000000000000001E-4</v>
      </c>
      <c r="V109" s="13">
        <v>1.3999999999999999E-4</v>
      </c>
      <c r="W109" s="13">
        <v>0</v>
      </c>
      <c r="X109" s="13">
        <v>2.0000000000000002E-5</v>
      </c>
      <c r="Y109" s="13">
        <v>2.0000000000000002E-5</v>
      </c>
      <c r="Z109" s="13">
        <v>0</v>
      </c>
      <c r="AA109" s="13">
        <v>0</v>
      </c>
      <c r="AB109" s="13">
        <v>0</v>
      </c>
      <c r="AC109" s="13">
        <v>0</v>
      </c>
      <c r="AD109" s="13">
        <v>5.1900000000000002E-3</v>
      </c>
      <c r="AE109" s="13">
        <v>4.0000000000000003E-5</v>
      </c>
      <c r="AF109" s="13">
        <v>5.1200000000000004E-3</v>
      </c>
      <c r="AG109" s="13">
        <v>3.0000000000000001E-5</v>
      </c>
      <c r="AH109" s="13">
        <v>0</v>
      </c>
      <c r="AI109" s="13">
        <v>0</v>
      </c>
      <c r="AJ109" s="13">
        <v>0</v>
      </c>
      <c r="AK109" s="13">
        <v>1.035E-2</v>
      </c>
      <c r="AL109" s="13">
        <v>8.7899999999999992E-3</v>
      </c>
      <c r="AM109" s="13">
        <v>1.56E-3</v>
      </c>
      <c r="AN109" s="13">
        <v>0</v>
      </c>
      <c r="AO109" s="13">
        <v>6.9999999999999994E-5</v>
      </c>
      <c r="AP109" s="13">
        <v>0</v>
      </c>
      <c r="AQ109" s="13">
        <v>6.9999999999999994E-5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0</v>
      </c>
      <c r="BO109" s="13">
        <v>0</v>
      </c>
      <c r="BP109" s="13">
        <v>0</v>
      </c>
      <c r="BQ109" s="13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0</v>
      </c>
      <c r="BZ109" s="13">
        <v>0</v>
      </c>
      <c r="CA109" s="13">
        <v>0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3">
        <v>0</v>
      </c>
      <c r="CH109" s="13">
        <v>0</v>
      </c>
      <c r="CI109" s="13">
        <v>0</v>
      </c>
      <c r="CJ109" s="13">
        <v>0</v>
      </c>
      <c r="CK109" s="13">
        <v>0</v>
      </c>
      <c r="CL109" s="13">
        <v>4.4159999999999998E-2</v>
      </c>
      <c r="CM109" s="13">
        <v>3.6549999999999999E-2</v>
      </c>
      <c r="CN109" s="13">
        <v>3.4610000000000002E-2</v>
      </c>
      <c r="CO109" s="13">
        <v>9.8999999999999999E-4</v>
      </c>
      <c r="CP109" s="13">
        <v>3.8999999999999999E-4</v>
      </c>
      <c r="CQ109" s="13">
        <v>5.6999999999999998E-4</v>
      </c>
      <c r="CR109" s="13">
        <v>7.6099999999999996E-3</v>
      </c>
      <c r="CS109" s="13">
        <v>5.8900000000000003E-3</v>
      </c>
      <c r="CT109" s="13">
        <v>2.0000000000000002E-5</v>
      </c>
      <c r="CU109" s="13">
        <v>1.06E-3</v>
      </c>
      <c r="CV109" s="13">
        <v>6.4000000000000005E-4</v>
      </c>
      <c r="CW109" s="13">
        <v>0</v>
      </c>
      <c r="CX109" s="13">
        <v>0</v>
      </c>
      <c r="CY109" s="13">
        <v>0</v>
      </c>
      <c r="CZ109" s="13">
        <v>0</v>
      </c>
      <c r="DA109" s="13">
        <v>0</v>
      </c>
      <c r="DB109" s="13">
        <v>0</v>
      </c>
      <c r="DC109" s="13">
        <v>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0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>
        <v>0</v>
      </c>
      <c r="EG109" s="13">
        <v>0</v>
      </c>
      <c r="EH109" s="13">
        <v>0</v>
      </c>
      <c r="EI109" s="13">
        <v>0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0</v>
      </c>
      <c r="EQ109" s="13">
        <v>0</v>
      </c>
      <c r="ER109" s="13">
        <v>1.504E-2</v>
      </c>
      <c r="ES109" s="13">
        <v>9.3600000000000003E-3</v>
      </c>
      <c r="ET109" s="13">
        <v>9.3600000000000003E-3</v>
      </c>
      <c r="EU109" s="13">
        <v>0</v>
      </c>
      <c r="EV109" s="13">
        <v>0</v>
      </c>
      <c r="EW109" s="13">
        <v>4.2999999999999999E-4</v>
      </c>
      <c r="EX109" s="13">
        <v>4.2999999999999999E-4</v>
      </c>
      <c r="EY109" s="13">
        <v>0</v>
      </c>
      <c r="EZ109" s="13">
        <v>0</v>
      </c>
      <c r="FA109" s="13">
        <v>0</v>
      </c>
      <c r="FB109" s="13">
        <v>0</v>
      </c>
      <c r="FC109" s="13">
        <v>5.2599999999999999E-3</v>
      </c>
      <c r="FD109" s="13">
        <v>5.0099999999999997E-3</v>
      </c>
      <c r="FE109" s="13">
        <v>2.5000000000000001E-4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</row>
    <row r="110" spans="1:168" ht="15" x14ac:dyDescent="0.25">
      <c r="A110" s="5" t="s">
        <v>200</v>
      </c>
      <c r="B110" s="5" t="s">
        <v>9</v>
      </c>
      <c r="C110" s="14">
        <v>2.5899999999999999E-3</v>
      </c>
      <c r="D110" s="14">
        <v>2.4499999999999999E-3</v>
      </c>
      <c r="E110" s="14">
        <v>5.1999999999999995E-4</v>
      </c>
      <c r="F110" s="14">
        <v>5.1999999999999995E-4</v>
      </c>
      <c r="G110" s="14">
        <v>8.0000000000000007E-5</v>
      </c>
      <c r="H110" s="14">
        <v>8.0000000000000007E-5</v>
      </c>
      <c r="I110" s="14">
        <v>0</v>
      </c>
      <c r="J110" s="14">
        <v>0</v>
      </c>
      <c r="K110" s="14">
        <v>6.0000000000000002E-5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1.0000000000000001E-5</v>
      </c>
      <c r="R110" s="14">
        <v>4.0000000000000003E-5</v>
      </c>
      <c r="S110" s="14">
        <v>2.2000000000000001E-4</v>
      </c>
      <c r="T110" s="14">
        <v>0</v>
      </c>
      <c r="U110" s="14">
        <v>2.1000000000000001E-4</v>
      </c>
      <c r="V110" s="14">
        <v>1.1E-4</v>
      </c>
      <c r="W110" s="14">
        <v>1.0000000000000001E-5</v>
      </c>
      <c r="X110" s="14">
        <v>9.0000000000000006E-5</v>
      </c>
      <c r="Y110" s="14">
        <v>0</v>
      </c>
      <c r="Z110" s="14">
        <v>0</v>
      </c>
      <c r="AA110" s="14">
        <v>1.0000000000000001E-5</v>
      </c>
      <c r="AB110" s="14">
        <v>0</v>
      </c>
      <c r="AC110" s="14">
        <v>0</v>
      </c>
      <c r="AD110" s="14">
        <v>1.6000000000000001E-4</v>
      </c>
      <c r="AE110" s="14">
        <v>0</v>
      </c>
      <c r="AF110" s="14">
        <v>8.0000000000000007E-5</v>
      </c>
      <c r="AG110" s="14">
        <v>8.0000000000000007E-5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2.0000000000000002E-5</v>
      </c>
      <c r="AP110" s="14">
        <v>0</v>
      </c>
      <c r="AQ110" s="14">
        <v>2.0000000000000002E-5</v>
      </c>
      <c r="AR110" s="14">
        <v>0</v>
      </c>
      <c r="AS110" s="14">
        <v>0</v>
      </c>
      <c r="AT110" s="14">
        <v>1E-4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1E-4</v>
      </c>
      <c r="CK110" s="14">
        <v>0</v>
      </c>
      <c r="CL110" s="14">
        <v>1.6800000000000001E-3</v>
      </c>
      <c r="CM110" s="14">
        <v>0</v>
      </c>
      <c r="CN110" s="14">
        <v>0</v>
      </c>
      <c r="CO110" s="14">
        <v>0</v>
      </c>
      <c r="CP110" s="14">
        <v>0</v>
      </c>
      <c r="CQ110" s="14">
        <v>0</v>
      </c>
      <c r="CR110" s="14">
        <v>2.3000000000000001E-4</v>
      </c>
      <c r="CS110" s="14">
        <v>1.1E-4</v>
      </c>
      <c r="CT110" s="14">
        <v>0</v>
      </c>
      <c r="CU110" s="14">
        <v>1.0000000000000001E-5</v>
      </c>
      <c r="CV110" s="14">
        <v>1.0000000000000001E-5</v>
      </c>
      <c r="CW110" s="14">
        <v>1E-4</v>
      </c>
      <c r="CX110" s="14">
        <v>0</v>
      </c>
      <c r="CY110" s="14">
        <v>0</v>
      </c>
      <c r="CZ110" s="14">
        <v>0</v>
      </c>
      <c r="DA110" s="14">
        <v>0</v>
      </c>
      <c r="DB110" s="14">
        <v>0</v>
      </c>
      <c r="DC110" s="14">
        <v>1.4499999999999999E-3</v>
      </c>
      <c r="DD110" s="14">
        <v>1.07E-3</v>
      </c>
      <c r="DE110" s="14">
        <v>3.8999999999999999E-4</v>
      </c>
      <c r="DF110" s="14">
        <v>0</v>
      </c>
      <c r="DG110" s="14">
        <v>0</v>
      </c>
      <c r="DH110" s="14">
        <v>0</v>
      </c>
      <c r="DI110" s="14">
        <v>0</v>
      </c>
      <c r="DJ110" s="14">
        <v>0</v>
      </c>
      <c r="DK110" s="14">
        <v>0</v>
      </c>
      <c r="DL110" s="14">
        <v>0</v>
      </c>
      <c r="DM110" s="14">
        <v>0</v>
      </c>
      <c r="DN110" s="14">
        <v>0</v>
      </c>
      <c r="DO110" s="14">
        <v>0</v>
      </c>
      <c r="DP110" s="14">
        <v>0</v>
      </c>
      <c r="DQ110" s="14">
        <v>1.3999999999999999E-4</v>
      </c>
      <c r="DR110" s="14">
        <v>0</v>
      </c>
      <c r="DS110" s="14">
        <v>0</v>
      </c>
      <c r="DT110" s="14">
        <v>0</v>
      </c>
      <c r="DU110" s="14">
        <v>0</v>
      </c>
      <c r="DV110" s="14">
        <v>2.0000000000000002E-5</v>
      </c>
      <c r="DW110" s="14">
        <v>0</v>
      </c>
      <c r="DX110" s="14">
        <v>0</v>
      </c>
      <c r="DY110" s="14">
        <v>2.0000000000000002E-5</v>
      </c>
      <c r="DZ110" s="14">
        <v>1.0000000000000001E-5</v>
      </c>
      <c r="EA110" s="14">
        <v>0</v>
      </c>
      <c r="EB110" s="14">
        <v>1.0000000000000001E-5</v>
      </c>
      <c r="EC110" s="14">
        <v>0</v>
      </c>
      <c r="ED110" s="14">
        <v>1.0000000000000001E-5</v>
      </c>
      <c r="EE110" s="14">
        <v>0</v>
      </c>
      <c r="EF110" s="14">
        <v>0</v>
      </c>
      <c r="EG110" s="14">
        <v>1.0000000000000001E-5</v>
      </c>
      <c r="EH110" s="14">
        <v>1E-4</v>
      </c>
      <c r="EI110" s="14">
        <v>0</v>
      </c>
      <c r="EJ110" s="14">
        <v>0</v>
      </c>
      <c r="EK110" s="14">
        <v>1E-4</v>
      </c>
      <c r="EL110" s="14">
        <v>0</v>
      </c>
      <c r="EM110" s="14">
        <v>0</v>
      </c>
      <c r="EN110" s="14">
        <v>0</v>
      </c>
      <c r="EO110" s="14">
        <v>0</v>
      </c>
      <c r="EP110" s="14">
        <v>0</v>
      </c>
      <c r="EQ110" s="14">
        <v>0</v>
      </c>
      <c r="ER110" s="14">
        <v>1.4999999999999999E-4</v>
      </c>
      <c r="ES110" s="14">
        <v>0</v>
      </c>
      <c r="ET110" s="14">
        <v>0</v>
      </c>
      <c r="EU110" s="14">
        <v>0</v>
      </c>
      <c r="EV110" s="14">
        <v>0</v>
      </c>
      <c r="EW110" s="14">
        <v>3.0000000000000001E-5</v>
      </c>
      <c r="EX110" s="14">
        <v>3.0000000000000001E-5</v>
      </c>
      <c r="EY110" s="14">
        <v>0</v>
      </c>
      <c r="EZ110" s="14">
        <v>0</v>
      </c>
      <c r="FA110" s="14">
        <v>0</v>
      </c>
      <c r="FB110" s="14">
        <v>0</v>
      </c>
      <c r="FC110" s="14">
        <v>1.2999999999999999E-4</v>
      </c>
      <c r="FD110" s="14">
        <v>1.2999999999999999E-4</v>
      </c>
      <c r="FE110" s="14">
        <v>0</v>
      </c>
      <c r="FF110" s="14">
        <v>0</v>
      </c>
      <c r="FG110" s="14">
        <v>0</v>
      </c>
      <c r="FH110" s="14">
        <v>0</v>
      </c>
      <c r="FI110" s="14">
        <v>0</v>
      </c>
      <c r="FJ110" s="14">
        <v>0</v>
      </c>
      <c r="FK110" s="14">
        <v>0</v>
      </c>
      <c r="FL110" s="14">
        <v>0</v>
      </c>
    </row>
    <row r="111" spans="1:168" ht="15" x14ac:dyDescent="0.25">
      <c r="A111" s="5" t="s">
        <v>201</v>
      </c>
      <c r="B111" s="5" t="s">
        <v>6</v>
      </c>
      <c r="C111" s="13">
        <v>37.772799999999997</v>
      </c>
      <c r="D111" s="13">
        <v>42.004849999999998</v>
      </c>
      <c r="E111" s="13">
        <v>28.826419999999999</v>
      </c>
      <c r="F111" s="13">
        <v>28.154779999999999</v>
      </c>
      <c r="G111" s="13">
        <v>7.7614999999999998</v>
      </c>
      <c r="H111" s="13">
        <v>4.75793</v>
      </c>
      <c r="I111" s="13">
        <v>1.8214600000000001</v>
      </c>
      <c r="J111" s="13">
        <v>1.18211</v>
      </c>
      <c r="K111" s="13">
        <v>7.6315400000000002</v>
      </c>
      <c r="L111" s="13">
        <v>3.43242</v>
      </c>
      <c r="M111" s="13">
        <v>9.7350000000000006E-2</v>
      </c>
      <c r="N111" s="13">
        <v>0.52629000000000004</v>
      </c>
      <c r="O111" s="13">
        <v>0.36176000000000003</v>
      </c>
      <c r="P111" s="13">
        <v>0.32338</v>
      </c>
      <c r="Q111" s="13">
        <v>1.51004</v>
      </c>
      <c r="R111" s="13">
        <v>1.3803000000000001</v>
      </c>
      <c r="S111" s="13">
        <v>7.8088300000000004</v>
      </c>
      <c r="T111" s="13">
        <v>2.8800000000000002E-3</v>
      </c>
      <c r="U111" s="13">
        <v>7.4149599999999998</v>
      </c>
      <c r="V111" s="13">
        <v>4.3579100000000004</v>
      </c>
      <c r="W111" s="13">
        <v>0.87073999999999996</v>
      </c>
      <c r="X111" s="13">
        <v>2.1690800000000001</v>
      </c>
      <c r="Y111" s="13">
        <v>1.7229999999999999E-2</v>
      </c>
      <c r="Z111" s="13">
        <v>0</v>
      </c>
      <c r="AA111" s="13">
        <v>9.214E-2</v>
      </c>
      <c r="AB111" s="13">
        <v>2.5799999999999998E-3</v>
      </c>
      <c r="AC111" s="13">
        <v>0.29626000000000002</v>
      </c>
      <c r="AD111" s="13">
        <v>4.8637699999999997</v>
      </c>
      <c r="AE111" s="13">
        <v>1.47112</v>
      </c>
      <c r="AF111" s="13">
        <v>3.0286499999999998</v>
      </c>
      <c r="AG111" s="13">
        <v>0.36401</v>
      </c>
      <c r="AH111" s="13">
        <v>8.9130000000000001E-2</v>
      </c>
      <c r="AI111" s="13">
        <v>7.6480000000000006E-2</v>
      </c>
      <c r="AJ111" s="13">
        <v>1.265E-2</v>
      </c>
      <c r="AK111" s="13">
        <v>0.67164000000000001</v>
      </c>
      <c r="AL111" s="13">
        <v>0.23322999999999999</v>
      </c>
      <c r="AM111" s="13">
        <v>0.43841999999999998</v>
      </c>
      <c r="AN111" s="13">
        <v>0</v>
      </c>
      <c r="AO111" s="13">
        <v>0.19683999999999999</v>
      </c>
      <c r="AP111" s="13">
        <v>0.18587000000000001</v>
      </c>
      <c r="AQ111" s="13">
        <v>1.0970000000000001E-2</v>
      </c>
      <c r="AR111" s="13">
        <v>0</v>
      </c>
      <c r="AS111" s="13">
        <v>7.18668</v>
      </c>
      <c r="AT111" s="13">
        <v>9.2022999999999993</v>
      </c>
      <c r="AU111" s="13">
        <v>2.2795399999999999</v>
      </c>
      <c r="AV111" s="13">
        <v>1.3466800000000001</v>
      </c>
      <c r="AW111" s="13">
        <v>0.52264999999999995</v>
      </c>
      <c r="AX111" s="13">
        <v>1.602E-2</v>
      </c>
      <c r="AY111" s="13">
        <v>0.39418999999999998</v>
      </c>
      <c r="AZ111" s="13">
        <v>1.353</v>
      </c>
      <c r="BA111" s="13">
        <v>0.79147000000000001</v>
      </c>
      <c r="BB111" s="13">
        <v>9.3850000000000003E-2</v>
      </c>
      <c r="BC111" s="13">
        <v>0</v>
      </c>
      <c r="BD111" s="13">
        <v>0</v>
      </c>
      <c r="BE111" s="13">
        <v>6.8260000000000001E-2</v>
      </c>
      <c r="BF111" s="13">
        <v>0</v>
      </c>
      <c r="BG111" s="13">
        <v>0</v>
      </c>
      <c r="BH111" s="13">
        <v>0.39940999999999999</v>
      </c>
      <c r="BI111" s="13">
        <v>0</v>
      </c>
      <c r="BJ111" s="13">
        <v>0</v>
      </c>
      <c r="BK111" s="13">
        <v>4.7813100000000004</v>
      </c>
      <c r="BL111" s="13">
        <v>4.2052500000000004</v>
      </c>
      <c r="BM111" s="13">
        <v>0.28305000000000002</v>
      </c>
      <c r="BN111" s="13">
        <v>0.29165999999999997</v>
      </c>
      <c r="BO111" s="13">
        <v>0</v>
      </c>
      <c r="BP111" s="13">
        <v>1.0000000000000001E-5</v>
      </c>
      <c r="BQ111" s="13">
        <v>0</v>
      </c>
      <c r="BR111" s="13">
        <v>1.33E-3</v>
      </c>
      <c r="BS111" s="13">
        <v>4.1349999999999998E-2</v>
      </c>
      <c r="BT111" s="13">
        <v>2.8879999999999999E-2</v>
      </c>
      <c r="BU111" s="13">
        <v>1.9E-3</v>
      </c>
      <c r="BV111" s="13">
        <v>1.057E-2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  <c r="CC111" s="13">
        <v>0.67562</v>
      </c>
      <c r="CD111" s="13">
        <v>0.64559999999999995</v>
      </c>
      <c r="CE111" s="13">
        <v>1.7700000000000001E-3</v>
      </c>
      <c r="CF111" s="13">
        <v>2.0140000000000002E-2</v>
      </c>
      <c r="CG111" s="13">
        <v>8.0999999999999996E-3</v>
      </c>
      <c r="CH111" s="13">
        <v>0</v>
      </c>
      <c r="CI111" s="13">
        <v>0</v>
      </c>
      <c r="CJ111" s="13">
        <v>7.1480000000000002E-2</v>
      </c>
      <c r="CK111" s="13">
        <v>0</v>
      </c>
      <c r="CL111" s="13">
        <v>2.1945800000000002</v>
      </c>
      <c r="CM111" s="13">
        <v>1.1028199999999999</v>
      </c>
      <c r="CN111" s="13">
        <v>0.94859000000000004</v>
      </c>
      <c r="CO111" s="13">
        <v>0.10922</v>
      </c>
      <c r="CP111" s="13">
        <v>2.6329999999999999E-2</v>
      </c>
      <c r="CQ111" s="13">
        <v>1.8679999999999999E-2</v>
      </c>
      <c r="CR111" s="13">
        <v>0.38485999999999998</v>
      </c>
      <c r="CS111" s="13">
        <v>0.14989</v>
      </c>
      <c r="CT111" s="13">
        <v>8.7500000000000008E-3</v>
      </c>
      <c r="CU111" s="13">
        <v>8.8679999999999995E-2</v>
      </c>
      <c r="CV111" s="13">
        <v>6.3500000000000001E-2</v>
      </c>
      <c r="CW111" s="13">
        <v>7.4029999999999999E-2</v>
      </c>
      <c r="CX111" s="13">
        <v>0</v>
      </c>
      <c r="CY111" s="13">
        <v>0</v>
      </c>
      <c r="CZ111" s="13">
        <v>0</v>
      </c>
      <c r="DA111" s="13">
        <v>0</v>
      </c>
      <c r="DB111" s="13">
        <v>0</v>
      </c>
      <c r="DC111" s="13">
        <v>0.63671999999999995</v>
      </c>
      <c r="DD111" s="13">
        <v>0.50502999999999998</v>
      </c>
      <c r="DE111" s="13">
        <v>0.13169</v>
      </c>
      <c r="DF111" s="13">
        <v>0</v>
      </c>
      <c r="DG111" s="13">
        <v>0</v>
      </c>
      <c r="DH111" s="13">
        <v>0</v>
      </c>
      <c r="DI111" s="13">
        <v>0</v>
      </c>
      <c r="DJ111" s="13">
        <v>0</v>
      </c>
      <c r="DK111" s="13">
        <v>0</v>
      </c>
      <c r="DL111" s="13">
        <v>0</v>
      </c>
      <c r="DM111" s="13">
        <v>4.2100000000000002E-3</v>
      </c>
      <c r="DN111" s="13">
        <v>6.5970000000000001E-2</v>
      </c>
      <c r="DO111" s="13">
        <v>0</v>
      </c>
      <c r="DP111" s="13">
        <v>0</v>
      </c>
      <c r="DQ111" s="13">
        <v>-4.2320599999999997</v>
      </c>
      <c r="DR111" s="13">
        <v>-2.8539699999999999</v>
      </c>
      <c r="DS111" s="13">
        <v>0</v>
      </c>
      <c r="DT111" s="13">
        <v>-2.4824099999999998</v>
      </c>
      <c r="DU111" s="13">
        <v>-0.37157000000000001</v>
      </c>
      <c r="DV111" s="13">
        <v>-0.61497000000000002</v>
      </c>
      <c r="DW111" s="13">
        <v>0</v>
      </c>
      <c r="DX111" s="13">
        <v>-0.68808999999999998</v>
      </c>
      <c r="DY111" s="13">
        <v>7.3130000000000001E-2</v>
      </c>
      <c r="DZ111" s="13">
        <v>-0.11046</v>
      </c>
      <c r="EA111" s="13">
        <v>0</v>
      </c>
      <c r="EB111" s="13">
        <v>0</v>
      </c>
      <c r="EC111" s="13">
        <v>-0.11046</v>
      </c>
      <c r="ED111" s="13">
        <v>0</v>
      </c>
      <c r="EE111" s="13">
        <v>0</v>
      </c>
      <c r="EF111" s="13">
        <v>0</v>
      </c>
      <c r="EG111" s="13">
        <v>0</v>
      </c>
      <c r="EH111" s="13">
        <v>8.6679999999999993E-2</v>
      </c>
      <c r="EI111" s="13">
        <v>0</v>
      </c>
      <c r="EJ111" s="13">
        <v>0</v>
      </c>
      <c r="EK111" s="13">
        <v>8.6679999999999993E-2</v>
      </c>
      <c r="EL111" s="13">
        <v>0.14985000000000001</v>
      </c>
      <c r="EM111" s="13">
        <v>0.14985000000000001</v>
      </c>
      <c r="EN111" s="13">
        <v>4.5900000000000003E-3</v>
      </c>
      <c r="EO111" s="13">
        <v>0</v>
      </c>
      <c r="EP111" s="13">
        <v>-0.88919000000000004</v>
      </c>
      <c r="EQ111" s="13">
        <v>0</v>
      </c>
      <c r="ER111" s="13">
        <v>1.7284299999999999</v>
      </c>
      <c r="ES111" s="13">
        <v>1.26498</v>
      </c>
      <c r="ET111" s="13">
        <v>1.26498</v>
      </c>
      <c r="EU111" s="13">
        <v>0</v>
      </c>
      <c r="EV111" s="13">
        <v>0</v>
      </c>
      <c r="EW111" s="13">
        <v>0.25829000000000002</v>
      </c>
      <c r="EX111" s="13">
        <v>0.21854999999999999</v>
      </c>
      <c r="EY111" s="13">
        <v>3.9750000000000001E-2</v>
      </c>
      <c r="EZ111" s="13">
        <v>2.3879999999999998E-2</v>
      </c>
      <c r="FA111" s="13">
        <v>2.3879999999999998E-2</v>
      </c>
      <c r="FB111" s="13">
        <v>0</v>
      </c>
      <c r="FC111" s="13">
        <v>0.18128</v>
      </c>
      <c r="FD111" s="13">
        <v>0.17235</v>
      </c>
      <c r="FE111" s="13">
        <v>8.9200000000000008E-3</v>
      </c>
      <c r="FF111" s="13">
        <v>0</v>
      </c>
      <c r="FG111" s="13">
        <v>0</v>
      </c>
      <c r="FH111" s="12">
        <v>2.9201800000000002</v>
      </c>
      <c r="FI111" s="13">
        <v>7.0379999999999998E-2</v>
      </c>
      <c r="FJ111" s="13">
        <v>3.9980000000000002E-2</v>
      </c>
      <c r="FK111" s="13">
        <v>0</v>
      </c>
      <c r="FL111" s="13">
        <v>5.3109999999999997E-2</v>
      </c>
    </row>
    <row r="112" spans="1:168" ht="15" x14ac:dyDescent="0.25">
      <c r="A112" s="5" t="s">
        <v>201</v>
      </c>
      <c r="B112" s="5" t="s">
        <v>7</v>
      </c>
      <c r="C112" s="14">
        <v>31.941600000000001</v>
      </c>
      <c r="D112" s="14">
        <v>36.237180000000002</v>
      </c>
      <c r="E112" s="14">
        <v>27.78453</v>
      </c>
      <c r="F112" s="14">
        <v>27.689540000000001</v>
      </c>
      <c r="G112" s="14">
        <v>7.7118399999999996</v>
      </c>
      <c r="H112" s="14">
        <v>4.7123699999999999</v>
      </c>
      <c r="I112" s="14">
        <v>1.81772</v>
      </c>
      <c r="J112" s="14">
        <v>1.1817500000000001</v>
      </c>
      <c r="K112" s="14">
        <v>7.5805400000000001</v>
      </c>
      <c r="L112" s="14">
        <v>3.42408</v>
      </c>
      <c r="M112" s="14">
        <v>9.4439999999999996E-2</v>
      </c>
      <c r="N112" s="14">
        <v>0.52503</v>
      </c>
      <c r="O112" s="14">
        <v>0.34555999999999998</v>
      </c>
      <c r="P112" s="14">
        <v>0.32273000000000002</v>
      </c>
      <c r="Q112" s="14">
        <v>1.4955099999999999</v>
      </c>
      <c r="R112" s="14">
        <v>1.3732</v>
      </c>
      <c r="S112" s="14">
        <v>7.72234</v>
      </c>
      <c r="T112" s="14">
        <v>2.8500000000000001E-3</v>
      </c>
      <c r="U112" s="14">
        <v>7.3380200000000002</v>
      </c>
      <c r="V112" s="14">
        <v>4.3208799999999998</v>
      </c>
      <c r="W112" s="14">
        <v>0.86439999999999995</v>
      </c>
      <c r="X112" s="14">
        <v>2.1358600000000001</v>
      </c>
      <c r="Y112" s="14">
        <v>1.6879999999999999E-2</v>
      </c>
      <c r="Z112" s="14">
        <v>0</v>
      </c>
      <c r="AA112" s="14">
        <v>8.2930000000000004E-2</v>
      </c>
      <c r="AB112" s="14">
        <v>2.5600000000000002E-3</v>
      </c>
      <c r="AC112" s="14">
        <v>0.29597000000000001</v>
      </c>
      <c r="AD112" s="14">
        <v>4.5868200000000003</v>
      </c>
      <c r="AE112" s="14">
        <v>1.4442299999999999</v>
      </c>
      <c r="AF112" s="14">
        <v>2.8089</v>
      </c>
      <c r="AG112" s="14">
        <v>0.3337</v>
      </c>
      <c r="AH112" s="14">
        <v>8.7989999999999999E-2</v>
      </c>
      <c r="AI112" s="14">
        <v>7.5639999999999999E-2</v>
      </c>
      <c r="AJ112" s="14">
        <v>1.235E-2</v>
      </c>
      <c r="AK112" s="14">
        <v>9.4990000000000005E-2</v>
      </c>
      <c r="AL112" s="14">
        <v>5.2249999999999998E-2</v>
      </c>
      <c r="AM112" s="14">
        <v>4.274E-2</v>
      </c>
      <c r="AN112" s="14">
        <v>0</v>
      </c>
      <c r="AO112" s="14">
        <v>0.19536000000000001</v>
      </c>
      <c r="AP112" s="14">
        <v>0.18448999999999999</v>
      </c>
      <c r="AQ112" s="14">
        <v>1.0869999999999999E-2</v>
      </c>
      <c r="AR112" s="14">
        <v>0</v>
      </c>
      <c r="AS112" s="14">
        <v>7.18668</v>
      </c>
      <c r="AT112" s="14">
        <v>8.3239599999999996</v>
      </c>
      <c r="AU112" s="14">
        <v>2.2795399999999999</v>
      </c>
      <c r="AV112" s="14">
        <v>1.3466800000000001</v>
      </c>
      <c r="AW112" s="14">
        <v>0.52264999999999995</v>
      </c>
      <c r="AX112" s="14">
        <v>1.602E-2</v>
      </c>
      <c r="AY112" s="14">
        <v>0.39418999999999998</v>
      </c>
      <c r="AZ112" s="14">
        <v>1.25814</v>
      </c>
      <c r="BA112" s="14">
        <v>0.79046000000000005</v>
      </c>
      <c r="BB112" s="14">
        <v>0</v>
      </c>
      <c r="BC112" s="14">
        <v>0</v>
      </c>
      <c r="BD112" s="14">
        <v>0</v>
      </c>
      <c r="BE112" s="14">
        <v>6.8260000000000001E-2</v>
      </c>
      <c r="BF112" s="14">
        <v>0</v>
      </c>
      <c r="BG112" s="14">
        <v>0</v>
      </c>
      <c r="BH112" s="14">
        <v>0.39940999999999999</v>
      </c>
      <c r="BI112" s="14">
        <v>0</v>
      </c>
      <c r="BJ112" s="14">
        <v>0</v>
      </c>
      <c r="BK112" s="14">
        <v>4.7449300000000001</v>
      </c>
      <c r="BL112" s="14">
        <v>4.1878200000000003</v>
      </c>
      <c r="BM112" s="14">
        <v>0.28156999999999999</v>
      </c>
      <c r="BN112" s="14">
        <v>0.27553</v>
      </c>
      <c r="BO112" s="14">
        <v>0</v>
      </c>
      <c r="BP112" s="14">
        <v>1.0000000000000001E-5</v>
      </c>
      <c r="BQ112" s="14">
        <v>0</v>
      </c>
      <c r="BR112" s="14">
        <v>0</v>
      </c>
      <c r="BS112" s="14">
        <v>4.1349999999999998E-2</v>
      </c>
      <c r="BT112" s="14">
        <v>2.8879999999999999E-2</v>
      </c>
      <c r="BU112" s="14">
        <v>1.9E-3</v>
      </c>
      <c r="BV112" s="14">
        <v>1.057E-2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7.0180000000000006E-2</v>
      </c>
      <c r="CM112" s="14">
        <v>0</v>
      </c>
      <c r="CN112" s="14">
        <v>0</v>
      </c>
      <c r="CO112" s="14">
        <v>0</v>
      </c>
      <c r="CP112" s="14">
        <v>0</v>
      </c>
      <c r="CQ112" s="14">
        <v>0</v>
      </c>
      <c r="CR112" s="14">
        <v>0</v>
      </c>
      <c r="CS112" s="14">
        <v>0</v>
      </c>
      <c r="CT112" s="14">
        <v>0</v>
      </c>
      <c r="CU112" s="14">
        <v>0</v>
      </c>
      <c r="CV112" s="14">
        <v>0</v>
      </c>
      <c r="CW112" s="14">
        <v>0</v>
      </c>
      <c r="CX112" s="14">
        <v>0</v>
      </c>
      <c r="CY112" s="14">
        <v>0</v>
      </c>
      <c r="CZ112" s="14">
        <v>0</v>
      </c>
      <c r="DA112" s="14">
        <v>0</v>
      </c>
      <c r="DB112" s="14">
        <v>0</v>
      </c>
      <c r="DC112" s="14">
        <v>0</v>
      </c>
      <c r="DD112" s="14">
        <v>0</v>
      </c>
      <c r="DE112" s="14">
        <v>0</v>
      </c>
      <c r="DF112" s="14">
        <v>0</v>
      </c>
      <c r="DG112" s="14">
        <v>0</v>
      </c>
      <c r="DH112" s="14">
        <v>0</v>
      </c>
      <c r="DI112" s="14">
        <v>0</v>
      </c>
      <c r="DJ112" s="14">
        <v>0</v>
      </c>
      <c r="DK112" s="14">
        <v>0</v>
      </c>
      <c r="DL112" s="14">
        <v>0</v>
      </c>
      <c r="DM112" s="14">
        <v>4.2100000000000002E-3</v>
      </c>
      <c r="DN112" s="14">
        <v>6.5970000000000001E-2</v>
      </c>
      <c r="DO112" s="14">
        <v>0</v>
      </c>
      <c r="DP112" s="14">
        <v>0</v>
      </c>
      <c r="DQ112" s="14">
        <v>-4.2955800000000002</v>
      </c>
      <c r="DR112" s="14">
        <v>-2.8932600000000002</v>
      </c>
      <c r="DS112" s="14">
        <v>0</v>
      </c>
      <c r="DT112" s="14">
        <v>-2.5216699999999999</v>
      </c>
      <c r="DU112" s="14">
        <v>-0.37158999999999998</v>
      </c>
      <c r="DV112" s="14">
        <v>-0.62783</v>
      </c>
      <c r="DW112" s="14">
        <v>0</v>
      </c>
      <c r="DX112" s="14">
        <v>-0.68808999999999998</v>
      </c>
      <c r="DY112" s="14">
        <v>6.0260000000000001E-2</v>
      </c>
      <c r="DZ112" s="14">
        <v>-0.11083</v>
      </c>
      <c r="EA112" s="14">
        <v>0</v>
      </c>
      <c r="EB112" s="14">
        <v>0</v>
      </c>
      <c r="EC112" s="14">
        <v>-0.11083</v>
      </c>
      <c r="ED112" s="14">
        <v>0</v>
      </c>
      <c r="EE112" s="14">
        <v>0</v>
      </c>
      <c r="EF112" s="14">
        <v>0</v>
      </c>
      <c r="EG112" s="14">
        <v>0</v>
      </c>
      <c r="EH112" s="14">
        <v>8.1559999999999994E-2</v>
      </c>
      <c r="EI112" s="14">
        <v>0</v>
      </c>
      <c r="EJ112" s="14">
        <v>0</v>
      </c>
      <c r="EK112" s="14">
        <v>8.1559999999999994E-2</v>
      </c>
      <c r="EL112" s="14">
        <v>0.14396</v>
      </c>
      <c r="EM112" s="14">
        <v>0.14396</v>
      </c>
      <c r="EN112" s="14">
        <v>0</v>
      </c>
      <c r="EO112" s="14">
        <v>0</v>
      </c>
      <c r="EP112" s="14">
        <v>-0.88919000000000004</v>
      </c>
      <c r="EQ112" s="14">
        <v>0</v>
      </c>
      <c r="ER112" s="14">
        <v>5.4000000000000003E-3</v>
      </c>
      <c r="ES112" s="14">
        <v>0</v>
      </c>
      <c r="ET112" s="14">
        <v>0</v>
      </c>
      <c r="EU112" s="14">
        <v>0</v>
      </c>
      <c r="EV112" s="14">
        <v>0</v>
      </c>
      <c r="EW112" s="14">
        <v>0</v>
      </c>
      <c r="EX112" s="14">
        <v>0</v>
      </c>
      <c r="EY112" s="14">
        <v>0</v>
      </c>
      <c r="EZ112" s="14">
        <v>5.4000000000000003E-3</v>
      </c>
      <c r="FA112" s="14">
        <v>5.4000000000000003E-3</v>
      </c>
      <c r="FB112" s="14">
        <v>0</v>
      </c>
      <c r="FC112" s="14">
        <v>0</v>
      </c>
      <c r="FD112" s="14">
        <v>0</v>
      </c>
      <c r="FE112" s="14">
        <v>0</v>
      </c>
      <c r="FF112" s="14">
        <v>0</v>
      </c>
      <c r="FG112" s="14">
        <v>0</v>
      </c>
      <c r="FH112" s="14">
        <v>2.9201800000000002</v>
      </c>
      <c r="FI112" s="14">
        <v>7.0379999999999998E-2</v>
      </c>
      <c r="FJ112" s="14">
        <v>3.9980000000000002E-2</v>
      </c>
      <c r="FK112" s="14">
        <v>0</v>
      </c>
      <c r="FL112" s="14">
        <v>5.3109999999999997E-2</v>
      </c>
    </row>
    <row r="113" spans="1:168" ht="15" x14ac:dyDescent="0.25">
      <c r="A113" s="5" t="s">
        <v>201</v>
      </c>
      <c r="B113" s="5" t="s">
        <v>8</v>
      </c>
      <c r="C113" s="13">
        <v>0.13253000000000001</v>
      </c>
      <c r="D113" s="13">
        <v>0.13161</v>
      </c>
      <c r="E113" s="13">
        <v>3.0030000000000001E-2</v>
      </c>
      <c r="F113" s="13">
        <v>9.4400000000000005E-3</v>
      </c>
      <c r="G113" s="13">
        <v>5.9999999999999995E-4</v>
      </c>
      <c r="H113" s="13">
        <v>5.4000000000000001E-4</v>
      </c>
      <c r="I113" s="13">
        <v>5.0000000000000002E-5</v>
      </c>
      <c r="J113" s="13">
        <v>1.0000000000000001E-5</v>
      </c>
      <c r="K113" s="13">
        <v>7.1000000000000002E-4</v>
      </c>
      <c r="L113" s="13">
        <v>1.2999999999999999E-4</v>
      </c>
      <c r="M113" s="13">
        <v>5.0000000000000002E-5</v>
      </c>
      <c r="N113" s="13">
        <v>2.0000000000000002E-5</v>
      </c>
      <c r="O113" s="13">
        <v>1.7000000000000001E-4</v>
      </c>
      <c r="P113" s="13">
        <v>1.0000000000000001E-5</v>
      </c>
      <c r="Q113" s="13">
        <v>2.3000000000000001E-4</v>
      </c>
      <c r="R113" s="13">
        <v>1.2E-4</v>
      </c>
      <c r="S113" s="13">
        <v>2.0000000000000001E-4</v>
      </c>
      <c r="T113" s="13">
        <v>0</v>
      </c>
      <c r="U113" s="13">
        <v>1.9000000000000001E-4</v>
      </c>
      <c r="V113" s="13">
        <v>1.2999999999999999E-4</v>
      </c>
      <c r="W113" s="13">
        <v>1.0000000000000001E-5</v>
      </c>
      <c r="X113" s="13">
        <v>5.0000000000000002E-5</v>
      </c>
      <c r="Y113" s="13">
        <v>1.0000000000000001E-5</v>
      </c>
      <c r="Z113" s="13">
        <v>0</v>
      </c>
      <c r="AA113" s="13">
        <v>0</v>
      </c>
      <c r="AB113" s="13">
        <v>0</v>
      </c>
      <c r="AC113" s="13">
        <v>1.0000000000000001E-5</v>
      </c>
      <c r="AD113" s="13">
        <v>7.9000000000000008E-3</v>
      </c>
      <c r="AE113" s="13">
        <v>7.2999999999999996E-4</v>
      </c>
      <c r="AF113" s="13">
        <v>7.0099999999999997E-3</v>
      </c>
      <c r="AG113" s="13">
        <v>1.6000000000000001E-4</v>
      </c>
      <c r="AH113" s="13">
        <v>3.0000000000000001E-5</v>
      </c>
      <c r="AI113" s="13">
        <v>3.0000000000000001E-5</v>
      </c>
      <c r="AJ113" s="13">
        <v>0</v>
      </c>
      <c r="AK113" s="13">
        <v>2.0590000000000001E-2</v>
      </c>
      <c r="AL113" s="13">
        <v>6.4599999999999996E-3</v>
      </c>
      <c r="AM113" s="13">
        <v>1.413E-2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6.8999999999999997E-4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2.0000000000000002E-5</v>
      </c>
      <c r="BA113" s="13">
        <v>2.0000000000000002E-5</v>
      </c>
      <c r="BB113" s="13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6.8000000000000005E-4</v>
      </c>
      <c r="BL113" s="13">
        <v>6.2E-4</v>
      </c>
      <c r="BM113" s="13">
        <v>5.0000000000000002E-5</v>
      </c>
      <c r="BN113" s="13">
        <v>0</v>
      </c>
      <c r="BO113" s="13">
        <v>0</v>
      </c>
      <c r="BP113" s="13">
        <v>0</v>
      </c>
      <c r="BQ113" s="13">
        <v>0</v>
      </c>
      <c r="BR113" s="13">
        <v>0</v>
      </c>
      <c r="BS113" s="13">
        <v>0</v>
      </c>
      <c r="BT113" s="13">
        <v>0</v>
      </c>
      <c r="BU113" s="13">
        <v>0</v>
      </c>
      <c r="BV113" s="13">
        <v>0</v>
      </c>
      <c r="BW113" s="13">
        <v>0</v>
      </c>
      <c r="BX113" s="13">
        <v>0</v>
      </c>
      <c r="BY113" s="13">
        <v>0</v>
      </c>
      <c r="BZ113" s="13">
        <v>0</v>
      </c>
      <c r="CA113" s="13">
        <v>0</v>
      </c>
      <c r="CB113" s="13">
        <v>0</v>
      </c>
      <c r="CC113" s="13">
        <v>0</v>
      </c>
      <c r="CD113" s="13">
        <v>0</v>
      </c>
      <c r="CE113" s="13">
        <v>0</v>
      </c>
      <c r="CF113" s="13">
        <v>0</v>
      </c>
      <c r="CG113" s="13">
        <v>0</v>
      </c>
      <c r="CH113" s="13">
        <v>0</v>
      </c>
      <c r="CI113" s="13">
        <v>0</v>
      </c>
      <c r="CJ113" s="13">
        <v>0</v>
      </c>
      <c r="CK113" s="13">
        <v>0</v>
      </c>
      <c r="CL113" s="13">
        <v>4.4889999999999999E-2</v>
      </c>
      <c r="CM113" s="13">
        <v>3.9390000000000001E-2</v>
      </c>
      <c r="CN113" s="13">
        <v>3.388E-2</v>
      </c>
      <c r="CO113" s="13">
        <v>3.8999999999999998E-3</v>
      </c>
      <c r="CP113" s="13">
        <v>9.3999999999999997E-4</v>
      </c>
      <c r="CQ113" s="13">
        <v>6.7000000000000002E-4</v>
      </c>
      <c r="CR113" s="13">
        <v>5.5100000000000001E-3</v>
      </c>
      <c r="CS113" s="13">
        <v>2.14E-3</v>
      </c>
      <c r="CT113" s="13">
        <v>1.1E-4</v>
      </c>
      <c r="CU113" s="13">
        <v>2.7499999999999998E-3</v>
      </c>
      <c r="CV113" s="13">
        <v>5.1000000000000004E-4</v>
      </c>
      <c r="CW113" s="13">
        <v>0</v>
      </c>
      <c r="CX113" s="13">
        <v>0</v>
      </c>
      <c r="CY113" s="13">
        <v>0</v>
      </c>
      <c r="CZ113" s="13">
        <v>0</v>
      </c>
      <c r="DA113" s="13">
        <v>0</v>
      </c>
      <c r="DB113" s="13">
        <v>0</v>
      </c>
      <c r="DC113" s="13">
        <v>0</v>
      </c>
      <c r="DD113" s="13">
        <v>0</v>
      </c>
      <c r="DE113" s="13">
        <v>0</v>
      </c>
      <c r="DF113" s="13">
        <v>0</v>
      </c>
      <c r="DG113" s="13">
        <v>0</v>
      </c>
      <c r="DH113" s="13">
        <v>0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0</v>
      </c>
      <c r="DQ113" s="13">
        <v>9.2000000000000003E-4</v>
      </c>
      <c r="DR113" s="13">
        <v>9.2000000000000003E-4</v>
      </c>
      <c r="DS113" s="13">
        <v>0</v>
      </c>
      <c r="DT113" s="13">
        <v>9.2000000000000003E-4</v>
      </c>
      <c r="DU113" s="13">
        <v>0</v>
      </c>
      <c r="DV113" s="13">
        <v>0</v>
      </c>
      <c r="DW113" s="13">
        <v>0</v>
      </c>
      <c r="DX113" s="13">
        <v>0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0</v>
      </c>
      <c r="EE113" s="13">
        <v>0</v>
      </c>
      <c r="EF113" s="13">
        <v>0</v>
      </c>
      <c r="EG113" s="13">
        <v>0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0</v>
      </c>
      <c r="EN113" s="13">
        <v>0</v>
      </c>
      <c r="EO113" s="13">
        <v>0</v>
      </c>
      <c r="EP113" s="13">
        <v>0</v>
      </c>
      <c r="EQ113" s="13">
        <v>0</v>
      </c>
      <c r="ER113" s="13">
        <v>5.5989999999999998E-2</v>
      </c>
      <c r="ES113" s="13">
        <v>4.5179999999999998E-2</v>
      </c>
      <c r="ET113" s="13">
        <v>4.5179999999999998E-2</v>
      </c>
      <c r="EU113" s="13">
        <v>0</v>
      </c>
      <c r="EV113" s="13">
        <v>0</v>
      </c>
      <c r="EW113" s="13">
        <v>6.4000000000000003E-3</v>
      </c>
      <c r="EX113" s="13">
        <v>4.9800000000000001E-3</v>
      </c>
      <c r="EY113" s="13">
        <v>1.42E-3</v>
      </c>
      <c r="EZ113" s="13">
        <v>6.4999999999999997E-4</v>
      </c>
      <c r="FA113" s="13">
        <v>6.4999999999999997E-4</v>
      </c>
      <c r="FB113" s="13">
        <v>0</v>
      </c>
      <c r="FC113" s="13">
        <v>3.7699999999999999E-3</v>
      </c>
      <c r="FD113" s="13">
        <v>3.5699999999999998E-3</v>
      </c>
      <c r="FE113" s="13">
        <v>2.0000000000000001E-4</v>
      </c>
      <c r="FF113" s="13">
        <v>0</v>
      </c>
      <c r="FG113" s="13">
        <v>0</v>
      </c>
      <c r="FH113" s="13">
        <v>0</v>
      </c>
      <c r="FI113" s="13">
        <v>0</v>
      </c>
      <c r="FJ113" s="13">
        <v>0</v>
      </c>
      <c r="FK113" s="13">
        <v>0</v>
      </c>
      <c r="FL113" s="13">
        <v>0</v>
      </c>
    </row>
    <row r="114" spans="1:168" ht="15" x14ac:dyDescent="0.25">
      <c r="A114" s="5" t="s">
        <v>201</v>
      </c>
      <c r="B114" s="5" t="s">
        <v>9</v>
      </c>
      <c r="C114" s="14">
        <v>5.3499999999999997E-3</v>
      </c>
      <c r="D114" s="14">
        <v>5.2100000000000002E-3</v>
      </c>
      <c r="E114" s="14">
        <v>7.6000000000000004E-4</v>
      </c>
      <c r="F114" s="14">
        <v>7.6000000000000004E-4</v>
      </c>
      <c r="G114" s="14">
        <v>1.2E-4</v>
      </c>
      <c r="H114" s="14">
        <v>1.2E-4</v>
      </c>
      <c r="I114" s="14">
        <v>1.0000000000000001E-5</v>
      </c>
      <c r="J114" s="14">
        <v>0</v>
      </c>
      <c r="K114" s="14">
        <v>1.2E-4</v>
      </c>
      <c r="L114" s="14">
        <v>2.0000000000000002E-5</v>
      </c>
      <c r="M114" s="14">
        <v>1.0000000000000001E-5</v>
      </c>
      <c r="N114" s="14">
        <v>0</v>
      </c>
      <c r="O114" s="14">
        <v>4.0000000000000003E-5</v>
      </c>
      <c r="P114" s="14">
        <v>0</v>
      </c>
      <c r="Q114" s="14">
        <v>3.0000000000000001E-5</v>
      </c>
      <c r="R114" s="14">
        <v>1.0000000000000001E-5</v>
      </c>
      <c r="S114" s="14">
        <v>2.9999999999999997E-4</v>
      </c>
      <c r="T114" s="14">
        <v>0</v>
      </c>
      <c r="U114" s="14">
        <v>2.7E-4</v>
      </c>
      <c r="V114" s="14">
        <v>1.2999999999999999E-4</v>
      </c>
      <c r="W114" s="14">
        <v>2.0000000000000002E-5</v>
      </c>
      <c r="X114" s="14">
        <v>1.2E-4</v>
      </c>
      <c r="Y114" s="14">
        <v>0</v>
      </c>
      <c r="Z114" s="14">
        <v>0</v>
      </c>
      <c r="AA114" s="14">
        <v>3.0000000000000001E-5</v>
      </c>
      <c r="AB114" s="14">
        <v>0</v>
      </c>
      <c r="AC114" s="14">
        <v>0</v>
      </c>
      <c r="AD114" s="14">
        <v>2.1000000000000001E-4</v>
      </c>
      <c r="AE114" s="14">
        <v>2.0000000000000002E-5</v>
      </c>
      <c r="AF114" s="14">
        <v>9.0000000000000006E-5</v>
      </c>
      <c r="AG114" s="14">
        <v>1E-4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1.0000000000000001E-5</v>
      </c>
      <c r="AP114" s="14">
        <v>1.0000000000000001E-5</v>
      </c>
      <c r="AQ114" s="14">
        <v>0</v>
      </c>
      <c r="AR114" s="14">
        <v>0</v>
      </c>
      <c r="AS114" s="14">
        <v>0</v>
      </c>
      <c r="AT114" s="14">
        <v>5.9000000000000003E-4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3.6000000000000002E-4</v>
      </c>
      <c r="BA114" s="14">
        <v>0</v>
      </c>
      <c r="BB114" s="14">
        <v>3.5E-4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1.0000000000000001E-5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1.0000000000000001E-5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2.3000000000000001E-4</v>
      </c>
      <c r="CK114" s="14">
        <v>0</v>
      </c>
      <c r="CL114" s="14">
        <v>3.2699999999999999E-3</v>
      </c>
      <c r="CM114" s="14">
        <v>0</v>
      </c>
      <c r="CN114" s="14">
        <v>0</v>
      </c>
      <c r="CO114" s="14">
        <v>0</v>
      </c>
      <c r="CP114" s="14">
        <v>0</v>
      </c>
      <c r="CQ114" s="14">
        <v>0</v>
      </c>
      <c r="CR114" s="14">
        <v>8.7000000000000001E-4</v>
      </c>
      <c r="CS114" s="14">
        <v>3.4000000000000002E-4</v>
      </c>
      <c r="CT114" s="14">
        <v>2.0000000000000002E-5</v>
      </c>
      <c r="CU114" s="14">
        <v>4.0000000000000003E-5</v>
      </c>
      <c r="CV114" s="14">
        <v>1.9000000000000001E-4</v>
      </c>
      <c r="CW114" s="14">
        <v>2.7999999999999998E-4</v>
      </c>
      <c r="CX114" s="14">
        <v>0</v>
      </c>
      <c r="CY114" s="14">
        <v>0</v>
      </c>
      <c r="CZ114" s="14">
        <v>0</v>
      </c>
      <c r="DA114" s="14">
        <v>0</v>
      </c>
      <c r="DB114" s="14">
        <v>0</v>
      </c>
      <c r="DC114" s="14">
        <v>2.3999999999999998E-3</v>
      </c>
      <c r="DD114" s="14">
        <v>1.91E-3</v>
      </c>
      <c r="DE114" s="14">
        <v>5.0000000000000001E-4</v>
      </c>
      <c r="DF114" s="14">
        <v>0</v>
      </c>
      <c r="DG114" s="14">
        <v>0</v>
      </c>
      <c r="DH114" s="14">
        <v>0</v>
      </c>
      <c r="DI114" s="14">
        <v>0</v>
      </c>
      <c r="DJ114" s="14">
        <v>0</v>
      </c>
      <c r="DK114" s="14">
        <v>0</v>
      </c>
      <c r="DL114" s="14">
        <v>0</v>
      </c>
      <c r="DM114" s="14">
        <v>0</v>
      </c>
      <c r="DN114" s="14">
        <v>0</v>
      </c>
      <c r="DO114" s="14">
        <v>0</v>
      </c>
      <c r="DP114" s="14">
        <v>0</v>
      </c>
      <c r="DQ114" s="14">
        <v>1.3999999999999999E-4</v>
      </c>
      <c r="DR114" s="14">
        <v>5.0000000000000002E-5</v>
      </c>
      <c r="DS114" s="14">
        <v>0</v>
      </c>
      <c r="DT114" s="14">
        <v>5.0000000000000002E-5</v>
      </c>
      <c r="DU114" s="14">
        <v>0</v>
      </c>
      <c r="DV114" s="14">
        <v>5.0000000000000002E-5</v>
      </c>
      <c r="DW114" s="14">
        <v>0</v>
      </c>
      <c r="DX114" s="14">
        <v>0</v>
      </c>
      <c r="DY114" s="14">
        <v>5.0000000000000002E-5</v>
      </c>
      <c r="DZ114" s="14">
        <v>0</v>
      </c>
      <c r="EA114" s="14">
        <v>0</v>
      </c>
      <c r="EB114" s="14">
        <v>0</v>
      </c>
      <c r="EC114" s="14">
        <v>0</v>
      </c>
      <c r="ED114" s="14">
        <v>0</v>
      </c>
      <c r="EE114" s="14">
        <v>0</v>
      </c>
      <c r="EF114" s="14">
        <v>0</v>
      </c>
      <c r="EG114" s="14">
        <v>0</v>
      </c>
      <c r="EH114" s="14">
        <v>2.0000000000000002E-5</v>
      </c>
      <c r="EI114" s="14">
        <v>0</v>
      </c>
      <c r="EJ114" s="14">
        <v>0</v>
      </c>
      <c r="EK114" s="14">
        <v>2.0000000000000002E-5</v>
      </c>
      <c r="EL114" s="14">
        <v>2.0000000000000002E-5</v>
      </c>
      <c r="EM114" s="14">
        <v>2.0000000000000002E-5</v>
      </c>
      <c r="EN114" s="14">
        <v>2.0000000000000002E-5</v>
      </c>
      <c r="EO114" s="14">
        <v>0</v>
      </c>
      <c r="EP114" s="14">
        <v>0</v>
      </c>
      <c r="EQ114" s="14">
        <v>0</v>
      </c>
      <c r="ER114" s="14">
        <v>5.9000000000000003E-4</v>
      </c>
      <c r="ES114" s="14">
        <v>0</v>
      </c>
      <c r="ET114" s="14">
        <v>0</v>
      </c>
      <c r="EU114" s="14">
        <v>0</v>
      </c>
      <c r="EV114" s="14">
        <v>0</v>
      </c>
      <c r="EW114" s="14">
        <v>2.9999999999999997E-4</v>
      </c>
      <c r="EX114" s="14">
        <v>2.9999999999999997E-4</v>
      </c>
      <c r="EY114" s="14">
        <v>0</v>
      </c>
      <c r="EZ114" s="14">
        <v>0</v>
      </c>
      <c r="FA114" s="14">
        <v>0</v>
      </c>
      <c r="FB114" s="14">
        <v>0</v>
      </c>
      <c r="FC114" s="14">
        <v>2.9E-4</v>
      </c>
      <c r="FD114" s="14">
        <v>2.7E-4</v>
      </c>
      <c r="FE114" s="14">
        <v>1.0000000000000001E-5</v>
      </c>
      <c r="FF114" s="14">
        <v>0</v>
      </c>
      <c r="FG114" s="14">
        <v>0</v>
      </c>
      <c r="FH114" s="14">
        <v>0</v>
      </c>
      <c r="FI114" s="14">
        <v>0</v>
      </c>
      <c r="FJ114" s="14">
        <v>0</v>
      </c>
      <c r="FK114" s="14">
        <v>0</v>
      </c>
      <c r="FL114" s="14">
        <v>0</v>
      </c>
    </row>
    <row r="115" spans="1:168" ht="15" x14ac:dyDescent="0.25">
      <c r="A115" s="5" t="s">
        <v>202</v>
      </c>
      <c r="B115" s="5" t="s">
        <v>6</v>
      </c>
      <c r="C115" s="13">
        <v>63.305700000000002</v>
      </c>
      <c r="D115" s="13">
        <v>56.121299999999998</v>
      </c>
      <c r="E115" s="13">
        <v>41.984789999999997</v>
      </c>
      <c r="F115" s="13">
        <v>41.859819999999999</v>
      </c>
      <c r="G115" s="13">
        <v>18.649930000000001</v>
      </c>
      <c r="H115" s="13">
        <v>16.69303</v>
      </c>
      <c r="I115" s="13">
        <v>1.65907</v>
      </c>
      <c r="J115" s="13">
        <v>0.29782999999999998</v>
      </c>
      <c r="K115" s="13">
        <v>6.7927099999999996</v>
      </c>
      <c r="L115" s="13">
        <v>0.90934999999999999</v>
      </c>
      <c r="M115" s="13">
        <v>0.11872000000000001</v>
      </c>
      <c r="N115" s="13">
        <v>0.74446999999999997</v>
      </c>
      <c r="O115" s="13">
        <v>2.6676799999999998</v>
      </c>
      <c r="P115" s="13">
        <v>0.12953999999999999</v>
      </c>
      <c r="Q115" s="13">
        <v>0.59977000000000003</v>
      </c>
      <c r="R115" s="13">
        <v>1.6231899999999999</v>
      </c>
      <c r="S115" s="13">
        <v>11.66488</v>
      </c>
      <c r="T115" s="13">
        <v>0.21772</v>
      </c>
      <c r="U115" s="13">
        <v>10.9438</v>
      </c>
      <c r="V115" s="13">
        <v>10.9438</v>
      </c>
      <c r="W115" s="13">
        <v>0</v>
      </c>
      <c r="X115" s="13">
        <v>0</v>
      </c>
      <c r="Y115" s="13">
        <v>0</v>
      </c>
      <c r="Z115" s="13">
        <v>0</v>
      </c>
      <c r="AA115" s="13">
        <v>7.17E-2</v>
      </c>
      <c r="AB115" s="13">
        <v>0.43167</v>
      </c>
      <c r="AC115" s="13">
        <v>0</v>
      </c>
      <c r="AD115" s="13">
        <v>4.0268499999999996</v>
      </c>
      <c r="AE115" s="13">
        <v>1.18621</v>
      </c>
      <c r="AF115" s="13">
        <v>1.3648100000000001</v>
      </c>
      <c r="AG115" s="13">
        <v>1.47583</v>
      </c>
      <c r="AH115" s="13">
        <v>0.72545000000000004</v>
      </c>
      <c r="AI115" s="13">
        <v>0.72545000000000004</v>
      </c>
      <c r="AJ115" s="13">
        <v>0</v>
      </c>
      <c r="AK115" s="13">
        <v>0.12497</v>
      </c>
      <c r="AL115" s="13">
        <v>0</v>
      </c>
      <c r="AM115" s="13">
        <v>0.12497</v>
      </c>
      <c r="AN115" s="13">
        <v>0</v>
      </c>
      <c r="AO115" s="13">
        <v>3.4260999999999999</v>
      </c>
      <c r="AP115" s="13">
        <v>2.4059300000000001</v>
      </c>
      <c r="AQ115" s="13">
        <v>1.02016</v>
      </c>
      <c r="AR115" s="13">
        <v>0</v>
      </c>
      <c r="AS115" s="13">
        <v>41.891669999999998</v>
      </c>
      <c r="AT115" s="13">
        <v>5.6697499999999996</v>
      </c>
      <c r="AU115" s="13">
        <v>1.0615300000000001</v>
      </c>
      <c r="AV115" s="13">
        <v>0.60167999999999999</v>
      </c>
      <c r="AW115" s="13">
        <v>0.30907000000000001</v>
      </c>
      <c r="AX115" s="13">
        <v>2.9299999999999999E-3</v>
      </c>
      <c r="AY115" s="13">
        <v>0.14784</v>
      </c>
      <c r="AZ115" s="13">
        <v>1.2917799999999999</v>
      </c>
      <c r="BA115" s="13">
        <v>0</v>
      </c>
      <c r="BB115" s="13">
        <v>0.18797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2.66E-3</v>
      </c>
      <c r="BI115" s="13">
        <v>0</v>
      </c>
      <c r="BJ115" s="13">
        <v>1.1011500000000001</v>
      </c>
      <c r="BK115" s="13">
        <v>2.0962999999999998</v>
      </c>
      <c r="BL115" s="13">
        <v>2.0739800000000002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2.232E-2</v>
      </c>
      <c r="BS115" s="13">
        <v>0.15919</v>
      </c>
      <c r="BT115" s="13">
        <v>0.12191</v>
      </c>
      <c r="BU115" s="13">
        <v>2.4799999999999999E-2</v>
      </c>
      <c r="BV115" s="13">
        <v>1.248E-2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  <c r="CC115" s="13">
        <v>1.01115</v>
      </c>
      <c r="CD115" s="13">
        <v>0.98258999999999996</v>
      </c>
      <c r="CE115" s="13">
        <v>4.8900000000000002E-3</v>
      </c>
      <c r="CF115" s="13">
        <v>0</v>
      </c>
      <c r="CG115" s="13">
        <v>2.367E-2</v>
      </c>
      <c r="CH115" s="13">
        <v>0</v>
      </c>
      <c r="CI115" s="13">
        <v>0</v>
      </c>
      <c r="CJ115" s="13">
        <v>3.7519999999999998E-2</v>
      </c>
      <c r="CK115" s="13">
        <v>1.2279999999999999E-2</v>
      </c>
      <c r="CL115" s="13">
        <v>6.4043400000000004</v>
      </c>
      <c r="CM115" s="13">
        <v>2.2522199999999999</v>
      </c>
      <c r="CN115" s="13">
        <v>2.0398399999999999</v>
      </c>
      <c r="CO115" s="13">
        <v>3.7440000000000001E-2</v>
      </c>
      <c r="CP115" s="13">
        <v>2.6839999999999999E-2</v>
      </c>
      <c r="CQ115" s="13">
        <v>0.14810000000000001</v>
      </c>
      <c r="CR115" s="13">
        <v>0.96775</v>
      </c>
      <c r="CS115" s="13">
        <v>0.59855999999999998</v>
      </c>
      <c r="CT115" s="13">
        <v>1.227E-2</v>
      </c>
      <c r="CU115" s="13">
        <v>0.13894000000000001</v>
      </c>
      <c r="CV115" s="13">
        <v>0.13125999999999999</v>
      </c>
      <c r="CW115" s="13">
        <v>8.6730000000000002E-2</v>
      </c>
      <c r="CX115" s="13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2.97994</v>
      </c>
      <c r="DD115" s="13">
        <v>2.7036899999999999</v>
      </c>
      <c r="DE115" s="13">
        <v>0.27625</v>
      </c>
      <c r="DF115" s="13">
        <v>0</v>
      </c>
      <c r="DG115" s="13">
        <v>1.92E-3</v>
      </c>
      <c r="DH115" s="13">
        <v>1.92E-3</v>
      </c>
      <c r="DI115" s="13">
        <v>0</v>
      </c>
      <c r="DJ115" s="13">
        <v>0</v>
      </c>
      <c r="DK115" s="13">
        <v>0</v>
      </c>
      <c r="DL115" s="13">
        <v>0</v>
      </c>
      <c r="DM115" s="13">
        <v>0.20102999999999999</v>
      </c>
      <c r="DN115" s="13">
        <v>1.48E-3</v>
      </c>
      <c r="DO115" s="13">
        <v>0</v>
      </c>
      <c r="DP115" s="13">
        <v>0</v>
      </c>
      <c r="DQ115" s="13">
        <v>7.1844000000000001</v>
      </c>
      <c r="DR115" s="13">
        <v>-0.85043999999999997</v>
      </c>
      <c r="DS115" s="13">
        <v>2.39377</v>
      </c>
      <c r="DT115" s="13">
        <v>-0.68688000000000005</v>
      </c>
      <c r="DU115" s="13">
        <v>-0.16356000000000001</v>
      </c>
      <c r="DV115" s="13">
        <v>8.1500299999999992</v>
      </c>
      <c r="DW115" s="13">
        <v>0</v>
      </c>
      <c r="DX115" s="13">
        <v>5.5696599999999998</v>
      </c>
      <c r="DY115" s="13">
        <v>2.5803699999999998</v>
      </c>
      <c r="DZ115" s="13">
        <v>0.79949000000000003</v>
      </c>
      <c r="EA115" s="13">
        <v>0</v>
      </c>
      <c r="EB115" s="13">
        <v>0.50124000000000002</v>
      </c>
      <c r="EC115" s="13">
        <v>0.29826000000000003</v>
      </c>
      <c r="ED115" s="13">
        <v>2.4655</v>
      </c>
      <c r="EE115" s="13">
        <v>0.34375</v>
      </c>
      <c r="EF115" s="13">
        <v>2.2730800000000002</v>
      </c>
      <c r="EG115" s="13">
        <v>0.19241</v>
      </c>
      <c r="EH115" s="13">
        <v>1.2039</v>
      </c>
      <c r="EI115" s="13">
        <v>0</v>
      </c>
      <c r="EJ115" s="13">
        <v>3.47E-3</v>
      </c>
      <c r="EK115" s="13">
        <v>1.2004300000000001</v>
      </c>
      <c r="EL115" s="13">
        <v>0</v>
      </c>
      <c r="EM115" s="13">
        <v>0</v>
      </c>
      <c r="EN115" s="13">
        <v>0</v>
      </c>
      <c r="EO115" s="13">
        <v>0</v>
      </c>
      <c r="EP115" s="13">
        <v>-4.5840899999999998</v>
      </c>
      <c r="EQ115" s="13">
        <v>0</v>
      </c>
      <c r="ER115" s="13">
        <v>2.00746</v>
      </c>
      <c r="ES115" s="13">
        <v>1.64263</v>
      </c>
      <c r="ET115" s="13">
        <v>1.64263</v>
      </c>
      <c r="EU115" s="13">
        <v>0</v>
      </c>
      <c r="EV115" s="13">
        <v>0</v>
      </c>
      <c r="EW115" s="13">
        <v>0.11319</v>
      </c>
      <c r="EX115" s="13">
        <v>0.10163</v>
      </c>
      <c r="EY115" s="13">
        <v>1.1560000000000001E-2</v>
      </c>
      <c r="EZ115" s="13">
        <v>0</v>
      </c>
      <c r="FA115" s="13">
        <v>0</v>
      </c>
      <c r="FB115" s="13">
        <v>0</v>
      </c>
      <c r="FC115" s="13">
        <v>0.25164999999999998</v>
      </c>
      <c r="FD115" s="13">
        <v>0.21612000000000001</v>
      </c>
      <c r="FE115" s="13">
        <v>3.4200000000000001E-2</v>
      </c>
      <c r="FF115" s="13">
        <v>1.33E-3</v>
      </c>
      <c r="FG115" s="13">
        <v>0</v>
      </c>
      <c r="FH115" s="13">
        <v>54.591369999999998</v>
      </c>
      <c r="FI115" s="13">
        <v>3.3279999999999997E-2</v>
      </c>
      <c r="FJ115" s="13">
        <v>2.827E-2</v>
      </c>
      <c r="FK115" s="13">
        <v>0</v>
      </c>
      <c r="FL115" s="13">
        <v>5.4960000000000002E-2</v>
      </c>
    </row>
    <row r="116" spans="1:168" ht="15" x14ac:dyDescent="0.25">
      <c r="A116" s="5" t="s">
        <v>202</v>
      </c>
      <c r="B116" s="5" t="s">
        <v>7</v>
      </c>
      <c r="C116" s="14">
        <v>50.153750000000002</v>
      </c>
      <c r="D116" s="14">
        <v>45.790579999999999</v>
      </c>
      <c r="E116" s="14">
        <v>41.116</v>
      </c>
      <c r="F116" s="14">
        <v>41.025210000000001</v>
      </c>
      <c r="G116" s="14">
        <v>18.365950000000002</v>
      </c>
      <c r="H116" s="14">
        <v>16.427859999999999</v>
      </c>
      <c r="I116" s="14">
        <v>1.6411500000000001</v>
      </c>
      <c r="J116" s="14">
        <v>0.29693999999999998</v>
      </c>
      <c r="K116" s="14">
        <v>6.6284900000000002</v>
      </c>
      <c r="L116" s="14">
        <v>0.90495999999999999</v>
      </c>
      <c r="M116" s="14">
        <v>0.11813</v>
      </c>
      <c r="N116" s="14">
        <v>0.73563999999999996</v>
      </c>
      <c r="O116" s="14">
        <v>2.5500500000000001</v>
      </c>
      <c r="P116" s="14">
        <v>0.12809000000000001</v>
      </c>
      <c r="Q116" s="14">
        <v>0.59531999999999996</v>
      </c>
      <c r="R116" s="14">
        <v>1.5963000000000001</v>
      </c>
      <c r="S116" s="14">
        <v>11.572929999999999</v>
      </c>
      <c r="T116" s="14">
        <v>0.21604999999999999</v>
      </c>
      <c r="U116" s="14">
        <v>10.86082</v>
      </c>
      <c r="V116" s="14">
        <v>10.86082</v>
      </c>
      <c r="W116" s="14">
        <v>0</v>
      </c>
      <c r="X116" s="14">
        <v>0</v>
      </c>
      <c r="Y116" s="14">
        <v>0</v>
      </c>
      <c r="Z116" s="14">
        <v>0</v>
      </c>
      <c r="AA116" s="14">
        <v>7.1279999999999996E-2</v>
      </c>
      <c r="AB116" s="14">
        <v>0.42479</v>
      </c>
      <c r="AC116" s="14">
        <v>0</v>
      </c>
      <c r="AD116" s="14">
        <v>3.7395999999999998</v>
      </c>
      <c r="AE116" s="14">
        <v>1.1719599999999999</v>
      </c>
      <c r="AF116" s="14">
        <v>1.1109</v>
      </c>
      <c r="AG116" s="14">
        <v>1.4567399999999999</v>
      </c>
      <c r="AH116" s="14">
        <v>0.71823999999999999</v>
      </c>
      <c r="AI116" s="14">
        <v>0.71823999999999999</v>
      </c>
      <c r="AJ116" s="14">
        <v>0</v>
      </c>
      <c r="AK116" s="14">
        <v>9.0789999999999996E-2</v>
      </c>
      <c r="AL116" s="14">
        <v>0</v>
      </c>
      <c r="AM116" s="14">
        <v>9.0789999999999996E-2</v>
      </c>
      <c r="AN116" s="14">
        <v>0</v>
      </c>
      <c r="AO116" s="14">
        <v>3.3997299999999999</v>
      </c>
      <c r="AP116" s="14">
        <v>2.3882599999999998</v>
      </c>
      <c r="AQ116" s="14">
        <v>1.0114700000000001</v>
      </c>
      <c r="AR116" s="14">
        <v>0</v>
      </c>
      <c r="AS116" s="14">
        <v>41.891669999999998</v>
      </c>
      <c r="AT116" s="14">
        <v>4.4171100000000001</v>
      </c>
      <c r="AU116" s="14">
        <v>1.0615300000000001</v>
      </c>
      <c r="AV116" s="14">
        <v>0.60167999999999999</v>
      </c>
      <c r="AW116" s="14">
        <v>0.30907000000000001</v>
      </c>
      <c r="AX116" s="14">
        <v>2.9299999999999999E-3</v>
      </c>
      <c r="AY116" s="14">
        <v>0.14784</v>
      </c>
      <c r="AZ116" s="14">
        <v>1.1011500000000001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1.1011500000000001</v>
      </c>
      <c r="BK116" s="14">
        <v>2.0962999999999998</v>
      </c>
      <c r="BL116" s="14">
        <v>2.0739800000000002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2.232E-2</v>
      </c>
      <c r="BS116" s="14">
        <v>0.15812999999999999</v>
      </c>
      <c r="BT116" s="14">
        <v>0.12085</v>
      </c>
      <c r="BU116" s="14">
        <v>2.4799999999999999E-2</v>
      </c>
      <c r="BV116" s="14">
        <v>1.248E-2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0.20251</v>
      </c>
      <c r="CM116" s="14">
        <v>0</v>
      </c>
      <c r="CN116" s="14">
        <v>0</v>
      </c>
      <c r="CO116" s="14">
        <v>0</v>
      </c>
      <c r="CP116" s="14">
        <v>0</v>
      </c>
      <c r="CQ116" s="14">
        <v>0</v>
      </c>
      <c r="CR116" s="14">
        <v>0</v>
      </c>
      <c r="CS116" s="14">
        <v>0</v>
      </c>
      <c r="CT116" s="14">
        <v>0</v>
      </c>
      <c r="CU116" s="14">
        <v>0</v>
      </c>
      <c r="CV116" s="14">
        <v>0</v>
      </c>
      <c r="CW116" s="14">
        <v>0</v>
      </c>
      <c r="CX116" s="14">
        <v>0</v>
      </c>
      <c r="CY116" s="14">
        <v>0</v>
      </c>
      <c r="CZ116" s="14">
        <v>0</v>
      </c>
      <c r="DA116" s="14">
        <v>0</v>
      </c>
      <c r="DB116" s="14">
        <v>0</v>
      </c>
      <c r="DC116" s="14">
        <v>0</v>
      </c>
      <c r="DD116" s="14">
        <v>0</v>
      </c>
      <c r="DE116" s="14">
        <v>0</v>
      </c>
      <c r="DF116" s="14">
        <v>0</v>
      </c>
      <c r="DG116" s="14">
        <v>0</v>
      </c>
      <c r="DH116" s="14">
        <v>0</v>
      </c>
      <c r="DI116" s="14">
        <v>0</v>
      </c>
      <c r="DJ116" s="14">
        <v>0</v>
      </c>
      <c r="DK116" s="14">
        <v>0</v>
      </c>
      <c r="DL116" s="14">
        <v>0</v>
      </c>
      <c r="DM116" s="14">
        <v>0.20102999999999999</v>
      </c>
      <c r="DN116" s="14">
        <v>1.48E-3</v>
      </c>
      <c r="DO116" s="14">
        <v>0</v>
      </c>
      <c r="DP116" s="14">
        <v>0</v>
      </c>
      <c r="DQ116" s="14">
        <v>4.3631700000000002</v>
      </c>
      <c r="DR116" s="14">
        <v>-3.2993999999999999</v>
      </c>
      <c r="DS116" s="14">
        <v>0</v>
      </c>
      <c r="DT116" s="14">
        <v>-3.1028600000000002</v>
      </c>
      <c r="DU116" s="14">
        <v>-0.19653999999999999</v>
      </c>
      <c r="DV116" s="14">
        <v>8.1439599999999999</v>
      </c>
      <c r="DW116" s="14">
        <v>0</v>
      </c>
      <c r="DX116" s="14">
        <v>5.5696599999999998</v>
      </c>
      <c r="DY116" s="14">
        <v>2.5743</v>
      </c>
      <c r="DZ116" s="14">
        <v>0.79854000000000003</v>
      </c>
      <c r="EA116" s="14">
        <v>0</v>
      </c>
      <c r="EB116" s="14">
        <v>0.50117999999999996</v>
      </c>
      <c r="EC116" s="14">
        <v>0.29736000000000001</v>
      </c>
      <c r="ED116" s="14">
        <v>2.12174</v>
      </c>
      <c r="EE116" s="14">
        <v>0</v>
      </c>
      <c r="EF116" s="14">
        <v>1.9417</v>
      </c>
      <c r="EG116" s="14">
        <v>0.18004000000000001</v>
      </c>
      <c r="EH116" s="14">
        <v>1.18241</v>
      </c>
      <c r="EI116" s="14">
        <v>0</v>
      </c>
      <c r="EJ116" s="14">
        <v>0</v>
      </c>
      <c r="EK116" s="14">
        <v>1.18241</v>
      </c>
      <c r="EL116" s="14">
        <v>0</v>
      </c>
      <c r="EM116" s="14">
        <v>0</v>
      </c>
      <c r="EN116" s="14">
        <v>0</v>
      </c>
      <c r="EO116" s="14">
        <v>0</v>
      </c>
      <c r="EP116" s="14">
        <v>-4.5840899999999998</v>
      </c>
      <c r="EQ116" s="14">
        <v>0</v>
      </c>
      <c r="ER116" s="14">
        <v>0</v>
      </c>
      <c r="ES116" s="14">
        <v>0</v>
      </c>
      <c r="ET116" s="14">
        <v>0</v>
      </c>
      <c r="EU116" s="14">
        <v>0</v>
      </c>
      <c r="EV116" s="14">
        <v>0</v>
      </c>
      <c r="EW116" s="14">
        <v>0</v>
      </c>
      <c r="EX116" s="14">
        <v>0</v>
      </c>
      <c r="EY116" s="14">
        <v>0</v>
      </c>
      <c r="EZ116" s="14">
        <v>0</v>
      </c>
      <c r="FA116" s="14">
        <v>0</v>
      </c>
      <c r="FB116" s="14">
        <v>0</v>
      </c>
      <c r="FC116" s="14">
        <v>0</v>
      </c>
      <c r="FD116" s="14">
        <v>0</v>
      </c>
      <c r="FE116" s="14">
        <v>0</v>
      </c>
      <c r="FF116" s="14">
        <v>0</v>
      </c>
      <c r="FG116" s="14">
        <v>0</v>
      </c>
      <c r="FH116" s="14">
        <v>54.591369999999998</v>
      </c>
      <c r="FI116" s="14">
        <v>3.3279999999999997E-2</v>
      </c>
      <c r="FJ116" s="14">
        <v>2.827E-2</v>
      </c>
      <c r="FK116" s="14">
        <v>0</v>
      </c>
      <c r="FL116" s="14">
        <v>5.4960000000000002E-2</v>
      </c>
    </row>
    <row r="117" spans="1:168" ht="15" x14ac:dyDescent="0.25">
      <c r="A117" s="5" t="s">
        <v>202</v>
      </c>
      <c r="B117" s="5" t="s">
        <v>8</v>
      </c>
      <c r="C117" s="13">
        <v>0.21906999999999999</v>
      </c>
      <c r="D117" s="13">
        <v>0.18360000000000001</v>
      </c>
      <c r="E117" s="13">
        <v>1.2189999999999999E-2</v>
      </c>
      <c r="F117" s="13">
        <v>1.0999999999999999E-2</v>
      </c>
      <c r="G117" s="13">
        <v>1.24E-3</v>
      </c>
      <c r="H117" s="13">
        <v>1.1999999999999999E-3</v>
      </c>
      <c r="I117" s="13">
        <v>3.0000000000000001E-5</v>
      </c>
      <c r="J117" s="13">
        <v>0</v>
      </c>
      <c r="K117" s="13">
        <v>8.8999999999999995E-4</v>
      </c>
      <c r="L117" s="13">
        <v>1.0000000000000001E-5</v>
      </c>
      <c r="M117" s="13">
        <v>0</v>
      </c>
      <c r="N117" s="13">
        <v>3.0000000000000001E-5</v>
      </c>
      <c r="O117" s="13">
        <v>3.2000000000000003E-4</v>
      </c>
      <c r="P117" s="13">
        <v>1.0000000000000001E-5</v>
      </c>
      <c r="Q117" s="13">
        <v>1.0000000000000001E-5</v>
      </c>
      <c r="R117" s="13">
        <v>5.0000000000000001E-4</v>
      </c>
      <c r="S117" s="13">
        <v>5.4000000000000001E-4</v>
      </c>
      <c r="T117" s="13">
        <v>0</v>
      </c>
      <c r="U117" s="13">
        <v>3.8000000000000002E-4</v>
      </c>
      <c r="V117" s="13">
        <v>3.8000000000000002E-4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1.4999999999999999E-4</v>
      </c>
      <c r="AC117" s="13">
        <v>0</v>
      </c>
      <c r="AD117" s="13">
        <v>8.2400000000000008E-3</v>
      </c>
      <c r="AE117" s="13">
        <v>1.9000000000000001E-4</v>
      </c>
      <c r="AF117" s="13">
        <v>7.7600000000000004E-3</v>
      </c>
      <c r="AG117" s="13">
        <v>2.7999999999999998E-4</v>
      </c>
      <c r="AH117" s="13">
        <v>1E-4</v>
      </c>
      <c r="AI117" s="13">
        <v>1E-4</v>
      </c>
      <c r="AJ117" s="13">
        <v>0</v>
      </c>
      <c r="AK117" s="13">
        <v>1.1900000000000001E-3</v>
      </c>
      <c r="AL117" s="13">
        <v>0</v>
      </c>
      <c r="AM117" s="13">
        <v>1.1900000000000001E-3</v>
      </c>
      <c r="AN117" s="13">
        <v>0</v>
      </c>
      <c r="AO117" s="13">
        <v>1E-4</v>
      </c>
      <c r="AP117" s="13">
        <v>1.0000000000000001E-5</v>
      </c>
      <c r="AQ117" s="13">
        <v>9.0000000000000006E-5</v>
      </c>
      <c r="AR117" s="13">
        <v>0</v>
      </c>
      <c r="AS117" s="13">
        <v>0</v>
      </c>
      <c r="AT117" s="13">
        <v>1E-4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1E-4</v>
      </c>
      <c r="BA117" s="13">
        <v>0</v>
      </c>
      <c r="BB117" s="13">
        <v>0</v>
      </c>
      <c r="BC117" s="13">
        <v>0</v>
      </c>
      <c r="BD117" s="13">
        <v>0</v>
      </c>
      <c r="BE117" s="13">
        <v>0</v>
      </c>
      <c r="BF117" s="13">
        <v>0</v>
      </c>
      <c r="BG117" s="13">
        <v>0</v>
      </c>
      <c r="BH117" s="13">
        <v>1E-4</v>
      </c>
      <c r="BI117" s="13">
        <v>0</v>
      </c>
      <c r="BJ117" s="13">
        <v>0</v>
      </c>
      <c r="BK117" s="13">
        <v>0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1.0000000000000001E-5</v>
      </c>
      <c r="BT117" s="13">
        <v>1.0000000000000001E-5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0</v>
      </c>
      <c r="CG117" s="13">
        <v>0</v>
      </c>
      <c r="CH117" s="13">
        <v>0</v>
      </c>
      <c r="CI117" s="13">
        <v>0</v>
      </c>
      <c r="CJ117" s="13">
        <v>0</v>
      </c>
      <c r="CK117" s="13">
        <v>0</v>
      </c>
      <c r="CL117" s="13">
        <v>0.10333000000000001</v>
      </c>
      <c r="CM117" s="13">
        <v>8.0439999999999998E-2</v>
      </c>
      <c r="CN117" s="13">
        <v>7.2849999999999998E-2</v>
      </c>
      <c r="CO117" s="13">
        <v>1.34E-3</v>
      </c>
      <c r="CP117" s="13">
        <v>9.6000000000000002E-4</v>
      </c>
      <c r="CQ117" s="13">
        <v>5.2900000000000004E-3</v>
      </c>
      <c r="CR117" s="13">
        <v>2.2839999999999999E-2</v>
      </c>
      <c r="CS117" s="13">
        <v>1.4930000000000001E-2</v>
      </c>
      <c r="CT117" s="13">
        <v>3.2000000000000003E-4</v>
      </c>
      <c r="CU117" s="13">
        <v>4.5100000000000001E-3</v>
      </c>
      <c r="CV117" s="13">
        <v>3.0699999999999998E-3</v>
      </c>
      <c r="CW117" s="13">
        <v>0</v>
      </c>
      <c r="CX117" s="13">
        <v>0</v>
      </c>
      <c r="CY117" s="13">
        <v>0</v>
      </c>
      <c r="CZ117" s="13">
        <v>0</v>
      </c>
      <c r="DA117" s="13">
        <v>0</v>
      </c>
      <c r="DB117" s="13">
        <v>0</v>
      </c>
      <c r="DC117" s="13">
        <v>0</v>
      </c>
      <c r="DD117" s="13">
        <v>0</v>
      </c>
      <c r="DE117" s="13">
        <v>0</v>
      </c>
      <c r="DF117" s="13">
        <v>0</v>
      </c>
      <c r="DG117" s="13">
        <v>6.0000000000000002E-5</v>
      </c>
      <c r="DH117" s="13">
        <v>6.0000000000000002E-5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0</v>
      </c>
      <c r="DQ117" s="13">
        <v>3.5470000000000002E-2</v>
      </c>
      <c r="DR117" s="13">
        <v>2.6280000000000001E-2</v>
      </c>
      <c r="DS117" s="13">
        <v>2.623E-2</v>
      </c>
      <c r="DT117" s="13">
        <v>2.5950000000000001E-2</v>
      </c>
      <c r="DU117" s="13">
        <v>3.3E-4</v>
      </c>
      <c r="DV117" s="13">
        <v>0</v>
      </c>
      <c r="DW117" s="13">
        <v>0</v>
      </c>
      <c r="DX117" s="13">
        <v>0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9.1999999999999998E-3</v>
      </c>
      <c r="EE117" s="13">
        <v>9.1999999999999998E-3</v>
      </c>
      <c r="EF117" s="13">
        <v>8.94E-3</v>
      </c>
      <c r="EG117" s="13">
        <v>2.5999999999999998E-4</v>
      </c>
      <c r="EH117" s="13">
        <v>0</v>
      </c>
      <c r="EI117" s="13">
        <v>0</v>
      </c>
      <c r="EJ117" s="13">
        <v>0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0</v>
      </c>
      <c r="EQ117" s="13">
        <v>0</v>
      </c>
      <c r="ER117" s="13">
        <v>6.7979999999999999E-2</v>
      </c>
      <c r="ES117" s="13">
        <v>5.867E-2</v>
      </c>
      <c r="ET117" s="13">
        <v>5.867E-2</v>
      </c>
      <c r="EU117" s="13">
        <v>0</v>
      </c>
      <c r="EV117" s="13">
        <v>0</v>
      </c>
      <c r="EW117" s="13">
        <v>2.7299999999999998E-3</v>
      </c>
      <c r="EX117" s="13">
        <v>2.31E-3</v>
      </c>
      <c r="EY117" s="13">
        <v>4.0999999999999999E-4</v>
      </c>
      <c r="EZ117" s="13">
        <v>0</v>
      </c>
      <c r="FA117" s="13">
        <v>0</v>
      </c>
      <c r="FB117" s="13">
        <v>0</v>
      </c>
      <c r="FC117" s="13">
        <v>6.5799999999999999E-3</v>
      </c>
      <c r="FD117" s="13">
        <v>5.7099999999999998E-3</v>
      </c>
      <c r="FE117" s="13">
        <v>8.7000000000000001E-4</v>
      </c>
      <c r="FF117" s="13">
        <v>0</v>
      </c>
      <c r="FG117" s="13">
        <v>0</v>
      </c>
      <c r="FH117" s="13">
        <v>0</v>
      </c>
      <c r="FI117" s="13">
        <v>0</v>
      </c>
      <c r="FJ117" s="13">
        <v>0</v>
      </c>
      <c r="FK117" s="13">
        <v>0</v>
      </c>
      <c r="FL117" s="13">
        <v>0</v>
      </c>
    </row>
    <row r="118" spans="1:168" ht="15" x14ac:dyDescent="0.25">
      <c r="A118" s="5" t="s">
        <v>202</v>
      </c>
      <c r="B118" s="5" t="s">
        <v>9</v>
      </c>
      <c r="C118" s="14">
        <v>2.256E-2</v>
      </c>
      <c r="D118" s="14">
        <v>1.566E-2</v>
      </c>
      <c r="E118" s="14">
        <v>1.99E-3</v>
      </c>
      <c r="F118" s="14">
        <v>1.99E-3</v>
      </c>
      <c r="G118" s="14">
        <v>9.3999999999999997E-4</v>
      </c>
      <c r="H118" s="14">
        <v>8.7000000000000001E-4</v>
      </c>
      <c r="I118" s="14">
        <v>6.0000000000000002E-5</v>
      </c>
      <c r="J118" s="14">
        <v>0</v>
      </c>
      <c r="K118" s="14">
        <v>5.2999999999999998E-4</v>
      </c>
      <c r="L118" s="14">
        <v>2.0000000000000002E-5</v>
      </c>
      <c r="M118" s="14">
        <v>0</v>
      </c>
      <c r="N118" s="14">
        <v>3.0000000000000001E-5</v>
      </c>
      <c r="O118" s="14">
        <v>4.0999999999999999E-4</v>
      </c>
      <c r="P118" s="14">
        <v>0</v>
      </c>
      <c r="Q118" s="14">
        <v>2.0000000000000002E-5</v>
      </c>
      <c r="R118" s="14">
        <v>5.0000000000000002E-5</v>
      </c>
      <c r="S118" s="14">
        <v>2.9E-4</v>
      </c>
      <c r="T118" s="14">
        <v>1.0000000000000001E-5</v>
      </c>
      <c r="U118" s="14">
        <v>2.7E-4</v>
      </c>
      <c r="V118" s="14">
        <v>2.7E-4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1.0000000000000001E-5</v>
      </c>
      <c r="AC118" s="14">
        <v>0</v>
      </c>
      <c r="AD118" s="14">
        <v>2.1000000000000001E-4</v>
      </c>
      <c r="AE118" s="14">
        <v>3.0000000000000001E-5</v>
      </c>
      <c r="AF118" s="14">
        <v>1.3999999999999999E-4</v>
      </c>
      <c r="AG118" s="14">
        <v>4.0000000000000003E-5</v>
      </c>
      <c r="AH118" s="14">
        <v>2.0000000000000002E-5</v>
      </c>
      <c r="AI118" s="14">
        <v>2.0000000000000002E-5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9.0000000000000006E-5</v>
      </c>
      <c r="AP118" s="14">
        <v>6.9999999999999994E-5</v>
      </c>
      <c r="AQ118" s="14">
        <v>2.0000000000000002E-5</v>
      </c>
      <c r="AR118" s="14">
        <v>0</v>
      </c>
      <c r="AS118" s="14">
        <v>0</v>
      </c>
      <c r="AT118" s="14">
        <v>7.9000000000000001E-4</v>
      </c>
      <c r="AU118" s="14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7.1000000000000002E-4</v>
      </c>
      <c r="BA118" s="14">
        <v>0</v>
      </c>
      <c r="BB118" s="14">
        <v>7.1000000000000002E-4</v>
      </c>
      <c r="BC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0</v>
      </c>
      <c r="BJ118" s="14">
        <v>0</v>
      </c>
      <c r="BK118" s="14">
        <v>0</v>
      </c>
      <c r="BL118" s="14">
        <v>0</v>
      </c>
      <c r="BM118" s="14">
        <v>0</v>
      </c>
      <c r="BN118" s="14">
        <v>0</v>
      </c>
      <c r="BO118" s="14">
        <v>0</v>
      </c>
      <c r="BP118" s="14">
        <v>0</v>
      </c>
      <c r="BQ118" s="14">
        <v>0</v>
      </c>
      <c r="BR118" s="14">
        <v>0</v>
      </c>
      <c r="BS118" s="14">
        <v>0</v>
      </c>
      <c r="BT118" s="14">
        <v>0</v>
      </c>
      <c r="BU118" s="14">
        <v>0</v>
      </c>
      <c r="BV118" s="14">
        <v>0</v>
      </c>
      <c r="BW118" s="14">
        <v>0</v>
      </c>
      <c r="BX118" s="14">
        <v>0</v>
      </c>
      <c r="BY118" s="14">
        <v>0</v>
      </c>
      <c r="BZ118" s="14">
        <v>0</v>
      </c>
      <c r="CA118" s="14">
        <v>0</v>
      </c>
      <c r="CB118" s="14">
        <v>0</v>
      </c>
      <c r="CC118" s="14">
        <v>0</v>
      </c>
      <c r="CD118" s="14">
        <v>0</v>
      </c>
      <c r="CE118" s="14">
        <v>0</v>
      </c>
      <c r="CF118" s="14">
        <v>0</v>
      </c>
      <c r="CG118" s="14">
        <v>0</v>
      </c>
      <c r="CH118" s="14">
        <v>0</v>
      </c>
      <c r="CI118" s="14">
        <v>0</v>
      </c>
      <c r="CJ118" s="14">
        <v>8.0000000000000007E-5</v>
      </c>
      <c r="CK118" s="14">
        <v>0</v>
      </c>
      <c r="CL118" s="14">
        <v>1.2489999999999999E-2</v>
      </c>
      <c r="CM118" s="14">
        <v>0</v>
      </c>
      <c r="CN118" s="14">
        <v>0</v>
      </c>
      <c r="CO118" s="14">
        <v>0</v>
      </c>
      <c r="CP118" s="14">
        <v>0</v>
      </c>
      <c r="CQ118" s="14">
        <v>0</v>
      </c>
      <c r="CR118" s="14">
        <v>1.24E-3</v>
      </c>
      <c r="CS118" s="14">
        <v>6.8000000000000005E-4</v>
      </c>
      <c r="CT118" s="14">
        <v>1.0000000000000001E-5</v>
      </c>
      <c r="CU118" s="14">
        <v>5.0000000000000002E-5</v>
      </c>
      <c r="CV118" s="14">
        <v>1.7000000000000001E-4</v>
      </c>
      <c r="CW118" s="14">
        <v>3.3E-4</v>
      </c>
      <c r="CX118" s="14">
        <v>0</v>
      </c>
      <c r="CY118" s="14">
        <v>0</v>
      </c>
      <c r="CZ118" s="14">
        <v>0</v>
      </c>
      <c r="DA118" s="14">
        <v>0</v>
      </c>
      <c r="DB118" s="14">
        <v>0</v>
      </c>
      <c r="DC118" s="14">
        <v>1.125E-2</v>
      </c>
      <c r="DD118" s="14">
        <v>1.0200000000000001E-2</v>
      </c>
      <c r="DE118" s="14">
        <v>1.0399999999999999E-3</v>
      </c>
      <c r="DF118" s="14">
        <v>0</v>
      </c>
      <c r="DG118" s="14">
        <v>0</v>
      </c>
      <c r="DH118" s="14">
        <v>0</v>
      </c>
      <c r="DI118" s="14">
        <v>0</v>
      </c>
      <c r="DJ118" s="14">
        <v>0</v>
      </c>
      <c r="DK118" s="14">
        <v>0</v>
      </c>
      <c r="DL118" s="14">
        <v>0</v>
      </c>
      <c r="DM118" s="14">
        <v>0</v>
      </c>
      <c r="DN118" s="14">
        <v>0</v>
      </c>
      <c r="DO118" s="14">
        <v>0</v>
      </c>
      <c r="DP118" s="14">
        <v>0</v>
      </c>
      <c r="DQ118" s="14">
        <v>6.8999999999999999E-3</v>
      </c>
      <c r="DR118" s="14">
        <v>6.4599999999999996E-3</v>
      </c>
      <c r="DS118" s="14">
        <v>6.2599999999999999E-3</v>
      </c>
      <c r="DT118" s="14">
        <v>6.3699999999999998E-3</v>
      </c>
      <c r="DU118" s="14">
        <v>9.0000000000000006E-5</v>
      </c>
      <c r="DV118" s="14">
        <v>2.0000000000000002E-5</v>
      </c>
      <c r="DW118" s="14">
        <v>0</v>
      </c>
      <c r="DX118" s="14">
        <v>0</v>
      </c>
      <c r="DY118" s="14">
        <v>2.0000000000000002E-5</v>
      </c>
      <c r="DZ118" s="14">
        <v>0</v>
      </c>
      <c r="EA118" s="14">
        <v>0</v>
      </c>
      <c r="EB118" s="14">
        <v>0</v>
      </c>
      <c r="EC118" s="14">
        <v>0</v>
      </c>
      <c r="ED118" s="14">
        <v>3.3E-4</v>
      </c>
      <c r="EE118" s="14">
        <v>3.3E-4</v>
      </c>
      <c r="EF118" s="14">
        <v>3.1E-4</v>
      </c>
      <c r="EG118" s="14">
        <v>2.0000000000000002E-5</v>
      </c>
      <c r="EH118" s="14">
        <v>8.0000000000000007E-5</v>
      </c>
      <c r="EI118" s="14">
        <v>0</v>
      </c>
      <c r="EJ118" s="14">
        <v>1.0000000000000001E-5</v>
      </c>
      <c r="EK118" s="14">
        <v>6.9999999999999994E-5</v>
      </c>
      <c r="EL118" s="14">
        <v>0</v>
      </c>
      <c r="EM118" s="14">
        <v>0</v>
      </c>
      <c r="EN118" s="14">
        <v>0</v>
      </c>
      <c r="EO118" s="14">
        <v>0</v>
      </c>
      <c r="EP118" s="14">
        <v>0</v>
      </c>
      <c r="EQ118" s="14">
        <v>0</v>
      </c>
      <c r="ER118" s="14">
        <v>3.8999999999999999E-4</v>
      </c>
      <c r="ES118" s="14">
        <v>0</v>
      </c>
      <c r="ET118" s="14">
        <v>0</v>
      </c>
      <c r="EU118" s="14">
        <v>0</v>
      </c>
      <c r="EV118" s="14">
        <v>0</v>
      </c>
      <c r="EW118" s="14">
        <v>1.3999999999999999E-4</v>
      </c>
      <c r="EX118" s="14">
        <v>1.3999999999999999E-4</v>
      </c>
      <c r="EY118" s="14">
        <v>0</v>
      </c>
      <c r="EZ118" s="14">
        <v>0</v>
      </c>
      <c r="FA118" s="14">
        <v>0</v>
      </c>
      <c r="FB118" s="14">
        <v>0</v>
      </c>
      <c r="FC118" s="14">
        <v>2.5000000000000001E-4</v>
      </c>
      <c r="FD118" s="14">
        <v>2.1000000000000001E-4</v>
      </c>
      <c r="FE118" s="14">
        <v>4.0000000000000003E-5</v>
      </c>
      <c r="FF118" s="14">
        <v>1.0000000000000001E-5</v>
      </c>
      <c r="FG118" s="14">
        <v>0</v>
      </c>
      <c r="FH118" s="14">
        <v>0</v>
      </c>
      <c r="FI118" s="14">
        <v>0</v>
      </c>
      <c r="FJ118" s="14">
        <v>0</v>
      </c>
      <c r="FK118" s="14">
        <v>0</v>
      </c>
      <c r="FL118" s="14">
        <v>0</v>
      </c>
    </row>
    <row r="119" spans="1:168" ht="15" x14ac:dyDescent="0.25">
      <c r="A119" s="5" t="s">
        <v>203</v>
      </c>
      <c r="B119" s="5" t="s">
        <v>6</v>
      </c>
      <c r="C119" s="13">
        <v>11.653510000000001</v>
      </c>
      <c r="D119" s="13">
        <v>51.434330000000003</v>
      </c>
      <c r="E119" s="13">
        <v>36.594050000000003</v>
      </c>
      <c r="F119" s="13">
        <v>35.669989999999999</v>
      </c>
      <c r="G119" s="13">
        <v>9.52041</v>
      </c>
      <c r="H119" s="13">
        <v>6.9574499999999997</v>
      </c>
      <c r="I119" s="13">
        <v>2.20086</v>
      </c>
      <c r="J119" s="13">
        <v>0.36209999999999998</v>
      </c>
      <c r="K119" s="13">
        <v>6.6870000000000003</v>
      </c>
      <c r="L119" s="13">
        <v>1.3418300000000001</v>
      </c>
      <c r="M119" s="13">
        <v>9.9659999999999999E-2</v>
      </c>
      <c r="N119" s="13">
        <v>0.55647999999999997</v>
      </c>
      <c r="O119" s="13">
        <v>0.85924</v>
      </c>
      <c r="P119" s="13">
        <v>0.31647999999999998</v>
      </c>
      <c r="Q119" s="13">
        <v>0.36608000000000002</v>
      </c>
      <c r="R119" s="13">
        <v>1.0912900000000001</v>
      </c>
      <c r="S119" s="13">
        <v>17.303439999999998</v>
      </c>
      <c r="T119" s="13">
        <v>0.55579999999999996</v>
      </c>
      <c r="U119" s="13">
        <v>15.69187</v>
      </c>
      <c r="V119" s="13">
        <v>10.610099999999999</v>
      </c>
      <c r="W119" s="13">
        <v>1.5370600000000001</v>
      </c>
      <c r="X119" s="13">
        <v>3.4547300000000001</v>
      </c>
      <c r="Y119" s="13">
        <v>8.9990000000000001E-2</v>
      </c>
      <c r="Z119" s="13">
        <v>0</v>
      </c>
      <c r="AA119" s="13">
        <v>4.4420000000000001E-2</v>
      </c>
      <c r="AB119" s="13">
        <v>0.71070999999999995</v>
      </c>
      <c r="AC119" s="13">
        <v>0.30064000000000002</v>
      </c>
      <c r="AD119" s="13">
        <v>2.1591399999999998</v>
      </c>
      <c r="AE119" s="13">
        <v>0.58945999999999998</v>
      </c>
      <c r="AF119" s="13">
        <v>0.56374999999999997</v>
      </c>
      <c r="AG119" s="13">
        <v>1.0059199999999999</v>
      </c>
      <c r="AH119" s="13">
        <v>0</v>
      </c>
      <c r="AI119" s="13">
        <v>0</v>
      </c>
      <c r="AJ119" s="13">
        <v>0</v>
      </c>
      <c r="AK119" s="13">
        <v>0.92405999999999999</v>
      </c>
      <c r="AL119" s="13">
        <v>7.0099999999999997E-3</v>
      </c>
      <c r="AM119" s="13">
        <v>0.91705000000000003</v>
      </c>
      <c r="AN119" s="13">
        <v>0</v>
      </c>
      <c r="AO119" s="13">
        <v>8.6907399999999999</v>
      </c>
      <c r="AP119" s="13">
        <v>2.9599299999999999</v>
      </c>
      <c r="AQ119" s="13">
        <v>5.73081</v>
      </c>
      <c r="AR119" s="13">
        <v>0</v>
      </c>
      <c r="AS119" s="13">
        <v>50.479640000000003</v>
      </c>
      <c r="AT119" s="13">
        <v>7.1160199999999998</v>
      </c>
      <c r="AU119" s="13">
        <v>2.0301300000000002</v>
      </c>
      <c r="AV119" s="13">
        <v>1.6071800000000001</v>
      </c>
      <c r="AW119" s="13">
        <v>0.38821</v>
      </c>
      <c r="AX119" s="13">
        <v>1.6049999999999998E-2</v>
      </c>
      <c r="AY119" s="13">
        <v>1.8689999999999998E-2</v>
      </c>
      <c r="AZ119" s="13">
        <v>0.89812000000000003</v>
      </c>
      <c r="BA119" s="13">
        <v>0</v>
      </c>
      <c r="BB119" s="13">
        <v>2.7230000000000001E-2</v>
      </c>
      <c r="BC119" s="13">
        <v>0</v>
      </c>
      <c r="BD119" s="13">
        <v>0</v>
      </c>
      <c r="BE119" s="13">
        <v>4.5629999999999997E-2</v>
      </c>
      <c r="BF119" s="13">
        <v>0</v>
      </c>
      <c r="BG119" s="13">
        <v>0</v>
      </c>
      <c r="BH119" s="13">
        <v>0</v>
      </c>
      <c r="BI119" s="13">
        <v>0</v>
      </c>
      <c r="BJ119" s="13">
        <v>0.82525999999999999</v>
      </c>
      <c r="BK119" s="13">
        <v>2.6734499999999999</v>
      </c>
      <c r="BL119" s="13">
        <v>1.9791799999999999</v>
      </c>
      <c r="BM119" s="13">
        <v>0</v>
      </c>
      <c r="BN119" s="13">
        <v>0.24302000000000001</v>
      </c>
      <c r="BO119" s="13">
        <v>3.6999999999999999E-4</v>
      </c>
      <c r="BP119" s="13">
        <v>0</v>
      </c>
      <c r="BQ119" s="13">
        <v>0</v>
      </c>
      <c r="BR119" s="13">
        <v>0</v>
      </c>
      <c r="BS119" s="13">
        <v>0.30914000000000003</v>
      </c>
      <c r="BT119" s="13">
        <v>0.23599999999999999</v>
      </c>
      <c r="BU119" s="13">
        <v>3.6580000000000001E-2</v>
      </c>
      <c r="BV119" s="13">
        <v>3.6560000000000002E-2</v>
      </c>
      <c r="BW119" s="13">
        <v>0</v>
      </c>
      <c r="BX119" s="13">
        <v>0</v>
      </c>
      <c r="BY119" s="13">
        <v>0</v>
      </c>
      <c r="BZ119" s="13">
        <v>0</v>
      </c>
      <c r="CA119" s="13">
        <v>0</v>
      </c>
      <c r="CB119" s="13">
        <v>0</v>
      </c>
      <c r="CC119" s="13">
        <v>0.98631000000000002</v>
      </c>
      <c r="CD119" s="13">
        <v>0.93215999999999999</v>
      </c>
      <c r="CE119" s="13">
        <v>3.1329999999999997E-2</v>
      </c>
      <c r="CF119" s="13">
        <v>1.5299999999999999E-3</v>
      </c>
      <c r="CG119" s="13">
        <v>2.129E-2</v>
      </c>
      <c r="CH119" s="13">
        <v>0</v>
      </c>
      <c r="CI119" s="13">
        <v>0</v>
      </c>
      <c r="CJ119" s="13">
        <v>0.11277</v>
      </c>
      <c r="CK119" s="13">
        <v>0.10611</v>
      </c>
      <c r="CL119" s="13">
        <v>6.32559</v>
      </c>
      <c r="CM119" s="13">
        <v>3.3881399999999999</v>
      </c>
      <c r="CN119" s="13">
        <v>2.90923</v>
      </c>
      <c r="CO119" s="13">
        <v>0.14796000000000001</v>
      </c>
      <c r="CP119" s="13">
        <v>6.0789999999999997E-2</v>
      </c>
      <c r="CQ119" s="13">
        <v>0.27017000000000002</v>
      </c>
      <c r="CR119" s="13">
        <v>0.60787000000000002</v>
      </c>
      <c r="CS119" s="13">
        <v>0.37124000000000001</v>
      </c>
      <c r="CT119" s="13">
        <v>1.172E-2</v>
      </c>
      <c r="CU119" s="13">
        <v>5.8360000000000002E-2</v>
      </c>
      <c r="CV119" s="13">
        <v>9.7089999999999996E-2</v>
      </c>
      <c r="CW119" s="13">
        <v>6.9470000000000004E-2</v>
      </c>
      <c r="CX119" s="13">
        <v>0</v>
      </c>
      <c r="CY119" s="13">
        <v>0</v>
      </c>
      <c r="CZ119" s="13">
        <v>0</v>
      </c>
      <c r="DA119" s="13">
        <v>0</v>
      </c>
      <c r="DB119" s="13">
        <v>0</v>
      </c>
      <c r="DC119" s="13">
        <v>2.2010200000000002</v>
      </c>
      <c r="DD119" s="13">
        <v>1.9542600000000001</v>
      </c>
      <c r="DE119" s="13">
        <v>0.24676000000000001</v>
      </c>
      <c r="DF119" s="13">
        <v>0</v>
      </c>
      <c r="DG119" s="13">
        <v>0</v>
      </c>
      <c r="DH119" s="13">
        <v>0</v>
      </c>
      <c r="DI119" s="13">
        <v>0</v>
      </c>
      <c r="DJ119" s="13">
        <v>0</v>
      </c>
      <c r="DK119" s="13">
        <v>0</v>
      </c>
      <c r="DL119" s="13">
        <v>0</v>
      </c>
      <c r="DM119" s="13">
        <v>0.12670000000000001</v>
      </c>
      <c r="DN119" s="13">
        <v>1.8500000000000001E-3</v>
      </c>
      <c r="DO119" s="13">
        <v>0</v>
      </c>
      <c r="DP119" s="13">
        <v>0</v>
      </c>
      <c r="DQ119" s="13">
        <v>-39.780819999999999</v>
      </c>
      <c r="DR119" s="13">
        <v>-39.497920000000001</v>
      </c>
      <c r="DS119" s="13">
        <v>1.22679</v>
      </c>
      <c r="DT119" s="13">
        <v>-39.497689999999999</v>
      </c>
      <c r="DU119" s="13">
        <v>-2.3000000000000001E-4</v>
      </c>
      <c r="DV119" s="13">
        <v>3.69876</v>
      </c>
      <c r="DW119" s="13">
        <v>0.24409</v>
      </c>
      <c r="DX119" s="13">
        <v>3.6036899999999998</v>
      </c>
      <c r="DY119" s="13">
        <v>9.5070000000000002E-2</v>
      </c>
      <c r="DZ119" s="13">
        <v>0.23635999999999999</v>
      </c>
      <c r="EA119" s="13">
        <v>5.5300000000000002E-3</v>
      </c>
      <c r="EB119" s="13">
        <v>-0.86641000000000001</v>
      </c>
      <c r="EC119" s="13">
        <v>1.10277</v>
      </c>
      <c r="ED119" s="13">
        <v>0.49758999999999998</v>
      </c>
      <c r="EE119" s="13">
        <v>5.672E-2</v>
      </c>
      <c r="EF119" s="13">
        <v>0.32378000000000001</v>
      </c>
      <c r="EG119" s="13">
        <v>0.17380000000000001</v>
      </c>
      <c r="EH119" s="13">
        <v>1.50109</v>
      </c>
      <c r="EI119" s="13">
        <v>0</v>
      </c>
      <c r="EJ119" s="13">
        <v>-0.28082000000000001</v>
      </c>
      <c r="EK119" s="13">
        <v>1.7819100000000001</v>
      </c>
      <c r="EL119" s="13">
        <v>-9.2599999999999991E-3</v>
      </c>
      <c r="EM119" s="13">
        <v>-9.2599999999999991E-3</v>
      </c>
      <c r="EN119" s="13">
        <v>0</v>
      </c>
      <c r="EO119" s="13">
        <v>0</v>
      </c>
      <c r="EP119" s="13">
        <v>-6.2074299999999996</v>
      </c>
      <c r="EQ119" s="13">
        <v>0</v>
      </c>
      <c r="ER119" s="13">
        <v>1.3986700000000001</v>
      </c>
      <c r="ES119" s="13">
        <v>0.80730999999999997</v>
      </c>
      <c r="ET119" s="13">
        <v>0.80730999999999997</v>
      </c>
      <c r="EU119" s="13">
        <v>0</v>
      </c>
      <c r="EV119" s="13">
        <v>0</v>
      </c>
      <c r="EW119" s="13">
        <v>9.3740000000000004E-2</v>
      </c>
      <c r="EX119" s="13">
        <v>6.1769999999999999E-2</v>
      </c>
      <c r="EY119" s="13">
        <v>3.1980000000000001E-2</v>
      </c>
      <c r="EZ119" s="13">
        <v>0.13261999999999999</v>
      </c>
      <c r="FA119" s="13">
        <v>0.13261999999999999</v>
      </c>
      <c r="FB119" s="13">
        <v>0</v>
      </c>
      <c r="FC119" s="13">
        <v>0.36499999999999999</v>
      </c>
      <c r="FD119" s="13">
        <v>0.35182999999999998</v>
      </c>
      <c r="FE119" s="13">
        <v>1.3169999999999999E-2</v>
      </c>
      <c r="FF119" s="13">
        <v>0</v>
      </c>
      <c r="FG119" s="13">
        <v>0</v>
      </c>
      <c r="FH119" s="13">
        <v>0</v>
      </c>
      <c r="FI119" s="13">
        <v>0</v>
      </c>
      <c r="FJ119" s="13">
        <v>0</v>
      </c>
      <c r="FK119" s="13">
        <v>0</v>
      </c>
      <c r="FL119" s="13">
        <v>0</v>
      </c>
    </row>
    <row r="120" spans="1:168" ht="15" x14ac:dyDescent="0.25">
      <c r="A120" s="5" t="s">
        <v>203</v>
      </c>
      <c r="B120" s="5" t="s">
        <v>7</v>
      </c>
      <c r="C120" s="14">
        <v>0.43935000000000002</v>
      </c>
      <c r="D120" s="14">
        <v>41.856000000000002</v>
      </c>
      <c r="E120" s="14">
        <v>35.752450000000003</v>
      </c>
      <c r="F120" s="14">
        <v>34.922989999999999</v>
      </c>
      <c r="G120" s="14">
        <v>9.2497100000000003</v>
      </c>
      <c r="H120" s="14">
        <v>6.6887499999999998</v>
      </c>
      <c r="I120" s="14">
        <v>2.1991000000000001</v>
      </c>
      <c r="J120" s="14">
        <v>0.36186000000000001</v>
      </c>
      <c r="K120" s="14">
        <v>6.5546199999999999</v>
      </c>
      <c r="L120" s="14">
        <v>1.3415299999999999</v>
      </c>
      <c r="M120" s="14">
        <v>9.9519999999999997E-2</v>
      </c>
      <c r="N120" s="14">
        <v>0.55350999999999995</v>
      </c>
      <c r="O120" s="14">
        <v>0.78859000000000001</v>
      </c>
      <c r="P120" s="14">
        <v>0.31397999999999998</v>
      </c>
      <c r="Q120" s="14">
        <v>0.3629</v>
      </c>
      <c r="R120" s="14">
        <v>1.07609</v>
      </c>
      <c r="S120" s="14">
        <v>17.090119999999999</v>
      </c>
      <c r="T120" s="14">
        <v>0.54842000000000002</v>
      </c>
      <c r="U120" s="14">
        <v>15.504</v>
      </c>
      <c r="V120" s="14">
        <v>10.51543</v>
      </c>
      <c r="W120" s="14">
        <v>1.5196400000000001</v>
      </c>
      <c r="X120" s="14">
        <v>3.3826900000000002</v>
      </c>
      <c r="Y120" s="14">
        <v>8.6239999999999997E-2</v>
      </c>
      <c r="Z120" s="14">
        <v>0</v>
      </c>
      <c r="AA120" s="14">
        <v>4.4260000000000001E-2</v>
      </c>
      <c r="AB120" s="14">
        <v>0.69696000000000002</v>
      </c>
      <c r="AC120" s="14">
        <v>0.29648000000000002</v>
      </c>
      <c r="AD120" s="14">
        <v>2.02854</v>
      </c>
      <c r="AE120" s="14">
        <v>0.58125000000000004</v>
      </c>
      <c r="AF120" s="14">
        <v>0.46398</v>
      </c>
      <c r="AG120" s="14">
        <v>0.98331000000000002</v>
      </c>
      <c r="AH120" s="14">
        <v>0</v>
      </c>
      <c r="AI120" s="14">
        <v>0</v>
      </c>
      <c r="AJ120" s="14">
        <v>0</v>
      </c>
      <c r="AK120" s="14">
        <v>0.82945999999999998</v>
      </c>
      <c r="AL120" s="14">
        <v>4.4400000000000004E-3</v>
      </c>
      <c r="AM120" s="14">
        <v>0.82503000000000004</v>
      </c>
      <c r="AN120" s="14">
        <v>0</v>
      </c>
      <c r="AO120" s="14">
        <v>8.5653100000000002</v>
      </c>
      <c r="AP120" s="14">
        <v>2.9254199999999999</v>
      </c>
      <c r="AQ120" s="14">
        <v>5.6398900000000003</v>
      </c>
      <c r="AR120" s="14">
        <v>0</v>
      </c>
      <c r="AS120" s="14">
        <v>50.479640000000003</v>
      </c>
      <c r="AT120" s="14">
        <v>5.8471299999999999</v>
      </c>
      <c r="AU120" s="14">
        <v>2.0301300000000002</v>
      </c>
      <c r="AV120" s="14">
        <v>1.6071800000000001</v>
      </c>
      <c r="AW120" s="14">
        <v>0.38821</v>
      </c>
      <c r="AX120" s="14">
        <v>1.6049999999999998E-2</v>
      </c>
      <c r="AY120" s="14">
        <v>1.8689999999999998E-2</v>
      </c>
      <c r="AZ120" s="14">
        <v>0.86902000000000001</v>
      </c>
      <c r="BA120" s="14">
        <v>0</v>
      </c>
      <c r="BB120" s="14">
        <v>0</v>
      </c>
      <c r="BC120" s="14">
        <v>0</v>
      </c>
      <c r="BD120" s="14">
        <v>0</v>
      </c>
      <c r="BE120" s="14">
        <v>4.5629999999999997E-2</v>
      </c>
      <c r="BF120" s="14">
        <v>0</v>
      </c>
      <c r="BG120" s="14">
        <v>0</v>
      </c>
      <c r="BH120" s="14">
        <v>0</v>
      </c>
      <c r="BI120" s="14">
        <v>0</v>
      </c>
      <c r="BJ120" s="14">
        <v>0.82338999999999996</v>
      </c>
      <c r="BK120" s="14">
        <v>2.61747</v>
      </c>
      <c r="BL120" s="14">
        <v>1.9789300000000001</v>
      </c>
      <c r="BM120" s="14">
        <v>0</v>
      </c>
      <c r="BN120" s="14">
        <v>0.18767</v>
      </c>
      <c r="BO120" s="14">
        <v>0</v>
      </c>
      <c r="BP120" s="14">
        <v>0</v>
      </c>
      <c r="BQ120" s="14">
        <v>0</v>
      </c>
      <c r="BR120" s="14">
        <v>0</v>
      </c>
      <c r="BS120" s="14">
        <v>0.30914000000000003</v>
      </c>
      <c r="BT120" s="14">
        <v>0.23599999999999999</v>
      </c>
      <c r="BU120" s="14">
        <v>3.6580000000000001E-2</v>
      </c>
      <c r="BV120" s="14">
        <v>3.6560000000000002E-2</v>
      </c>
      <c r="BW120" s="14">
        <v>0</v>
      </c>
      <c r="BX120" s="14">
        <v>0</v>
      </c>
      <c r="BY120" s="14">
        <v>0</v>
      </c>
      <c r="BZ120" s="14">
        <v>0</v>
      </c>
      <c r="CA120" s="14">
        <v>0</v>
      </c>
      <c r="CB120" s="14">
        <v>0</v>
      </c>
      <c r="CC120" s="14">
        <v>0</v>
      </c>
      <c r="CD120" s="14">
        <v>0</v>
      </c>
      <c r="CE120" s="14">
        <v>0</v>
      </c>
      <c r="CF120" s="14">
        <v>0</v>
      </c>
      <c r="CG120" s="14">
        <v>0</v>
      </c>
      <c r="CH120" s="14">
        <v>0</v>
      </c>
      <c r="CI120" s="14">
        <v>0</v>
      </c>
      <c r="CJ120" s="14">
        <v>0</v>
      </c>
      <c r="CK120" s="14">
        <v>2.137E-2</v>
      </c>
      <c r="CL120" s="14">
        <v>0.12855</v>
      </c>
      <c r="CM120" s="14">
        <v>0</v>
      </c>
      <c r="CN120" s="14">
        <v>0</v>
      </c>
      <c r="CO120" s="14">
        <v>0</v>
      </c>
      <c r="CP120" s="14">
        <v>0</v>
      </c>
      <c r="CQ120" s="14">
        <v>0</v>
      </c>
      <c r="CR120" s="14">
        <v>0</v>
      </c>
      <c r="CS120" s="14">
        <v>0</v>
      </c>
      <c r="CT120" s="14">
        <v>0</v>
      </c>
      <c r="CU120" s="14">
        <v>0</v>
      </c>
      <c r="CV120" s="14">
        <v>0</v>
      </c>
      <c r="CW120" s="14">
        <v>0</v>
      </c>
      <c r="CX120" s="14">
        <v>0</v>
      </c>
      <c r="CY120" s="14">
        <v>0</v>
      </c>
      <c r="CZ120" s="14">
        <v>0</v>
      </c>
      <c r="DA120" s="14">
        <v>0</v>
      </c>
      <c r="DB120" s="14">
        <v>0</v>
      </c>
      <c r="DC120" s="14">
        <v>0</v>
      </c>
      <c r="DD120" s="14">
        <v>0</v>
      </c>
      <c r="DE120" s="14">
        <v>0</v>
      </c>
      <c r="DF120" s="14">
        <v>0</v>
      </c>
      <c r="DG120" s="14">
        <v>0</v>
      </c>
      <c r="DH120" s="14">
        <v>0</v>
      </c>
      <c r="DI120" s="14">
        <v>0</v>
      </c>
      <c r="DJ120" s="14">
        <v>0</v>
      </c>
      <c r="DK120" s="14">
        <v>0</v>
      </c>
      <c r="DL120" s="14">
        <v>0</v>
      </c>
      <c r="DM120" s="14">
        <v>0.12670000000000001</v>
      </c>
      <c r="DN120" s="14">
        <v>1.8500000000000001E-3</v>
      </c>
      <c r="DO120" s="14">
        <v>0</v>
      </c>
      <c r="DP120" s="14">
        <v>0</v>
      </c>
      <c r="DQ120" s="14">
        <v>-41.416649999999997</v>
      </c>
      <c r="DR120" s="14">
        <v>-40.811520000000002</v>
      </c>
      <c r="DS120" s="14">
        <v>0</v>
      </c>
      <c r="DT120" s="14">
        <v>-40.807569999999998</v>
      </c>
      <c r="DU120" s="14">
        <v>-3.96E-3</v>
      </c>
      <c r="DV120" s="14">
        <v>3.4546700000000001</v>
      </c>
      <c r="DW120" s="14">
        <v>0</v>
      </c>
      <c r="DX120" s="14">
        <v>3.3595899999999999</v>
      </c>
      <c r="DY120" s="14">
        <v>9.5070000000000002E-2</v>
      </c>
      <c r="DZ120" s="14">
        <v>0.23018</v>
      </c>
      <c r="EA120" s="14">
        <v>0</v>
      </c>
      <c r="EB120" s="14">
        <v>-0.87258999999999998</v>
      </c>
      <c r="EC120" s="14">
        <v>1.10277</v>
      </c>
      <c r="ED120" s="14">
        <v>0.44085999999999997</v>
      </c>
      <c r="EE120" s="14">
        <v>0</v>
      </c>
      <c r="EF120" s="14">
        <v>0.26706000000000002</v>
      </c>
      <c r="EG120" s="14">
        <v>0.17380000000000001</v>
      </c>
      <c r="EH120" s="14">
        <v>1.4858499999999999</v>
      </c>
      <c r="EI120" s="14">
        <v>0</v>
      </c>
      <c r="EJ120" s="14">
        <v>-0.28082000000000001</v>
      </c>
      <c r="EK120" s="14">
        <v>1.76667</v>
      </c>
      <c r="EL120" s="14">
        <v>-9.2599999999999991E-3</v>
      </c>
      <c r="EM120" s="14">
        <v>-9.2599999999999991E-3</v>
      </c>
      <c r="EN120" s="14">
        <v>0</v>
      </c>
      <c r="EO120" s="14">
        <v>0</v>
      </c>
      <c r="EP120" s="14">
        <v>-6.2074299999999996</v>
      </c>
      <c r="EQ120" s="14">
        <v>0</v>
      </c>
      <c r="ER120" s="14">
        <v>0.12787000000000001</v>
      </c>
      <c r="ES120" s="14">
        <v>0</v>
      </c>
      <c r="ET120" s="14">
        <v>0</v>
      </c>
      <c r="EU120" s="14">
        <v>0</v>
      </c>
      <c r="EV120" s="14">
        <v>0</v>
      </c>
      <c r="EW120" s="14">
        <v>0</v>
      </c>
      <c r="EX120" s="14">
        <v>0</v>
      </c>
      <c r="EY120" s="14">
        <v>0</v>
      </c>
      <c r="EZ120" s="14">
        <v>0.12787000000000001</v>
      </c>
      <c r="FA120" s="14">
        <v>0.12787000000000001</v>
      </c>
      <c r="FB120" s="14">
        <v>0</v>
      </c>
      <c r="FC120" s="14">
        <v>0</v>
      </c>
      <c r="FD120" s="14">
        <v>0</v>
      </c>
      <c r="FE120" s="14">
        <v>0</v>
      </c>
      <c r="FF120" s="14">
        <v>0</v>
      </c>
      <c r="FG120" s="14">
        <v>0</v>
      </c>
      <c r="FH120" s="14">
        <v>0</v>
      </c>
      <c r="FI120" s="14">
        <v>0</v>
      </c>
      <c r="FJ120" s="14">
        <v>0</v>
      </c>
      <c r="FK120" s="14">
        <v>0</v>
      </c>
      <c r="FL120" s="14">
        <v>0</v>
      </c>
    </row>
    <row r="121" spans="1:168" ht="15" x14ac:dyDescent="0.25">
      <c r="A121" s="5" t="s">
        <v>203</v>
      </c>
      <c r="B121" s="5" t="s">
        <v>8</v>
      </c>
      <c r="C121" s="13">
        <v>0.20093</v>
      </c>
      <c r="D121" s="13">
        <v>0.18037</v>
      </c>
      <c r="E121" s="13">
        <v>9.6799999999999994E-3</v>
      </c>
      <c r="F121" s="13">
        <v>6.3499999999999997E-3</v>
      </c>
      <c r="G121" s="13">
        <v>1.83E-3</v>
      </c>
      <c r="H121" s="13">
        <v>1.7899999999999999E-3</v>
      </c>
      <c r="I121" s="13">
        <v>3.0000000000000001E-5</v>
      </c>
      <c r="J121" s="13">
        <v>0</v>
      </c>
      <c r="K121" s="13">
        <v>8.7000000000000001E-4</v>
      </c>
      <c r="L121" s="13">
        <v>1.0000000000000001E-5</v>
      </c>
      <c r="M121" s="13">
        <v>0</v>
      </c>
      <c r="N121" s="13">
        <v>3.0000000000000001E-5</v>
      </c>
      <c r="O121" s="13">
        <v>4.8000000000000001E-4</v>
      </c>
      <c r="P121" s="13">
        <v>2.0000000000000002E-5</v>
      </c>
      <c r="Q121" s="13">
        <v>6.0000000000000002E-5</v>
      </c>
      <c r="R121" s="13">
        <v>3.0000000000000001E-5</v>
      </c>
      <c r="S121" s="13">
        <v>1.2099999999999999E-3</v>
      </c>
      <c r="T121" s="13">
        <v>1.0000000000000001E-5</v>
      </c>
      <c r="U121" s="13">
        <v>1E-3</v>
      </c>
      <c r="V121" s="13">
        <v>7.2999999999999996E-4</v>
      </c>
      <c r="W121" s="13">
        <v>5.0000000000000002E-5</v>
      </c>
      <c r="X121" s="13">
        <v>9.0000000000000006E-5</v>
      </c>
      <c r="Y121" s="13">
        <v>1.2E-4</v>
      </c>
      <c r="Z121" s="13">
        <v>0</v>
      </c>
      <c r="AA121" s="13">
        <v>0</v>
      </c>
      <c r="AB121" s="13">
        <v>1.9000000000000001E-4</v>
      </c>
      <c r="AC121" s="13">
        <v>0</v>
      </c>
      <c r="AD121" s="13">
        <v>2.4499999999999999E-3</v>
      </c>
      <c r="AE121" s="13">
        <v>9.0000000000000006E-5</v>
      </c>
      <c r="AF121" s="13">
        <v>2.1199999999999999E-3</v>
      </c>
      <c r="AG121" s="13">
        <v>2.4000000000000001E-4</v>
      </c>
      <c r="AH121" s="13">
        <v>0</v>
      </c>
      <c r="AI121" s="13">
        <v>0</v>
      </c>
      <c r="AJ121" s="13">
        <v>0</v>
      </c>
      <c r="AK121" s="13">
        <v>3.3300000000000001E-3</v>
      </c>
      <c r="AL121" s="13">
        <v>9.0000000000000006E-5</v>
      </c>
      <c r="AM121" s="13">
        <v>3.2399999999999998E-3</v>
      </c>
      <c r="AN121" s="13">
        <v>0</v>
      </c>
      <c r="AO121" s="13">
        <v>4.0999999999999999E-4</v>
      </c>
      <c r="AP121" s="13">
        <v>2.0000000000000002E-5</v>
      </c>
      <c r="AQ121" s="13">
        <v>3.8999999999999999E-4</v>
      </c>
      <c r="AR121" s="13">
        <v>0</v>
      </c>
      <c r="AS121" s="13">
        <v>0</v>
      </c>
      <c r="AT121" s="13">
        <v>3.6999999999999999E-4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3.0000000000000001E-5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3.0000000000000001E-5</v>
      </c>
      <c r="BK121" s="13">
        <v>1.0000000000000001E-5</v>
      </c>
      <c r="BL121" s="13">
        <v>1.0000000000000001E-5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3.3E-4</v>
      </c>
      <c r="CL121" s="13">
        <v>0.13220000000000001</v>
      </c>
      <c r="CM121" s="13">
        <v>0.12101000000000001</v>
      </c>
      <c r="CN121" s="13">
        <v>0.10390000000000001</v>
      </c>
      <c r="CO121" s="13">
        <v>5.28E-3</v>
      </c>
      <c r="CP121" s="13">
        <v>2.1700000000000001E-3</v>
      </c>
      <c r="CQ121" s="13">
        <v>9.6500000000000006E-3</v>
      </c>
      <c r="CR121" s="13">
        <v>1.119E-2</v>
      </c>
      <c r="CS121" s="13">
        <v>7.43E-3</v>
      </c>
      <c r="CT121" s="13">
        <v>1.1E-4</v>
      </c>
      <c r="CU121" s="13">
        <v>1.14E-3</v>
      </c>
      <c r="CV121" s="13">
        <v>2.5100000000000001E-3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2.0549999999999999E-2</v>
      </c>
      <c r="DR121" s="13">
        <v>1.0869999999999999E-2</v>
      </c>
      <c r="DS121" s="13">
        <v>8.8299999999999993E-3</v>
      </c>
      <c r="DT121" s="13">
        <v>1.0869999999999999E-2</v>
      </c>
      <c r="DU121" s="13">
        <v>0</v>
      </c>
      <c r="DV121" s="13">
        <v>8.7200000000000003E-3</v>
      </c>
      <c r="DW121" s="13">
        <v>8.7200000000000003E-3</v>
      </c>
      <c r="DX121" s="13">
        <v>8.7200000000000003E-3</v>
      </c>
      <c r="DY121" s="13">
        <v>0</v>
      </c>
      <c r="DZ121" s="13">
        <v>2.2000000000000001E-4</v>
      </c>
      <c r="EA121" s="13">
        <v>2.0000000000000001E-4</v>
      </c>
      <c r="EB121" s="13">
        <v>2.2000000000000001E-4</v>
      </c>
      <c r="EC121" s="13">
        <v>0</v>
      </c>
      <c r="ED121" s="13">
        <v>7.3999999999999999E-4</v>
      </c>
      <c r="EE121" s="13">
        <v>7.3999999999999999E-4</v>
      </c>
      <c r="EF121" s="13">
        <v>7.3999999999999999E-4</v>
      </c>
      <c r="EG121" s="13">
        <v>0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0</v>
      </c>
      <c r="EQ121" s="13">
        <v>0</v>
      </c>
      <c r="ER121" s="13">
        <v>3.8129999999999997E-2</v>
      </c>
      <c r="ES121" s="13">
        <v>2.8830000000000001E-2</v>
      </c>
      <c r="ET121" s="13">
        <v>2.8830000000000001E-2</v>
      </c>
      <c r="EU121" s="13">
        <v>0</v>
      </c>
      <c r="EV121" s="13">
        <v>0</v>
      </c>
      <c r="EW121" s="13">
        <v>2.5500000000000002E-3</v>
      </c>
      <c r="EX121" s="13">
        <v>1.41E-3</v>
      </c>
      <c r="EY121" s="13">
        <v>1.14E-3</v>
      </c>
      <c r="EZ121" s="13">
        <v>0</v>
      </c>
      <c r="FA121" s="13">
        <v>0</v>
      </c>
      <c r="FB121" s="13">
        <v>0</v>
      </c>
      <c r="FC121" s="13">
        <v>6.7400000000000003E-3</v>
      </c>
      <c r="FD121" s="13">
        <v>6.5300000000000002E-3</v>
      </c>
      <c r="FE121" s="13">
        <v>2.1000000000000001E-4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</row>
    <row r="122" spans="1:168" ht="15" x14ac:dyDescent="0.25">
      <c r="A122" s="5" t="s">
        <v>203</v>
      </c>
      <c r="B122" s="5" t="s">
        <v>9</v>
      </c>
      <c r="C122" s="14">
        <v>1.703E-2</v>
      </c>
      <c r="D122" s="14">
        <v>1.303E-2</v>
      </c>
      <c r="E122" s="14">
        <v>2.15E-3</v>
      </c>
      <c r="F122" s="14">
        <v>2.15E-3</v>
      </c>
      <c r="G122" s="14">
        <v>8.3000000000000001E-4</v>
      </c>
      <c r="H122" s="14">
        <v>8.1999999999999998E-4</v>
      </c>
      <c r="I122" s="14">
        <v>0</v>
      </c>
      <c r="J122" s="14">
        <v>0</v>
      </c>
      <c r="K122" s="14">
        <v>4.0999999999999999E-4</v>
      </c>
      <c r="L122" s="14">
        <v>0</v>
      </c>
      <c r="M122" s="14">
        <v>0</v>
      </c>
      <c r="N122" s="14">
        <v>1.0000000000000001E-5</v>
      </c>
      <c r="O122" s="14">
        <v>2.2000000000000001E-4</v>
      </c>
      <c r="P122" s="14">
        <v>1.0000000000000001E-5</v>
      </c>
      <c r="Q122" s="14">
        <v>1.0000000000000001E-5</v>
      </c>
      <c r="R122" s="14">
        <v>5.0000000000000002E-5</v>
      </c>
      <c r="S122" s="14">
        <v>6.8000000000000005E-4</v>
      </c>
      <c r="T122" s="14">
        <v>3.0000000000000001E-5</v>
      </c>
      <c r="U122" s="14">
        <v>5.9999999999999995E-4</v>
      </c>
      <c r="V122" s="14">
        <v>2.7999999999999998E-4</v>
      </c>
      <c r="W122" s="14">
        <v>6.0000000000000002E-5</v>
      </c>
      <c r="X122" s="14">
        <v>2.5999999999999998E-4</v>
      </c>
      <c r="Y122" s="14">
        <v>0</v>
      </c>
      <c r="Z122" s="14">
        <v>0</v>
      </c>
      <c r="AA122" s="14">
        <v>0</v>
      </c>
      <c r="AB122" s="14">
        <v>3.0000000000000001E-5</v>
      </c>
      <c r="AC122" s="14">
        <v>2.0000000000000002E-5</v>
      </c>
      <c r="AD122" s="14">
        <v>2.3000000000000001E-4</v>
      </c>
      <c r="AE122" s="14">
        <v>2.0000000000000002E-5</v>
      </c>
      <c r="AF122" s="14">
        <v>1.4999999999999999E-4</v>
      </c>
      <c r="AG122" s="14">
        <v>6.0000000000000002E-5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4.2999999999999999E-4</v>
      </c>
      <c r="AP122" s="14">
        <v>1.2999999999999999E-4</v>
      </c>
      <c r="AQ122" s="14">
        <v>2.9999999999999997E-4</v>
      </c>
      <c r="AR122" s="14">
        <v>0</v>
      </c>
      <c r="AS122" s="14">
        <v>0</v>
      </c>
      <c r="AT122" s="14">
        <v>6.8999999999999997E-4</v>
      </c>
      <c r="AU122" s="14">
        <v>0</v>
      </c>
      <c r="AV122" s="14">
        <v>0</v>
      </c>
      <c r="AW122" s="14">
        <v>0</v>
      </c>
      <c r="AX122" s="14">
        <v>0</v>
      </c>
      <c r="AY122" s="14">
        <v>0</v>
      </c>
      <c r="AZ122" s="14">
        <v>1.1E-4</v>
      </c>
      <c r="BA122" s="14">
        <v>0</v>
      </c>
      <c r="BB122" s="14">
        <v>1E-4</v>
      </c>
      <c r="BC122" s="14">
        <v>0</v>
      </c>
      <c r="BD122" s="14">
        <v>0</v>
      </c>
      <c r="BE122" s="14">
        <v>0</v>
      </c>
      <c r="BF122" s="14">
        <v>0</v>
      </c>
      <c r="BG122" s="14">
        <v>0</v>
      </c>
      <c r="BH122" s="14">
        <v>0</v>
      </c>
      <c r="BI122" s="14">
        <v>0</v>
      </c>
      <c r="BJ122" s="14">
        <v>0</v>
      </c>
      <c r="BK122" s="14">
        <v>0</v>
      </c>
      <c r="BL122" s="14">
        <v>0</v>
      </c>
      <c r="BM122" s="14">
        <v>0</v>
      </c>
      <c r="BN122" s="14">
        <v>0</v>
      </c>
      <c r="BO122" s="14">
        <v>0</v>
      </c>
      <c r="BP122" s="14">
        <v>0</v>
      </c>
      <c r="BQ122" s="14">
        <v>0</v>
      </c>
      <c r="BR122" s="14">
        <v>0</v>
      </c>
      <c r="BS122" s="14">
        <v>0</v>
      </c>
      <c r="BT122" s="14">
        <v>0</v>
      </c>
      <c r="BU122" s="14">
        <v>0</v>
      </c>
      <c r="BV122" s="14">
        <v>0</v>
      </c>
      <c r="BW122" s="14">
        <v>0</v>
      </c>
      <c r="BX122" s="14">
        <v>0</v>
      </c>
      <c r="BY122" s="14">
        <v>0</v>
      </c>
      <c r="BZ122" s="14">
        <v>0</v>
      </c>
      <c r="CA122" s="14">
        <v>0</v>
      </c>
      <c r="CB122" s="14">
        <v>0</v>
      </c>
      <c r="CC122" s="14">
        <v>0</v>
      </c>
      <c r="CD122" s="14">
        <v>0</v>
      </c>
      <c r="CE122" s="14">
        <v>0</v>
      </c>
      <c r="CF122" s="14">
        <v>0</v>
      </c>
      <c r="CG122" s="14">
        <v>0</v>
      </c>
      <c r="CH122" s="14">
        <v>0</v>
      </c>
      <c r="CI122" s="14">
        <v>0</v>
      </c>
      <c r="CJ122" s="14">
        <v>2.9999999999999997E-4</v>
      </c>
      <c r="CK122" s="14">
        <v>2.9E-4</v>
      </c>
      <c r="CL122" s="14">
        <v>9.4199999999999996E-3</v>
      </c>
      <c r="CM122" s="14">
        <v>0</v>
      </c>
      <c r="CN122" s="14">
        <v>0</v>
      </c>
      <c r="CO122" s="14">
        <v>0</v>
      </c>
      <c r="CP122" s="14">
        <v>0</v>
      </c>
      <c r="CQ122" s="14">
        <v>0</v>
      </c>
      <c r="CR122" s="14">
        <v>1.1100000000000001E-3</v>
      </c>
      <c r="CS122" s="14">
        <v>6.2E-4</v>
      </c>
      <c r="CT122" s="14">
        <v>3.0000000000000001E-5</v>
      </c>
      <c r="CU122" s="14">
        <v>1E-4</v>
      </c>
      <c r="CV122" s="14">
        <v>1E-4</v>
      </c>
      <c r="CW122" s="14">
        <v>2.5999999999999998E-4</v>
      </c>
      <c r="CX122" s="14">
        <v>0</v>
      </c>
      <c r="CY122" s="14">
        <v>0</v>
      </c>
      <c r="CZ122" s="14">
        <v>0</v>
      </c>
      <c r="DA122" s="14">
        <v>0</v>
      </c>
      <c r="DB122" s="14">
        <v>0</v>
      </c>
      <c r="DC122" s="14">
        <v>8.3099999999999997E-3</v>
      </c>
      <c r="DD122" s="14">
        <v>7.3699999999999998E-3</v>
      </c>
      <c r="DE122" s="14">
        <v>9.3000000000000005E-4</v>
      </c>
      <c r="DF122" s="14">
        <v>0</v>
      </c>
      <c r="DG122" s="14">
        <v>0</v>
      </c>
      <c r="DH122" s="14">
        <v>0</v>
      </c>
      <c r="DI122" s="14">
        <v>0</v>
      </c>
      <c r="DJ122" s="14">
        <v>0</v>
      </c>
      <c r="DK122" s="14">
        <v>0</v>
      </c>
      <c r="DL122" s="14">
        <v>0</v>
      </c>
      <c r="DM122" s="14">
        <v>0</v>
      </c>
      <c r="DN122" s="14">
        <v>0</v>
      </c>
      <c r="DO122" s="14">
        <v>0</v>
      </c>
      <c r="DP122" s="14">
        <v>0</v>
      </c>
      <c r="DQ122" s="14">
        <v>4.0000000000000001E-3</v>
      </c>
      <c r="DR122" s="14">
        <v>3.81E-3</v>
      </c>
      <c r="DS122" s="14">
        <v>3.7000000000000002E-3</v>
      </c>
      <c r="DT122" s="14">
        <v>3.79E-3</v>
      </c>
      <c r="DU122" s="14">
        <v>1.0000000000000001E-5</v>
      </c>
      <c r="DV122" s="14">
        <v>0</v>
      </c>
      <c r="DW122" s="14">
        <v>0</v>
      </c>
      <c r="DX122" s="14">
        <v>0</v>
      </c>
      <c r="DY122" s="14">
        <v>0</v>
      </c>
      <c r="DZ122" s="14">
        <v>0</v>
      </c>
      <c r="EA122" s="14">
        <v>0</v>
      </c>
      <c r="EB122" s="14">
        <v>0</v>
      </c>
      <c r="EC122" s="14">
        <v>0</v>
      </c>
      <c r="ED122" s="14">
        <v>1.3999999999999999E-4</v>
      </c>
      <c r="EE122" s="14">
        <v>1.3999999999999999E-4</v>
      </c>
      <c r="EF122" s="14">
        <v>1.3999999999999999E-4</v>
      </c>
      <c r="EG122" s="14">
        <v>0</v>
      </c>
      <c r="EH122" s="14">
        <v>6.0000000000000002E-5</v>
      </c>
      <c r="EI122" s="14">
        <v>0</v>
      </c>
      <c r="EJ122" s="14">
        <v>0</v>
      </c>
      <c r="EK122" s="14">
        <v>6.0000000000000002E-5</v>
      </c>
      <c r="EL122" s="14">
        <v>0</v>
      </c>
      <c r="EM122" s="14">
        <v>0</v>
      </c>
      <c r="EN122" s="14">
        <v>0</v>
      </c>
      <c r="EO122" s="14">
        <v>0</v>
      </c>
      <c r="EP122" s="14">
        <v>0</v>
      </c>
      <c r="EQ122" s="14">
        <v>0</v>
      </c>
      <c r="ER122" s="14">
        <v>7.6999999999999996E-4</v>
      </c>
      <c r="ES122" s="14">
        <v>0</v>
      </c>
      <c r="ET122" s="14">
        <v>0</v>
      </c>
      <c r="EU122" s="14">
        <v>0</v>
      </c>
      <c r="EV122" s="14">
        <v>0</v>
      </c>
      <c r="EW122" s="14">
        <v>8.0000000000000007E-5</v>
      </c>
      <c r="EX122" s="14">
        <v>8.0000000000000007E-5</v>
      </c>
      <c r="EY122" s="14">
        <v>0</v>
      </c>
      <c r="EZ122" s="14">
        <v>2.0000000000000002E-5</v>
      </c>
      <c r="FA122" s="14">
        <v>2.0000000000000002E-5</v>
      </c>
      <c r="FB122" s="14">
        <v>0</v>
      </c>
      <c r="FC122" s="14">
        <v>6.6E-4</v>
      </c>
      <c r="FD122" s="14">
        <v>6.4000000000000005E-4</v>
      </c>
      <c r="FE122" s="14">
        <v>3.0000000000000001E-5</v>
      </c>
      <c r="FF122" s="14">
        <v>0</v>
      </c>
      <c r="FG122" s="14">
        <v>0</v>
      </c>
      <c r="FH122" s="14">
        <v>0</v>
      </c>
      <c r="FI122" s="14">
        <v>0</v>
      </c>
      <c r="FJ122" s="14">
        <v>0</v>
      </c>
      <c r="FK122" s="14">
        <v>0</v>
      </c>
      <c r="FL122" s="14">
        <v>0</v>
      </c>
    </row>
    <row r="123" spans="1:168" ht="15" x14ac:dyDescent="0.25">
      <c r="A123" s="5" t="s">
        <v>204</v>
      </c>
      <c r="B123" s="5" t="s">
        <v>6</v>
      </c>
      <c r="C123" s="13">
        <v>12.915839999999999</v>
      </c>
      <c r="D123" s="13">
        <v>4.9437899999999999</v>
      </c>
      <c r="E123" s="13">
        <v>1.911</v>
      </c>
      <c r="F123" s="13">
        <v>1.75084</v>
      </c>
      <c r="G123" s="13">
        <v>2.3600000000000001E-3</v>
      </c>
      <c r="H123" s="13">
        <v>2.3600000000000001E-3</v>
      </c>
      <c r="I123" s="13">
        <v>0</v>
      </c>
      <c r="J123" s="13">
        <v>0</v>
      </c>
      <c r="K123" s="13">
        <v>9.4130000000000005E-2</v>
      </c>
      <c r="L123" s="13">
        <v>1.49E-3</v>
      </c>
      <c r="M123" s="13">
        <v>8.1300000000000001E-3</v>
      </c>
      <c r="N123" s="13">
        <v>0</v>
      </c>
      <c r="O123" s="13">
        <v>0</v>
      </c>
      <c r="P123" s="13">
        <v>2.6110000000000001E-2</v>
      </c>
      <c r="Q123" s="13">
        <v>3.8000000000000002E-4</v>
      </c>
      <c r="R123" s="13">
        <v>5.8020000000000002E-2</v>
      </c>
      <c r="S123" s="13">
        <v>1.0605599999999999</v>
      </c>
      <c r="T123" s="13">
        <v>2.477E-2</v>
      </c>
      <c r="U123" s="13">
        <v>0.97687000000000002</v>
      </c>
      <c r="V123" s="13">
        <v>0.69601000000000002</v>
      </c>
      <c r="W123" s="13">
        <v>7.1330000000000005E-2</v>
      </c>
      <c r="X123" s="13">
        <v>0.20138</v>
      </c>
      <c r="Y123" s="13">
        <v>8.1499999999999993E-3</v>
      </c>
      <c r="Z123" s="13">
        <v>0</v>
      </c>
      <c r="AA123" s="13">
        <v>0</v>
      </c>
      <c r="AB123" s="13">
        <v>4.3470000000000002E-2</v>
      </c>
      <c r="AC123" s="13">
        <v>1.545E-2</v>
      </c>
      <c r="AD123" s="13">
        <v>0.59326999999999996</v>
      </c>
      <c r="AE123" s="13">
        <v>2.0699999999999998E-3</v>
      </c>
      <c r="AF123" s="13">
        <v>6.0000000000000001E-3</v>
      </c>
      <c r="AG123" s="13">
        <v>0.58518999999999999</v>
      </c>
      <c r="AH123" s="13">
        <v>5.2999999999999998E-4</v>
      </c>
      <c r="AI123" s="13">
        <v>5.2999999999999998E-4</v>
      </c>
      <c r="AJ123" s="13">
        <v>0</v>
      </c>
      <c r="AK123" s="13">
        <v>0.16016</v>
      </c>
      <c r="AL123" s="13">
        <v>0</v>
      </c>
      <c r="AM123" s="13">
        <v>0.16016</v>
      </c>
      <c r="AN123" s="13">
        <v>0</v>
      </c>
      <c r="AO123" s="13">
        <v>1.53735</v>
      </c>
      <c r="AP123" s="13">
        <v>1.2948200000000001</v>
      </c>
      <c r="AQ123" s="13">
        <v>0.24253</v>
      </c>
      <c r="AR123" s="13">
        <v>0</v>
      </c>
      <c r="AS123" s="13">
        <v>6.0859999999999997E-2</v>
      </c>
      <c r="AT123" s="13">
        <v>2.0346500000000001</v>
      </c>
      <c r="AU123" s="13">
        <v>9.1E-4</v>
      </c>
      <c r="AV123" s="13">
        <v>0</v>
      </c>
      <c r="AW123" s="13">
        <v>0</v>
      </c>
      <c r="AX123" s="13">
        <v>0</v>
      </c>
      <c r="AY123" s="13">
        <v>9.1E-4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1.8383100000000001</v>
      </c>
      <c r="BL123" s="13">
        <v>0</v>
      </c>
      <c r="BM123" s="13">
        <v>0.45578000000000002</v>
      </c>
      <c r="BN123" s="13">
        <v>1.38253</v>
      </c>
      <c r="BO123" s="13">
        <v>0</v>
      </c>
      <c r="BP123" s="13">
        <v>0</v>
      </c>
      <c r="BQ123" s="13">
        <v>0</v>
      </c>
      <c r="BR123" s="13">
        <v>0</v>
      </c>
      <c r="BS123" s="13">
        <v>6.2399999999999999E-3</v>
      </c>
      <c r="BT123" s="13">
        <v>2.48E-3</v>
      </c>
      <c r="BU123" s="13">
        <v>3.3E-4</v>
      </c>
      <c r="BV123" s="13">
        <v>3.4299999999999999E-3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0</v>
      </c>
      <c r="CC123" s="13">
        <v>0.18249000000000001</v>
      </c>
      <c r="CD123" s="13">
        <v>0.18164</v>
      </c>
      <c r="CE123" s="13">
        <v>0</v>
      </c>
      <c r="CF123" s="13">
        <v>0</v>
      </c>
      <c r="CG123" s="13">
        <v>8.4999999999999995E-4</v>
      </c>
      <c r="CH123" s="13">
        <v>0</v>
      </c>
      <c r="CI123" s="13">
        <v>0</v>
      </c>
      <c r="CJ123" s="13">
        <v>6.7000000000000002E-3</v>
      </c>
      <c r="CK123" s="13">
        <v>0</v>
      </c>
      <c r="CL123" s="13">
        <v>0.74155000000000004</v>
      </c>
      <c r="CM123" s="13">
        <v>0.32840999999999998</v>
      </c>
      <c r="CN123" s="13">
        <v>0.14113999999999999</v>
      </c>
      <c r="CO123" s="13">
        <v>0.15906999999999999</v>
      </c>
      <c r="CP123" s="13">
        <v>1.6900000000000001E-3</v>
      </c>
      <c r="CQ123" s="13">
        <v>2.6509999999999999E-2</v>
      </c>
      <c r="CR123" s="13">
        <v>7.6560000000000003E-2</v>
      </c>
      <c r="CS123" s="13">
        <v>4.0289999999999999E-2</v>
      </c>
      <c r="CT123" s="13">
        <v>1.5720000000000001E-2</v>
      </c>
      <c r="CU123" s="13">
        <v>8.7100000000000007E-3</v>
      </c>
      <c r="CV123" s="13">
        <v>4.0600000000000002E-3</v>
      </c>
      <c r="CW123" s="13">
        <v>7.79E-3</v>
      </c>
      <c r="CX123" s="13">
        <v>0</v>
      </c>
      <c r="CY123" s="13">
        <v>0</v>
      </c>
      <c r="CZ123" s="13">
        <v>0</v>
      </c>
      <c r="DA123" s="13">
        <v>0</v>
      </c>
      <c r="DB123" s="13">
        <v>0</v>
      </c>
      <c r="DC123" s="13">
        <v>0.33222000000000002</v>
      </c>
      <c r="DD123" s="13">
        <v>0.29913000000000001</v>
      </c>
      <c r="DE123" s="13">
        <v>3.3090000000000001E-2</v>
      </c>
      <c r="DF123" s="13">
        <v>0</v>
      </c>
      <c r="DG123" s="13">
        <v>0</v>
      </c>
      <c r="DH123" s="13">
        <v>0</v>
      </c>
      <c r="DI123" s="13">
        <v>0</v>
      </c>
      <c r="DJ123" s="13">
        <v>0</v>
      </c>
      <c r="DK123" s="13">
        <v>0</v>
      </c>
      <c r="DL123" s="13">
        <v>0</v>
      </c>
      <c r="DM123" s="13">
        <v>1.73E-3</v>
      </c>
      <c r="DN123" s="13">
        <v>8.0999999999999996E-4</v>
      </c>
      <c r="DO123" s="13">
        <v>1.81E-3</v>
      </c>
      <c r="DP123" s="13">
        <v>0</v>
      </c>
      <c r="DQ123" s="13">
        <v>7.9720599999999999</v>
      </c>
      <c r="DR123" s="13">
        <v>-0.50012999999999996</v>
      </c>
      <c r="DS123" s="13">
        <v>3.64E-3</v>
      </c>
      <c r="DT123" s="13">
        <v>-0.12931999999999999</v>
      </c>
      <c r="DU123" s="13">
        <v>-0.37080999999999997</v>
      </c>
      <c r="DV123" s="13">
        <v>1.7995399999999999</v>
      </c>
      <c r="DW123" s="13">
        <v>0.11681</v>
      </c>
      <c r="DX123" s="13">
        <v>1.47339</v>
      </c>
      <c r="DY123" s="13">
        <v>0.32615</v>
      </c>
      <c r="DZ123" s="13">
        <v>5.9280200000000001</v>
      </c>
      <c r="EA123" s="13">
        <v>0.60460000000000003</v>
      </c>
      <c r="EB123" s="13">
        <v>6.1052799999999996</v>
      </c>
      <c r="EC123" s="13">
        <v>-0.17726</v>
      </c>
      <c r="ED123" s="13">
        <v>0.71709000000000001</v>
      </c>
      <c r="EE123" s="13">
        <v>1.1352800000000001</v>
      </c>
      <c r="EF123" s="13">
        <v>0.71303000000000005</v>
      </c>
      <c r="EG123" s="13">
        <v>4.0499999999999998E-3</v>
      </c>
      <c r="EH123" s="13">
        <v>2.7619999999999999E-2</v>
      </c>
      <c r="EI123" s="13">
        <v>0</v>
      </c>
      <c r="EJ123" s="13">
        <v>0</v>
      </c>
      <c r="EK123" s="13">
        <v>2.7619999999999999E-2</v>
      </c>
      <c r="EL123" s="13">
        <v>0</v>
      </c>
      <c r="EM123" s="13">
        <v>0</v>
      </c>
      <c r="EN123" s="13">
        <v>0</v>
      </c>
      <c r="EO123" s="13">
        <v>0</v>
      </c>
      <c r="EP123" s="13">
        <v>-8.0000000000000007E-5</v>
      </c>
      <c r="EQ123" s="13">
        <v>0</v>
      </c>
      <c r="ER123" s="13">
        <v>0.25657999999999997</v>
      </c>
      <c r="ES123" s="13">
        <v>0.22664999999999999</v>
      </c>
      <c r="ET123" s="13">
        <v>0.22664999999999999</v>
      </c>
      <c r="EU123" s="13">
        <v>0</v>
      </c>
      <c r="EV123" s="13">
        <v>0</v>
      </c>
      <c r="EW123" s="13">
        <v>4.2199999999999998E-3</v>
      </c>
      <c r="EX123" s="13">
        <v>4.2199999999999998E-3</v>
      </c>
      <c r="EY123" s="13">
        <v>0</v>
      </c>
      <c r="EZ123" s="13">
        <v>5.8799999999999998E-3</v>
      </c>
      <c r="FA123" s="13">
        <v>5.4999999999999997E-3</v>
      </c>
      <c r="FB123" s="13">
        <v>3.8000000000000002E-4</v>
      </c>
      <c r="FC123" s="13">
        <v>1.984E-2</v>
      </c>
      <c r="FD123" s="13">
        <v>1.1259999999999999E-2</v>
      </c>
      <c r="FE123" s="13">
        <v>8.5800000000000008E-3</v>
      </c>
      <c r="FF123" s="13">
        <v>0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</row>
    <row r="124" spans="1:168" ht="15" x14ac:dyDescent="0.25">
      <c r="A124" s="5" t="s">
        <v>204</v>
      </c>
      <c r="B124" s="5" t="s">
        <v>7</v>
      </c>
      <c r="C124" s="14">
        <v>9.9888100000000009</v>
      </c>
      <c r="D124" s="14">
        <v>3.6653600000000002</v>
      </c>
      <c r="E124" s="14">
        <v>1.8825499999999999</v>
      </c>
      <c r="F124" s="14">
        <v>1.7260899999999999</v>
      </c>
      <c r="G124" s="14">
        <v>2.3500000000000001E-3</v>
      </c>
      <c r="H124" s="14">
        <v>2.3500000000000001E-3</v>
      </c>
      <c r="I124" s="14">
        <v>0</v>
      </c>
      <c r="J124" s="14">
        <v>0</v>
      </c>
      <c r="K124" s="14">
        <v>8.8580000000000006E-2</v>
      </c>
      <c r="L124" s="14">
        <v>1.49E-3</v>
      </c>
      <c r="M124" s="14">
        <v>8.0999999999999996E-3</v>
      </c>
      <c r="N124" s="14">
        <v>0</v>
      </c>
      <c r="O124" s="14">
        <v>0</v>
      </c>
      <c r="P124" s="14">
        <v>2.5940000000000001E-2</v>
      </c>
      <c r="Q124" s="14">
        <v>3.8000000000000002E-4</v>
      </c>
      <c r="R124" s="14">
        <v>5.2670000000000002E-2</v>
      </c>
      <c r="S124" s="14">
        <v>1.0503800000000001</v>
      </c>
      <c r="T124" s="14">
        <v>2.4580000000000001E-2</v>
      </c>
      <c r="U124" s="14">
        <v>0.96877000000000002</v>
      </c>
      <c r="V124" s="14">
        <v>0.69067999999999996</v>
      </c>
      <c r="W124" s="14">
        <v>7.0749999999999993E-2</v>
      </c>
      <c r="X124" s="14">
        <v>0.19936000000000001</v>
      </c>
      <c r="Y124" s="14">
        <v>7.9799999999999992E-3</v>
      </c>
      <c r="Z124" s="14">
        <v>0</v>
      </c>
      <c r="AA124" s="14">
        <v>0</v>
      </c>
      <c r="AB124" s="14">
        <v>4.3049999999999998E-2</v>
      </c>
      <c r="AC124" s="14">
        <v>1.397E-2</v>
      </c>
      <c r="AD124" s="14">
        <v>0.58425000000000005</v>
      </c>
      <c r="AE124" s="14">
        <v>2.0600000000000002E-3</v>
      </c>
      <c r="AF124" s="14">
        <v>5.9500000000000004E-3</v>
      </c>
      <c r="AG124" s="14">
        <v>0.57625000000000004</v>
      </c>
      <c r="AH124" s="14">
        <v>5.1999999999999995E-4</v>
      </c>
      <c r="AI124" s="14">
        <v>5.1999999999999995E-4</v>
      </c>
      <c r="AJ124" s="14">
        <v>0</v>
      </c>
      <c r="AK124" s="14">
        <v>0.15645999999999999</v>
      </c>
      <c r="AL124" s="14">
        <v>0</v>
      </c>
      <c r="AM124" s="14">
        <v>0.15645999999999999</v>
      </c>
      <c r="AN124" s="14">
        <v>0</v>
      </c>
      <c r="AO124" s="14">
        <v>1.52525</v>
      </c>
      <c r="AP124" s="14">
        <v>1.28504</v>
      </c>
      <c r="AQ124" s="14">
        <v>0.24021000000000001</v>
      </c>
      <c r="AR124" s="14">
        <v>0</v>
      </c>
      <c r="AS124" s="14">
        <v>6.0859999999999997E-2</v>
      </c>
      <c r="AT124" s="14">
        <v>1.77329</v>
      </c>
      <c r="AU124" s="14">
        <v>9.1E-4</v>
      </c>
      <c r="AV124" s="14">
        <v>0</v>
      </c>
      <c r="AW124" s="14">
        <v>0</v>
      </c>
      <c r="AX124" s="14">
        <v>0</v>
      </c>
      <c r="AY124" s="14">
        <v>9.1E-4</v>
      </c>
      <c r="AZ124" s="14">
        <v>0</v>
      </c>
      <c r="BA124" s="14">
        <v>0</v>
      </c>
      <c r="BB124" s="14">
        <v>0</v>
      </c>
      <c r="BC124" s="14">
        <v>0</v>
      </c>
      <c r="BD124" s="14">
        <v>0</v>
      </c>
      <c r="BE124" s="14">
        <v>0</v>
      </c>
      <c r="BF124" s="14">
        <v>0</v>
      </c>
      <c r="BG124" s="14">
        <v>0</v>
      </c>
      <c r="BH124" s="14">
        <v>0</v>
      </c>
      <c r="BI124" s="14">
        <v>0</v>
      </c>
      <c r="BJ124" s="14">
        <v>0</v>
      </c>
      <c r="BK124" s="14">
        <v>1.7661199999999999</v>
      </c>
      <c r="BL124" s="14">
        <v>0</v>
      </c>
      <c r="BM124" s="14">
        <v>0.45223999999999998</v>
      </c>
      <c r="BN124" s="14">
        <v>1.3138700000000001</v>
      </c>
      <c r="BO124" s="14">
        <v>0</v>
      </c>
      <c r="BP124" s="14">
        <v>0</v>
      </c>
      <c r="BQ124" s="14">
        <v>0</v>
      </c>
      <c r="BR124" s="14">
        <v>0</v>
      </c>
      <c r="BS124" s="14">
        <v>6.2399999999999999E-3</v>
      </c>
      <c r="BT124" s="14">
        <v>2.48E-3</v>
      </c>
      <c r="BU124" s="14">
        <v>3.3E-4</v>
      </c>
      <c r="BV124" s="14">
        <v>3.4299999999999999E-3</v>
      </c>
      <c r="BW124" s="14">
        <v>0</v>
      </c>
      <c r="BX124" s="14">
        <v>0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4">
        <v>0</v>
      </c>
      <c r="CI124" s="14">
        <v>0</v>
      </c>
      <c r="CJ124" s="14">
        <v>3.0000000000000001E-5</v>
      </c>
      <c r="CK124" s="14">
        <v>0</v>
      </c>
      <c r="CL124" s="14">
        <v>4.3499999999999997E-3</v>
      </c>
      <c r="CM124" s="14">
        <v>0</v>
      </c>
      <c r="CN124" s="14">
        <v>0</v>
      </c>
      <c r="CO124" s="14">
        <v>0</v>
      </c>
      <c r="CP124" s="14">
        <v>0</v>
      </c>
      <c r="CQ124" s="14">
        <v>0</v>
      </c>
      <c r="CR124" s="14">
        <v>0</v>
      </c>
      <c r="CS124" s="14">
        <v>0</v>
      </c>
      <c r="CT124" s="14">
        <v>0</v>
      </c>
      <c r="CU124" s="14">
        <v>0</v>
      </c>
      <c r="CV124" s="14">
        <v>0</v>
      </c>
      <c r="CW124" s="14">
        <v>0</v>
      </c>
      <c r="CX124" s="14">
        <v>0</v>
      </c>
      <c r="CY124" s="14">
        <v>0</v>
      </c>
      <c r="CZ124" s="14">
        <v>0</v>
      </c>
      <c r="DA124" s="14">
        <v>0</v>
      </c>
      <c r="DB124" s="14">
        <v>0</v>
      </c>
      <c r="DC124" s="14">
        <v>0</v>
      </c>
      <c r="DD124" s="14">
        <v>0</v>
      </c>
      <c r="DE124" s="14">
        <v>0</v>
      </c>
      <c r="DF124" s="14">
        <v>0</v>
      </c>
      <c r="DG124" s="14">
        <v>0</v>
      </c>
      <c r="DH124" s="14">
        <v>0</v>
      </c>
      <c r="DI124" s="14">
        <v>0</v>
      </c>
      <c r="DJ124" s="14">
        <v>0</v>
      </c>
      <c r="DK124" s="14">
        <v>0</v>
      </c>
      <c r="DL124" s="14">
        <v>0</v>
      </c>
      <c r="DM124" s="14">
        <v>1.73E-3</v>
      </c>
      <c r="DN124" s="14">
        <v>8.0999999999999996E-4</v>
      </c>
      <c r="DO124" s="14">
        <v>1.81E-3</v>
      </c>
      <c r="DP124" s="14">
        <v>0</v>
      </c>
      <c r="DQ124" s="14">
        <v>6.3234500000000002</v>
      </c>
      <c r="DR124" s="14">
        <v>-0.50336000000000003</v>
      </c>
      <c r="DS124" s="14">
        <v>6.0999999999999997E-4</v>
      </c>
      <c r="DT124" s="14">
        <v>-0.12942000000000001</v>
      </c>
      <c r="DU124" s="14">
        <v>-0.37393999999999999</v>
      </c>
      <c r="DV124" s="14">
        <v>1.70688</v>
      </c>
      <c r="DW124" s="14">
        <v>2.4819999999999998E-2</v>
      </c>
      <c r="DX124" s="14">
        <v>1.3947499999999999</v>
      </c>
      <c r="DY124" s="14">
        <v>0.31213000000000002</v>
      </c>
      <c r="DZ124" s="14">
        <v>5.44963</v>
      </c>
      <c r="EA124" s="14">
        <v>0.12622</v>
      </c>
      <c r="EB124" s="14">
        <v>5.66052</v>
      </c>
      <c r="EC124" s="14">
        <v>-0.21088999999999999</v>
      </c>
      <c r="ED124" s="14">
        <v>-0.35722999999999999</v>
      </c>
      <c r="EE124" s="14">
        <v>6.096E-2</v>
      </c>
      <c r="EF124" s="14">
        <v>-0.35696</v>
      </c>
      <c r="EG124" s="14">
        <v>-2.7E-4</v>
      </c>
      <c r="EH124" s="14">
        <v>2.7609999999999999E-2</v>
      </c>
      <c r="EI124" s="14">
        <v>0</v>
      </c>
      <c r="EJ124" s="14">
        <v>0</v>
      </c>
      <c r="EK124" s="14">
        <v>2.7609999999999999E-2</v>
      </c>
      <c r="EL124" s="14">
        <v>0</v>
      </c>
      <c r="EM124" s="14">
        <v>0</v>
      </c>
      <c r="EN124" s="14">
        <v>0</v>
      </c>
      <c r="EO124" s="14">
        <v>0</v>
      </c>
      <c r="EP124" s="14">
        <v>-8.0000000000000007E-5</v>
      </c>
      <c r="EQ124" s="14">
        <v>0</v>
      </c>
      <c r="ER124" s="14">
        <v>5.1599999999999997E-3</v>
      </c>
      <c r="ES124" s="14">
        <v>0</v>
      </c>
      <c r="ET124" s="14">
        <v>0</v>
      </c>
      <c r="EU124" s="14">
        <v>0</v>
      </c>
      <c r="EV124" s="14">
        <v>0</v>
      </c>
      <c r="EW124" s="14">
        <v>0</v>
      </c>
      <c r="EX124" s="14">
        <v>0</v>
      </c>
      <c r="EY124" s="14">
        <v>0</v>
      </c>
      <c r="EZ124" s="14">
        <v>5.1599999999999997E-3</v>
      </c>
      <c r="FA124" s="14">
        <v>5.1599999999999997E-3</v>
      </c>
      <c r="FB124" s="14">
        <v>0</v>
      </c>
      <c r="FC124" s="14">
        <v>0</v>
      </c>
      <c r="FD124" s="14">
        <v>0</v>
      </c>
      <c r="FE124" s="14">
        <v>0</v>
      </c>
      <c r="FF124" s="14">
        <v>0</v>
      </c>
      <c r="FG124" s="14">
        <v>0</v>
      </c>
      <c r="FH124" s="14">
        <v>0</v>
      </c>
      <c r="FI124" s="14">
        <v>0</v>
      </c>
      <c r="FJ124" s="14">
        <v>0</v>
      </c>
      <c r="FK124" s="14">
        <v>0</v>
      </c>
      <c r="FL124" s="14">
        <v>0</v>
      </c>
    </row>
    <row r="125" spans="1:168" ht="15" x14ac:dyDescent="0.25">
      <c r="A125" s="5" t="s">
        <v>204</v>
      </c>
      <c r="B125" s="5" t="s">
        <v>8</v>
      </c>
      <c r="C125" s="13">
        <v>8.1839999999999996E-2</v>
      </c>
      <c r="D125" s="13">
        <v>2.307E-2</v>
      </c>
      <c r="E125" s="13">
        <v>2.5000000000000001E-4</v>
      </c>
      <c r="F125" s="13">
        <v>1.2E-4</v>
      </c>
      <c r="G125" s="13">
        <v>0</v>
      </c>
      <c r="H125" s="13">
        <v>0</v>
      </c>
      <c r="I125" s="13">
        <v>0</v>
      </c>
      <c r="J125" s="13">
        <v>0</v>
      </c>
      <c r="K125" s="13">
        <v>1.0000000000000001E-5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5.0000000000000002E-5</v>
      </c>
      <c r="T125" s="13">
        <v>0</v>
      </c>
      <c r="U125" s="13">
        <v>5.0000000000000002E-5</v>
      </c>
      <c r="V125" s="13">
        <v>4.0000000000000003E-5</v>
      </c>
      <c r="W125" s="13">
        <v>0</v>
      </c>
      <c r="X125" s="13">
        <v>1.0000000000000001E-5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6.0000000000000002E-5</v>
      </c>
      <c r="AE125" s="13">
        <v>0</v>
      </c>
      <c r="AF125" s="13">
        <v>0</v>
      </c>
      <c r="AG125" s="13">
        <v>5.0000000000000002E-5</v>
      </c>
      <c r="AH125" s="13">
        <v>0</v>
      </c>
      <c r="AI125" s="13">
        <v>0</v>
      </c>
      <c r="AJ125" s="13">
        <v>0</v>
      </c>
      <c r="AK125" s="13">
        <v>1.2999999999999999E-4</v>
      </c>
      <c r="AL125" s="13">
        <v>0</v>
      </c>
      <c r="AM125" s="13">
        <v>1.2999999999999999E-4</v>
      </c>
      <c r="AN125" s="13">
        <v>0</v>
      </c>
      <c r="AO125" s="13">
        <v>3.0000000000000001E-5</v>
      </c>
      <c r="AP125" s="13">
        <v>1.0000000000000001E-5</v>
      </c>
      <c r="AQ125" s="13">
        <v>2.0000000000000002E-5</v>
      </c>
      <c r="AR125" s="13">
        <v>0</v>
      </c>
      <c r="AS125" s="13">
        <v>0</v>
      </c>
      <c r="AT125" s="13">
        <v>1.2999999999999999E-4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1.2999999999999999E-4</v>
      </c>
      <c r="BL125" s="13">
        <v>0</v>
      </c>
      <c r="BM125" s="13">
        <v>1.2999999999999999E-4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0</v>
      </c>
      <c r="BT125" s="13">
        <v>0</v>
      </c>
      <c r="BU125" s="13">
        <v>0</v>
      </c>
      <c r="BV125" s="13">
        <v>0</v>
      </c>
      <c r="BW125" s="13">
        <v>0</v>
      </c>
      <c r="BX125" s="13">
        <v>0</v>
      </c>
      <c r="BY125" s="13">
        <v>0</v>
      </c>
      <c r="BZ125" s="13">
        <v>0</v>
      </c>
      <c r="CA125" s="13">
        <v>0</v>
      </c>
      <c r="CB125" s="13">
        <v>0</v>
      </c>
      <c r="CC125" s="13">
        <v>0</v>
      </c>
      <c r="CD125" s="13">
        <v>0</v>
      </c>
      <c r="CE125" s="13">
        <v>0</v>
      </c>
      <c r="CF125" s="13">
        <v>0</v>
      </c>
      <c r="CG125" s="13">
        <v>0</v>
      </c>
      <c r="CH125" s="13">
        <v>0</v>
      </c>
      <c r="CI125" s="13">
        <v>0</v>
      </c>
      <c r="CJ125" s="13">
        <v>0</v>
      </c>
      <c r="CK125" s="13">
        <v>0</v>
      </c>
      <c r="CL125" s="13">
        <v>1.397E-2</v>
      </c>
      <c r="CM125" s="13">
        <v>1.1730000000000001E-2</v>
      </c>
      <c r="CN125" s="13">
        <v>5.0400000000000002E-3</v>
      </c>
      <c r="CO125" s="13">
        <v>5.6800000000000002E-3</v>
      </c>
      <c r="CP125" s="13">
        <v>6.0000000000000002E-5</v>
      </c>
      <c r="CQ125" s="13">
        <v>9.5E-4</v>
      </c>
      <c r="CR125" s="13">
        <v>2.2399999999999998E-3</v>
      </c>
      <c r="CS125" s="13">
        <v>1.3699999999999999E-3</v>
      </c>
      <c r="CT125" s="13">
        <v>4.4000000000000002E-4</v>
      </c>
      <c r="CU125" s="13">
        <v>3.1E-4</v>
      </c>
      <c r="CV125" s="13">
        <v>1.2E-4</v>
      </c>
      <c r="CW125" s="13">
        <v>0</v>
      </c>
      <c r="CX125" s="13">
        <v>0</v>
      </c>
      <c r="CY125" s="13">
        <v>0</v>
      </c>
      <c r="CZ125" s="13">
        <v>0</v>
      </c>
      <c r="DA125" s="13">
        <v>0</v>
      </c>
      <c r="DB125" s="13">
        <v>0</v>
      </c>
      <c r="DC125" s="13">
        <v>0</v>
      </c>
      <c r="DD125" s="13">
        <v>0</v>
      </c>
      <c r="DE125" s="13">
        <v>0</v>
      </c>
      <c r="DF125" s="13">
        <v>0</v>
      </c>
      <c r="DG125" s="13">
        <v>0</v>
      </c>
      <c r="DH125" s="13">
        <v>0</v>
      </c>
      <c r="DI125" s="13">
        <v>0</v>
      </c>
      <c r="DJ125" s="13">
        <v>0</v>
      </c>
      <c r="DK125" s="13">
        <v>0</v>
      </c>
      <c r="DL125" s="13">
        <v>0</v>
      </c>
      <c r="DM125" s="13">
        <v>0</v>
      </c>
      <c r="DN125" s="13">
        <v>0</v>
      </c>
      <c r="DO125" s="13">
        <v>0</v>
      </c>
      <c r="DP125" s="13">
        <v>0</v>
      </c>
      <c r="DQ125" s="13">
        <v>5.8770000000000003E-2</v>
      </c>
      <c r="DR125" s="13">
        <v>3.0000000000000001E-5</v>
      </c>
      <c r="DS125" s="13">
        <v>3.0000000000000001E-5</v>
      </c>
      <c r="DT125" s="13">
        <v>0</v>
      </c>
      <c r="DU125" s="13">
        <v>3.0000000000000001E-5</v>
      </c>
      <c r="DV125" s="13">
        <v>3.29E-3</v>
      </c>
      <c r="DW125" s="13">
        <v>3.29E-3</v>
      </c>
      <c r="DX125" s="13">
        <v>2.81E-3</v>
      </c>
      <c r="DY125" s="13">
        <v>4.8000000000000001E-4</v>
      </c>
      <c r="DZ125" s="13">
        <v>1.7090000000000001E-2</v>
      </c>
      <c r="EA125" s="13">
        <v>1.7090000000000001E-2</v>
      </c>
      <c r="EB125" s="13">
        <v>1.5879999999999998E-2</v>
      </c>
      <c r="EC125" s="13">
        <v>1.1999999999999999E-3</v>
      </c>
      <c r="ED125" s="13">
        <v>3.8370000000000001E-2</v>
      </c>
      <c r="EE125" s="13">
        <v>3.8370000000000001E-2</v>
      </c>
      <c r="EF125" s="13">
        <v>3.8210000000000001E-2</v>
      </c>
      <c r="EG125" s="13">
        <v>1.4999999999999999E-4</v>
      </c>
      <c r="EH125" s="13">
        <v>0</v>
      </c>
      <c r="EI125" s="13">
        <v>0</v>
      </c>
      <c r="EJ125" s="13">
        <v>0</v>
      </c>
      <c r="EK125" s="13">
        <v>0</v>
      </c>
      <c r="EL125" s="13">
        <v>0</v>
      </c>
      <c r="EM125" s="13">
        <v>0</v>
      </c>
      <c r="EN125" s="13">
        <v>0</v>
      </c>
      <c r="EO125" s="13">
        <v>0</v>
      </c>
      <c r="EP125" s="13">
        <v>0</v>
      </c>
      <c r="EQ125" s="13">
        <v>0</v>
      </c>
      <c r="ER125" s="13">
        <v>8.7200000000000003E-3</v>
      </c>
      <c r="ES125" s="13">
        <v>8.09E-3</v>
      </c>
      <c r="ET125" s="13">
        <v>8.09E-3</v>
      </c>
      <c r="EU125" s="13">
        <v>0</v>
      </c>
      <c r="EV125" s="13">
        <v>0</v>
      </c>
      <c r="EW125" s="13">
        <v>1E-4</v>
      </c>
      <c r="EX125" s="13">
        <v>1E-4</v>
      </c>
      <c r="EY125" s="13">
        <v>0</v>
      </c>
      <c r="EZ125" s="13">
        <v>1.0000000000000001E-5</v>
      </c>
      <c r="FA125" s="13">
        <v>0</v>
      </c>
      <c r="FB125" s="13">
        <v>1.0000000000000001E-5</v>
      </c>
      <c r="FC125" s="13">
        <v>5.1000000000000004E-4</v>
      </c>
      <c r="FD125" s="13">
        <v>2.1000000000000001E-4</v>
      </c>
      <c r="FE125" s="13">
        <v>3.1E-4</v>
      </c>
      <c r="FF125" s="13">
        <v>0</v>
      </c>
      <c r="FG125" s="13">
        <v>0</v>
      </c>
      <c r="FH125" s="13">
        <v>0</v>
      </c>
      <c r="FI125" s="13">
        <v>0</v>
      </c>
      <c r="FJ125" s="13">
        <v>0</v>
      </c>
      <c r="FK125" s="13">
        <v>0</v>
      </c>
      <c r="FL125" s="13">
        <v>0</v>
      </c>
    </row>
    <row r="126" spans="1:168" ht="15" x14ac:dyDescent="0.25">
      <c r="A126" s="5" t="s">
        <v>204</v>
      </c>
      <c r="B126" s="5" t="s">
        <v>9</v>
      </c>
      <c r="C126" s="14">
        <v>1.4400000000000001E-3</v>
      </c>
      <c r="D126" s="14">
        <v>1.42E-3</v>
      </c>
      <c r="E126" s="14">
        <v>8.0000000000000007E-5</v>
      </c>
      <c r="F126" s="14">
        <v>8.0000000000000007E-5</v>
      </c>
      <c r="G126" s="14">
        <v>0</v>
      </c>
      <c r="H126" s="14">
        <v>0</v>
      </c>
      <c r="I126" s="14">
        <v>0</v>
      </c>
      <c r="J126" s="14">
        <v>0</v>
      </c>
      <c r="K126" s="14">
        <v>2.0000000000000002E-5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2.0000000000000002E-5</v>
      </c>
      <c r="S126" s="14">
        <v>3.0000000000000001E-5</v>
      </c>
      <c r="T126" s="14">
        <v>0</v>
      </c>
      <c r="U126" s="14">
        <v>3.0000000000000001E-5</v>
      </c>
      <c r="V126" s="14">
        <v>2.0000000000000002E-5</v>
      </c>
      <c r="W126" s="14">
        <v>0</v>
      </c>
      <c r="X126" s="14">
        <v>1.0000000000000001E-5</v>
      </c>
      <c r="Y126" s="14">
        <v>0</v>
      </c>
      <c r="Z126" s="14">
        <v>0</v>
      </c>
      <c r="AA126" s="14">
        <v>0</v>
      </c>
      <c r="AB126" s="14">
        <v>0</v>
      </c>
      <c r="AC126" s="14">
        <v>1.0000000000000001E-5</v>
      </c>
      <c r="AD126" s="14">
        <v>3.0000000000000001E-5</v>
      </c>
      <c r="AE126" s="14">
        <v>0</v>
      </c>
      <c r="AF126" s="14">
        <v>0</v>
      </c>
      <c r="AG126" s="14">
        <v>3.0000000000000001E-5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4.0000000000000003E-5</v>
      </c>
      <c r="AP126" s="14">
        <v>4.0000000000000003E-5</v>
      </c>
      <c r="AQ126" s="14">
        <v>1.0000000000000001E-5</v>
      </c>
      <c r="AR126" s="14">
        <v>0</v>
      </c>
      <c r="AS126" s="14">
        <v>0</v>
      </c>
      <c r="AT126" s="14">
        <v>1.0000000000000001E-5</v>
      </c>
      <c r="AU126" s="14">
        <v>0</v>
      </c>
      <c r="AV126" s="14">
        <v>0</v>
      </c>
      <c r="AW126" s="14">
        <v>0</v>
      </c>
      <c r="AX126" s="14">
        <v>0</v>
      </c>
      <c r="AY126" s="14">
        <v>0</v>
      </c>
      <c r="AZ126" s="14">
        <v>0</v>
      </c>
      <c r="BA126" s="14">
        <v>0</v>
      </c>
      <c r="BB126" s="14">
        <v>0</v>
      </c>
      <c r="BC126" s="14">
        <v>0</v>
      </c>
      <c r="BD126" s="14">
        <v>0</v>
      </c>
      <c r="BE126" s="14">
        <v>0</v>
      </c>
      <c r="BF126" s="14">
        <v>0</v>
      </c>
      <c r="BG126" s="14">
        <v>0</v>
      </c>
      <c r="BH126" s="14">
        <v>0</v>
      </c>
      <c r="BI126" s="14">
        <v>0</v>
      </c>
      <c r="BJ126" s="14">
        <v>0</v>
      </c>
      <c r="BK126" s="14">
        <v>0</v>
      </c>
      <c r="BL126" s="14">
        <v>0</v>
      </c>
      <c r="BM126" s="14">
        <v>0</v>
      </c>
      <c r="BN126" s="14">
        <v>0</v>
      </c>
      <c r="BO126" s="14">
        <v>0</v>
      </c>
      <c r="BP126" s="14">
        <v>0</v>
      </c>
      <c r="BQ126" s="14">
        <v>0</v>
      </c>
      <c r="BR126" s="14">
        <v>0</v>
      </c>
      <c r="BS126" s="14">
        <v>0</v>
      </c>
      <c r="BT126" s="14">
        <v>0</v>
      </c>
      <c r="BU126" s="14">
        <v>0</v>
      </c>
      <c r="BV126" s="14">
        <v>0</v>
      </c>
      <c r="BW126" s="14">
        <v>0</v>
      </c>
      <c r="BX126" s="14">
        <v>0</v>
      </c>
      <c r="BY126" s="14">
        <v>0</v>
      </c>
      <c r="BZ126" s="14">
        <v>0</v>
      </c>
      <c r="CA126" s="14">
        <v>0</v>
      </c>
      <c r="CB126" s="14"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4">
        <v>0</v>
      </c>
      <c r="CI126" s="14">
        <v>0</v>
      </c>
      <c r="CJ126" s="14">
        <v>1.0000000000000001E-5</v>
      </c>
      <c r="CK126" s="14">
        <v>0</v>
      </c>
      <c r="CL126" s="14">
        <v>1.31E-3</v>
      </c>
      <c r="CM126" s="14">
        <v>0</v>
      </c>
      <c r="CN126" s="14">
        <v>0</v>
      </c>
      <c r="CO126" s="14">
        <v>0</v>
      </c>
      <c r="CP126" s="14">
        <v>0</v>
      </c>
      <c r="CQ126" s="14">
        <v>0</v>
      </c>
      <c r="CR126" s="14">
        <v>5.0000000000000002E-5</v>
      </c>
      <c r="CS126" s="14">
        <v>1.0000000000000001E-5</v>
      </c>
      <c r="CT126" s="14">
        <v>1.0000000000000001E-5</v>
      </c>
      <c r="CU126" s="14">
        <v>0</v>
      </c>
      <c r="CV126" s="14">
        <v>0</v>
      </c>
      <c r="CW126" s="14">
        <v>3.0000000000000001E-5</v>
      </c>
      <c r="CX126" s="14">
        <v>0</v>
      </c>
      <c r="CY126" s="14">
        <v>0</v>
      </c>
      <c r="CZ126" s="14">
        <v>0</v>
      </c>
      <c r="DA126" s="14">
        <v>0</v>
      </c>
      <c r="DB126" s="14">
        <v>0</v>
      </c>
      <c r="DC126" s="14">
        <v>1.25E-3</v>
      </c>
      <c r="DD126" s="14">
        <v>1.1299999999999999E-3</v>
      </c>
      <c r="DE126" s="14">
        <v>1.2E-4</v>
      </c>
      <c r="DF126" s="14">
        <v>0</v>
      </c>
      <c r="DG126" s="14">
        <v>0</v>
      </c>
      <c r="DH126" s="14">
        <v>0</v>
      </c>
      <c r="DI126" s="14">
        <v>0</v>
      </c>
      <c r="DJ126" s="14">
        <v>0</v>
      </c>
      <c r="DK126" s="14">
        <v>0</v>
      </c>
      <c r="DL126" s="14">
        <v>0</v>
      </c>
      <c r="DM126" s="14">
        <v>0</v>
      </c>
      <c r="DN126" s="14">
        <v>0</v>
      </c>
      <c r="DO126" s="14">
        <v>0</v>
      </c>
      <c r="DP126" s="14">
        <v>0</v>
      </c>
      <c r="DQ126" s="14">
        <v>1.0000000000000001E-5</v>
      </c>
      <c r="DR126" s="14">
        <v>1.0000000000000001E-5</v>
      </c>
      <c r="DS126" s="14">
        <v>1.0000000000000001E-5</v>
      </c>
      <c r="DT126" s="14">
        <v>0</v>
      </c>
      <c r="DU126" s="14">
        <v>1.0000000000000001E-5</v>
      </c>
      <c r="DV126" s="14">
        <v>0</v>
      </c>
      <c r="DW126" s="14">
        <v>0</v>
      </c>
      <c r="DX126" s="14">
        <v>0</v>
      </c>
      <c r="DY126" s="14">
        <v>0</v>
      </c>
      <c r="DZ126" s="14">
        <v>0</v>
      </c>
      <c r="EA126" s="14">
        <v>0</v>
      </c>
      <c r="EB126" s="14">
        <v>0</v>
      </c>
      <c r="EC126" s="14">
        <v>0</v>
      </c>
      <c r="ED126" s="14">
        <v>0</v>
      </c>
      <c r="EE126" s="14">
        <v>0</v>
      </c>
      <c r="EF126" s="14">
        <v>0</v>
      </c>
      <c r="EG126" s="14">
        <v>0</v>
      </c>
      <c r="EH126" s="14">
        <v>0</v>
      </c>
      <c r="EI126" s="14">
        <v>0</v>
      </c>
      <c r="EJ126" s="14">
        <v>0</v>
      </c>
      <c r="EK126" s="14">
        <v>0</v>
      </c>
      <c r="EL126" s="14">
        <v>0</v>
      </c>
      <c r="EM126" s="14">
        <v>0</v>
      </c>
      <c r="EN126" s="14">
        <v>0</v>
      </c>
      <c r="EO126" s="14">
        <v>0</v>
      </c>
      <c r="EP126" s="14">
        <v>0</v>
      </c>
      <c r="EQ126" s="14">
        <v>0</v>
      </c>
      <c r="ER126" s="14">
        <v>3.0000000000000001E-5</v>
      </c>
      <c r="ES126" s="14">
        <v>0</v>
      </c>
      <c r="ET126" s="14">
        <v>0</v>
      </c>
      <c r="EU126" s="14">
        <v>0</v>
      </c>
      <c r="EV126" s="14">
        <v>0</v>
      </c>
      <c r="EW126" s="14">
        <v>1.0000000000000001E-5</v>
      </c>
      <c r="EX126" s="14">
        <v>1.0000000000000001E-5</v>
      </c>
      <c r="EY126" s="14">
        <v>0</v>
      </c>
      <c r="EZ126" s="14">
        <v>0</v>
      </c>
      <c r="FA126" s="14">
        <v>0</v>
      </c>
      <c r="FB126" s="14">
        <v>0</v>
      </c>
      <c r="FC126" s="14">
        <v>2.0000000000000002E-5</v>
      </c>
      <c r="FD126" s="14">
        <v>2.0000000000000002E-5</v>
      </c>
      <c r="FE126" s="14">
        <v>0</v>
      </c>
      <c r="FF126" s="14">
        <v>0</v>
      </c>
      <c r="FG126" s="14">
        <v>0</v>
      </c>
      <c r="FH126" s="14">
        <v>0</v>
      </c>
      <c r="FI126" s="14">
        <v>0</v>
      </c>
      <c r="FJ126" s="14">
        <v>0</v>
      </c>
      <c r="FK126" s="14">
        <v>0</v>
      </c>
      <c r="FL126" s="14">
        <v>0</v>
      </c>
    </row>
    <row r="127" spans="1:168" ht="15" x14ac:dyDescent="0.25">
      <c r="A127" s="5" t="s">
        <v>205</v>
      </c>
      <c r="B127" s="5" t="s">
        <v>6</v>
      </c>
      <c r="C127" s="13">
        <v>40.335850000000001</v>
      </c>
      <c r="D127" s="13">
        <v>52.986179999999997</v>
      </c>
      <c r="E127" s="13">
        <v>37.248530000000002</v>
      </c>
      <c r="F127" s="13">
        <v>34.758429999999997</v>
      </c>
      <c r="G127" s="13">
        <v>15.080909999999999</v>
      </c>
      <c r="H127" s="13">
        <v>1.5554399999999999</v>
      </c>
      <c r="I127" s="13">
        <v>0.92784</v>
      </c>
      <c r="J127" s="13">
        <v>12.597630000000001</v>
      </c>
      <c r="K127" s="13">
        <v>3.0782699999999998</v>
      </c>
      <c r="L127" s="13">
        <v>7.2520000000000001E-2</v>
      </c>
      <c r="M127" s="13">
        <v>0.20191999999999999</v>
      </c>
      <c r="N127" s="13">
        <v>0.18522</v>
      </c>
      <c r="O127" s="13">
        <v>0.11021</v>
      </c>
      <c r="P127" s="13">
        <v>0.30924000000000001</v>
      </c>
      <c r="Q127" s="13">
        <v>0.75463999999999998</v>
      </c>
      <c r="R127" s="13">
        <v>1.44452</v>
      </c>
      <c r="S127" s="13">
        <v>13.26613</v>
      </c>
      <c r="T127" s="13">
        <v>1.20889</v>
      </c>
      <c r="U127" s="13">
        <v>9.3480399999999992</v>
      </c>
      <c r="V127" s="13">
        <v>4.9419599999999999</v>
      </c>
      <c r="W127" s="13">
        <v>1.42588</v>
      </c>
      <c r="X127" s="13">
        <v>2.8276599999999998</v>
      </c>
      <c r="Y127" s="13">
        <v>0.15254000000000001</v>
      </c>
      <c r="Z127" s="13">
        <v>0</v>
      </c>
      <c r="AA127" s="13">
        <v>5.1490000000000001E-2</v>
      </c>
      <c r="AB127" s="13">
        <v>2.6577199999999999</v>
      </c>
      <c r="AC127" s="13">
        <v>0</v>
      </c>
      <c r="AD127" s="13">
        <v>3.10433</v>
      </c>
      <c r="AE127" s="13">
        <v>1.0854999999999999</v>
      </c>
      <c r="AF127" s="13">
        <v>0.77527999999999997</v>
      </c>
      <c r="AG127" s="13">
        <v>1.2435400000000001</v>
      </c>
      <c r="AH127" s="13">
        <v>0.22878999999999999</v>
      </c>
      <c r="AI127" s="13">
        <v>2.5999999999999999E-3</v>
      </c>
      <c r="AJ127" s="13">
        <v>0.22620000000000001</v>
      </c>
      <c r="AK127" s="13">
        <v>2.4761099999999998</v>
      </c>
      <c r="AL127" s="13">
        <v>8.0689999999999998E-2</v>
      </c>
      <c r="AM127" s="13">
        <v>2.3954200000000001</v>
      </c>
      <c r="AN127" s="13">
        <v>1.3990000000000001E-2</v>
      </c>
      <c r="AO127" s="13">
        <v>3.0377200000000002</v>
      </c>
      <c r="AP127" s="13">
        <v>1.8535299999999999</v>
      </c>
      <c r="AQ127" s="13">
        <v>1.1841900000000001</v>
      </c>
      <c r="AR127" s="13">
        <v>0</v>
      </c>
      <c r="AS127" s="13">
        <v>4.95282</v>
      </c>
      <c r="AT127" s="13">
        <v>9.1038999999999994</v>
      </c>
      <c r="AU127" s="13">
        <v>0.99538000000000004</v>
      </c>
      <c r="AV127" s="13">
        <v>0.72975999999999996</v>
      </c>
      <c r="AW127" s="13">
        <v>0.20695</v>
      </c>
      <c r="AX127" s="13">
        <v>7.3699999999999998E-3</v>
      </c>
      <c r="AY127" s="13">
        <v>5.1299999999999998E-2</v>
      </c>
      <c r="AZ127" s="13">
        <v>2.0721799999999999</v>
      </c>
      <c r="BA127" s="13">
        <v>0.66788000000000003</v>
      </c>
      <c r="BB127" s="13">
        <v>0.17732999999999999</v>
      </c>
      <c r="BC127" s="13">
        <v>0</v>
      </c>
      <c r="BD127" s="13">
        <v>0</v>
      </c>
      <c r="BE127" s="13">
        <v>6.3880000000000006E-2</v>
      </c>
      <c r="BF127" s="13">
        <v>0.25061</v>
      </c>
      <c r="BG127" s="13">
        <v>0</v>
      </c>
      <c r="BH127" s="13">
        <v>0.85604999999999998</v>
      </c>
      <c r="BI127" s="13">
        <v>0</v>
      </c>
      <c r="BJ127" s="13">
        <v>5.6439999999999997E-2</v>
      </c>
      <c r="BK127" s="13">
        <v>4.7771299999999997</v>
      </c>
      <c r="BL127" s="13">
        <v>2.7830000000000001E-2</v>
      </c>
      <c r="BM127" s="13">
        <v>2.53592</v>
      </c>
      <c r="BN127" s="13">
        <v>2.1128</v>
      </c>
      <c r="BO127" s="13">
        <v>0</v>
      </c>
      <c r="BP127" s="13">
        <v>0</v>
      </c>
      <c r="BQ127" s="13">
        <v>6.0299999999999998E-3</v>
      </c>
      <c r="BR127" s="13">
        <v>9.4549999999999995E-2</v>
      </c>
      <c r="BS127" s="13">
        <v>0.21596000000000001</v>
      </c>
      <c r="BT127" s="13">
        <v>4.7379999999999999E-2</v>
      </c>
      <c r="BU127" s="13">
        <v>3.8420000000000003E-2</v>
      </c>
      <c r="BV127" s="13">
        <v>0.13016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0.84953999999999996</v>
      </c>
      <c r="CD127" s="13">
        <v>0.81079000000000001</v>
      </c>
      <c r="CE127" s="13">
        <v>0</v>
      </c>
      <c r="CF127" s="13">
        <v>0</v>
      </c>
      <c r="CG127" s="13">
        <v>0</v>
      </c>
      <c r="CH127" s="13">
        <v>0</v>
      </c>
      <c r="CI127" s="13">
        <v>3.875E-2</v>
      </c>
      <c r="CJ127" s="13">
        <v>7.1940000000000004E-2</v>
      </c>
      <c r="CK127" s="13">
        <v>0.12177</v>
      </c>
      <c r="CL127" s="13">
        <v>4.80905</v>
      </c>
      <c r="CM127" s="13">
        <v>2.56596</v>
      </c>
      <c r="CN127" s="13">
        <v>1.88666</v>
      </c>
      <c r="CO127" s="13">
        <v>0.51200000000000001</v>
      </c>
      <c r="CP127" s="13">
        <v>2.1059999999999999E-2</v>
      </c>
      <c r="CQ127" s="13">
        <v>0.14624999999999999</v>
      </c>
      <c r="CR127" s="13">
        <v>0.58655999999999997</v>
      </c>
      <c r="CS127" s="13">
        <v>0.36399999999999999</v>
      </c>
      <c r="CT127" s="13">
        <v>3.0110000000000001E-2</v>
      </c>
      <c r="CU127" s="13">
        <v>6.123E-2</v>
      </c>
      <c r="CV127" s="13">
        <v>5.951E-2</v>
      </c>
      <c r="CW127" s="13">
        <v>7.1709999999999996E-2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1.55111</v>
      </c>
      <c r="DD127" s="13">
        <v>1.2560899999999999</v>
      </c>
      <c r="DE127" s="13">
        <v>0.29502</v>
      </c>
      <c r="DF127" s="13">
        <v>0</v>
      </c>
      <c r="DG127" s="13">
        <v>2.3999999999999998E-3</v>
      </c>
      <c r="DH127" s="13">
        <v>2.3999999999999998E-3</v>
      </c>
      <c r="DI127" s="13">
        <v>0</v>
      </c>
      <c r="DJ127" s="13">
        <v>0</v>
      </c>
      <c r="DK127" s="13">
        <v>0</v>
      </c>
      <c r="DL127" s="13">
        <v>0</v>
      </c>
      <c r="DM127" s="13">
        <v>0.10291</v>
      </c>
      <c r="DN127" s="13">
        <v>1E-4</v>
      </c>
      <c r="DO127" s="13">
        <v>0</v>
      </c>
      <c r="DP127" s="13">
        <v>0</v>
      </c>
      <c r="DQ127" s="13">
        <v>-12.65033</v>
      </c>
      <c r="DR127" s="13">
        <v>-16.97559</v>
      </c>
      <c r="DS127" s="13">
        <v>0.20616000000000001</v>
      </c>
      <c r="DT127" s="13">
        <v>-16.19481</v>
      </c>
      <c r="DU127" s="13">
        <v>-0.78078000000000003</v>
      </c>
      <c r="DV127" s="13">
        <v>2.4218199999999999</v>
      </c>
      <c r="DW127" s="13">
        <v>0.10750999999999999</v>
      </c>
      <c r="DX127" s="13">
        <v>1.7843</v>
      </c>
      <c r="DY127" s="13">
        <v>0.63751000000000002</v>
      </c>
      <c r="DZ127" s="13">
        <v>-0.19398000000000001</v>
      </c>
      <c r="EA127" s="13">
        <v>1.3599999999999999E-2</v>
      </c>
      <c r="EB127" s="13">
        <v>-0.44631999999999999</v>
      </c>
      <c r="EC127" s="13">
        <v>0.25234000000000001</v>
      </c>
      <c r="ED127" s="13">
        <v>0.37729000000000001</v>
      </c>
      <c r="EE127" s="13">
        <v>4.0669999999999998E-2</v>
      </c>
      <c r="EF127" s="13">
        <v>0.29110999999999998</v>
      </c>
      <c r="EG127" s="13">
        <v>8.6180000000000007E-2</v>
      </c>
      <c r="EH127" s="13">
        <v>2.10222</v>
      </c>
      <c r="EI127" s="13">
        <v>0</v>
      </c>
      <c r="EJ127" s="13">
        <v>0.19517999999999999</v>
      </c>
      <c r="EK127" s="13">
        <v>1.9070400000000001</v>
      </c>
      <c r="EL127" s="13">
        <v>0</v>
      </c>
      <c r="EM127" s="13">
        <v>0</v>
      </c>
      <c r="EN127" s="13">
        <v>0</v>
      </c>
      <c r="EO127" s="13">
        <v>0</v>
      </c>
      <c r="EP127" s="13">
        <v>-0.38207999999999998</v>
      </c>
      <c r="EQ127" s="13">
        <v>0</v>
      </c>
      <c r="ER127" s="13">
        <v>1.6586099999999999</v>
      </c>
      <c r="ES127" s="13">
        <v>1.05308</v>
      </c>
      <c r="ET127" s="13">
        <v>1.05308</v>
      </c>
      <c r="EU127" s="13">
        <v>0</v>
      </c>
      <c r="EV127" s="13">
        <v>0</v>
      </c>
      <c r="EW127" s="13">
        <v>4.2880000000000001E-2</v>
      </c>
      <c r="EX127" s="13">
        <v>3.1629999999999998E-2</v>
      </c>
      <c r="EY127" s="13">
        <v>1.125E-2</v>
      </c>
      <c r="EZ127" s="13">
        <v>0.28854000000000002</v>
      </c>
      <c r="FA127" s="13">
        <v>0.28854000000000002</v>
      </c>
      <c r="FB127" s="13">
        <v>0</v>
      </c>
      <c r="FC127" s="13">
        <v>0.27410000000000001</v>
      </c>
      <c r="FD127" s="13">
        <v>0.23244999999999999</v>
      </c>
      <c r="FE127" s="13">
        <v>4.1660000000000003E-2</v>
      </c>
      <c r="FF127" s="13">
        <v>0</v>
      </c>
      <c r="FG127" s="13">
        <v>0</v>
      </c>
      <c r="FH127" s="13">
        <v>26.621700000000001</v>
      </c>
      <c r="FI127" s="13">
        <v>6.3600000000000002E-3</v>
      </c>
      <c r="FJ127" s="13">
        <v>3.7799999999999999E-3</v>
      </c>
      <c r="FK127" s="13">
        <v>0</v>
      </c>
      <c r="FL127" s="13">
        <v>0.1661</v>
      </c>
    </row>
    <row r="128" spans="1:168" ht="15" x14ac:dyDescent="0.25">
      <c r="A128" s="5" t="s">
        <v>205</v>
      </c>
      <c r="B128" s="5" t="s">
        <v>7</v>
      </c>
      <c r="C128" s="14">
        <v>31.35614</v>
      </c>
      <c r="D128" s="14">
        <v>44.467799999999997</v>
      </c>
      <c r="E128" s="14">
        <v>36.131270000000001</v>
      </c>
      <c r="F128" s="14">
        <v>34.092410000000001</v>
      </c>
      <c r="G128" s="14">
        <v>14.98786</v>
      </c>
      <c r="H128" s="14">
        <v>1.5185599999999999</v>
      </c>
      <c r="I128" s="14">
        <v>0.92657</v>
      </c>
      <c r="J128" s="14">
        <v>12.542730000000001</v>
      </c>
      <c r="K128" s="14">
        <v>3.0309599999999999</v>
      </c>
      <c r="L128" s="14">
        <v>7.2059999999999999E-2</v>
      </c>
      <c r="M128" s="14">
        <v>0.20165</v>
      </c>
      <c r="N128" s="14">
        <v>0.17913999999999999</v>
      </c>
      <c r="O128" s="14">
        <v>0.10290000000000001</v>
      </c>
      <c r="P128" s="14">
        <v>0.30861</v>
      </c>
      <c r="Q128" s="14">
        <v>0.74500999999999995</v>
      </c>
      <c r="R128" s="14">
        <v>1.4215899999999999</v>
      </c>
      <c r="S128" s="14">
        <v>13.03689</v>
      </c>
      <c r="T128" s="14">
        <v>1.19784</v>
      </c>
      <c r="U128" s="14">
        <v>9.2417800000000003</v>
      </c>
      <c r="V128" s="14">
        <v>4.8923800000000002</v>
      </c>
      <c r="W128" s="14">
        <v>1.4111100000000001</v>
      </c>
      <c r="X128" s="14">
        <v>2.7953100000000002</v>
      </c>
      <c r="Y128" s="14">
        <v>0.14297000000000001</v>
      </c>
      <c r="Z128" s="14">
        <v>0</v>
      </c>
      <c r="AA128" s="14">
        <v>4.6760000000000003E-2</v>
      </c>
      <c r="AB128" s="14">
        <v>2.5505100000000001</v>
      </c>
      <c r="AC128" s="14">
        <v>0</v>
      </c>
      <c r="AD128" s="14">
        <v>2.8098800000000002</v>
      </c>
      <c r="AE128" s="14">
        <v>1.0718700000000001</v>
      </c>
      <c r="AF128" s="14">
        <v>0.50605</v>
      </c>
      <c r="AG128" s="14">
        <v>1.2319599999999999</v>
      </c>
      <c r="AH128" s="14">
        <v>0.22681999999999999</v>
      </c>
      <c r="AI128" s="14">
        <v>2.5799999999999998E-3</v>
      </c>
      <c r="AJ128" s="14">
        <v>0.22423999999999999</v>
      </c>
      <c r="AK128" s="14">
        <v>2.02488</v>
      </c>
      <c r="AL128" s="14">
        <v>2.0000000000000002E-5</v>
      </c>
      <c r="AM128" s="14">
        <v>2.0248499999999998</v>
      </c>
      <c r="AN128" s="14">
        <v>1.3990000000000001E-2</v>
      </c>
      <c r="AO128" s="14">
        <v>2.9221300000000001</v>
      </c>
      <c r="AP128" s="14">
        <v>1.8223499999999999</v>
      </c>
      <c r="AQ128" s="14">
        <v>1.09978</v>
      </c>
      <c r="AR128" s="14">
        <v>0</v>
      </c>
      <c r="AS128" s="14">
        <v>4.95282</v>
      </c>
      <c r="AT128" s="14">
        <v>7.7868700000000004</v>
      </c>
      <c r="AU128" s="14">
        <v>0.99538000000000004</v>
      </c>
      <c r="AV128" s="14">
        <v>0.72975999999999996</v>
      </c>
      <c r="AW128" s="14">
        <v>0.20695</v>
      </c>
      <c r="AX128" s="14">
        <v>7.3699999999999998E-3</v>
      </c>
      <c r="AY128" s="14">
        <v>5.1299999999999998E-2</v>
      </c>
      <c r="AZ128" s="14">
        <v>1.81498</v>
      </c>
      <c r="BA128" s="14">
        <v>0.66788000000000003</v>
      </c>
      <c r="BB128" s="14">
        <v>0</v>
      </c>
      <c r="BC128" s="14">
        <v>0</v>
      </c>
      <c r="BD128" s="14">
        <v>0</v>
      </c>
      <c r="BE128" s="14">
        <v>5.6840000000000002E-2</v>
      </c>
      <c r="BF128" s="14">
        <v>0.25061</v>
      </c>
      <c r="BG128" s="14">
        <v>0</v>
      </c>
      <c r="BH128" s="14">
        <v>0.83967000000000003</v>
      </c>
      <c r="BI128" s="14">
        <v>0</v>
      </c>
      <c r="BJ128" s="14">
        <v>0</v>
      </c>
      <c r="BK128" s="14">
        <v>4.6387700000000001</v>
      </c>
      <c r="BL128" s="14">
        <v>2.7830000000000001E-2</v>
      </c>
      <c r="BM128" s="14">
        <v>2.5345300000000002</v>
      </c>
      <c r="BN128" s="14">
        <v>1.9796499999999999</v>
      </c>
      <c r="BO128" s="14">
        <v>0</v>
      </c>
      <c r="BP128" s="14">
        <v>0</v>
      </c>
      <c r="BQ128" s="14">
        <v>6.0299999999999998E-3</v>
      </c>
      <c r="BR128" s="14">
        <v>9.0730000000000005E-2</v>
      </c>
      <c r="BS128" s="14">
        <v>0.21596000000000001</v>
      </c>
      <c r="BT128" s="14">
        <v>4.7379999999999999E-2</v>
      </c>
      <c r="BU128" s="14">
        <v>3.8420000000000003E-2</v>
      </c>
      <c r="BV128" s="14">
        <v>0.13016</v>
      </c>
      <c r="BW128" s="14">
        <v>0</v>
      </c>
      <c r="BX128" s="14">
        <v>0</v>
      </c>
      <c r="BY128" s="14">
        <v>0</v>
      </c>
      <c r="BZ128" s="14">
        <v>0</v>
      </c>
      <c r="CA128" s="14">
        <v>0</v>
      </c>
      <c r="CB128" s="14"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0</v>
      </c>
      <c r="CI128" s="14">
        <v>0</v>
      </c>
      <c r="CJ128" s="14">
        <v>0</v>
      </c>
      <c r="CK128" s="14">
        <v>0.12177</v>
      </c>
      <c r="CL128" s="14">
        <v>0.10301</v>
      </c>
      <c r="CM128" s="14">
        <v>0</v>
      </c>
      <c r="CN128" s="14">
        <v>0</v>
      </c>
      <c r="CO128" s="14">
        <v>0</v>
      </c>
      <c r="CP128" s="14">
        <v>0</v>
      </c>
      <c r="CQ128" s="14">
        <v>0</v>
      </c>
      <c r="CR128" s="14">
        <v>0</v>
      </c>
      <c r="CS128" s="14">
        <v>0</v>
      </c>
      <c r="CT128" s="14">
        <v>0</v>
      </c>
      <c r="CU128" s="14">
        <v>0</v>
      </c>
      <c r="CV128" s="14">
        <v>0</v>
      </c>
      <c r="CW128" s="14">
        <v>0</v>
      </c>
      <c r="CX128" s="14">
        <v>0</v>
      </c>
      <c r="CY128" s="14">
        <v>0</v>
      </c>
      <c r="CZ128" s="14">
        <v>0</v>
      </c>
      <c r="DA128" s="14">
        <v>0</v>
      </c>
      <c r="DB128" s="14">
        <v>0</v>
      </c>
      <c r="DC128" s="14">
        <v>0</v>
      </c>
      <c r="DD128" s="14">
        <v>0</v>
      </c>
      <c r="DE128" s="14">
        <v>0</v>
      </c>
      <c r="DF128" s="14">
        <v>0</v>
      </c>
      <c r="DG128" s="14">
        <v>0</v>
      </c>
      <c r="DH128" s="14">
        <v>0</v>
      </c>
      <c r="DI128" s="14">
        <v>0</v>
      </c>
      <c r="DJ128" s="14">
        <v>0</v>
      </c>
      <c r="DK128" s="14">
        <v>0</v>
      </c>
      <c r="DL128" s="14">
        <v>0</v>
      </c>
      <c r="DM128" s="14">
        <v>0.10291</v>
      </c>
      <c r="DN128" s="14">
        <v>1E-4</v>
      </c>
      <c r="DO128" s="14">
        <v>0</v>
      </c>
      <c r="DP128" s="14">
        <v>0</v>
      </c>
      <c r="DQ128" s="14">
        <v>-13.111649999999999</v>
      </c>
      <c r="DR128" s="14">
        <v>-17.19247</v>
      </c>
      <c r="DS128" s="14">
        <v>0</v>
      </c>
      <c r="DT128" s="14">
        <v>-16.408359999999998</v>
      </c>
      <c r="DU128" s="14">
        <v>-0.78410999999999997</v>
      </c>
      <c r="DV128" s="14">
        <v>2.3076500000000002</v>
      </c>
      <c r="DW128" s="14">
        <v>0</v>
      </c>
      <c r="DX128" s="14">
        <v>1.68597</v>
      </c>
      <c r="DY128" s="14">
        <v>0.62168000000000001</v>
      </c>
      <c r="DZ128" s="14">
        <v>-0.21299000000000001</v>
      </c>
      <c r="EA128" s="14">
        <v>0</v>
      </c>
      <c r="EB128" s="14">
        <v>-0.46148</v>
      </c>
      <c r="EC128" s="14">
        <v>0.2485</v>
      </c>
      <c r="ED128" s="14">
        <v>0.33661000000000002</v>
      </c>
      <c r="EE128" s="14">
        <v>0</v>
      </c>
      <c r="EF128" s="14">
        <v>0.25175999999999998</v>
      </c>
      <c r="EG128" s="14">
        <v>8.4849999999999995E-2</v>
      </c>
      <c r="EH128" s="14">
        <v>2.0316200000000002</v>
      </c>
      <c r="EI128" s="14">
        <v>0</v>
      </c>
      <c r="EJ128" s="14">
        <v>0.15692999999999999</v>
      </c>
      <c r="EK128" s="14">
        <v>1.87469</v>
      </c>
      <c r="EL128" s="14">
        <v>0</v>
      </c>
      <c r="EM128" s="14">
        <v>0</v>
      </c>
      <c r="EN128" s="14">
        <v>0</v>
      </c>
      <c r="EO128" s="14">
        <v>0</v>
      </c>
      <c r="EP128" s="14">
        <v>-0.38207999999999998</v>
      </c>
      <c r="EQ128" s="14">
        <v>0</v>
      </c>
      <c r="ER128" s="14">
        <v>0.28055000000000002</v>
      </c>
      <c r="ES128" s="14">
        <v>0</v>
      </c>
      <c r="ET128" s="14">
        <v>0</v>
      </c>
      <c r="EU128" s="14">
        <v>0</v>
      </c>
      <c r="EV128" s="14">
        <v>0</v>
      </c>
      <c r="EW128" s="14">
        <v>0</v>
      </c>
      <c r="EX128" s="14">
        <v>0</v>
      </c>
      <c r="EY128" s="14">
        <v>0</v>
      </c>
      <c r="EZ128" s="14">
        <v>0.28055000000000002</v>
      </c>
      <c r="FA128" s="14">
        <v>0.28055000000000002</v>
      </c>
      <c r="FB128" s="14">
        <v>0</v>
      </c>
      <c r="FC128" s="14">
        <v>0</v>
      </c>
      <c r="FD128" s="14">
        <v>0</v>
      </c>
      <c r="FE128" s="14">
        <v>0</v>
      </c>
      <c r="FF128" s="14">
        <v>0</v>
      </c>
      <c r="FG128" s="14">
        <v>0</v>
      </c>
      <c r="FH128" s="14">
        <v>26.621700000000001</v>
      </c>
      <c r="FI128" s="14">
        <v>6.3600000000000002E-3</v>
      </c>
      <c r="FJ128" s="14">
        <v>3.7799999999999999E-3</v>
      </c>
      <c r="FK128" s="14">
        <v>0</v>
      </c>
      <c r="FL128" s="14">
        <v>0.1661</v>
      </c>
    </row>
    <row r="129" spans="1:168" ht="15" x14ac:dyDescent="0.25">
      <c r="A129" s="5" t="s">
        <v>205</v>
      </c>
      <c r="B129" s="5" t="s">
        <v>8</v>
      </c>
      <c r="C129" s="13">
        <v>0.19511000000000001</v>
      </c>
      <c r="D129" s="13">
        <v>0.18733</v>
      </c>
      <c r="E129" s="13">
        <v>3.252E-2</v>
      </c>
      <c r="F129" s="13">
        <v>1.6480000000000002E-2</v>
      </c>
      <c r="G129" s="13">
        <v>2.3900000000000002E-3</v>
      </c>
      <c r="H129" s="13">
        <v>6.8000000000000005E-4</v>
      </c>
      <c r="I129" s="13">
        <v>2.0000000000000002E-5</v>
      </c>
      <c r="J129" s="13">
        <v>1.6900000000000001E-3</v>
      </c>
      <c r="K129" s="13">
        <v>5.1999999999999995E-4</v>
      </c>
      <c r="L129" s="13">
        <v>1.0000000000000001E-5</v>
      </c>
      <c r="M129" s="13">
        <v>0</v>
      </c>
      <c r="N129" s="13">
        <v>8.0000000000000007E-5</v>
      </c>
      <c r="O129" s="13">
        <v>1.1E-4</v>
      </c>
      <c r="P129" s="13">
        <v>1.0000000000000001E-5</v>
      </c>
      <c r="Q129" s="13">
        <v>1.3999999999999999E-4</v>
      </c>
      <c r="R129" s="13">
        <v>1.7000000000000001E-4</v>
      </c>
      <c r="S129" s="13">
        <v>4.1399999999999996E-3</v>
      </c>
      <c r="T129" s="13">
        <v>3.0000000000000001E-5</v>
      </c>
      <c r="U129" s="13">
        <v>6.9999999999999999E-4</v>
      </c>
      <c r="V129" s="13">
        <v>3.1E-4</v>
      </c>
      <c r="W129" s="13">
        <v>4.0000000000000003E-5</v>
      </c>
      <c r="X129" s="13">
        <v>2.0000000000000002E-5</v>
      </c>
      <c r="Y129" s="13">
        <v>3.2000000000000003E-4</v>
      </c>
      <c r="Z129" s="13">
        <v>0</v>
      </c>
      <c r="AA129" s="13">
        <v>0</v>
      </c>
      <c r="AB129" s="13">
        <v>3.4099999999999998E-3</v>
      </c>
      <c r="AC129" s="13">
        <v>0</v>
      </c>
      <c r="AD129" s="13">
        <v>9.4199999999999996E-3</v>
      </c>
      <c r="AE129" s="13">
        <v>1E-4</v>
      </c>
      <c r="AF129" s="13">
        <v>9.2399999999999999E-3</v>
      </c>
      <c r="AG129" s="13">
        <v>8.0000000000000007E-5</v>
      </c>
      <c r="AH129" s="13">
        <v>1.0000000000000001E-5</v>
      </c>
      <c r="AI129" s="13">
        <v>0</v>
      </c>
      <c r="AJ129" s="13">
        <v>1.0000000000000001E-5</v>
      </c>
      <c r="AK129" s="13">
        <v>1.6039999999999999E-2</v>
      </c>
      <c r="AL129" s="13">
        <v>2.8800000000000002E-3</v>
      </c>
      <c r="AM129" s="13">
        <v>1.316E-2</v>
      </c>
      <c r="AN129" s="13">
        <v>0</v>
      </c>
      <c r="AO129" s="13">
        <v>2.0100000000000001E-3</v>
      </c>
      <c r="AP129" s="13">
        <v>1.0000000000000001E-5</v>
      </c>
      <c r="AQ129" s="13">
        <v>2E-3</v>
      </c>
      <c r="AR129" s="13">
        <v>0</v>
      </c>
      <c r="AS129" s="13">
        <v>0</v>
      </c>
      <c r="AT129" s="13">
        <v>8.8999999999999995E-4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8.4000000000000003E-4</v>
      </c>
      <c r="BA129" s="13">
        <v>0</v>
      </c>
      <c r="BB129" s="13">
        <v>0</v>
      </c>
      <c r="BC129" s="13">
        <v>0</v>
      </c>
      <c r="BD129" s="13">
        <v>0</v>
      </c>
      <c r="BE129" s="13">
        <v>2.5000000000000001E-4</v>
      </c>
      <c r="BF129" s="13">
        <v>0</v>
      </c>
      <c r="BG129" s="13">
        <v>0</v>
      </c>
      <c r="BH129" s="13">
        <v>5.8E-4</v>
      </c>
      <c r="BI129" s="13">
        <v>0</v>
      </c>
      <c r="BJ129" s="13">
        <v>0</v>
      </c>
      <c r="BK129" s="13">
        <v>5.0000000000000002E-5</v>
      </c>
      <c r="BL129" s="13">
        <v>0</v>
      </c>
      <c r="BM129" s="13">
        <v>5.0000000000000002E-5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0</v>
      </c>
      <c r="CG129" s="13">
        <v>0</v>
      </c>
      <c r="CH129" s="13">
        <v>0</v>
      </c>
      <c r="CI129" s="13">
        <v>0</v>
      </c>
      <c r="CJ129" s="13">
        <v>0</v>
      </c>
      <c r="CK129" s="13">
        <v>0</v>
      </c>
      <c r="CL129" s="13">
        <v>0.10664</v>
      </c>
      <c r="CM129" s="13">
        <v>9.1639999999999999E-2</v>
      </c>
      <c r="CN129" s="13">
        <v>6.7379999999999995E-2</v>
      </c>
      <c r="CO129" s="13">
        <v>1.8290000000000001E-2</v>
      </c>
      <c r="CP129" s="13">
        <v>7.5000000000000002E-4</v>
      </c>
      <c r="CQ129" s="13">
        <v>5.2199999999999998E-3</v>
      </c>
      <c r="CR129" s="13">
        <v>1.4930000000000001E-2</v>
      </c>
      <c r="CS129" s="13">
        <v>1.047E-2</v>
      </c>
      <c r="CT129" s="13">
        <v>7.9000000000000001E-4</v>
      </c>
      <c r="CU129" s="13">
        <v>2.0899999999999998E-3</v>
      </c>
      <c r="CV129" s="13">
        <v>1.58E-3</v>
      </c>
      <c r="CW129" s="13">
        <v>0</v>
      </c>
      <c r="CX129" s="13">
        <v>0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0</v>
      </c>
      <c r="DF129" s="13">
        <v>0</v>
      </c>
      <c r="DG129" s="13">
        <v>6.9999999999999994E-5</v>
      </c>
      <c r="DH129" s="13">
        <v>6.9999999999999994E-5</v>
      </c>
      <c r="DI129" s="13">
        <v>0</v>
      </c>
      <c r="DJ129" s="13">
        <v>0</v>
      </c>
      <c r="DK129" s="13">
        <v>0</v>
      </c>
      <c r="DL129" s="13">
        <v>0</v>
      </c>
      <c r="DM129" s="13">
        <v>0</v>
      </c>
      <c r="DN129" s="13">
        <v>0</v>
      </c>
      <c r="DO129" s="13">
        <v>0</v>
      </c>
      <c r="DP129" s="13">
        <v>0</v>
      </c>
      <c r="DQ129" s="13">
        <v>7.77E-3</v>
      </c>
      <c r="DR129" s="13">
        <v>2.0699999999999998E-3</v>
      </c>
      <c r="DS129" s="13">
        <v>1.98E-3</v>
      </c>
      <c r="DT129" s="13">
        <v>2.0400000000000001E-3</v>
      </c>
      <c r="DU129" s="13">
        <v>3.0000000000000001E-5</v>
      </c>
      <c r="DV129" s="13">
        <v>3.8400000000000001E-3</v>
      </c>
      <c r="DW129" s="13">
        <v>3.8400000000000001E-3</v>
      </c>
      <c r="DX129" s="13">
        <v>3.5100000000000001E-3</v>
      </c>
      <c r="DY129" s="13">
        <v>3.3E-4</v>
      </c>
      <c r="DZ129" s="13">
        <v>4.8999999999999998E-4</v>
      </c>
      <c r="EA129" s="13">
        <v>4.8999999999999998E-4</v>
      </c>
      <c r="EB129" s="13">
        <v>3.5E-4</v>
      </c>
      <c r="EC129" s="13">
        <v>1.3999999999999999E-4</v>
      </c>
      <c r="ED129" s="13">
        <v>3.6000000000000002E-4</v>
      </c>
      <c r="EE129" s="13">
        <v>3.6000000000000002E-4</v>
      </c>
      <c r="EF129" s="13">
        <v>3.5E-4</v>
      </c>
      <c r="EG129" s="13">
        <v>1.0000000000000001E-5</v>
      </c>
      <c r="EH129" s="13">
        <v>1.0300000000000001E-3</v>
      </c>
      <c r="EI129" s="13">
        <v>0</v>
      </c>
      <c r="EJ129" s="13">
        <v>6.7000000000000002E-4</v>
      </c>
      <c r="EK129" s="13">
        <v>3.6000000000000002E-4</v>
      </c>
      <c r="EL129" s="13">
        <v>0</v>
      </c>
      <c r="EM129" s="13">
        <v>0</v>
      </c>
      <c r="EN129" s="13">
        <v>0</v>
      </c>
      <c r="EO129" s="13">
        <v>0</v>
      </c>
      <c r="EP129" s="13">
        <v>0</v>
      </c>
      <c r="EQ129" s="13">
        <v>0</v>
      </c>
      <c r="ER129" s="13">
        <v>4.7289999999999999E-2</v>
      </c>
      <c r="ES129" s="13">
        <v>3.7609999999999998E-2</v>
      </c>
      <c r="ET129" s="13">
        <v>3.7609999999999998E-2</v>
      </c>
      <c r="EU129" s="13">
        <v>0</v>
      </c>
      <c r="EV129" s="13">
        <v>0</v>
      </c>
      <c r="EW129" s="13">
        <v>1.24E-3</v>
      </c>
      <c r="EX129" s="13">
        <v>8.8999999999999995E-4</v>
      </c>
      <c r="EY129" s="13">
        <v>3.5E-4</v>
      </c>
      <c r="EZ129" s="13">
        <v>1.7000000000000001E-4</v>
      </c>
      <c r="FA129" s="13">
        <v>1.7000000000000001E-4</v>
      </c>
      <c r="FB129" s="13">
        <v>0</v>
      </c>
      <c r="FC129" s="13">
        <v>8.2699999999999996E-3</v>
      </c>
      <c r="FD129" s="13">
        <v>6.8599999999999998E-3</v>
      </c>
      <c r="FE129" s="13">
        <v>1.41E-3</v>
      </c>
      <c r="FF129" s="13">
        <v>0</v>
      </c>
      <c r="FG129" s="13">
        <v>0</v>
      </c>
      <c r="FH129" s="13">
        <v>0</v>
      </c>
      <c r="FI129" s="13">
        <v>0</v>
      </c>
      <c r="FJ129" s="13">
        <v>0</v>
      </c>
      <c r="FK129" s="13">
        <v>0</v>
      </c>
      <c r="FL129" s="13">
        <v>0</v>
      </c>
    </row>
    <row r="130" spans="1:168" ht="15" x14ac:dyDescent="0.25">
      <c r="A130" s="5" t="s">
        <v>205</v>
      </c>
      <c r="B130" s="5" t="s">
        <v>9</v>
      </c>
      <c r="C130" s="14">
        <v>9.3500000000000007E-3</v>
      </c>
      <c r="D130" s="14">
        <v>8.43E-3</v>
      </c>
      <c r="E130" s="14">
        <v>7.7999999999999999E-4</v>
      </c>
      <c r="F130" s="14">
        <v>7.6999999999999996E-4</v>
      </c>
      <c r="G130" s="14">
        <v>1E-4</v>
      </c>
      <c r="H130" s="14">
        <v>6.9999999999999994E-5</v>
      </c>
      <c r="I130" s="14">
        <v>0</v>
      </c>
      <c r="J130" s="14">
        <v>3.0000000000000001E-5</v>
      </c>
      <c r="K130" s="14">
        <v>1.2E-4</v>
      </c>
      <c r="L130" s="14">
        <v>0</v>
      </c>
      <c r="M130" s="14">
        <v>0</v>
      </c>
      <c r="N130" s="14">
        <v>1.0000000000000001E-5</v>
      </c>
      <c r="O130" s="14">
        <v>2.0000000000000002E-5</v>
      </c>
      <c r="P130" s="14">
        <v>0</v>
      </c>
      <c r="Q130" s="14">
        <v>2.0000000000000002E-5</v>
      </c>
      <c r="R130" s="14">
        <v>6.9999999999999994E-5</v>
      </c>
      <c r="S130" s="14">
        <v>4.2999999999999999E-4</v>
      </c>
      <c r="T130" s="14">
        <v>4.0000000000000003E-5</v>
      </c>
      <c r="U130" s="14">
        <v>3.3E-4</v>
      </c>
      <c r="V130" s="14">
        <v>1.4999999999999999E-4</v>
      </c>
      <c r="W130" s="14">
        <v>5.0000000000000002E-5</v>
      </c>
      <c r="X130" s="14">
        <v>1.2E-4</v>
      </c>
      <c r="Y130" s="14">
        <v>0</v>
      </c>
      <c r="Z130" s="14">
        <v>0</v>
      </c>
      <c r="AA130" s="14">
        <v>2.0000000000000002E-5</v>
      </c>
      <c r="AB130" s="14">
        <v>4.0000000000000003E-5</v>
      </c>
      <c r="AC130" s="14">
        <v>0</v>
      </c>
      <c r="AD130" s="14">
        <v>1.2E-4</v>
      </c>
      <c r="AE130" s="14">
        <v>4.0000000000000003E-5</v>
      </c>
      <c r="AF130" s="14">
        <v>4.0000000000000003E-5</v>
      </c>
      <c r="AG130" s="14">
        <v>3.0000000000000001E-5</v>
      </c>
      <c r="AH130" s="14">
        <v>1.0000000000000001E-5</v>
      </c>
      <c r="AI130" s="14">
        <v>0</v>
      </c>
      <c r="AJ130" s="14">
        <v>1.0000000000000001E-5</v>
      </c>
      <c r="AK130" s="14">
        <v>1.0000000000000001E-5</v>
      </c>
      <c r="AL130" s="14">
        <v>0</v>
      </c>
      <c r="AM130" s="14">
        <v>1.0000000000000001E-5</v>
      </c>
      <c r="AN130" s="14">
        <v>0</v>
      </c>
      <c r="AO130" s="14">
        <v>2.2000000000000001E-4</v>
      </c>
      <c r="AP130" s="14">
        <v>1.2E-4</v>
      </c>
      <c r="AQ130" s="14">
        <v>1.1E-4</v>
      </c>
      <c r="AR130" s="14">
        <v>0</v>
      </c>
      <c r="AS130" s="14">
        <v>0</v>
      </c>
      <c r="AT130" s="14">
        <v>9.6000000000000002E-4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8.8000000000000003E-4</v>
      </c>
      <c r="BA130" s="14">
        <v>0</v>
      </c>
      <c r="BB130" s="14">
        <v>6.7000000000000002E-4</v>
      </c>
      <c r="BC130" s="14">
        <v>0</v>
      </c>
      <c r="BD130" s="14">
        <v>0</v>
      </c>
      <c r="BE130" s="14">
        <v>0</v>
      </c>
      <c r="BF130" s="14">
        <v>0</v>
      </c>
      <c r="BG130" s="14">
        <v>0</v>
      </c>
      <c r="BH130" s="14">
        <v>0</v>
      </c>
      <c r="BI130" s="14">
        <v>0</v>
      </c>
      <c r="BJ130" s="14">
        <v>2.1000000000000001E-4</v>
      </c>
      <c r="BK130" s="14">
        <v>1.0000000000000001E-5</v>
      </c>
      <c r="BL130" s="14">
        <v>0</v>
      </c>
      <c r="BM130" s="14">
        <v>0</v>
      </c>
      <c r="BN130" s="14">
        <v>0</v>
      </c>
      <c r="BO130" s="14">
        <v>0</v>
      </c>
      <c r="BP130" s="14">
        <v>0</v>
      </c>
      <c r="BQ130" s="14">
        <v>0</v>
      </c>
      <c r="BR130" s="14">
        <v>1.0000000000000001E-5</v>
      </c>
      <c r="BS130" s="14">
        <v>0</v>
      </c>
      <c r="BT130" s="14">
        <v>0</v>
      </c>
      <c r="BU130" s="14">
        <v>0</v>
      </c>
      <c r="BV130" s="14">
        <v>0</v>
      </c>
      <c r="BW130" s="14">
        <v>0</v>
      </c>
      <c r="BX130" s="14">
        <v>0</v>
      </c>
      <c r="BY130" s="14">
        <v>0</v>
      </c>
      <c r="BZ130" s="14">
        <v>0</v>
      </c>
      <c r="CA130" s="14">
        <v>0</v>
      </c>
      <c r="CB130" s="14"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4">
        <v>0</v>
      </c>
      <c r="CI130" s="14">
        <v>0</v>
      </c>
      <c r="CJ130" s="14">
        <v>6.0000000000000002E-5</v>
      </c>
      <c r="CK130" s="14">
        <v>0</v>
      </c>
      <c r="CL130" s="14">
        <v>6.4900000000000001E-3</v>
      </c>
      <c r="CM130" s="14">
        <v>0</v>
      </c>
      <c r="CN130" s="14">
        <v>0</v>
      </c>
      <c r="CO130" s="14">
        <v>0</v>
      </c>
      <c r="CP130" s="14">
        <v>0</v>
      </c>
      <c r="CQ130" s="14">
        <v>0</v>
      </c>
      <c r="CR130" s="14">
        <v>6.4000000000000005E-4</v>
      </c>
      <c r="CS130" s="14">
        <v>2.7E-4</v>
      </c>
      <c r="CT130" s="14">
        <v>3.0000000000000001E-5</v>
      </c>
      <c r="CU130" s="14">
        <v>1.0000000000000001E-5</v>
      </c>
      <c r="CV130" s="14">
        <v>6.0000000000000002E-5</v>
      </c>
      <c r="CW130" s="14">
        <v>2.7E-4</v>
      </c>
      <c r="CX130" s="14">
        <v>0</v>
      </c>
      <c r="CY130" s="14">
        <v>0</v>
      </c>
      <c r="CZ130" s="14">
        <v>0</v>
      </c>
      <c r="DA130" s="14">
        <v>0</v>
      </c>
      <c r="DB130" s="14">
        <v>0</v>
      </c>
      <c r="DC130" s="14">
        <v>5.8500000000000002E-3</v>
      </c>
      <c r="DD130" s="14">
        <v>4.7400000000000003E-3</v>
      </c>
      <c r="DE130" s="14">
        <v>1.1100000000000001E-3</v>
      </c>
      <c r="DF130" s="14">
        <v>0</v>
      </c>
      <c r="DG130" s="14">
        <v>0</v>
      </c>
      <c r="DH130" s="14">
        <v>0</v>
      </c>
      <c r="DI130" s="14">
        <v>0</v>
      </c>
      <c r="DJ130" s="14">
        <v>0</v>
      </c>
      <c r="DK130" s="14">
        <v>0</v>
      </c>
      <c r="DL130" s="14">
        <v>0</v>
      </c>
      <c r="DM130" s="14">
        <v>0</v>
      </c>
      <c r="DN130" s="14">
        <v>0</v>
      </c>
      <c r="DO130" s="14">
        <v>0</v>
      </c>
      <c r="DP130" s="14">
        <v>0</v>
      </c>
      <c r="DQ130" s="14">
        <v>9.2000000000000003E-4</v>
      </c>
      <c r="DR130" s="14">
        <v>5.9999999999999995E-4</v>
      </c>
      <c r="DS130" s="14">
        <v>5.6999999999999998E-4</v>
      </c>
      <c r="DT130" s="14">
        <v>5.9000000000000003E-4</v>
      </c>
      <c r="DU130" s="14">
        <v>1.0000000000000001E-5</v>
      </c>
      <c r="DV130" s="14">
        <v>3.0000000000000001E-5</v>
      </c>
      <c r="DW130" s="14">
        <v>0</v>
      </c>
      <c r="DX130" s="14">
        <v>0</v>
      </c>
      <c r="DY130" s="14">
        <v>3.0000000000000001E-5</v>
      </c>
      <c r="DZ130" s="14">
        <v>2.0000000000000002E-5</v>
      </c>
      <c r="EA130" s="14">
        <v>0</v>
      </c>
      <c r="EB130" s="14">
        <v>2.0000000000000002E-5</v>
      </c>
      <c r="EC130" s="14">
        <v>0</v>
      </c>
      <c r="ED130" s="14">
        <v>1.2E-4</v>
      </c>
      <c r="EE130" s="14">
        <v>1.2E-4</v>
      </c>
      <c r="EF130" s="14">
        <v>1.1E-4</v>
      </c>
      <c r="EG130" s="14">
        <v>0</v>
      </c>
      <c r="EH130" s="14">
        <v>1.6000000000000001E-4</v>
      </c>
      <c r="EI130" s="14">
        <v>0</v>
      </c>
      <c r="EJ130" s="14">
        <v>6.9999999999999994E-5</v>
      </c>
      <c r="EK130" s="14">
        <v>8.0000000000000007E-5</v>
      </c>
      <c r="EL130" s="14">
        <v>0</v>
      </c>
      <c r="EM130" s="14">
        <v>0</v>
      </c>
      <c r="EN130" s="14">
        <v>0</v>
      </c>
      <c r="EO130" s="14">
        <v>0</v>
      </c>
      <c r="EP130" s="14">
        <v>0</v>
      </c>
      <c r="EQ130" s="14">
        <v>0</v>
      </c>
      <c r="ER130" s="14">
        <v>2.0000000000000001E-4</v>
      </c>
      <c r="ES130" s="14">
        <v>0</v>
      </c>
      <c r="ET130" s="14">
        <v>0</v>
      </c>
      <c r="EU130" s="14">
        <v>0</v>
      </c>
      <c r="EV130" s="14">
        <v>0</v>
      </c>
      <c r="EW130" s="14">
        <v>3.0000000000000001E-5</v>
      </c>
      <c r="EX130" s="14">
        <v>3.0000000000000001E-5</v>
      </c>
      <c r="EY130" s="14">
        <v>1.0000000000000001E-5</v>
      </c>
      <c r="EZ130" s="14">
        <v>1.0000000000000001E-5</v>
      </c>
      <c r="FA130" s="14">
        <v>1.0000000000000001E-5</v>
      </c>
      <c r="FB130" s="14">
        <v>0</v>
      </c>
      <c r="FC130" s="14">
        <v>1.6000000000000001E-4</v>
      </c>
      <c r="FD130" s="14">
        <v>1.4999999999999999E-4</v>
      </c>
      <c r="FE130" s="14">
        <v>1.0000000000000001E-5</v>
      </c>
      <c r="FF130" s="14">
        <v>0</v>
      </c>
      <c r="FG130" s="14">
        <v>0</v>
      </c>
      <c r="FH130" s="14">
        <v>0</v>
      </c>
      <c r="FI130" s="14">
        <v>0</v>
      </c>
      <c r="FJ130" s="14">
        <v>0</v>
      </c>
      <c r="FK130" s="14">
        <v>0</v>
      </c>
      <c r="FL130" s="14">
        <v>0</v>
      </c>
    </row>
    <row r="132" spans="1:168" ht="15" x14ac:dyDescent="0.25">
      <c r="A132" s="1" t="s">
        <v>215</v>
      </c>
    </row>
    <row r="133" spans="1:168" ht="15" x14ac:dyDescent="0.25">
      <c r="A133" s="1">
        <v>0</v>
      </c>
      <c r="B133" s="2" t="s">
        <v>216</v>
      </c>
    </row>
  </sheetData>
  <autoFilter ref="A10:FL130" xr:uid="{00000000-0001-0000-0200-000000000000}"/>
  <mergeCells count="3">
    <mergeCell ref="A8:B8"/>
    <mergeCell ref="A9:B9"/>
    <mergeCell ref="C8:F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315A-3C28-435E-9601-BF15D18CE768}">
  <dimension ref="A1:BL116"/>
  <sheetViews>
    <sheetView tabSelected="1" workbookViewId="0">
      <selection activeCell="A22" sqref="A22"/>
    </sheetView>
  </sheetViews>
  <sheetFormatPr defaultRowHeight="15" x14ac:dyDescent="0.25"/>
  <cols>
    <col min="1" max="1" width="39" bestFit="1" customWidth="1"/>
    <col min="2" max="2" width="10" hidden="1" customWidth="1"/>
    <col min="3" max="3" width="14.85546875" hidden="1" customWidth="1"/>
    <col min="4" max="4" width="7.140625" hidden="1" customWidth="1"/>
    <col min="5" max="5" width="14.5703125" hidden="1" customWidth="1"/>
    <col min="8" max="8" width="14.42578125" bestFit="1" customWidth="1"/>
    <col min="12" max="12" width="14.5703125" bestFit="1" customWidth="1"/>
    <col min="16" max="16" width="14.5703125" bestFit="1" customWidth="1"/>
    <col min="20" max="20" width="14.5703125" bestFit="1" customWidth="1"/>
    <col min="21" max="35" width="14.5703125" customWidth="1"/>
    <col min="36" max="36" width="44.7109375" customWidth="1"/>
    <col min="37" max="42" width="12" customWidth="1"/>
    <col min="44" max="44" width="10.5703125" bestFit="1" customWidth="1"/>
    <col min="45" max="45" width="8.7109375" customWidth="1"/>
    <col min="46" max="46" width="12.140625" customWidth="1"/>
    <col min="47" max="47" width="12" customWidth="1"/>
    <col min="48" max="48" width="10.140625" bestFit="1" customWidth="1"/>
    <col min="53" max="53" width="12.7109375" customWidth="1"/>
    <col min="62" max="62" width="13.140625" customWidth="1"/>
    <col min="64" max="64" width="20.28515625" bestFit="1" customWidth="1"/>
  </cols>
  <sheetData>
    <row r="1" spans="1:64" x14ac:dyDescent="0.25">
      <c r="Y1" s="18"/>
      <c r="AD1" s="18"/>
      <c r="AE1" s="42"/>
      <c r="AF1" s="42"/>
      <c r="AG1" s="42"/>
      <c r="AH1" s="42"/>
      <c r="AI1" s="18"/>
      <c r="AW1" s="18"/>
      <c r="AY1" s="18"/>
      <c r="BD1" s="40"/>
      <c r="BE1" s="40"/>
      <c r="BF1" s="40"/>
      <c r="BG1" s="40"/>
      <c r="BH1" s="40"/>
    </row>
    <row r="2" spans="1:64" ht="21.75" customHeight="1" x14ac:dyDescent="0.25">
      <c r="U2" s="41" t="s">
        <v>270</v>
      </c>
      <c r="V2" s="41"/>
      <c r="W2" s="41"/>
      <c r="X2" s="41"/>
      <c r="Z2" s="41" t="s">
        <v>271</v>
      </c>
      <c r="AA2" s="41"/>
      <c r="AB2" s="41"/>
      <c r="AC2" s="41"/>
      <c r="AD2" s="18"/>
      <c r="AE2" s="41" t="s">
        <v>272</v>
      </c>
      <c r="AF2" s="41"/>
      <c r="AG2" s="41"/>
      <c r="AH2" s="41"/>
      <c r="AI2" s="18"/>
      <c r="AX2" s="36" t="s">
        <v>252</v>
      </c>
      <c r="AY2" s="37"/>
      <c r="AZ2" s="37"/>
      <c r="BA2" s="37"/>
      <c r="BB2" s="37"/>
      <c r="BD2" s="36" t="s">
        <v>273</v>
      </c>
      <c r="BE2" s="37"/>
      <c r="BF2" s="37"/>
      <c r="BG2" s="37"/>
      <c r="BH2" s="37"/>
      <c r="BJ2" s="23" t="s">
        <v>268</v>
      </c>
      <c r="BK2" s="22"/>
    </row>
    <row r="3" spans="1:64" ht="21.75" customHeight="1" x14ac:dyDescent="0.25">
      <c r="A3" t="s">
        <v>229</v>
      </c>
      <c r="B3" s="43" t="s">
        <v>229</v>
      </c>
      <c r="C3" s="43"/>
      <c r="D3" s="43"/>
      <c r="E3" s="43"/>
      <c r="I3" s="48" t="s">
        <v>229</v>
      </c>
      <c r="J3" s="48"/>
      <c r="K3" s="48"/>
      <c r="L3" s="48"/>
      <c r="M3" s="49" t="s">
        <v>250</v>
      </c>
      <c r="N3" s="49"/>
      <c r="O3" s="49"/>
      <c r="P3" s="50"/>
      <c r="Q3" s="49" t="s">
        <v>251</v>
      </c>
      <c r="R3" s="49"/>
      <c r="S3" s="49"/>
      <c r="T3" s="49"/>
      <c r="U3" s="41"/>
      <c r="V3" s="41"/>
      <c r="W3" s="41"/>
      <c r="X3" s="41"/>
      <c r="Y3" s="10"/>
      <c r="Z3" s="41"/>
      <c r="AA3" s="41"/>
      <c r="AB3" s="41"/>
      <c r="AC3" s="41"/>
      <c r="AD3" s="18"/>
      <c r="AE3" s="41"/>
      <c r="AF3" s="41"/>
      <c r="AG3" s="41"/>
      <c r="AH3" s="41"/>
      <c r="AI3" s="18"/>
      <c r="AJ3" s="10"/>
      <c r="AK3" s="10"/>
      <c r="AL3" s="44" t="s">
        <v>247</v>
      </c>
      <c r="AM3" s="45"/>
      <c r="AN3" s="45"/>
      <c r="AO3" s="45"/>
      <c r="AP3" s="45"/>
      <c r="AR3" s="46" t="s">
        <v>246</v>
      </c>
      <c r="AS3" s="47"/>
      <c r="AT3" s="47"/>
      <c r="AU3" s="47"/>
      <c r="AV3" s="47"/>
      <c r="AX3" s="38"/>
      <c r="AY3" s="39"/>
      <c r="AZ3" s="39"/>
      <c r="BA3" s="39"/>
      <c r="BB3" s="39"/>
      <c r="BD3" s="38"/>
      <c r="BE3" s="39"/>
      <c r="BF3" s="39"/>
      <c r="BG3" s="39"/>
      <c r="BH3" s="39"/>
    </row>
    <row r="4" spans="1:64" x14ac:dyDescent="0.25">
      <c r="A4" s="9" t="s">
        <v>225</v>
      </c>
      <c r="B4" s="9" t="s">
        <v>226</v>
      </c>
      <c r="C4" s="9" t="s">
        <v>230</v>
      </c>
      <c r="D4" s="9" t="s">
        <v>227</v>
      </c>
      <c r="E4" s="9" t="s">
        <v>228</v>
      </c>
      <c r="G4" s="19" t="s">
        <v>248</v>
      </c>
      <c r="H4" s="19" t="s">
        <v>249</v>
      </c>
      <c r="I4" s="25" t="s">
        <v>226</v>
      </c>
      <c r="J4" s="19" t="s">
        <v>230</v>
      </c>
      <c r="K4" s="19" t="s">
        <v>227</v>
      </c>
      <c r="L4" s="24" t="s">
        <v>228</v>
      </c>
      <c r="M4" s="19" t="s">
        <v>226</v>
      </c>
      <c r="N4" s="19" t="s">
        <v>230</v>
      </c>
      <c r="O4" s="19" t="s">
        <v>227</v>
      </c>
      <c r="P4" s="24" t="s">
        <v>228</v>
      </c>
      <c r="Q4" s="19" t="s">
        <v>226</v>
      </c>
      <c r="R4" s="19" t="s">
        <v>230</v>
      </c>
      <c r="S4" s="19" t="s">
        <v>227</v>
      </c>
      <c r="T4" s="19" t="s">
        <v>228</v>
      </c>
      <c r="U4" s="19" t="s">
        <v>226</v>
      </c>
      <c r="V4" s="19" t="s">
        <v>230</v>
      </c>
      <c r="W4" s="19" t="s">
        <v>227</v>
      </c>
      <c r="X4" s="19" t="s">
        <v>228</v>
      </c>
      <c r="Y4" s="9"/>
      <c r="Z4" s="9" t="s">
        <v>226</v>
      </c>
      <c r="AA4" s="9" t="s">
        <v>230</v>
      </c>
      <c r="AB4" s="9" t="s">
        <v>227</v>
      </c>
      <c r="AC4" s="9" t="s">
        <v>228</v>
      </c>
      <c r="AD4" s="18"/>
      <c r="AE4" s="9" t="s">
        <v>226</v>
      </c>
      <c r="AF4" s="9" t="s">
        <v>230</v>
      </c>
      <c r="AG4" s="9" t="s">
        <v>227</v>
      </c>
      <c r="AH4" s="9" t="s">
        <v>228</v>
      </c>
      <c r="AI4" s="18"/>
      <c r="AJ4" s="9" t="s">
        <v>248</v>
      </c>
      <c r="AK4" s="9" t="s">
        <v>249</v>
      </c>
      <c r="AL4" s="9" t="s">
        <v>133</v>
      </c>
      <c r="AM4" s="9" t="s">
        <v>234</v>
      </c>
      <c r="AN4" s="9" t="s">
        <v>235</v>
      </c>
      <c r="AO4" s="9" t="s">
        <v>141</v>
      </c>
      <c r="AP4" s="9" t="s">
        <v>241</v>
      </c>
      <c r="AR4" s="9" t="s">
        <v>133</v>
      </c>
      <c r="AS4" s="9" t="s">
        <v>234</v>
      </c>
      <c r="AT4" s="9" t="s">
        <v>235</v>
      </c>
      <c r="AU4" s="9" t="s">
        <v>141</v>
      </c>
      <c r="AV4" s="9" t="s">
        <v>241</v>
      </c>
      <c r="AX4" s="9" t="s">
        <v>133</v>
      </c>
      <c r="AY4" s="9" t="s">
        <v>234</v>
      </c>
      <c r="AZ4" s="9" t="s">
        <v>235</v>
      </c>
      <c r="BA4" s="9" t="s">
        <v>141</v>
      </c>
      <c r="BB4" s="9" t="s">
        <v>241</v>
      </c>
      <c r="BD4" s="9" t="s">
        <v>133</v>
      </c>
      <c r="BE4" s="9" t="s">
        <v>234</v>
      </c>
      <c r="BF4" s="9" t="s">
        <v>235</v>
      </c>
      <c r="BG4" s="9" t="s">
        <v>141</v>
      </c>
      <c r="BH4" s="9" t="s">
        <v>241</v>
      </c>
      <c r="BJ4" s="9" t="str">
        <f>AJ4</f>
        <v>Geography</v>
      </c>
      <c r="BK4" s="9" t="str">
        <f>AK4</f>
        <v>Emission</v>
      </c>
      <c r="BL4" s="9" t="s">
        <v>269</v>
      </c>
    </row>
    <row r="5" spans="1:64" x14ac:dyDescent="0.25">
      <c r="A5" s="9" t="s">
        <v>176</v>
      </c>
      <c r="B5" s="9">
        <v>43.055568000000001</v>
      </c>
      <c r="C5" s="9">
        <v>77.840100000000007</v>
      </c>
      <c r="D5" s="9">
        <v>92.450999999999965</v>
      </c>
      <c r="E5" s="9">
        <v>7.5202</v>
      </c>
      <c r="G5" s="9" t="s">
        <v>176</v>
      </c>
      <c r="H5" s="9" t="s">
        <v>262</v>
      </c>
      <c r="I5" s="9">
        <f>VLOOKUP($G5,$A$5:$E$32,2,FALSE)</f>
        <v>43.055568000000001</v>
      </c>
      <c r="J5" s="9">
        <f>VLOOKUP($G5,$A$5:$E$32,3,FALSE)</f>
        <v>77.840100000000007</v>
      </c>
      <c r="K5" s="9">
        <f>VLOOKUP($G5,$A$5:$E$32,4,FALSE)</f>
        <v>92.450999999999965</v>
      </c>
      <c r="L5" s="9">
        <f>VLOOKUP($G5,$A$5:$E$32,5,FALSE)</f>
        <v>7.5202</v>
      </c>
      <c r="M5" s="9">
        <f>'GHG data from Eurostat'!CP11</f>
        <v>4.54657</v>
      </c>
      <c r="N5" s="9">
        <f>'GHG data from Eurostat'!CN11</f>
        <v>158.85768999999999</v>
      </c>
      <c r="O5" s="9">
        <f>'GHG data from Eurostat'!CQ11</f>
        <v>6.3885699999999996</v>
      </c>
      <c r="P5" s="9">
        <f>'GHG data from Eurostat'!CO11</f>
        <v>16.141970000000001</v>
      </c>
      <c r="Q5" s="9">
        <f>'GHG data from Eurostat'!CU11</f>
        <v>22.489159999999998</v>
      </c>
      <c r="R5" s="9">
        <f>IFERROR(('GHG data from Eurostat'!CS11+'GHG data from Eurostat'!CW11),0)</f>
        <v>38.28546</v>
      </c>
      <c r="S5" s="9">
        <f>'GHG data from Eurostat'!CV11</f>
        <v>4.2940300000000002</v>
      </c>
      <c r="T5" s="9">
        <f>'GHG data from Eurostat'!CT11</f>
        <v>1.3736200000000001</v>
      </c>
      <c r="U5" s="9">
        <f>Q5+M5</f>
        <v>27.035729999999997</v>
      </c>
      <c r="V5" s="9">
        <f t="shared" ref="V5:X5" si="0">R5+N5</f>
        <v>197.14314999999999</v>
      </c>
      <c r="W5" s="9">
        <f t="shared" si="0"/>
        <v>10.682600000000001</v>
      </c>
      <c r="X5" s="9">
        <f t="shared" si="0"/>
        <v>17.51559</v>
      </c>
      <c r="Y5" s="9">
        <f>SUM(U5:X5)</f>
        <v>252.37707</v>
      </c>
      <c r="Z5" s="17">
        <f>(M5+Q5)/I5</f>
        <v>0.62792645076706444</v>
      </c>
      <c r="AA5" s="17">
        <f>(N5+R5)/J5</f>
        <v>2.5326682519678156</v>
      </c>
      <c r="AB5" s="17">
        <f>(O5+S5)/K5</f>
        <v>0.11554877719007912</v>
      </c>
      <c r="AC5" s="17">
        <f>(P5+T5)/L5</f>
        <v>2.3291388526900878</v>
      </c>
      <c r="AD5" s="18"/>
      <c r="AE5" s="17">
        <f>ROUND(Z5,3)</f>
        <v>0.628</v>
      </c>
      <c r="AF5" s="17">
        <f t="shared" ref="AF5:AH20" si="1">ROUND(AA5,3)</f>
        <v>2.5329999999999999</v>
      </c>
      <c r="AG5" s="17">
        <f t="shared" si="1"/>
        <v>0.11600000000000001</v>
      </c>
      <c r="AH5" s="17">
        <f t="shared" si="1"/>
        <v>2.3290000000000002</v>
      </c>
      <c r="AJ5" s="9" t="s">
        <v>176</v>
      </c>
      <c r="AK5" s="9" t="s">
        <v>262</v>
      </c>
      <c r="AL5" s="9">
        <f>VLOOKUP($AJ5,Landcover!$A$3:$K$30,5,FALSE)/1000</f>
        <v>998.50800000000004</v>
      </c>
      <c r="AM5" s="9">
        <f>VLOOKUP($AJ5,Landcover!$A$3:$K$30,6,FALSE)/1000</f>
        <v>1695.7260000000001</v>
      </c>
      <c r="AN5" s="9">
        <f>VLOOKUP($AJ5,Landcover!$A$3:$K$30,8,FALSE)/1000</f>
        <v>717.13499999999999</v>
      </c>
      <c r="AO5" s="9">
        <f>VLOOKUP($AJ5,Landcover!$A$3:$K$30,11,FALSE)/1000</f>
        <v>71.643000000000001</v>
      </c>
      <c r="AP5" s="9">
        <f>VLOOKUP($AJ5,Landcover!$A$3:$K$30,7,FALSE)/1000</f>
        <v>235.53299999999999</v>
      </c>
      <c r="AQ5" t="s">
        <v>245</v>
      </c>
      <c r="AR5" s="9">
        <f>SUM('GHG data from Eurostat'!CX11,'GHG data from Eurostat'!DC11,'GHG data from Eurostat'!DG11,'GHG data from Eurostat'!DM11,'GHG data from Eurostat'!DP11,'GHG data from Eurostat'!DV11)</f>
        <v>167.71859999999998</v>
      </c>
      <c r="AS5" s="9">
        <f>'GHG data from Eurostat'!DS11+'GHG data from Eurostat'!DT11</f>
        <v>-200.74669</v>
      </c>
      <c r="AT5" s="9">
        <f>'GHG data from Eurostat'!EA11+'GHG data from Eurostat'!EB11</f>
        <v>36.183169999999997</v>
      </c>
      <c r="AU5" s="9">
        <f>'GHG data from Eurostat'!ED11</f>
        <v>24.86138</v>
      </c>
      <c r="AV5" s="9">
        <f>'GHG data from Eurostat'!EL11</f>
        <v>1.82741</v>
      </c>
      <c r="AW5" s="18">
        <f>SUM(AR5:AV5)</f>
        <v>29.843869999999978</v>
      </c>
      <c r="AX5" s="16">
        <f>AR5/AL5</f>
        <v>0.16796921006141161</v>
      </c>
      <c r="AY5" s="16">
        <f>AS5/AM5</f>
        <v>-0.1183839193360248</v>
      </c>
      <c r="AZ5" s="16">
        <f>AT5/AN5</f>
        <v>5.0455172317624988E-2</v>
      </c>
      <c r="BA5" s="16">
        <f>AU5/AO5</f>
        <v>0.34701757324511817</v>
      </c>
      <c r="BB5" s="16">
        <f>AV5/AP5</f>
        <v>7.7586155655470787E-3</v>
      </c>
      <c r="BD5" s="16">
        <f>ROUND(AX5,4)</f>
        <v>0.16800000000000001</v>
      </c>
      <c r="BE5" s="16">
        <f t="shared" ref="BE5:BH20" si="2">ROUND(AY5,4)</f>
        <v>-0.11840000000000001</v>
      </c>
      <c r="BF5" s="16">
        <f t="shared" si="2"/>
        <v>5.0500000000000003E-2</v>
      </c>
      <c r="BG5" s="16">
        <f t="shared" si="2"/>
        <v>0.34699999999999998</v>
      </c>
      <c r="BH5" s="16">
        <f t="shared" si="2"/>
        <v>7.7999999999999996E-3</v>
      </c>
      <c r="BJ5" s="16" t="str">
        <f>AJ5</f>
        <v>European Union - 27 countries (from 2020)</v>
      </c>
      <c r="BK5" s="16" t="s">
        <v>263</v>
      </c>
      <c r="BL5" s="9">
        <f>'GHG data from Eurostat'!EP11</f>
        <v>-40.066969999999998</v>
      </c>
    </row>
    <row r="6" spans="1:64" x14ac:dyDescent="0.25">
      <c r="A6" s="9" t="s">
        <v>177</v>
      </c>
      <c r="B6" s="9">
        <v>1.8627389999999999</v>
      </c>
      <c r="C6" s="9">
        <v>2.3980900000000003</v>
      </c>
      <c r="D6" s="9">
        <v>4.2809999999999997</v>
      </c>
      <c r="E6" s="9">
        <v>1.5591000000000001E-2</v>
      </c>
      <c r="G6" s="9" t="s">
        <v>176</v>
      </c>
      <c r="H6" s="9" t="s">
        <v>233</v>
      </c>
      <c r="I6" s="9">
        <f t="shared" ref="I6:I69" si="3">VLOOKUP($G6,$A$5:$E$32,2,FALSE)</f>
        <v>43.055568000000001</v>
      </c>
      <c r="J6" s="9">
        <f t="shared" ref="J6:J69" si="4">VLOOKUP($G6,$A$5:$E$32,3,FALSE)</f>
        <v>77.840100000000007</v>
      </c>
      <c r="K6" s="9">
        <f t="shared" ref="K6:K69" si="5">VLOOKUP($G6,$A$5:$E$32,4,FALSE)</f>
        <v>92.450999999999965</v>
      </c>
      <c r="L6" s="9">
        <f t="shared" ref="L6:L69" si="6">VLOOKUP($G6,$A$5:$E$32,5,FALSE)</f>
        <v>7.5202</v>
      </c>
      <c r="M6" s="9">
        <f>'GHG data from Eurostat'!CP12</f>
        <v>0</v>
      </c>
      <c r="N6" s="9">
        <f>'GHG data from Eurostat'!CN12</f>
        <v>0</v>
      </c>
      <c r="O6" s="9">
        <f>'GHG data from Eurostat'!CQ12</f>
        <v>0</v>
      </c>
      <c r="P6" s="9">
        <f>'GHG data from Eurostat'!CO12</f>
        <v>0</v>
      </c>
      <c r="Q6" s="9">
        <f>'GHG data from Eurostat'!CU12</f>
        <v>0</v>
      </c>
      <c r="R6" s="9">
        <f>IFERROR(('GHG data from Eurostat'!CS12+'GHG data from Eurostat'!CW12),0)</f>
        <v>0</v>
      </c>
      <c r="S6" s="9">
        <f>'GHG data from Eurostat'!CV12</f>
        <v>0</v>
      </c>
      <c r="T6" s="9">
        <f>'GHG data from Eurostat'!CT12</f>
        <v>0</v>
      </c>
      <c r="U6" s="9">
        <f t="shared" ref="U6" si="7">Q6+M6</f>
        <v>0</v>
      </c>
      <c r="V6" s="9">
        <f t="shared" ref="V6" si="8">R6+N6</f>
        <v>0</v>
      </c>
      <c r="W6" s="9">
        <f t="shared" ref="W6" si="9">S6+O6</f>
        <v>0</v>
      </c>
      <c r="X6" s="9">
        <f t="shared" ref="X6" si="10">T6+P6</f>
        <v>0</v>
      </c>
      <c r="Y6" s="9">
        <f t="shared" ref="Y6:Y69" si="11">SUM(U6:X6)</f>
        <v>0</v>
      </c>
      <c r="Z6" s="17">
        <f t="shared" ref="Z6:Z69" si="12">(M6+Q6)/I6</f>
        <v>0</v>
      </c>
      <c r="AA6" s="17">
        <f>(N6+R6)/J6</f>
        <v>0</v>
      </c>
      <c r="AB6" s="17">
        <f>(O6+S6)/K6</f>
        <v>0</v>
      </c>
      <c r="AC6" s="17">
        <f>(P6+T6)/L6</f>
        <v>0</v>
      </c>
      <c r="AD6" s="18"/>
      <c r="AE6" s="17">
        <f t="shared" ref="AE6:AE69" si="13">ROUND(Z6,3)</f>
        <v>0</v>
      </c>
      <c r="AF6" s="17">
        <f t="shared" si="1"/>
        <v>0</v>
      </c>
      <c r="AG6" s="17">
        <f t="shared" si="1"/>
        <v>0</v>
      </c>
      <c r="AH6" s="17">
        <f t="shared" si="1"/>
        <v>0</v>
      </c>
      <c r="AJ6" s="9" t="s">
        <v>176</v>
      </c>
      <c r="AK6" s="9" t="s">
        <v>233</v>
      </c>
      <c r="AL6" s="9">
        <f>VLOOKUP($AJ6,Landcover!$A$3:$K$30,5,FALSE)/1000</f>
        <v>998.50800000000004</v>
      </c>
      <c r="AM6" s="9">
        <f>VLOOKUP($AJ6,Landcover!$A$3:$K$30,6,FALSE)/1000</f>
        <v>1695.7260000000001</v>
      </c>
      <c r="AN6" s="9">
        <f>VLOOKUP($AJ6,Landcover!$A$3:$K$30,8,FALSE)/1000</f>
        <v>717.13499999999999</v>
      </c>
      <c r="AO6" s="9">
        <f>VLOOKUP($AJ6,Landcover!$A$3:$K$30,11,FALSE)/1000</f>
        <v>71.643000000000001</v>
      </c>
      <c r="AP6" s="9">
        <f>VLOOKUP($AJ6,Landcover!$A$3:$K$30,7,FALSE)/1000</f>
        <v>235.53299999999999</v>
      </c>
      <c r="AQ6" t="s">
        <v>245</v>
      </c>
      <c r="AR6" s="9">
        <f>SUM('GHG data from Eurostat'!CX12,'GHG data from Eurostat'!DC12,'GHG data from Eurostat'!DG12,'GHG data from Eurostat'!DM12,'GHG data from Eurostat'!DP12,'GHG data from Eurostat'!DV12)</f>
        <v>41.825590000000005</v>
      </c>
      <c r="AS6" s="9">
        <f>'GHG data from Eurostat'!DS12+'GHG data from Eurostat'!DT12</f>
        <v>-212.82177999999999</v>
      </c>
      <c r="AT6" s="9">
        <f>'GHG data from Eurostat'!EA12+'GHG data from Eurostat'!EB12</f>
        <v>30.803620000000002</v>
      </c>
      <c r="AU6" s="9">
        <f>'GHG data from Eurostat'!ED12</f>
        <v>16.217659999999999</v>
      </c>
      <c r="AV6" s="9">
        <f>'GHG data from Eurostat'!EL12</f>
        <v>1.7808900000000001</v>
      </c>
      <c r="AW6" s="18">
        <f>SUM(AR6:AV6)</f>
        <v>-122.19401999999999</v>
      </c>
      <c r="AX6" s="16">
        <f>AR6/AL6</f>
        <v>4.1888087025842562E-2</v>
      </c>
      <c r="AY6" s="16">
        <f t="shared" ref="AY6" si="14">AS6/AM6</f>
        <v>-0.12550481622620635</v>
      </c>
      <c r="AZ6" s="16">
        <f t="shared" ref="AZ6" si="15">AT6/AN6</f>
        <v>4.2953725588626972E-2</v>
      </c>
      <c r="BA6" s="16">
        <f t="shared" ref="BA6:BB6" si="16">AU6/AO6</f>
        <v>0.22636768421199557</v>
      </c>
      <c r="BB6" s="16">
        <f t="shared" si="16"/>
        <v>7.5611060870451278E-3</v>
      </c>
      <c r="BD6" s="16">
        <f t="shared" ref="BD6:BD69" si="17">ROUND(AX6,4)</f>
        <v>4.19E-2</v>
      </c>
      <c r="BE6" s="16">
        <f t="shared" si="2"/>
        <v>-0.1255</v>
      </c>
      <c r="BF6" s="16">
        <f t="shared" si="2"/>
        <v>4.2999999999999997E-2</v>
      </c>
      <c r="BG6" s="16">
        <f t="shared" si="2"/>
        <v>0.22639999999999999</v>
      </c>
      <c r="BH6" s="16">
        <f t="shared" si="2"/>
        <v>7.6E-3</v>
      </c>
      <c r="BJ6" s="16" t="str">
        <f t="shared" ref="BJ6:BJ69" si="18">AJ6</f>
        <v>European Union - 27 countries (from 2020)</v>
      </c>
      <c r="BK6" s="16" t="s">
        <v>259</v>
      </c>
      <c r="BL6" s="9">
        <f>'GHG data from Eurostat'!EP12</f>
        <v>-40.066969999999998</v>
      </c>
    </row>
    <row r="7" spans="1:64" x14ac:dyDescent="0.25">
      <c r="A7" s="9" t="s">
        <v>178</v>
      </c>
      <c r="B7" s="9">
        <v>0.19636499999999998</v>
      </c>
      <c r="C7" s="9">
        <v>0.54212000000000005</v>
      </c>
      <c r="D7" s="9">
        <v>0.84399999999999997</v>
      </c>
      <c r="E7" s="9">
        <v>0.16217700000000002</v>
      </c>
      <c r="G7" s="9" t="s">
        <v>176</v>
      </c>
      <c r="H7" s="9" t="s">
        <v>231</v>
      </c>
      <c r="I7" s="9">
        <f t="shared" si="3"/>
        <v>43.055568000000001</v>
      </c>
      <c r="J7" s="9">
        <f t="shared" si="4"/>
        <v>77.840100000000007</v>
      </c>
      <c r="K7" s="9">
        <f t="shared" si="5"/>
        <v>92.450999999999965</v>
      </c>
      <c r="L7" s="9">
        <f t="shared" si="6"/>
        <v>7.5202</v>
      </c>
      <c r="M7" s="9">
        <f>'GHG data from Eurostat'!CP13</f>
        <v>0.16238</v>
      </c>
      <c r="N7" s="9">
        <f>'GHG data from Eurostat'!CN13</f>
        <v>5.6734900000000001</v>
      </c>
      <c r="O7" s="9">
        <f>'GHG data from Eurostat'!CQ13</f>
        <v>0.22816</v>
      </c>
      <c r="P7" s="9">
        <f>'GHG data from Eurostat'!CO13</f>
        <v>0.57650000000000001</v>
      </c>
      <c r="Q7" s="9">
        <f>'GHG data from Eurostat'!CU13</f>
        <v>0.73919999999999997</v>
      </c>
      <c r="R7" s="9">
        <f>IFERROR(('GHG data from Eurostat'!CS13+'GHG data from Eurostat'!CW13),0)</f>
        <v>0.83074999999999999</v>
      </c>
      <c r="S7" s="9">
        <f>'GHG data from Eurostat'!CV13</f>
        <v>8.9779999999999999E-2</v>
      </c>
      <c r="T7" s="9">
        <f>'GHG data from Eurostat'!CT13</f>
        <v>2.9899999999999999E-2</v>
      </c>
      <c r="U7" s="9">
        <f>(Q7+M7)*1000</f>
        <v>901.57999999999993</v>
      </c>
      <c r="V7" s="9">
        <f t="shared" ref="V7:X7" si="19">(R7+N7)*1000</f>
        <v>6504.2400000000007</v>
      </c>
      <c r="W7" s="9">
        <f t="shared" si="19"/>
        <v>317.94</v>
      </c>
      <c r="X7" s="9">
        <f t="shared" si="19"/>
        <v>606.40000000000009</v>
      </c>
      <c r="Y7" s="9">
        <f t="shared" si="11"/>
        <v>8330.16</v>
      </c>
      <c r="Z7" s="17">
        <f t="shared" ref="Z7:AC8" si="20">IFERROR((M7+Q7)*1000/I7,0)</f>
        <v>20.9399165283338</v>
      </c>
      <c r="AA7" s="17">
        <f t="shared" si="20"/>
        <v>83.558988233571128</v>
      </c>
      <c r="AB7" s="17">
        <f t="shared" si="20"/>
        <v>3.4390109355226026</v>
      </c>
      <c r="AC7" s="17">
        <f t="shared" si="20"/>
        <v>80.636153293795388</v>
      </c>
      <c r="AD7" s="18"/>
      <c r="AE7" s="17">
        <f t="shared" si="13"/>
        <v>20.94</v>
      </c>
      <c r="AF7" s="17">
        <f t="shared" si="1"/>
        <v>83.558999999999997</v>
      </c>
      <c r="AG7" s="17">
        <f t="shared" si="1"/>
        <v>3.4390000000000001</v>
      </c>
      <c r="AH7" s="17">
        <f t="shared" si="1"/>
        <v>80.635999999999996</v>
      </c>
      <c r="AJ7" s="9" t="s">
        <v>176</v>
      </c>
      <c r="AK7" s="9" t="s">
        <v>231</v>
      </c>
      <c r="AL7" s="9">
        <f>VLOOKUP($AJ7,Landcover!$A$3:$K$30,5,FALSE)/1000</f>
        <v>998.50800000000004</v>
      </c>
      <c r="AM7" s="9">
        <f>VLOOKUP($AJ7,Landcover!$A$3:$K$30,6,FALSE)/1000</f>
        <v>1695.7260000000001</v>
      </c>
      <c r="AN7" s="9">
        <f>VLOOKUP($AJ7,Landcover!$A$3:$K$30,8,FALSE)/1000</f>
        <v>717.13499999999999</v>
      </c>
      <c r="AO7" s="9">
        <f>VLOOKUP($AJ7,Landcover!$A$3:$K$30,11,FALSE)/1000</f>
        <v>71.643000000000001</v>
      </c>
      <c r="AP7" s="9">
        <f>VLOOKUP($AJ7,Landcover!$A$3:$K$30,7,FALSE)/1000</f>
        <v>235.53299999999999</v>
      </c>
      <c r="AQ7" t="s">
        <v>245</v>
      </c>
      <c r="AR7" s="9">
        <f>SUM('GHG data from Eurostat'!CX13,'GHG data from Eurostat'!DC13,'GHG data from Eurostat'!DG13,'GHG data from Eurostat'!DM13,'GHG data from Eurostat'!DP13,'GHG data from Eurostat'!DV13)</f>
        <v>0.20305000000000001</v>
      </c>
      <c r="AS7" s="9">
        <f>'GHG data from Eurostat'!DS13+'GHG data from Eurostat'!DT13</f>
        <v>0.12082000000000001</v>
      </c>
      <c r="AT7" s="9">
        <f>'GHG data from Eurostat'!EA13+'GHG data from Eurostat'!EB13</f>
        <v>0.18393000000000001</v>
      </c>
      <c r="AU7" s="9">
        <f>'GHG data from Eurostat'!ED13</f>
        <v>0.29835</v>
      </c>
      <c r="AV7" s="9">
        <f>'GHG data from Eurostat'!EL13</f>
        <v>1.0000000000000001E-5</v>
      </c>
      <c r="AW7" s="18">
        <f t="shared" ref="AW7:AW69" si="21">SUM(AR7:AV7)</f>
        <v>0.80615999999999999</v>
      </c>
      <c r="AX7" s="16">
        <f>IFERROR(AR7*1000/AL7,0)</f>
        <v>0.20335340327769033</v>
      </c>
      <c r="AY7" s="16">
        <f>IFERROR(AS7*1000/AM7,0)</f>
        <v>7.1249718409695906E-2</v>
      </c>
      <c r="AZ7" s="16">
        <f>IFERROR(AT7*1000/AN7,0)</f>
        <v>0.25647890564538062</v>
      </c>
      <c r="BA7" s="16">
        <f>IFERROR(AU7*1000/AO7,0)</f>
        <v>4.1643984757757213</v>
      </c>
      <c r="BB7" s="16">
        <f>IFERROR(AV7*1000/AP7,0)</f>
        <v>4.2456895636704837E-5</v>
      </c>
      <c r="BD7" s="16">
        <f t="shared" si="17"/>
        <v>0.2034</v>
      </c>
      <c r="BE7" s="16">
        <f t="shared" si="2"/>
        <v>7.1199999999999999E-2</v>
      </c>
      <c r="BF7" s="16">
        <f t="shared" si="2"/>
        <v>0.25650000000000001</v>
      </c>
      <c r="BG7" s="16">
        <f t="shared" si="2"/>
        <v>4.1643999999999997</v>
      </c>
      <c r="BH7" s="16">
        <f t="shared" si="2"/>
        <v>0</v>
      </c>
      <c r="BJ7" s="16" t="str">
        <f t="shared" si="18"/>
        <v>European Union - 27 countries (from 2020)</v>
      </c>
      <c r="BK7" s="16" t="s">
        <v>260</v>
      </c>
      <c r="BL7" s="9">
        <f>'GHG data from Eurostat'!EP13</f>
        <v>0</v>
      </c>
    </row>
    <row r="8" spans="1:64" x14ac:dyDescent="0.25">
      <c r="A8" s="9" t="s">
        <v>179</v>
      </c>
      <c r="B8" s="9">
        <v>0.45227399999999995</v>
      </c>
      <c r="C8" s="9">
        <v>1.36524</v>
      </c>
      <c r="D8" s="9">
        <v>1.694</v>
      </c>
      <c r="E8" s="9">
        <v>2.4228E-2</v>
      </c>
      <c r="G8" s="9" t="s">
        <v>176</v>
      </c>
      <c r="H8" s="9" t="s">
        <v>232</v>
      </c>
      <c r="I8" s="9">
        <f t="shared" si="3"/>
        <v>43.055568000000001</v>
      </c>
      <c r="J8" s="9">
        <f t="shared" si="4"/>
        <v>77.840100000000007</v>
      </c>
      <c r="K8" s="9">
        <f t="shared" si="5"/>
        <v>92.450999999999965</v>
      </c>
      <c r="L8" s="9">
        <f t="shared" si="6"/>
        <v>7.5202</v>
      </c>
      <c r="M8" s="9">
        <f>'GHG data from Eurostat'!CP14</f>
        <v>0</v>
      </c>
      <c r="N8" s="9">
        <f>'GHG data from Eurostat'!CN14</f>
        <v>0</v>
      </c>
      <c r="O8" s="9">
        <f>'GHG data from Eurostat'!CQ14</f>
        <v>0</v>
      </c>
      <c r="P8" s="9">
        <f>'GHG data from Eurostat'!CO14</f>
        <v>0</v>
      </c>
      <c r="Q8" s="9">
        <f>'GHG data from Eurostat'!CU14</f>
        <v>6.7600000000000004E-3</v>
      </c>
      <c r="R8" s="9">
        <f>IFERROR(('GHG data from Eurostat'!CS14+'GHG data from Eurostat'!CW14),0)</f>
        <v>5.67E-2</v>
      </c>
      <c r="S8" s="9">
        <f>'GHG data from Eurostat'!CV14</f>
        <v>6.7200000000000003E-3</v>
      </c>
      <c r="T8" s="9">
        <f>'GHG data from Eurostat'!CT14</f>
        <v>2.0200000000000001E-3</v>
      </c>
      <c r="U8" s="9">
        <f>(Q8+M8)*1000</f>
        <v>6.7600000000000007</v>
      </c>
      <c r="V8" s="9">
        <f t="shared" ref="V8" si="22">(R8+N8)*1000</f>
        <v>56.7</v>
      </c>
      <c r="W8" s="9">
        <f t="shared" ref="W8" si="23">(S8+O8)*1000</f>
        <v>6.7200000000000006</v>
      </c>
      <c r="X8" s="9">
        <f t="shared" ref="X8" si="24">(T8+P8)*1000</f>
        <v>2.02</v>
      </c>
      <c r="Y8" s="9">
        <f t="shared" si="11"/>
        <v>72.2</v>
      </c>
      <c r="Z8" s="17">
        <f t="shared" si="20"/>
        <v>0.15700640623298712</v>
      </c>
      <c r="AA8" s="17">
        <f t="shared" si="20"/>
        <v>0.72841633040039766</v>
      </c>
      <c r="AB8" s="17">
        <f t="shared" si="20"/>
        <v>7.2687153194665316E-2</v>
      </c>
      <c r="AC8" s="17">
        <f t="shared" si="20"/>
        <v>0.26860987739687775</v>
      </c>
      <c r="AD8" s="18"/>
      <c r="AE8" s="17">
        <f t="shared" si="13"/>
        <v>0.157</v>
      </c>
      <c r="AF8" s="17">
        <f t="shared" si="1"/>
        <v>0.72799999999999998</v>
      </c>
      <c r="AG8" s="17">
        <f t="shared" si="1"/>
        <v>7.2999999999999995E-2</v>
      </c>
      <c r="AH8" s="17">
        <f t="shared" si="1"/>
        <v>0.26900000000000002</v>
      </c>
      <c r="AJ8" s="9" t="s">
        <v>176</v>
      </c>
      <c r="AK8" s="9" t="s">
        <v>232</v>
      </c>
      <c r="AL8" s="9">
        <f>VLOOKUP($AJ8,Landcover!$A$3:$K$30,5,FALSE)/1000</f>
        <v>998.50800000000004</v>
      </c>
      <c r="AM8" s="9">
        <f>VLOOKUP($AJ8,Landcover!$A$3:$K$30,6,FALSE)/1000</f>
        <v>1695.7260000000001</v>
      </c>
      <c r="AN8" s="9">
        <f>VLOOKUP($AJ8,Landcover!$A$3:$K$30,8,FALSE)/1000</f>
        <v>717.13499999999999</v>
      </c>
      <c r="AO8" s="9">
        <f>VLOOKUP($AJ8,Landcover!$A$3:$K$30,11,FALSE)/1000</f>
        <v>71.643000000000001</v>
      </c>
      <c r="AP8" s="9">
        <f>VLOOKUP($AJ8,Landcover!$A$3:$K$30,7,FALSE)/1000</f>
        <v>235.53299999999999</v>
      </c>
      <c r="AQ8" t="s">
        <v>245</v>
      </c>
      <c r="AR8" s="9">
        <f>SUM('GHG data from Eurostat'!CX14,'GHG data from Eurostat'!DC14,'GHG data from Eurostat'!DG14,'GHG data from Eurostat'!DM14,'GHG data from Eurostat'!DP14,'GHG data from Eurostat'!DV14)</f>
        <v>0.45361000000000001</v>
      </c>
      <c r="AS8" s="9">
        <f>'GHG data from Eurostat'!DS14+'GHG data from Eurostat'!DT14</f>
        <v>3.2799999999999996E-2</v>
      </c>
      <c r="AT8" s="9">
        <f>'GHG data from Eurostat'!EA14+'GHG data from Eurostat'!EB14</f>
        <v>8.7000000000000011E-4</v>
      </c>
      <c r="AU8" s="9">
        <f>'GHG data from Eurostat'!ED14</f>
        <v>1.09E-3</v>
      </c>
      <c r="AV8" s="9">
        <f>'GHG data from Eurostat'!EL14</f>
        <v>1.7000000000000001E-4</v>
      </c>
      <c r="AW8" s="18">
        <f t="shared" si="21"/>
        <v>0.48853999999999997</v>
      </c>
      <c r="AX8" s="16">
        <f>IFERROR(AR8*1000/AL8,0)</f>
        <v>0.45428779739371139</v>
      </c>
      <c r="AY8" s="16">
        <f t="shared" ref="AY8" si="25">IFERROR(AS8*1000/AM8,0)</f>
        <v>1.934274759011774E-2</v>
      </c>
      <c r="AZ8" s="16">
        <f t="shared" ref="AZ8" si="26">IFERROR(AT8*1000/AN8,0)</f>
        <v>1.2131607019598822E-3</v>
      </c>
      <c r="BA8" s="16">
        <f t="shared" ref="BA8:BB8" si="27">IFERROR(AU8*1000/AO8,0)</f>
        <v>1.5214326591572102E-2</v>
      </c>
      <c r="BB8" s="16">
        <f t="shared" si="27"/>
        <v>7.2176722582398235E-4</v>
      </c>
      <c r="BD8" s="16">
        <f t="shared" si="17"/>
        <v>0.45429999999999998</v>
      </c>
      <c r="BE8" s="16">
        <f t="shared" si="2"/>
        <v>1.9300000000000001E-2</v>
      </c>
      <c r="BF8" s="16">
        <f t="shared" si="2"/>
        <v>1.1999999999999999E-3</v>
      </c>
      <c r="BG8" s="16">
        <f t="shared" si="2"/>
        <v>1.52E-2</v>
      </c>
      <c r="BH8" s="16">
        <f t="shared" si="2"/>
        <v>6.9999999999999999E-4</v>
      </c>
      <c r="BJ8" s="16" t="str">
        <f t="shared" si="18"/>
        <v>European Union - 27 countries (from 2020)</v>
      </c>
      <c r="BK8" s="16" t="s">
        <v>261</v>
      </c>
      <c r="BL8" s="9">
        <f>'GHG data from Eurostat'!EP14</f>
        <v>0</v>
      </c>
    </row>
    <row r="9" spans="1:64" x14ac:dyDescent="0.25">
      <c r="A9" s="9" t="s">
        <v>180</v>
      </c>
      <c r="B9" s="9">
        <v>3.7925999999999997</v>
      </c>
      <c r="C9" s="9">
        <v>1.53</v>
      </c>
      <c r="D9" s="9">
        <v>1.458</v>
      </c>
      <c r="E9" s="9">
        <v>1.5681E-2</v>
      </c>
      <c r="G9" s="9" t="s">
        <v>177</v>
      </c>
      <c r="H9" s="9" t="s">
        <v>262</v>
      </c>
      <c r="I9" s="9">
        <f t="shared" si="3"/>
        <v>1.8627389999999999</v>
      </c>
      <c r="J9" s="9">
        <f t="shared" si="4"/>
        <v>2.3980900000000003</v>
      </c>
      <c r="K9" s="9">
        <f t="shared" si="5"/>
        <v>4.2809999999999997</v>
      </c>
      <c r="L9" s="9">
        <f t="shared" si="6"/>
        <v>1.5591000000000001E-2</v>
      </c>
      <c r="M9" s="9">
        <f>'GHG data from Eurostat'!CP15</f>
        <v>0.26645000000000002</v>
      </c>
      <c r="N9" s="9">
        <f>'GHG data from Eurostat'!CN15</f>
        <v>4.1915899999999997</v>
      </c>
      <c r="O9" s="9">
        <f>'GHG data from Eurostat'!CQ15</f>
        <v>5.3120000000000001E-2</v>
      </c>
      <c r="P9" s="9">
        <f>'GHG data from Eurostat'!CO15</f>
        <v>2.2100000000000002E-2</v>
      </c>
      <c r="Q9" s="9">
        <f>'GHG data from Eurostat'!CU15</f>
        <v>0.63902999999999999</v>
      </c>
      <c r="R9" s="9">
        <f>IFERROR(('GHG data from Eurostat'!CS15+'GHG data from Eurostat'!CW15),0)</f>
        <v>1.1161300000000001</v>
      </c>
      <c r="S9" s="9">
        <f>'GHG data from Eurostat'!CV15</f>
        <v>5.7930000000000002E-2</v>
      </c>
      <c r="T9" s="9">
        <f>'GHG data from Eurostat'!CT15</f>
        <v>1.32E-3</v>
      </c>
      <c r="U9" s="9">
        <f>Q9+M9</f>
        <v>0.90548000000000006</v>
      </c>
      <c r="V9" s="9">
        <f t="shared" ref="V9:V10" si="28">R9+N9</f>
        <v>5.3077199999999998</v>
      </c>
      <c r="W9" s="9">
        <f t="shared" ref="W9:W10" si="29">S9+O9</f>
        <v>0.11105000000000001</v>
      </c>
      <c r="X9" s="9">
        <f t="shared" ref="X9:X10" si="30">T9+P9</f>
        <v>2.3420000000000003E-2</v>
      </c>
      <c r="Y9" s="9">
        <f t="shared" si="11"/>
        <v>6.347669999999999</v>
      </c>
      <c r="Z9" s="17">
        <f t="shared" si="12"/>
        <v>0.48610138081609938</v>
      </c>
      <c r="AA9" s="17">
        <f t="shared" ref="AA9:AC10" si="31">(N9+R9)/J9</f>
        <v>2.2133114270106624</v>
      </c>
      <c r="AB9" s="17">
        <f t="shared" si="31"/>
        <v>2.5940200887643077E-2</v>
      </c>
      <c r="AC9" s="17">
        <f t="shared" si="31"/>
        <v>1.5021486755179272</v>
      </c>
      <c r="AD9" s="18"/>
      <c r="AE9" s="17">
        <f t="shared" si="13"/>
        <v>0.48599999999999999</v>
      </c>
      <c r="AF9" s="17">
        <f t="shared" si="1"/>
        <v>2.2130000000000001</v>
      </c>
      <c r="AG9" s="17">
        <f t="shared" si="1"/>
        <v>2.5999999999999999E-2</v>
      </c>
      <c r="AH9" s="17">
        <f t="shared" si="1"/>
        <v>1.502</v>
      </c>
      <c r="AJ9" s="9" t="s">
        <v>177</v>
      </c>
      <c r="AK9" s="9" t="s">
        <v>262</v>
      </c>
      <c r="AL9" s="9">
        <f>VLOOKUP($AJ9,Landcover!$A$3:$K$30,5,FALSE)/1000</f>
        <v>8.9139999999999997</v>
      </c>
      <c r="AM9" s="9">
        <f>VLOOKUP($AJ9,Landcover!$A$3:$K$30,6,FALSE)/1000</f>
        <v>8.1129999999999995</v>
      </c>
      <c r="AN9" s="9">
        <f>VLOOKUP($AJ9,Landcover!$A$3:$K$30,8,FALSE)/1000</f>
        <v>8.6329999999999991</v>
      </c>
      <c r="AO9" s="9">
        <f>VLOOKUP($AJ9,Landcover!$A$3:$K$30,11,FALSE)/1000</f>
        <v>0.13900000000000001</v>
      </c>
      <c r="AP9" s="9">
        <f>VLOOKUP($AJ9,Landcover!$A$3:$K$30,7,FALSE)/1000</f>
        <v>0.39</v>
      </c>
      <c r="AQ9" t="s">
        <v>245</v>
      </c>
      <c r="AR9" s="9">
        <f>SUM('GHG data from Eurostat'!CX15,'GHG data from Eurostat'!DC15,'GHG data from Eurostat'!DG15,'GHG data from Eurostat'!DM15,'GHG data from Eurostat'!DP15,'GHG data from Eurostat'!DV15)</f>
        <v>3.4642999999999997</v>
      </c>
      <c r="AS9" s="9">
        <f>'GHG data from Eurostat'!DS15+'GHG data from Eurostat'!DT15</f>
        <v>-1.45014</v>
      </c>
      <c r="AT9" s="9">
        <f>'GHG data from Eurostat'!EA15+'GHG data from Eurostat'!EB15</f>
        <v>0.11387</v>
      </c>
      <c r="AU9" s="9">
        <f>'GHG data from Eurostat'!ED15</f>
        <v>8.3499999999999998E-3</v>
      </c>
      <c r="AV9" s="9">
        <f>'GHG data from Eurostat'!EL15</f>
        <v>0</v>
      </c>
      <c r="AW9" s="18">
        <f t="shared" si="21"/>
        <v>2.1363799999999995</v>
      </c>
      <c r="AX9" s="16">
        <f>AR9/AL9</f>
        <v>0.38863585371326004</v>
      </c>
      <c r="AY9" s="16">
        <f t="shared" ref="AY9" si="32">AS9/AM9</f>
        <v>-0.17874275853568347</v>
      </c>
      <c r="AZ9" s="16">
        <f t="shared" ref="AZ9" si="33">AT9/AN9</f>
        <v>1.3190084559249393E-2</v>
      </c>
      <c r="BA9" s="16">
        <f t="shared" ref="BA9:BB9" si="34">AU9/AO9</f>
        <v>6.0071942446043157E-2</v>
      </c>
      <c r="BB9" s="16">
        <f t="shared" si="34"/>
        <v>0</v>
      </c>
      <c r="BD9" s="16">
        <f t="shared" si="17"/>
        <v>0.3886</v>
      </c>
      <c r="BE9" s="16">
        <f t="shared" si="2"/>
        <v>-0.1787</v>
      </c>
      <c r="BF9" s="16">
        <f t="shared" si="2"/>
        <v>1.32E-2</v>
      </c>
      <c r="BG9" s="16">
        <f t="shared" si="2"/>
        <v>6.0100000000000001E-2</v>
      </c>
      <c r="BH9" s="16">
        <f t="shared" si="2"/>
        <v>0</v>
      </c>
      <c r="BJ9" s="16" t="str">
        <f t="shared" si="18"/>
        <v>Belgium</v>
      </c>
      <c r="BK9" s="16" t="s">
        <v>263</v>
      </c>
      <c r="BL9" s="9">
        <f>'GHG data from Eurostat'!EP15</f>
        <v>-8.9639999999999997E-2</v>
      </c>
    </row>
    <row r="10" spans="1:64" x14ac:dyDescent="0.25">
      <c r="A10" s="9" t="s">
        <v>181</v>
      </c>
      <c r="B10" s="9">
        <v>7.9336200000000003</v>
      </c>
      <c r="C10" s="9">
        <v>11.94909</v>
      </c>
      <c r="D10" s="9">
        <v>9.9350000000000005</v>
      </c>
      <c r="E10" s="9">
        <v>0.17159000000000002</v>
      </c>
      <c r="G10" s="9" t="s">
        <v>177</v>
      </c>
      <c r="H10" s="9" t="s">
        <v>233</v>
      </c>
      <c r="I10" s="9">
        <f t="shared" si="3"/>
        <v>1.8627389999999999</v>
      </c>
      <c r="J10" s="9">
        <f t="shared" si="4"/>
        <v>2.3980900000000003</v>
      </c>
      <c r="K10" s="9">
        <f t="shared" si="5"/>
        <v>4.2809999999999997</v>
      </c>
      <c r="L10" s="9">
        <f t="shared" si="6"/>
        <v>1.5591000000000001E-2</v>
      </c>
      <c r="M10" s="9">
        <f>'GHG data from Eurostat'!CP16</f>
        <v>0</v>
      </c>
      <c r="N10" s="9">
        <f>'GHG data from Eurostat'!CN16</f>
        <v>0</v>
      </c>
      <c r="O10" s="9">
        <f>'GHG data from Eurostat'!CQ16</f>
        <v>0</v>
      </c>
      <c r="P10" s="9">
        <f>'GHG data from Eurostat'!CO16</f>
        <v>0</v>
      </c>
      <c r="Q10" s="9">
        <f>'GHG data from Eurostat'!CU16</f>
        <v>0</v>
      </c>
      <c r="R10" s="9">
        <f>IFERROR(('GHG data from Eurostat'!CS16+'GHG data from Eurostat'!CW16),0)</f>
        <v>0</v>
      </c>
      <c r="S10" s="9">
        <f>'GHG data from Eurostat'!CV16</f>
        <v>0</v>
      </c>
      <c r="T10" s="9">
        <f>'GHG data from Eurostat'!CT16</f>
        <v>0</v>
      </c>
      <c r="U10" s="9">
        <f t="shared" ref="U10" si="35">Q10+M10</f>
        <v>0</v>
      </c>
      <c r="V10" s="9">
        <f t="shared" si="28"/>
        <v>0</v>
      </c>
      <c r="W10" s="9">
        <f t="shared" si="29"/>
        <v>0</v>
      </c>
      <c r="X10" s="9">
        <f t="shared" si="30"/>
        <v>0</v>
      </c>
      <c r="Y10" s="9">
        <f t="shared" si="11"/>
        <v>0</v>
      </c>
      <c r="Z10" s="17">
        <f t="shared" si="12"/>
        <v>0</v>
      </c>
      <c r="AA10" s="17">
        <f t="shared" si="31"/>
        <v>0</v>
      </c>
      <c r="AB10" s="17">
        <f t="shared" si="31"/>
        <v>0</v>
      </c>
      <c r="AC10" s="17">
        <f t="shared" si="31"/>
        <v>0</v>
      </c>
      <c r="AD10" s="18"/>
      <c r="AE10" s="17">
        <f t="shared" si="13"/>
        <v>0</v>
      </c>
      <c r="AF10" s="17">
        <f t="shared" si="1"/>
        <v>0</v>
      </c>
      <c r="AG10" s="17">
        <f t="shared" si="1"/>
        <v>0</v>
      </c>
      <c r="AH10" s="17">
        <f t="shared" si="1"/>
        <v>0</v>
      </c>
      <c r="AJ10" s="9" t="s">
        <v>177</v>
      </c>
      <c r="AK10" s="9" t="s">
        <v>233</v>
      </c>
      <c r="AL10" s="9">
        <f>VLOOKUP($AJ10,Landcover!$A$3:$K$30,5,FALSE)/1000</f>
        <v>8.9139999999999997</v>
      </c>
      <c r="AM10" s="9">
        <f>VLOOKUP($AJ10,Landcover!$A$3:$K$30,6,FALSE)/1000</f>
        <v>8.1129999999999995</v>
      </c>
      <c r="AN10" s="9">
        <f>VLOOKUP($AJ10,Landcover!$A$3:$K$30,8,FALSE)/1000</f>
        <v>8.6329999999999991</v>
      </c>
      <c r="AO10" s="9">
        <f>VLOOKUP($AJ10,Landcover!$A$3:$K$30,11,FALSE)/1000</f>
        <v>0.13900000000000001</v>
      </c>
      <c r="AP10" s="9">
        <f>VLOOKUP($AJ10,Landcover!$A$3:$K$30,7,FALSE)/1000</f>
        <v>0.39</v>
      </c>
      <c r="AR10" s="9">
        <f>SUM('GHG data from Eurostat'!CX16,'GHG data from Eurostat'!DC16,'GHG data from Eurostat'!DG16,'GHG data from Eurostat'!DM16,'GHG data from Eurostat'!DP16,'GHG data from Eurostat'!DV16)</f>
        <v>0.94633999999999996</v>
      </c>
      <c r="AS10" s="9">
        <f>'GHG data from Eurostat'!DS16+'GHG data from Eurostat'!DT16</f>
        <v>-1.45014</v>
      </c>
      <c r="AT10" s="9">
        <f>'GHG data from Eurostat'!EA16+'GHG data from Eurostat'!EB16</f>
        <v>0.11387</v>
      </c>
      <c r="AU10" s="9">
        <f>'GHG data from Eurostat'!ED16</f>
        <v>8.1600000000000006E-3</v>
      </c>
      <c r="AV10" s="9">
        <f>'GHG data from Eurostat'!EL16</f>
        <v>0</v>
      </c>
      <c r="AW10" s="18">
        <f t="shared" si="21"/>
        <v>-0.38177</v>
      </c>
      <c r="AX10" s="16">
        <f>AR10/AL10</f>
        <v>0.10616333856854386</v>
      </c>
      <c r="AY10" s="16">
        <f t="shared" ref="AY10" si="36">AS10/AM10</f>
        <v>-0.17874275853568347</v>
      </c>
      <c r="AZ10" s="16">
        <f t="shared" ref="AZ10" si="37">AT10/AN10</f>
        <v>1.3190084559249393E-2</v>
      </c>
      <c r="BA10" s="16">
        <f t="shared" ref="BA10:BB10" si="38">AU10/AO10</f>
        <v>5.8705035971223021E-2</v>
      </c>
      <c r="BB10" s="16">
        <f t="shared" si="38"/>
        <v>0</v>
      </c>
      <c r="BD10" s="16">
        <f t="shared" si="17"/>
        <v>0.1062</v>
      </c>
      <c r="BE10" s="16">
        <f t="shared" si="2"/>
        <v>-0.1787</v>
      </c>
      <c r="BF10" s="16">
        <f t="shared" si="2"/>
        <v>1.32E-2</v>
      </c>
      <c r="BG10" s="16">
        <f t="shared" si="2"/>
        <v>5.8700000000000002E-2</v>
      </c>
      <c r="BH10" s="16">
        <f t="shared" si="2"/>
        <v>0</v>
      </c>
      <c r="BJ10" s="16" t="str">
        <f t="shared" si="18"/>
        <v>Belgium</v>
      </c>
      <c r="BK10" s="16" t="s">
        <v>259</v>
      </c>
      <c r="BL10" s="9">
        <f>'GHG data from Eurostat'!EP16</f>
        <v>-8.9639999999999997E-2</v>
      </c>
    </row>
    <row r="11" spans="1:64" x14ac:dyDescent="0.25">
      <c r="A11" s="9" t="s">
        <v>182</v>
      </c>
      <c r="B11" s="9">
        <v>8.7119999999999989E-2</v>
      </c>
      <c r="C11" s="9">
        <v>0.25190000000000001</v>
      </c>
      <c r="D11" s="9">
        <v>0.34100000000000003</v>
      </c>
      <c r="E11" s="9">
        <v>7.8300000000000002E-3</v>
      </c>
      <c r="G11" s="9" t="s">
        <v>177</v>
      </c>
      <c r="H11" s="9" t="s">
        <v>231</v>
      </c>
      <c r="I11" s="9">
        <f t="shared" si="3"/>
        <v>1.8627389999999999</v>
      </c>
      <c r="J11" s="9">
        <f t="shared" si="4"/>
        <v>2.3980900000000003</v>
      </c>
      <c r="K11" s="9">
        <f t="shared" si="5"/>
        <v>4.2809999999999997</v>
      </c>
      <c r="L11" s="9">
        <f t="shared" si="6"/>
        <v>1.5591000000000001E-2</v>
      </c>
      <c r="M11" s="9">
        <f>'GHG data from Eurostat'!CP17</f>
        <v>9.5200000000000007E-3</v>
      </c>
      <c r="N11" s="9">
        <f>'GHG data from Eurostat'!CN17</f>
        <v>0.1497</v>
      </c>
      <c r="O11" s="9">
        <f>'GHG data from Eurostat'!CQ17</f>
        <v>1.9E-3</v>
      </c>
      <c r="P11" s="9">
        <f>'GHG data from Eurostat'!CO17</f>
        <v>7.9000000000000001E-4</v>
      </c>
      <c r="Q11" s="9">
        <f>'GHG data from Eurostat'!CU17</f>
        <v>2.1399999999999999E-2</v>
      </c>
      <c r="R11" s="9">
        <f>IFERROR(('GHG data from Eurostat'!CS17+'GHG data from Eurostat'!CW17),0)</f>
        <v>2.6950000000000002E-2</v>
      </c>
      <c r="S11" s="9">
        <f>'GHG data from Eurostat'!CV17</f>
        <v>1.39E-3</v>
      </c>
      <c r="T11" s="9">
        <f>'GHG data from Eurostat'!CT17</f>
        <v>2.0000000000000002E-5</v>
      </c>
      <c r="U11" s="9">
        <f>(Q11+M11)*1000</f>
        <v>30.919999999999998</v>
      </c>
      <c r="V11" s="9">
        <f t="shared" ref="V11:V12" si="39">(R11+N11)*1000</f>
        <v>176.65</v>
      </c>
      <c r="W11" s="9">
        <f t="shared" ref="W11:W12" si="40">(S11+O11)*1000</f>
        <v>3.29</v>
      </c>
      <c r="X11" s="9">
        <f t="shared" ref="X11:X12" si="41">(T11+P11)*1000</f>
        <v>0.81</v>
      </c>
      <c r="Y11" s="9">
        <f t="shared" si="11"/>
        <v>211.67</v>
      </c>
      <c r="Z11" s="17">
        <f t="shared" ref="Z11:AC12" si="42">IFERROR((M11+Q11)*1000/I11,0)</f>
        <v>16.599212235315843</v>
      </c>
      <c r="AA11" s="17">
        <f t="shared" si="42"/>
        <v>73.662789970351398</v>
      </c>
      <c r="AB11" s="17">
        <f t="shared" si="42"/>
        <v>0.76851202989955625</v>
      </c>
      <c r="AC11" s="17">
        <f t="shared" si="42"/>
        <v>51.953049836444102</v>
      </c>
      <c r="AD11" s="18"/>
      <c r="AE11" s="17">
        <f t="shared" si="13"/>
        <v>16.599</v>
      </c>
      <c r="AF11" s="17">
        <f t="shared" si="1"/>
        <v>73.662999999999997</v>
      </c>
      <c r="AG11" s="17">
        <f t="shared" si="1"/>
        <v>0.76900000000000002</v>
      </c>
      <c r="AH11" s="17">
        <f t="shared" si="1"/>
        <v>51.953000000000003</v>
      </c>
      <c r="AJ11" s="9" t="s">
        <v>177</v>
      </c>
      <c r="AK11" s="9" t="s">
        <v>231</v>
      </c>
      <c r="AL11" s="9">
        <f>VLOOKUP($AJ11,Landcover!$A$3:$K$30,5,FALSE)/1000</f>
        <v>8.9139999999999997</v>
      </c>
      <c r="AM11" s="9">
        <f>VLOOKUP($AJ11,Landcover!$A$3:$K$30,6,FALSE)/1000</f>
        <v>8.1129999999999995</v>
      </c>
      <c r="AN11" s="9">
        <f>VLOOKUP($AJ11,Landcover!$A$3:$K$30,8,FALSE)/1000</f>
        <v>8.6329999999999991</v>
      </c>
      <c r="AO11" s="9">
        <f>VLOOKUP($AJ11,Landcover!$A$3:$K$30,11,FALSE)/1000</f>
        <v>0.13900000000000001</v>
      </c>
      <c r="AP11" s="9">
        <f>VLOOKUP($AJ11,Landcover!$A$3:$K$30,7,FALSE)/1000</f>
        <v>0.39</v>
      </c>
      <c r="AR11" s="9">
        <f>SUM('GHG data from Eurostat'!CX17,'GHG data from Eurostat'!DC17,'GHG data from Eurostat'!DG17,'GHG data from Eurostat'!DM17,'GHG data from Eurostat'!DP17,'GHG data from Eurostat'!DV17)</f>
        <v>0</v>
      </c>
      <c r="AS11" s="9">
        <f>'GHG data from Eurostat'!DS17+'GHG data from Eurostat'!DT17</f>
        <v>0</v>
      </c>
      <c r="AT11" s="9">
        <f>'GHG data from Eurostat'!EA17+'GHG data from Eurostat'!EB17</f>
        <v>0</v>
      </c>
      <c r="AU11" s="9">
        <f>'GHG data from Eurostat'!ED17</f>
        <v>0</v>
      </c>
      <c r="AV11" s="9">
        <f>'GHG data from Eurostat'!EL17</f>
        <v>0</v>
      </c>
      <c r="AW11" s="18">
        <f t="shared" si="21"/>
        <v>0</v>
      </c>
      <c r="AX11" s="16">
        <f>IFERROR(AR11*1000/AL11,0)</f>
        <v>0</v>
      </c>
      <c r="AY11" s="16">
        <f t="shared" ref="AY11:AY12" si="43">IFERROR(AS11*1000/AM11,0)</f>
        <v>0</v>
      </c>
      <c r="AZ11" s="16">
        <f t="shared" ref="AZ11:AZ12" si="44">IFERROR(AT11*1000/AN11,0)</f>
        <v>0</v>
      </c>
      <c r="BA11" s="16">
        <f t="shared" ref="BA11:BB12" si="45">IFERROR(AU11*1000/AO11,0)</f>
        <v>0</v>
      </c>
      <c r="BB11" s="16">
        <f t="shared" si="45"/>
        <v>0</v>
      </c>
      <c r="BD11" s="16">
        <f t="shared" si="17"/>
        <v>0</v>
      </c>
      <c r="BE11" s="16">
        <f t="shared" si="2"/>
        <v>0</v>
      </c>
      <c r="BF11" s="16">
        <f t="shared" si="2"/>
        <v>0</v>
      </c>
      <c r="BG11" s="16">
        <f t="shared" si="2"/>
        <v>0</v>
      </c>
      <c r="BH11" s="16">
        <f t="shared" si="2"/>
        <v>0</v>
      </c>
      <c r="BJ11" s="16" t="str">
        <f t="shared" si="18"/>
        <v>Belgium</v>
      </c>
      <c r="BK11" s="16" t="s">
        <v>260</v>
      </c>
      <c r="BL11" s="9">
        <f>'GHG data from Eurostat'!EP17</f>
        <v>0</v>
      </c>
    </row>
    <row r="12" spans="1:64" x14ac:dyDescent="0.25">
      <c r="A12" s="9" t="s">
        <v>183</v>
      </c>
      <c r="B12" s="9">
        <v>0.47164500000000004</v>
      </c>
      <c r="C12" s="9">
        <v>6.5934900000000001</v>
      </c>
      <c r="D12" s="9">
        <v>1.38</v>
      </c>
      <c r="E12" s="9">
        <v>0.38072500000000004</v>
      </c>
      <c r="G12" s="9" t="s">
        <v>177</v>
      </c>
      <c r="H12" s="9" t="s">
        <v>232</v>
      </c>
      <c r="I12" s="9">
        <f t="shared" si="3"/>
        <v>1.8627389999999999</v>
      </c>
      <c r="J12" s="9">
        <f t="shared" si="4"/>
        <v>2.3980900000000003</v>
      </c>
      <c r="K12" s="9">
        <f t="shared" si="5"/>
        <v>4.2809999999999997</v>
      </c>
      <c r="L12" s="9">
        <f t="shared" si="6"/>
        <v>1.5591000000000001E-2</v>
      </c>
      <c r="M12" s="9">
        <f>'GHG data from Eurostat'!CP18</f>
        <v>0</v>
      </c>
      <c r="N12" s="9">
        <f>'GHG data from Eurostat'!CN18</f>
        <v>0</v>
      </c>
      <c r="O12" s="9">
        <f>'GHG data from Eurostat'!CQ18</f>
        <v>0</v>
      </c>
      <c r="P12" s="9">
        <f>'GHG data from Eurostat'!CO18</f>
        <v>0</v>
      </c>
      <c r="Q12" s="9">
        <f>'GHG data from Eurostat'!CU18</f>
        <v>1.4999999999999999E-4</v>
      </c>
      <c r="R12" s="9">
        <f>IFERROR(('GHG data from Eurostat'!CS18+'GHG data from Eurostat'!CW18),0)</f>
        <v>1.3700000000000001E-3</v>
      </c>
      <c r="S12" s="9">
        <f>'GHG data from Eurostat'!CV18</f>
        <v>6.9999999999999994E-5</v>
      </c>
      <c r="T12" s="9">
        <f>'GHG data from Eurostat'!CT18</f>
        <v>0</v>
      </c>
      <c r="U12" s="9">
        <f>(Q12+M12)*1000</f>
        <v>0.15</v>
      </c>
      <c r="V12" s="9">
        <f t="shared" si="39"/>
        <v>1.37</v>
      </c>
      <c r="W12" s="9">
        <f t="shared" si="40"/>
        <v>6.9999999999999993E-2</v>
      </c>
      <c r="X12" s="9">
        <f t="shared" si="41"/>
        <v>0</v>
      </c>
      <c r="Y12" s="9">
        <f t="shared" si="11"/>
        <v>1.59</v>
      </c>
      <c r="Z12" s="17">
        <f t="shared" si="42"/>
        <v>8.0526579408065221E-2</v>
      </c>
      <c r="AA12" s="17">
        <f t="shared" si="42"/>
        <v>0.57128798335341879</v>
      </c>
      <c r="AB12" s="17">
        <f t="shared" si="42"/>
        <v>1.6351319785096938E-2</v>
      </c>
      <c r="AC12" s="17">
        <f t="shared" si="42"/>
        <v>0</v>
      </c>
      <c r="AD12" s="18"/>
      <c r="AE12" s="17">
        <f t="shared" si="13"/>
        <v>8.1000000000000003E-2</v>
      </c>
      <c r="AF12" s="17">
        <f t="shared" si="1"/>
        <v>0.57099999999999995</v>
      </c>
      <c r="AG12" s="17">
        <f t="shared" si="1"/>
        <v>1.6E-2</v>
      </c>
      <c r="AH12" s="17">
        <f t="shared" si="1"/>
        <v>0</v>
      </c>
      <c r="AJ12" s="9" t="s">
        <v>177</v>
      </c>
      <c r="AK12" s="9" t="s">
        <v>232</v>
      </c>
      <c r="AL12" s="9">
        <f>VLOOKUP($AJ12,Landcover!$A$3:$K$30,5,FALSE)/1000</f>
        <v>8.9139999999999997</v>
      </c>
      <c r="AM12" s="9">
        <f>VLOOKUP($AJ12,Landcover!$A$3:$K$30,6,FALSE)/1000</f>
        <v>8.1129999999999995</v>
      </c>
      <c r="AN12" s="9">
        <f>VLOOKUP($AJ12,Landcover!$A$3:$K$30,8,FALSE)/1000</f>
        <v>8.6329999999999991</v>
      </c>
      <c r="AO12" s="9">
        <f>VLOOKUP($AJ12,Landcover!$A$3:$K$30,11,FALSE)/1000</f>
        <v>0.13900000000000001</v>
      </c>
      <c r="AP12" s="9">
        <f>VLOOKUP($AJ12,Landcover!$A$3:$K$30,7,FALSE)/1000</f>
        <v>0.39</v>
      </c>
      <c r="AR12" s="9">
        <f>SUM('GHG data from Eurostat'!CX18,'GHG data from Eurostat'!DC18,'GHG data from Eurostat'!DG18,'GHG data from Eurostat'!DM18,'GHG data from Eurostat'!DP18,'GHG data from Eurostat'!DV18)</f>
        <v>9.4999999999999998E-3</v>
      </c>
      <c r="AS12" s="9">
        <f>'GHG data from Eurostat'!DS18+'GHG data from Eurostat'!DT18</f>
        <v>0</v>
      </c>
      <c r="AT12" s="9">
        <f>'GHG data from Eurostat'!EA18+'GHG data from Eurostat'!EB18</f>
        <v>0</v>
      </c>
      <c r="AU12" s="9">
        <f>'GHG data from Eurostat'!ED18</f>
        <v>0</v>
      </c>
      <c r="AV12" s="9">
        <f>'GHG data from Eurostat'!EL18</f>
        <v>0</v>
      </c>
      <c r="AW12" s="18">
        <f t="shared" si="21"/>
        <v>9.4999999999999998E-3</v>
      </c>
      <c r="AX12" s="16">
        <f>IFERROR(AR12*1000/AL12,0)</f>
        <v>1.0657392865155935</v>
      </c>
      <c r="AY12" s="16">
        <f t="shared" si="43"/>
        <v>0</v>
      </c>
      <c r="AZ12" s="16">
        <f t="shared" si="44"/>
        <v>0</v>
      </c>
      <c r="BA12" s="16">
        <f t="shared" si="45"/>
        <v>0</v>
      </c>
      <c r="BB12" s="16">
        <f t="shared" si="45"/>
        <v>0</v>
      </c>
      <c r="BD12" s="16">
        <f t="shared" si="17"/>
        <v>1.0657000000000001</v>
      </c>
      <c r="BE12" s="16">
        <f t="shared" si="2"/>
        <v>0</v>
      </c>
      <c r="BF12" s="16">
        <f t="shared" si="2"/>
        <v>0</v>
      </c>
      <c r="BG12" s="16">
        <f t="shared" si="2"/>
        <v>0</v>
      </c>
      <c r="BH12" s="16">
        <f t="shared" si="2"/>
        <v>0</v>
      </c>
      <c r="BJ12" s="16" t="str">
        <f t="shared" si="18"/>
        <v>Belgium</v>
      </c>
      <c r="BK12" s="16" t="s">
        <v>261</v>
      </c>
      <c r="BL12" s="9">
        <f>'GHG data from Eurostat'!EP18</f>
        <v>0</v>
      </c>
    </row>
    <row r="13" spans="1:64" x14ac:dyDescent="0.25">
      <c r="A13" s="9" t="s">
        <v>184</v>
      </c>
      <c r="B13" s="9">
        <v>0.21629999999999999</v>
      </c>
      <c r="C13" s="9">
        <v>0.54200000000000004</v>
      </c>
      <c r="D13" s="9">
        <v>1.891</v>
      </c>
      <c r="E13" s="9">
        <v>1.2055</v>
      </c>
      <c r="G13" s="9" t="s">
        <v>178</v>
      </c>
      <c r="H13" s="9" t="s">
        <v>262</v>
      </c>
      <c r="I13" s="9">
        <f t="shared" si="3"/>
        <v>0.19636499999999998</v>
      </c>
      <c r="J13" s="9">
        <f t="shared" si="4"/>
        <v>0.54212000000000005</v>
      </c>
      <c r="K13" s="9">
        <f t="shared" si="5"/>
        <v>0.84399999999999997</v>
      </c>
      <c r="L13" s="9">
        <f t="shared" si="6"/>
        <v>0.16217700000000002</v>
      </c>
      <c r="M13" s="9">
        <f>'GHG data from Eurostat'!CP19</f>
        <v>2.6200000000000001E-2</v>
      </c>
      <c r="N13" s="9">
        <f>'GHG data from Eurostat'!CN19</f>
        <v>1.2535000000000001</v>
      </c>
      <c r="O13" s="9">
        <f>'GHG data from Eurostat'!CQ19</f>
        <v>8.5870000000000002E-2</v>
      </c>
      <c r="P13" s="9">
        <f>'GHG data from Eurostat'!CO19</f>
        <v>0.27633999999999997</v>
      </c>
      <c r="Q13" s="9">
        <f>'GHG data from Eurostat'!CU19</f>
        <v>7.8090000000000007E-2</v>
      </c>
      <c r="R13" s="9">
        <f>IFERROR(('GHG data from Eurostat'!CS19+'GHG data from Eurostat'!CW19),0)</f>
        <v>0.43132999999999999</v>
      </c>
      <c r="S13" s="9">
        <f>'GHG data from Eurostat'!CV19</f>
        <v>8.2629999999999995E-2</v>
      </c>
      <c r="T13" s="9">
        <f>'GHG data from Eurostat'!CT19</f>
        <v>2.1760000000000002E-2</v>
      </c>
      <c r="U13" s="9">
        <f>Q13+M13</f>
        <v>0.10429000000000001</v>
      </c>
      <c r="V13" s="9">
        <f t="shared" ref="V13:V14" si="46">R13+N13</f>
        <v>1.68483</v>
      </c>
      <c r="W13" s="9">
        <f t="shared" ref="W13:W14" si="47">S13+O13</f>
        <v>0.16849999999999998</v>
      </c>
      <c r="X13" s="9">
        <f t="shared" ref="X13:X14" si="48">T13+P13</f>
        <v>0.29809999999999998</v>
      </c>
      <c r="Y13" s="9">
        <f t="shared" si="11"/>
        <v>2.2557199999999997</v>
      </c>
      <c r="Z13" s="17">
        <f t="shared" si="12"/>
        <v>0.53110279326763943</v>
      </c>
      <c r="AA13" s="17">
        <f t="shared" ref="AA13:AC14" si="49">(N13+R13)/J13</f>
        <v>3.1078543495904962</v>
      </c>
      <c r="AB13" s="17">
        <f t="shared" si="49"/>
        <v>0.19964454976303317</v>
      </c>
      <c r="AC13" s="17">
        <f t="shared" si="49"/>
        <v>1.8381151457974925</v>
      </c>
      <c r="AD13" s="18"/>
      <c r="AE13" s="17">
        <f t="shared" si="13"/>
        <v>0.53100000000000003</v>
      </c>
      <c r="AF13" s="17">
        <f t="shared" si="1"/>
        <v>3.1080000000000001</v>
      </c>
      <c r="AG13" s="17">
        <f t="shared" si="1"/>
        <v>0.2</v>
      </c>
      <c r="AH13" s="17">
        <f t="shared" si="1"/>
        <v>1.8380000000000001</v>
      </c>
      <c r="AJ13" s="9" t="s">
        <v>178</v>
      </c>
      <c r="AK13" s="9" t="s">
        <v>262</v>
      </c>
      <c r="AL13" s="9">
        <f>VLOOKUP($AJ13,Landcover!$A$3:$K$30,5,FALSE)/1000</f>
        <v>35.814999999999998</v>
      </c>
      <c r="AM13" s="9">
        <f>VLOOKUP($AJ13,Landcover!$A$3:$K$30,6,FALSE)/1000</f>
        <v>48.914999999999999</v>
      </c>
      <c r="AN13" s="9">
        <f>VLOOKUP($AJ13,Landcover!$A$3:$K$30,8,FALSE)/1000</f>
        <v>16.352</v>
      </c>
      <c r="AO13" s="9">
        <f>VLOOKUP($AJ13,Landcover!$A$3:$K$30,11,FALSE)/1000</f>
        <v>0.22700000000000001</v>
      </c>
      <c r="AP13" s="9">
        <f>VLOOKUP($AJ13,Landcover!$A$3:$K$30,7,FALSE)/1000</f>
        <v>5.2380000000000004</v>
      </c>
      <c r="AR13" s="9">
        <f>SUM('GHG data from Eurostat'!CX19,'GHG data from Eurostat'!DC19,'GHG data from Eurostat'!DG19,'GHG data from Eurostat'!DM19,'GHG data from Eurostat'!DP19,'GHG data from Eurostat'!DV19)</f>
        <v>4.3916300000000001</v>
      </c>
      <c r="AS13" s="9">
        <f>'GHG data from Eurostat'!DS19+'GHG data from Eurostat'!DT19</f>
        <v>-8.2371099999999995</v>
      </c>
      <c r="AT13" s="9">
        <f>'GHG data from Eurostat'!EA19+'GHG data from Eurostat'!EB19</f>
        <v>0.10067</v>
      </c>
      <c r="AU13" s="9">
        <f>'GHG data from Eurostat'!ED19</f>
        <v>9.9659999999999999E-2</v>
      </c>
      <c r="AV13" s="9">
        <f>'GHG data from Eurostat'!EL19</f>
        <v>0</v>
      </c>
      <c r="AW13" s="18">
        <f t="shared" si="21"/>
        <v>-3.6451499999999992</v>
      </c>
      <c r="AX13" s="16">
        <f>AR13/AL13</f>
        <v>0.1226198520173112</v>
      </c>
      <c r="AY13" s="16">
        <f t="shared" ref="AY13" si="50">AS13/AM13</f>
        <v>-0.16839640192170091</v>
      </c>
      <c r="AZ13" s="16">
        <f t="shared" ref="AZ13" si="51">AT13/AN13</f>
        <v>6.1564334637964771E-3</v>
      </c>
      <c r="BA13" s="16">
        <f t="shared" ref="BA13:BB13" si="52">AU13/AO13</f>
        <v>0.43903083700440526</v>
      </c>
      <c r="BB13" s="16">
        <f t="shared" si="52"/>
        <v>0</v>
      </c>
      <c r="BD13" s="16">
        <f t="shared" si="17"/>
        <v>0.1226</v>
      </c>
      <c r="BE13" s="16">
        <f t="shared" si="2"/>
        <v>-0.16839999999999999</v>
      </c>
      <c r="BF13" s="16">
        <f t="shared" si="2"/>
        <v>6.1999999999999998E-3</v>
      </c>
      <c r="BG13" s="16">
        <f t="shared" si="2"/>
        <v>0.439</v>
      </c>
      <c r="BH13" s="16">
        <f t="shared" si="2"/>
        <v>0</v>
      </c>
      <c r="BJ13" s="16" t="str">
        <f t="shared" si="18"/>
        <v>Bulgaria</v>
      </c>
      <c r="BK13" s="16" t="s">
        <v>263</v>
      </c>
      <c r="BL13" s="9">
        <f>'GHG data from Eurostat'!EP19</f>
        <v>-1.2326900000000001</v>
      </c>
    </row>
    <row r="14" spans="1:64" x14ac:dyDescent="0.25">
      <c r="A14" s="9" t="s">
        <v>185</v>
      </c>
      <c r="B14" s="9">
        <v>9.2412299999999998</v>
      </c>
      <c r="C14" s="9">
        <v>6.5105900000000005</v>
      </c>
      <c r="D14" s="9">
        <v>11.194000000000001</v>
      </c>
      <c r="E14" s="9">
        <v>1.8617319999999999</v>
      </c>
      <c r="G14" s="9" t="s">
        <v>178</v>
      </c>
      <c r="H14" s="9" t="s">
        <v>233</v>
      </c>
      <c r="I14" s="9">
        <f t="shared" si="3"/>
        <v>0.19636499999999998</v>
      </c>
      <c r="J14" s="9">
        <f t="shared" si="4"/>
        <v>0.54212000000000005</v>
      </c>
      <c r="K14" s="9">
        <f t="shared" si="5"/>
        <v>0.84399999999999997</v>
      </c>
      <c r="L14" s="9">
        <f t="shared" si="6"/>
        <v>0.16217700000000002</v>
      </c>
      <c r="M14" s="9">
        <f>'GHG data from Eurostat'!CP20</f>
        <v>0</v>
      </c>
      <c r="N14" s="9">
        <f>'GHG data from Eurostat'!CN20</f>
        <v>0</v>
      </c>
      <c r="O14" s="9">
        <f>'GHG data from Eurostat'!CQ20</f>
        <v>0</v>
      </c>
      <c r="P14" s="9">
        <f>'GHG data from Eurostat'!CO20</f>
        <v>0</v>
      </c>
      <c r="Q14" s="9">
        <f>'GHG data from Eurostat'!CU20</f>
        <v>0</v>
      </c>
      <c r="R14" s="9">
        <f>IFERROR(('GHG data from Eurostat'!CS20+'GHG data from Eurostat'!CW20),0)</f>
        <v>0</v>
      </c>
      <c r="S14" s="9">
        <f>'GHG data from Eurostat'!CV20</f>
        <v>0</v>
      </c>
      <c r="T14" s="9">
        <f>'GHG data from Eurostat'!CT20</f>
        <v>0</v>
      </c>
      <c r="U14" s="9">
        <f t="shared" ref="U14" si="53">Q14+M14</f>
        <v>0</v>
      </c>
      <c r="V14" s="9">
        <f t="shared" si="46"/>
        <v>0</v>
      </c>
      <c r="W14" s="9">
        <f t="shared" si="47"/>
        <v>0</v>
      </c>
      <c r="X14" s="9">
        <f t="shared" si="48"/>
        <v>0</v>
      </c>
      <c r="Y14" s="9">
        <f t="shared" si="11"/>
        <v>0</v>
      </c>
      <c r="Z14" s="17">
        <f t="shared" si="12"/>
        <v>0</v>
      </c>
      <c r="AA14" s="17">
        <f t="shared" si="49"/>
        <v>0</v>
      </c>
      <c r="AB14" s="17">
        <f t="shared" si="49"/>
        <v>0</v>
      </c>
      <c r="AC14" s="17">
        <f t="shared" si="49"/>
        <v>0</v>
      </c>
      <c r="AD14" s="18"/>
      <c r="AE14" s="17">
        <f t="shared" si="13"/>
        <v>0</v>
      </c>
      <c r="AF14" s="17">
        <f t="shared" si="1"/>
        <v>0</v>
      </c>
      <c r="AG14" s="17">
        <f t="shared" si="1"/>
        <v>0</v>
      </c>
      <c r="AH14" s="17">
        <f t="shared" si="1"/>
        <v>0</v>
      </c>
      <c r="AJ14" s="9" t="s">
        <v>178</v>
      </c>
      <c r="AK14" s="9" t="s">
        <v>233</v>
      </c>
      <c r="AL14" s="9">
        <f>VLOOKUP($AJ14,Landcover!$A$3:$K$30,5,FALSE)/1000</f>
        <v>35.814999999999998</v>
      </c>
      <c r="AM14" s="9">
        <f>VLOOKUP($AJ14,Landcover!$A$3:$K$30,6,FALSE)/1000</f>
        <v>48.914999999999999</v>
      </c>
      <c r="AN14" s="9">
        <f>VLOOKUP($AJ14,Landcover!$A$3:$K$30,8,FALSE)/1000</f>
        <v>16.352</v>
      </c>
      <c r="AO14" s="9">
        <f>VLOOKUP($AJ14,Landcover!$A$3:$K$30,11,FALSE)/1000</f>
        <v>0.22700000000000001</v>
      </c>
      <c r="AP14" s="9">
        <f>VLOOKUP($AJ14,Landcover!$A$3:$K$30,7,FALSE)/1000</f>
        <v>5.2380000000000004</v>
      </c>
      <c r="AR14" s="9">
        <f>SUM('GHG data from Eurostat'!CX20,'GHG data from Eurostat'!DC20,'GHG data from Eurostat'!DG20,'GHG data from Eurostat'!DM20,'GHG data from Eurostat'!DP20,'GHG data from Eurostat'!DV20)</f>
        <v>0.78439999999999999</v>
      </c>
      <c r="AS14" s="9">
        <f>'GHG data from Eurostat'!DS20+'GHG data from Eurostat'!DT20</f>
        <v>-8.2427600000000005</v>
      </c>
      <c r="AT14" s="9">
        <f>'GHG data from Eurostat'!EA20+'GHG data from Eurostat'!EB20</f>
        <v>8.5339999999999999E-2</v>
      </c>
      <c r="AU14" s="9">
        <f>'GHG data from Eurostat'!ED20</f>
        <v>8.7590000000000001E-2</v>
      </c>
      <c r="AV14" s="9">
        <f>'GHG data from Eurostat'!EL20</f>
        <v>0</v>
      </c>
      <c r="AW14" s="18">
        <f t="shared" si="21"/>
        <v>-7.2854300000000007</v>
      </c>
      <c r="AX14" s="16">
        <f>AR14/AL14</f>
        <v>2.1901437944995116E-2</v>
      </c>
      <c r="AY14" s="16">
        <f t="shared" ref="AY14" si="54">AS14/AM14</f>
        <v>-0.1685119084125524</v>
      </c>
      <c r="AZ14" s="16">
        <f t="shared" ref="AZ14" si="55">AT14/AN14</f>
        <v>5.2189334637964772E-3</v>
      </c>
      <c r="BA14" s="16">
        <f t="shared" ref="BA14:BB14" si="56">AU14/AO14</f>
        <v>0.3858590308370044</v>
      </c>
      <c r="BB14" s="16">
        <f t="shared" si="56"/>
        <v>0</v>
      </c>
      <c r="BD14" s="16">
        <f t="shared" si="17"/>
        <v>2.1899999999999999E-2</v>
      </c>
      <c r="BE14" s="16">
        <f t="shared" si="2"/>
        <v>-0.16850000000000001</v>
      </c>
      <c r="BF14" s="16">
        <f t="shared" si="2"/>
        <v>5.1999999999999998E-3</v>
      </c>
      <c r="BG14" s="16">
        <f t="shared" si="2"/>
        <v>0.38590000000000002</v>
      </c>
      <c r="BH14" s="16">
        <f t="shared" si="2"/>
        <v>0</v>
      </c>
      <c r="BJ14" s="16" t="str">
        <f t="shared" si="18"/>
        <v>Bulgaria</v>
      </c>
      <c r="BK14" s="16" t="s">
        <v>259</v>
      </c>
      <c r="BL14" s="9">
        <f>'GHG data from Eurostat'!EP20</f>
        <v>-1.2326900000000001</v>
      </c>
    </row>
    <row r="15" spans="1:64" x14ac:dyDescent="0.25">
      <c r="A15" s="9" t="s">
        <v>186</v>
      </c>
      <c r="B15" s="9">
        <v>4.1138999999999992</v>
      </c>
      <c r="C15" s="9">
        <v>18.613040000000002</v>
      </c>
      <c r="D15" s="9">
        <v>13.637</v>
      </c>
      <c r="E15" s="9">
        <v>0.8418000000000001</v>
      </c>
      <c r="G15" s="9" t="s">
        <v>178</v>
      </c>
      <c r="H15" s="9" t="s">
        <v>231</v>
      </c>
      <c r="I15" s="9">
        <f t="shared" si="3"/>
        <v>0.19636499999999998</v>
      </c>
      <c r="J15" s="9">
        <f t="shared" si="4"/>
        <v>0.54212000000000005</v>
      </c>
      <c r="K15" s="9">
        <f t="shared" si="5"/>
        <v>0.84399999999999997</v>
      </c>
      <c r="L15" s="9">
        <f t="shared" si="6"/>
        <v>0.16217700000000002</v>
      </c>
      <c r="M15" s="9">
        <f>'GHG data from Eurostat'!CP21</f>
        <v>9.3999999999999997E-4</v>
      </c>
      <c r="N15" s="9">
        <f>'GHG data from Eurostat'!CN21</f>
        <v>4.4769999999999997E-2</v>
      </c>
      <c r="O15" s="9">
        <f>'GHG data from Eurostat'!CQ21</f>
        <v>3.0699999999999998E-3</v>
      </c>
      <c r="P15" s="9">
        <f>'GHG data from Eurostat'!CO21</f>
        <v>9.8700000000000003E-3</v>
      </c>
      <c r="Q15" s="9">
        <f>'GHG data from Eurostat'!CU21</f>
        <v>2.7399999999999998E-3</v>
      </c>
      <c r="R15" s="9">
        <f>IFERROR(('GHG data from Eurostat'!CS21+'GHG data from Eurostat'!CW21),0)</f>
        <v>9.1000000000000004E-3</v>
      </c>
      <c r="S15" s="9">
        <f>'GHG data from Eurostat'!CV21</f>
        <v>5.1999999999999995E-4</v>
      </c>
      <c r="T15" s="9">
        <f>'GHG data from Eurostat'!CT21</f>
        <v>2.9E-4</v>
      </c>
      <c r="U15" s="9">
        <f>(Q15+M15)*1000</f>
        <v>3.6799999999999997</v>
      </c>
      <c r="V15" s="9">
        <f t="shared" ref="V15:V16" si="57">(R15+N15)*1000</f>
        <v>53.870000000000005</v>
      </c>
      <c r="W15" s="9">
        <f t="shared" ref="W15:W16" si="58">(S15+O15)*1000</f>
        <v>3.59</v>
      </c>
      <c r="X15" s="9">
        <f t="shared" ref="X15:X16" si="59">(T15+P15)*1000</f>
        <v>10.16</v>
      </c>
      <c r="Y15" s="9">
        <f t="shared" si="11"/>
        <v>71.3</v>
      </c>
      <c r="Z15" s="17">
        <f t="shared" ref="Z15:AC16" si="60">IFERROR((M15+Q15)*1000/I15,0)</f>
        <v>18.740610597611592</v>
      </c>
      <c r="AA15" s="17">
        <f t="shared" si="60"/>
        <v>99.369143363093045</v>
      </c>
      <c r="AB15" s="17">
        <f t="shared" si="60"/>
        <v>4.2535545023696679</v>
      </c>
      <c r="AC15" s="17">
        <f t="shared" si="60"/>
        <v>62.647601077834707</v>
      </c>
      <c r="AD15" s="18"/>
      <c r="AE15" s="17">
        <f t="shared" si="13"/>
        <v>18.741</v>
      </c>
      <c r="AF15" s="17">
        <f t="shared" si="1"/>
        <v>99.369</v>
      </c>
      <c r="AG15" s="17">
        <f t="shared" si="1"/>
        <v>4.2539999999999996</v>
      </c>
      <c r="AH15" s="17">
        <f t="shared" si="1"/>
        <v>62.648000000000003</v>
      </c>
      <c r="AJ15" s="9" t="s">
        <v>178</v>
      </c>
      <c r="AK15" s="9" t="s">
        <v>231</v>
      </c>
      <c r="AL15" s="9">
        <f>VLOOKUP($AJ15,Landcover!$A$3:$K$30,5,FALSE)/1000</f>
        <v>35.814999999999998</v>
      </c>
      <c r="AM15" s="9">
        <f>VLOOKUP($AJ15,Landcover!$A$3:$K$30,6,FALSE)/1000</f>
        <v>48.914999999999999</v>
      </c>
      <c r="AN15" s="9">
        <f>VLOOKUP($AJ15,Landcover!$A$3:$K$30,8,FALSE)/1000</f>
        <v>16.352</v>
      </c>
      <c r="AO15" s="9">
        <f>VLOOKUP($AJ15,Landcover!$A$3:$K$30,11,FALSE)/1000</f>
        <v>0.22700000000000001</v>
      </c>
      <c r="AP15" s="9">
        <f>VLOOKUP($AJ15,Landcover!$A$3:$K$30,7,FALSE)/1000</f>
        <v>5.2380000000000004</v>
      </c>
      <c r="AR15" s="9">
        <f>SUM('GHG data from Eurostat'!CX21,'GHG data from Eurostat'!DC21,'GHG data from Eurostat'!DG21,'GHG data from Eurostat'!DM21,'GHG data from Eurostat'!DP21,'GHG data from Eurostat'!DV21)</f>
        <v>5.0499999999999998E-3</v>
      </c>
      <c r="AS15" s="9">
        <f>'GHG data from Eurostat'!DS21+'GHG data from Eurostat'!DT21</f>
        <v>1.2999999999999999E-4</v>
      </c>
      <c r="AT15" s="9">
        <f>'GHG data from Eurostat'!EA21+'GHG data from Eurostat'!EB21</f>
        <v>0</v>
      </c>
      <c r="AU15" s="9">
        <f>'GHG data from Eurostat'!ED21</f>
        <v>0</v>
      </c>
      <c r="AV15" s="9">
        <f>'GHG data from Eurostat'!EL21</f>
        <v>0</v>
      </c>
      <c r="AW15" s="18">
        <f t="shared" si="21"/>
        <v>5.1799999999999997E-3</v>
      </c>
      <c r="AX15" s="16">
        <f>IFERROR(AR15*1000/AL15,0)</f>
        <v>0.1410023733072735</v>
      </c>
      <c r="AY15" s="16">
        <f t="shared" ref="AY15:AY16" si="61">IFERROR(AS15*1000/AM15,0)</f>
        <v>2.6576714709189405E-3</v>
      </c>
      <c r="AZ15" s="16">
        <f t="shared" ref="AZ15:AZ16" si="62">IFERROR(AT15*1000/AN15,0)</f>
        <v>0</v>
      </c>
      <c r="BA15" s="16">
        <f t="shared" ref="BA15:BB16" si="63">IFERROR(AU15*1000/AO15,0)</f>
        <v>0</v>
      </c>
      <c r="BB15" s="16">
        <f t="shared" si="63"/>
        <v>0</v>
      </c>
      <c r="BD15" s="16">
        <f t="shared" si="17"/>
        <v>0.14099999999999999</v>
      </c>
      <c r="BE15" s="16">
        <f t="shared" si="2"/>
        <v>2.7000000000000001E-3</v>
      </c>
      <c r="BF15" s="16">
        <f t="shared" si="2"/>
        <v>0</v>
      </c>
      <c r="BG15" s="16">
        <f t="shared" si="2"/>
        <v>0</v>
      </c>
      <c r="BH15" s="16">
        <f t="shared" si="2"/>
        <v>0</v>
      </c>
      <c r="BJ15" s="16" t="str">
        <f t="shared" si="18"/>
        <v>Bulgaria</v>
      </c>
      <c r="BK15" s="16" t="s">
        <v>260</v>
      </c>
      <c r="BL15" s="9">
        <f>'GHG data from Eurostat'!EP21</f>
        <v>0</v>
      </c>
    </row>
    <row r="16" spans="1:64" x14ac:dyDescent="0.25">
      <c r="A16" s="9" t="s">
        <v>187</v>
      </c>
      <c r="B16" s="9">
        <v>0.31469999999999998</v>
      </c>
      <c r="C16" s="9">
        <v>0.41399999999999998</v>
      </c>
      <c r="D16" s="9">
        <v>0.54900000000000004</v>
      </c>
      <c r="E16" s="9">
        <v>7.1599999999999997E-2</v>
      </c>
      <c r="G16" s="9" t="s">
        <v>178</v>
      </c>
      <c r="H16" s="9" t="s">
        <v>232</v>
      </c>
      <c r="I16" s="9">
        <f t="shared" si="3"/>
        <v>0.19636499999999998</v>
      </c>
      <c r="J16" s="9">
        <f t="shared" si="4"/>
        <v>0.54212000000000005</v>
      </c>
      <c r="K16" s="9">
        <f t="shared" si="5"/>
        <v>0.84399999999999997</v>
      </c>
      <c r="L16" s="9">
        <f t="shared" si="6"/>
        <v>0.16217700000000002</v>
      </c>
      <c r="M16" s="9">
        <f>'GHG data from Eurostat'!CP22</f>
        <v>0</v>
      </c>
      <c r="N16" s="9">
        <f>'GHG data from Eurostat'!CN22</f>
        <v>0</v>
      </c>
      <c r="O16" s="9">
        <f>'GHG data from Eurostat'!CQ22</f>
        <v>0</v>
      </c>
      <c r="P16" s="9">
        <f>'GHG data from Eurostat'!CO22</f>
        <v>0</v>
      </c>
      <c r="Q16" s="9">
        <f>'GHG data from Eurostat'!CU22</f>
        <v>0</v>
      </c>
      <c r="R16" s="9">
        <f>IFERROR(('GHG data from Eurostat'!CS22+'GHG data from Eurostat'!CW22),0)</f>
        <v>6.7000000000000002E-4</v>
      </c>
      <c r="S16" s="9">
        <f>'GHG data from Eurostat'!CV22</f>
        <v>2.5999999999999998E-4</v>
      </c>
      <c r="T16" s="9">
        <f>'GHG data from Eurostat'!CT22</f>
        <v>5.0000000000000002E-5</v>
      </c>
      <c r="U16" s="9">
        <f>(Q16+M16)*1000</f>
        <v>0</v>
      </c>
      <c r="V16" s="9">
        <f t="shared" si="57"/>
        <v>0.67</v>
      </c>
      <c r="W16" s="9">
        <f t="shared" si="58"/>
        <v>0.25999999999999995</v>
      </c>
      <c r="X16" s="9">
        <f t="shared" si="59"/>
        <v>0.05</v>
      </c>
      <c r="Y16" s="9">
        <f t="shared" si="11"/>
        <v>0.98</v>
      </c>
      <c r="Z16" s="17">
        <f t="shared" si="60"/>
        <v>0</v>
      </c>
      <c r="AA16" s="17">
        <f t="shared" si="60"/>
        <v>1.235888733121818</v>
      </c>
      <c r="AB16" s="17">
        <f t="shared" si="60"/>
        <v>0.30805687203791465</v>
      </c>
      <c r="AC16" s="17">
        <f t="shared" si="60"/>
        <v>0.30830512341454092</v>
      </c>
      <c r="AD16" s="18"/>
      <c r="AE16" s="17">
        <f t="shared" si="13"/>
        <v>0</v>
      </c>
      <c r="AF16" s="17">
        <f t="shared" si="1"/>
        <v>1.236</v>
      </c>
      <c r="AG16" s="17">
        <f t="shared" si="1"/>
        <v>0.308</v>
      </c>
      <c r="AH16" s="17">
        <f t="shared" si="1"/>
        <v>0.308</v>
      </c>
      <c r="AJ16" s="9" t="s">
        <v>178</v>
      </c>
      <c r="AK16" s="9" t="s">
        <v>232</v>
      </c>
      <c r="AL16" s="9">
        <f>VLOOKUP($AJ16,Landcover!$A$3:$K$30,5,FALSE)/1000</f>
        <v>35.814999999999998</v>
      </c>
      <c r="AM16" s="9">
        <f>VLOOKUP($AJ16,Landcover!$A$3:$K$30,6,FALSE)/1000</f>
        <v>48.914999999999999</v>
      </c>
      <c r="AN16" s="9">
        <f>VLOOKUP($AJ16,Landcover!$A$3:$K$30,8,FALSE)/1000</f>
        <v>16.352</v>
      </c>
      <c r="AO16" s="9">
        <f>VLOOKUP($AJ16,Landcover!$A$3:$K$30,11,FALSE)/1000</f>
        <v>0.22700000000000001</v>
      </c>
      <c r="AP16" s="9">
        <f>VLOOKUP($AJ16,Landcover!$A$3:$K$30,7,FALSE)/1000</f>
        <v>5.2380000000000004</v>
      </c>
      <c r="AR16" s="9">
        <f>SUM('GHG data from Eurostat'!CX22,'GHG data from Eurostat'!DC22,'GHG data from Eurostat'!DG22,'GHG data from Eurostat'!DM22,'GHG data from Eurostat'!DP22,'GHG data from Eurostat'!DV22)</f>
        <v>1.308E-2</v>
      </c>
      <c r="AS16" s="9">
        <f>'GHG data from Eurostat'!DS22+'GHG data from Eurostat'!DT22</f>
        <v>1.0000000000000001E-5</v>
      </c>
      <c r="AT16" s="9">
        <f>'GHG data from Eurostat'!EA22+'GHG data from Eurostat'!EB22</f>
        <v>6.0000000000000002E-5</v>
      </c>
      <c r="AU16" s="9">
        <f>'GHG data from Eurostat'!ED22</f>
        <v>5.0000000000000002E-5</v>
      </c>
      <c r="AV16" s="9">
        <f>'GHG data from Eurostat'!EL22</f>
        <v>0</v>
      </c>
      <c r="AW16" s="18">
        <f t="shared" si="21"/>
        <v>1.3199999999999998E-2</v>
      </c>
      <c r="AX16" s="16">
        <f>IFERROR(AR16*1000/AL16,0)</f>
        <v>0.36521010749685889</v>
      </c>
      <c r="AY16" s="16">
        <f t="shared" si="61"/>
        <v>2.044362669937647E-4</v>
      </c>
      <c r="AZ16" s="16">
        <f t="shared" si="62"/>
        <v>3.6692759295499024E-3</v>
      </c>
      <c r="BA16" s="16">
        <f t="shared" si="63"/>
        <v>0.22026431718061676</v>
      </c>
      <c r="BB16" s="16">
        <f t="shared" si="63"/>
        <v>0</v>
      </c>
      <c r="BD16" s="16">
        <f t="shared" si="17"/>
        <v>0.36520000000000002</v>
      </c>
      <c r="BE16" s="16">
        <f t="shared" si="2"/>
        <v>2.0000000000000001E-4</v>
      </c>
      <c r="BF16" s="16">
        <f t="shared" si="2"/>
        <v>3.7000000000000002E-3</v>
      </c>
      <c r="BG16" s="16">
        <f t="shared" si="2"/>
        <v>0.2203</v>
      </c>
      <c r="BH16" s="16">
        <f t="shared" si="2"/>
        <v>0</v>
      </c>
      <c r="BJ16" s="16" t="str">
        <f t="shared" si="18"/>
        <v>Bulgaria</v>
      </c>
      <c r="BK16" s="16" t="s">
        <v>261</v>
      </c>
      <c r="BL16" s="9">
        <f>'GHG data from Eurostat'!EP22</f>
        <v>0</v>
      </c>
    </row>
    <row r="17" spans="1:64" x14ac:dyDescent="0.25">
      <c r="A17" s="9" t="s">
        <v>188</v>
      </c>
      <c r="B17" s="9">
        <v>2.5476689999999995</v>
      </c>
      <c r="C17" s="9">
        <v>6.3111600000000001</v>
      </c>
      <c r="D17" s="9">
        <v>8.1440000000000001</v>
      </c>
      <c r="E17" s="9">
        <v>0.81654099999999996</v>
      </c>
      <c r="G17" s="9" t="s">
        <v>179</v>
      </c>
      <c r="H17" s="9" t="s">
        <v>262</v>
      </c>
      <c r="I17" s="9">
        <f t="shared" si="3"/>
        <v>0.45227399999999995</v>
      </c>
      <c r="J17" s="9">
        <f t="shared" si="4"/>
        <v>1.36524</v>
      </c>
      <c r="K17" s="9">
        <f t="shared" si="5"/>
        <v>1.694</v>
      </c>
      <c r="L17" s="9">
        <f t="shared" si="6"/>
        <v>2.4228E-2</v>
      </c>
      <c r="M17" s="9">
        <f>'GHG data from Eurostat'!CP23</f>
        <v>6.3320000000000001E-2</v>
      </c>
      <c r="N17" s="9">
        <f>'GHG data from Eurostat'!CN23</f>
        <v>3.3950100000000001</v>
      </c>
      <c r="O17" s="9">
        <f>'GHG data from Eurostat'!CQ23</f>
        <v>2.222E-2</v>
      </c>
      <c r="P17" s="9">
        <f>'GHG data from Eurostat'!CO23</f>
        <v>4.904E-2</v>
      </c>
      <c r="Q17" s="9">
        <f>'GHG data from Eurostat'!CU23</f>
        <v>0.10841000000000001</v>
      </c>
      <c r="R17" s="9">
        <f>IFERROR(('GHG data from Eurostat'!CS23+'GHG data from Eurostat'!CW23),0)</f>
        <v>0.56562000000000001</v>
      </c>
      <c r="S17" s="9">
        <f>'GHG data from Eurostat'!CV23</f>
        <v>0.10355</v>
      </c>
      <c r="T17" s="9">
        <f>'GHG data from Eurostat'!CT23</f>
        <v>3.3800000000000002E-3</v>
      </c>
      <c r="U17" s="9">
        <f>Q17+M17</f>
        <v>0.17172999999999999</v>
      </c>
      <c r="V17" s="9">
        <f t="shared" ref="V17:V18" si="64">R17+N17</f>
        <v>3.9606300000000001</v>
      </c>
      <c r="W17" s="9">
        <f t="shared" ref="W17:W18" si="65">S17+O17</f>
        <v>0.12576999999999999</v>
      </c>
      <c r="X17" s="9">
        <f t="shared" ref="X17:X18" si="66">T17+P17</f>
        <v>5.2420000000000001E-2</v>
      </c>
      <c r="Y17" s="9">
        <f t="shared" si="11"/>
        <v>4.3105500000000001</v>
      </c>
      <c r="Z17" s="17">
        <f t="shared" si="12"/>
        <v>0.37970345410083273</v>
      </c>
      <c r="AA17" s="17">
        <f t="shared" ref="AA17:AC18" si="67">(N17+R17)/J17</f>
        <v>2.9010503647710295</v>
      </c>
      <c r="AB17" s="17">
        <f t="shared" si="67"/>
        <v>7.42443919716647E-2</v>
      </c>
      <c r="AC17" s="17">
        <f t="shared" si="67"/>
        <v>2.1636123493478623</v>
      </c>
      <c r="AD17" s="18"/>
      <c r="AE17" s="17">
        <f t="shared" si="13"/>
        <v>0.38</v>
      </c>
      <c r="AF17" s="17">
        <f t="shared" si="1"/>
        <v>2.9009999999999998</v>
      </c>
      <c r="AG17" s="17">
        <f t="shared" si="1"/>
        <v>7.3999999999999996E-2</v>
      </c>
      <c r="AH17" s="17">
        <f t="shared" si="1"/>
        <v>2.1640000000000001</v>
      </c>
      <c r="AJ17" s="9" t="s">
        <v>179</v>
      </c>
      <c r="AK17" s="9" t="s">
        <v>262</v>
      </c>
      <c r="AL17" s="9">
        <f>VLOOKUP($AJ17,Landcover!$A$3:$K$30,5,FALSE)/1000</f>
        <v>26.609000000000002</v>
      </c>
      <c r="AM17" s="9">
        <f>VLOOKUP($AJ17,Landcover!$A$3:$K$30,6,FALSE)/1000</f>
        <v>30.234000000000002</v>
      </c>
      <c r="AN17" s="9">
        <f>VLOOKUP($AJ17,Landcover!$A$3:$K$30,8,FALSE)/1000</f>
        <v>15.879</v>
      </c>
      <c r="AO17" s="9">
        <f>VLOOKUP($AJ17,Landcover!$A$3:$K$30,11,FALSE)/1000</f>
        <v>0.24199999999999999</v>
      </c>
      <c r="AP17" s="9">
        <f>VLOOKUP($AJ17,Landcover!$A$3:$K$30,7,FALSE)/1000</f>
        <v>0.78900000000000003</v>
      </c>
      <c r="AR17" s="9">
        <f>SUM('GHG data from Eurostat'!CX23,'GHG data from Eurostat'!DC23,'GHG data from Eurostat'!DG23,'GHG data from Eurostat'!DM23,'GHG data from Eurostat'!DP23,'GHG data from Eurostat'!DV23)</f>
        <v>2.3680099999999999</v>
      </c>
      <c r="AS17" s="9">
        <f>'GHG data from Eurostat'!DS23+'GHG data from Eurostat'!DT23</f>
        <v>0.89578000000000002</v>
      </c>
      <c r="AT17" s="9">
        <f>'GHG data from Eurostat'!EA23+'GHG data from Eurostat'!EB23</f>
        <v>-0.27866000000000002</v>
      </c>
      <c r="AU17" s="9">
        <f>'GHG data from Eurostat'!ED23</f>
        <v>2.6259999999999999E-2</v>
      </c>
      <c r="AV17" s="9">
        <f>'GHG data from Eurostat'!EL23</f>
        <v>0</v>
      </c>
      <c r="AW17" s="18">
        <f t="shared" si="21"/>
        <v>3.0113900000000005</v>
      </c>
      <c r="AX17" s="16">
        <f>AR17/AL17</f>
        <v>8.8992821977526393E-2</v>
      </c>
      <c r="AY17" s="16">
        <f t="shared" ref="AY17" si="68">AS17/AM17</f>
        <v>2.962823311503605E-2</v>
      </c>
      <c r="AZ17" s="16">
        <f t="shared" ref="AZ17" si="69">AT17/AN17</f>
        <v>-1.7548964040556711E-2</v>
      </c>
      <c r="BA17" s="16">
        <f t="shared" ref="BA17:BB17" si="70">AU17/AO17</f>
        <v>0.10851239669421488</v>
      </c>
      <c r="BB17" s="16">
        <f t="shared" si="70"/>
        <v>0</v>
      </c>
      <c r="BD17" s="16">
        <f t="shared" si="17"/>
        <v>8.8999999999999996E-2</v>
      </c>
      <c r="BE17" s="16">
        <f t="shared" si="2"/>
        <v>2.9600000000000001E-2</v>
      </c>
      <c r="BF17" s="16">
        <f t="shared" si="2"/>
        <v>-1.7500000000000002E-2</v>
      </c>
      <c r="BG17" s="16">
        <f t="shared" si="2"/>
        <v>0.1085</v>
      </c>
      <c r="BH17" s="16">
        <f t="shared" si="2"/>
        <v>0</v>
      </c>
      <c r="BJ17" s="16" t="str">
        <f t="shared" si="18"/>
        <v>Czechia</v>
      </c>
      <c r="BK17" s="16" t="s">
        <v>263</v>
      </c>
      <c r="BL17" s="9">
        <f>'GHG data from Eurostat'!EP23</f>
        <v>-1.4281299999999999</v>
      </c>
    </row>
    <row r="18" spans="1:64" x14ac:dyDescent="0.25">
      <c r="A18" s="9" t="s">
        <v>189</v>
      </c>
      <c r="B18" s="9">
        <v>0.108615</v>
      </c>
      <c r="C18" s="9">
        <v>7.0819999999999994E-2</v>
      </c>
      <c r="D18" s="9">
        <v>0.17799999999999999</v>
      </c>
      <c r="E18" s="9">
        <v>5.6140000000000002E-2</v>
      </c>
      <c r="G18" s="9" t="s">
        <v>179</v>
      </c>
      <c r="H18" s="9" t="s">
        <v>233</v>
      </c>
      <c r="I18" s="9">
        <f t="shared" si="3"/>
        <v>0.45227399999999995</v>
      </c>
      <c r="J18" s="9">
        <f t="shared" si="4"/>
        <v>1.36524</v>
      </c>
      <c r="K18" s="9">
        <f t="shared" si="5"/>
        <v>1.694</v>
      </c>
      <c r="L18" s="9">
        <f t="shared" si="6"/>
        <v>2.4228E-2</v>
      </c>
      <c r="M18" s="9">
        <f>'GHG data from Eurostat'!CP24</f>
        <v>0</v>
      </c>
      <c r="N18" s="9">
        <f>'GHG data from Eurostat'!CN24</f>
        <v>0</v>
      </c>
      <c r="O18" s="9">
        <f>'GHG data from Eurostat'!CQ24</f>
        <v>0</v>
      </c>
      <c r="P18" s="9">
        <f>'GHG data from Eurostat'!CO24</f>
        <v>0</v>
      </c>
      <c r="Q18" s="9">
        <f>'GHG data from Eurostat'!CU24</f>
        <v>0</v>
      </c>
      <c r="R18" s="9">
        <f>IFERROR(('GHG data from Eurostat'!CS24+'GHG data from Eurostat'!CW24),0)</f>
        <v>0</v>
      </c>
      <c r="S18" s="9">
        <f>'GHG data from Eurostat'!CV24</f>
        <v>0</v>
      </c>
      <c r="T18" s="9">
        <f>'GHG data from Eurostat'!CT24</f>
        <v>0</v>
      </c>
      <c r="U18" s="9">
        <f t="shared" ref="U18" si="71">Q18+M18</f>
        <v>0</v>
      </c>
      <c r="V18" s="9">
        <f t="shared" si="64"/>
        <v>0</v>
      </c>
      <c r="W18" s="9">
        <f t="shared" si="65"/>
        <v>0</v>
      </c>
      <c r="X18" s="9">
        <f t="shared" si="66"/>
        <v>0</v>
      </c>
      <c r="Y18" s="9">
        <f t="shared" si="11"/>
        <v>0</v>
      </c>
      <c r="Z18" s="17">
        <f t="shared" si="12"/>
        <v>0</v>
      </c>
      <c r="AA18" s="17">
        <f t="shared" si="67"/>
        <v>0</v>
      </c>
      <c r="AB18" s="17">
        <f t="shared" si="67"/>
        <v>0</v>
      </c>
      <c r="AC18" s="17">
        <f t="shared" si="67"/>
        <v>0</v>
      </c>
      <c r="AD18" s="18"/>
      <c r="AE18" s="17">
        <f t="shared" si="13"/>
        <v>0</v>
      </c>
      <c r="AF18" s="17">
        <f t="shared" si="1"/>
        <v>0</v>
      </c>
      <c r="AG18" s="17">
        <f t="shared" si="1"/>
        <v>0</v>
      </c>
      <c r="AH18" s="17">
        <f t="shared" si="1"/>
        <v>0</v>
      </c>
      <c r="AJ18" s="9" t="s">
        <v>179</v>
      </c>
      <c r="AK18" s="9" t="s">
        <v>233</v>
      </c>
      <c r="AL18" s="9">
        <f>VLOOKUP($AJ18,Landcover!$A$3:$K$30,5,FALSE)/1000</f>
        <v>26.609000000000002</v>
      </c>
      <c r="AM18" s="9">
        <f>VLOOKUP($AJ18,Landcover!$A$3:$K$30,6,FALSE)/1000</f>
        <v>30.234000000000002</v>
      </c>
      <c r="AN18" s="9">
        <f>VLOOKUP($AJ18,Landcover!$A$3:$K$30,8,FALSE)/1000</f>
        <v>15.879</v>
      </c>
      <c r="AO18" s="9">
        <f>VLOOKUP($AJ18,Landcover!$A$3:$K$30,11,FALSE)/1000</f>
        <v>0.24199999999999999</v>
      </c>
      <c r="AP18" s="9">
        <f>VLOOKUP($AJ18,Landcover!$A$3:$K$30,7,FALSE)/1000</f>
        <v>0.78900000000000003</v>
      </c>
      <c r="AR18" s="9">
        <f>SUM('GHG data from Eurostat'!CX24,'GHG data from Eurostat'!DC24,'GHG data from Eurostat'!DG24,'GHG data from Eurostat'!DM24,'GHG data from Eurostat'!DP24,'GHG data from Eurostat'!DV24)</f>
        <v>0.19957</v>
      </c>
      <c r="AS18" s="9">
        <f>'GHG data from Eurostat'!DS24+'GHG data from Eurostat'!DT24</f>
        <v>0.88236999999999999</v>
      </c>
      <c r="AT18" s="9">
        <f>'GHG data from Eurostat'!EA24+'GHG data from Eurostat'!EB24</f>
        <v>-0.27866000000000002</v>
      </c>
      <c r="AU18" s="9">
        <f>'GHG data from Eurostat'!ED24</f>
        <v>2.6259999999999999E-2</v>
      </c>
      <c r="AV18" s="9">
        <f>'GHG data from Eurostat'!EL24</f>
        <v>0</v>
      </c>
      <c r="AW18" s="18">
        <f t="shared" si="21"/>
        <v>0.82953999999999983</v>
      </c>
      <c r="AX18" s="16">
        <f>AR18/AL18</f>
        <v>7.5000939531737372E-3</v>
      </c>
      <c r="AY18" s="16">
        <f t="shared" ref="AY18" si="72">AS18/AM18</f>
        <v>2.9184692730039027E-2</v>
      </c>
      <c r="AZ18" s="16">
        <f t="shared" ref="AZ18" si="73">AT18/AN18</f>
        <v>-1.7548964040556711E-2</v>
      </c>
      <c r="BA18" s="16">
        <f t="shared" ref="BA18:BB18" si="74">AU18/AO18</f>
        <v>0.10851239669421488</v>
      </c>
      <c r="BB18" s="16">
        <f t="shared" si="74"/>
        <v>0</v>
      </c>
      <c r="BD18" s="16">
        <f t="shared" si="17"/>
        <v>7.4999999999999997E-3</v>
      </c>
      <c r="BE18" s="16">
        <f t="shared" si="2"/>
        <v>2.92E-2</v>
      </c>
      <c r="BF18" s="16">
        <f t="shared" si="2"/>
        <v>-1.7500000000000002E-2</v>
      </c>
      <c r="BG18" s="16">
        <f t="shared" si="2"/>
        <v>0.1085</v>
      </c>
      <c r="BH18" s="16">
        <f t="shared" si="2"/>
        <v>0</v>
      </c>
      <c r="BJ18" s="16" t="str">
        <f t="shared" si="18"/>
        <v>Czechia</v>
      </c>
      <c r="BK18" s="16" t="s">
        <v>259</v>
      </c>
      <c r="BL18" s="9">
        <f>'GHG data from Eurostat'!EP24</f>
        <v>-1.4281299999999999</v>
      </c>
    </row>
    <row r="19" spans="1:64" x14ac:dyDescent="0.25">
      <c r="A19" s="9" t="s">
        <v>190</v>
      </c>
      <c r="B19" s="9">
        <v>9.1469999999999996E-2</v>
      </c>
      <c r="C19" s="9">
        <v>0.39532999999999996</v>
      </c>
      <c r="D19" s="9">
        <v>0.28100000000000003</v>
      </c>
      <c r="E19" s="9">
        <v>1.1953000000000002E-2</v>
      </c>
      <c r="G19" s="9" t="s">
        <v>179</v>
      </c>
      <c r="H19" s="9" t="s">
        <v>231</v>
      </c>
      <c r="I19" s="9">
        <f t="shared" si="3"/>
        <v>0.45227399999999995</v>
      </c>
      <c r="J19" s="9">
        <f t="shared" si="4"/>
        <v>1.36524</v>
      </c>
      <c r="K19" s="9">
        <f t="shared" si="5"/>
        <v>1.694</v>
      </c>
      <c r="L19" s="9">
        <f t="shared" si="6"/>
        <v>2.4228E-2</v>
      </c>
      <c r="M19" s="9">
        <f>'GHG data from Eurostat'!CP25</f>
        <v>2.2599999999999999E-3</v>
      </c>
      <c r="N19" s="9">
        <f>'GHG data from Eurostat'!CN25</f>
        <v>0.12125</v>
      </c>
      <c r="O19" s="9">
        <f>'GHG data from Eurostat'!CQ25</f>
        <v>7.9000000000000001E-4</v>
      </c>
      <c r="P19" s="9">
        <f>'GHG data from Eurostat'!CO25</f>
        <v>1.75E-3</v>
      </c>
      <c r="Q19" s="9">
        <f>'GHG data from Eurostat'!CU25</f>
        <v>3.1800000000000001E-3</v>
      </c>
      <c r="R19" s="9">
        <f>IFERROR(('GHG data from Eurostat'!CS25+'GHG data from Eurostat'!CW25),0)</f>
        <v>7.9000000000000008E-3</v>
      </c>
      <c r="S19" s="9">
        <f>'GHG data from Eurostat'!CV25</f>
        <v>2.7100000000000002E-3</v>
      </c>
      <c r="T19" s="9">
        <f>'GHG data from Eurostat'!CT25</f>
        <v>4.0000000000000003E-5</v>
      </c>
      <c r="U19" s="9">
        <f>(Q19+M19)*1000</f>
        <v>5.44</v>
      </c>
      <c r="V19" s="9">
        <f t="shared" ref="V19:V20" si="75">(R19+N19)*1000</f>
        <v>129.14999999999998</v>
      </c>
      <c r="W19" s="9">
        <f t="shared" ref="W19:W20" si="76">(S19+O19)*1000</f>
        <v>3.5</v>
      </c>
      <c r="X19" s="9">
        <f t="shared" ref="X19:X20" si="77">(T19+P19)*1000</f>
        <v>1.79</v>
      </c>
      <c r="Y19" s="9">
        <f t="shared" si="11"/>
        <v>139.87999999999997</v>
      </c>
      <c r="Z19" s="17">
        <f t="shared" ref="Z19:AC20" si="78">IFERROR((M19+Q19)*1000/I19,0)</f>
        <v>12.028106855578701</v>
      </c>
      <c r="AA19" s="17">
        <f t="shared" si="78"/>
        <v>94.598751867803443</v>
      </c>
      <c r="AB19" s="17">
        <f t="shared" si="78"/>
        <v>2.0661157024793391</v>
      </c>
      <c r="AC19" s="17">
        <f t="shared" si="78"/>
        <v>73.881459468383696</v>
      </c>
      <c r="AD19" s="18"/>
      <c r="AE19" s="17">
        <f t="shared" si="13"/>
        <v>12.028</v>
      </c>
      <c r="AF19" s="17">
        <f t="shared" si="1"/>
        <v>94.599000000000004</v>
      </c>
      <c r="AG19" s="17">
        <f t="shared" si="1"/>
        <v>2.0659999999999998</v>
      </c>
      <c r="AH19" s="17">
        <f t="shared" si="1"/>
        <v>73.881</v>
      </c>
      <c r="AJ19" s="9" t="s">
        <v>179</v>
      </c>
      <c r="AK19" s="9" t="s">
        <v>231</v>
      </c>
      <c r="AL19" s="9">
        <f>VLOOKUP($AJ19,Landcover!$A$3:$K$30,5,FALSE)/1000</f>
        <v>26.609000000000002</v>
      </c>
      <c r="AM19" s="9">
        <f>VLOOKUP($AJ19,Landcover!$A$3:$K$30,6,FALSE)/1000</f>
        <v>30.234000000000002</v>
      </c>
      <c r="AN19" s="9">
        <f>VLOOKUP($AJ19,Landcover!$A$3:$K$30,8,FALSE)/1000</f>
        <v>15.879</v>
      </c>
      <c r="AO19" s="9">
        <f>VLOOKUP($AJ19,Landcover!$A$3:$K$30,11,FALSE)/1000</f>
        <v>0.24199999999999999</v>
      </c>
      <c r="AP19" s="9">
        <f>VLOOKUP($AJ19,Landcover!$A$3:$K$30,7,FALSE)/1000</f>
        <v>0.78900000000000003</v>
      </c>
      <c r="AR19" s="9">
        <f>SUM('GHG data from Eurostat'!CX25,'GHG data from Eurostat'!DC25,'GHG data from Eurostat'!DG25,'GHG data from Eurostat'!DM25,'GHG data from Eurostat'!DP25,'GHG data from Eurostat'!DV25)</f>
        <v>0</v>
      </c>
      <c r="AS19" s="9">
        <f>'GHG data from Eurostat'!DS25+'GHG data from Eurostat'!DT25</f>
        <v>3.1E-4</v>
      </c>
      <c r="AT19" s="9">
        <f>'GHG data from Eurostat'!EA25+'GHG data from Eurostat'!EB25</f>
        <v>0</v>
      </c>
      <c r="AU19" s="9">
        <f>'GHG data from Eurostat'!ED25</f>
        <v>0</v>
      </c>
      <c r="AV19" s="9">
        <f>'GHG data from Eurostat'!EL25</f>
        <v>0</v>
      </c>
      <c r="AW19" s="18">
        <f t="shared" si="21"/>
        <v>3.1E-4</v>
      </c>
      <c r="AX19" s="16">
        <f>IFERROR(AR19*1000/AL19,0)</f>
        <v>0</v>
      </c>
      <c r="AY19" s="16">
        <f t="shared" ref="AY19:AY20" si="79">IFERROR(AS19*1000/AM19,0)</f>
        <v>1.0253357147582192E-2</v>
      </c>
      <c r="AZ19" s="16">
        <f t="shared" ref="AZ19:AZ20" si="80">IFERROR(AT19*1000/AN19,0)</f>
        <v>0</v>
      </c>
      <c r="BA19" s="16">
        <f t="shared" ref="BA19:BB20" si="81">IFERROR(AU19*1000/AO19,0)</f>
        <v>0</v>
      </c>
      <c r="BB19" s="16">
        <f t="shared" si="81"/>
        <v>0</v>
      </c>
      <c r="BD19" s="16">
        <f t="shared" si="17"/>
        <v>0</v>
      </c>
      <c r="BE19" s="16">
        <f t="shared" si="2"/>
        <v>1.03E-2</v>
      </c>
      <c r="BF19" s="16">
        <f t="shared" si="2"/>
        <v>0</v>
      </c>
      <c r="BG19" s="16">
        <f t="shared" si="2"/>
        <v>0</v>
      </c>
      <c r="BH19" s="16">
        <f t="shared" si="2"/>
        <v>0</v>
      </c>
      <c r="BJ19" s="16" t="str">
        <f t="shared" si="18"/>
        <v>Czechia</v>
      </c>
      <c r="BK19" s="16" t="s">
        <v>260</v>
      </c>
      <c r="BL19" s="9">
        <f>'GHG data from Eurostat'!EP25</f>
        <v>0</v>
      </c>
    </row>
    <row r="20" spans="1:64" x14ac:dyDescent="0.25">
      <c r="A20" s="9" t="s">
        <v>191</v>
      </c>
      <c r="B20" s="9">
        <v>0.17159999999999997</v>
      </c>
      <c r="C20" s="9">
        <v>0.65349999999999997</v>
      </c>
      <c r="D20" s="9">
        <v>0.80900000000000005</v>
      </c>
      <c r="E20" s="9">
        <v>1.7860000000000001E-2</v>
      </c>
      <c r="G20" s="9" t="s">
        <v>179</v>
      </c>
      <c r="H20" s="9" t="s">
        <v>232</v>
      </c>
      <c r="I20" s="9">
        <f t="shared" si="3"/>
        <v>0.45227399999999995</v>
      </c>
      <c r="J20" s="9">
        <f t="shared" si="4"/>
        <v>1.36524</v>
      </c>
      <c r="K20" s="9">
        <f t="shared" si="5"/>
        <v>1.694</v>
      </c>
      <c r="L20" s="9">
        <f t="shared" si="6"/>
        <v>2.4228E-2</v>
      </c>
      <c r="M20" s="9">
        <f>'GHG data from Eurostat'!CP26</f>
        <v>0</v>
      </c>
      <c r="N20" s="9">
        <f>'GHG data from Eurostat'!CN26</f>
        <v>0</v>
      </c>
      <c r="O20" s="9">
        <f>'GHG data from Eurostat'!CQ26</f>
        <v>0</v>
      </c>
      <c r="P20" s="9">
        <f>'GHG data from Eurostat'!CO26</f>
        <v>0</v>
      </c>
      <c r="Q20" s="9">
        <f>'GHG data from Eurostat'!CU26</f>
        <v>6.9999999999999994E-5</v>
      </c>
      <c r="R20" s="9">
        <f>IFERROR(('GHG data from Eurostat'!CS26+'GHG data from Eurostat'!CW26),0)</f>
        <v>1.2999999999999999E-3</v>
      </c>
      <c r="S20" s="9">
        <f>'GHG data from Eurostat'!CV26</f>
        <v>1E-4</v>
      </c>
      <c r="T20" s="9">
        <f>'GHG data from Eurostat'!CT26</f>
        <v>1.0000000000000001E-5</v>
      </c>
      <c r="U20" s="9">
        <f>(Q20+M20)*1000</f>
        <v>6.9999999999999993E-2</v>
      </c>
      <c r="V20" s="9">
        <f t="shared" si="75"/>
        <v>1.3</v>
      </c>
      <c r="W20" s="9">
        <f t="shared" si="76"/>
        <v>0.1</v>
      </c>
      <c r="X20" s="9">
        <f t="shared" si="77"/>
        <v>0.01</v>
      </c>
      <c r="Y20" s="9">
        <f t="shared" si="11"/>
        <v>1.4800000000000002</v>
      </c>
      <c r="Z20" s="17">
        <f t="shared" si="78"/>
        <v>0.15477343380340236</v>
      </c>
      <c r="AA20" s="17">
        <f t="shared" si="78"/>
        <v>0.95221353022179256</v>
      </c>
      <c r="AB20" s="17">
        <f t="shared" si="78"/>
        <v>5.9031877213695398E-2</v>
      </c>
      <c r="AC20" s="17">
        <f t="shared" si="78"/>
        <v>0.41274558362225527</v>
      </c>
      <c r="AD20" s="18"/>
      <c r="AE20" s="17">
        <f t="shared" si="13"/>
        <v>0.155</v>
      </c>
      <c r="AF20" s="17">
        <f t="shared" si="1"/>
        <v>0.95199999999999996</v>
      </c>
      <c r="AG20" s="17">
        <f t="shared" si="1"/>
        <v>5.8999999999999997E-2</v>
      </c>
      <c r="AH20" s="17">
        <f t="shared" si="1"/>
        <v>0.41299999999999998</v>
      </c>
      <c r="AJ20" s="9" t="s">
        <v>179</v>
      </c>
      <c r="AK20" s="9" t="s">
        <v>232</v>
      </c>
      <c r="AL20" s="9">
        <f>VLOOKUP($AJ20,Landcover!$A$3:$K$30,5,FALSE)/1000</f>
        <v>26.609000000000002</v>
      </c>
      <c r="AM20" s="9">
        <f>VLOOKUP($AJ20,Landcover!$A$3:$K$30,6,FALSE)/1000</f>
        <v>30.234000000000002</v>
      </c>
      <c r="AN20" s="9">
        <f>VLOOKUP($AJ20,Landcover!$A$3:$K$30,8,FALSE)/1000</f>
        <v>15.879</v>
      </c>
      <c r="AO20" s="9">
        <f>VLOOKUP($AJ20,Landcover!$A$3:$K$30,11,FALSE)/1000</f>
        <v>0.24199999999999999</v>
      </c>
      <c r="AP20" s="9">
        <f>VLOOKUP($AJ20,Landcover!$A$3:$K$30,7,FALSE)/1000</f>
        <v>0.78900000000000003</v>
      </c>
      <c r="AR20" s="9">
        <f>SUM('GHG data from Eurostat'!CX26,'GHG data from Eurostat'!DC26,'GHG data from Eurostat'!DG26,'GHG data from Eurostat'!DM26,'GHG data from Eurostat'!DP26,'GHG data from Eurostat'!DV26)</f>
        <v>8.1799999999999998E-3</v>
      </c>
      <c r="AS20" s="9">
        <f>'GHG data from Eurostat'!DS26+'GHG data from Eurostat'!DT26</f>
        <v>2.0000000000000002E-5</v>
      </c>
      <c r="AT20" s="9">
        <f>'GHG data from Eurostat'!EA26+'GHG data from Eurostat'!EB26</f>
        <v>0</v>
      </c>
      <c r="AU20" s="9">
        <f>'GHG data from Eurostat'!ED26</f>
        <v>0</v>
      </c>
      <c r="AV20" s="9">
        <f>'GHG data from Eurostat'!EL26</f>
        <v>0</v>
      </c>
      <c r="AW20" s="18">
        <f t="shared" si="21"/>
        <v>8.199999999999999E-3</v>
      </c>
      <c r="AX20" s="16">
        <f>IFERROR(AR20*1000/AL20,0)</f>
        <v>0.3074147844714194</v>
      </c>
      <c r="AY20" s="16">
        <f t="shared" si="79"/>
        <v>6.6150691274723822E-4</v>
      </c>
      <c r="AZ20" s="16">
        <f t="shared" si="80"/>
        <v>0</v>
      </c>
      <c r="BA20" s="16">
        <f t="shared" si="81"/>
        <v>0</v>
      </c>
      <c r="BB20" s="16">
        <f t="shared" si="81"/>
        <v>0</v>
      </c>
      <c r="BD20" s="16">
        <f t="shared" si="17"/>
        <v>0.30740000000000001</v>
      </c>
      <c r="BE20" s="16">
        <f t="shared" si="2"/>
        <v>6.9999999999999999E-4</v>
      </c>
      <c r="BF20" s="16">
        <f t="shared" si="2"/>
        <v>0</v>
      </c>
      <c r="BG20" s="16">
        <f t="shared" si="2"/>
        <v>0</v>
      </c>
      <c r="BH20" s="16">
        <f t="shared" si="2"/>
        <v>0</v>
      </c>
      <c r="BJ20" s="16" t="str">
        <f t="shared" si="18"/>
        <v>Czechia</v>
      </c>
      <c r="BK20" s="16" t="s">
        <v>261</v>
      </c>
      <c r="BL20" s="9">
        <f>'GHG data from Eurostat'!EP26</f>
        <v>0</v>
      </c>
    </row>
    <row r="21" spans="1:64" x14ac:dyDescent="0.25">
      <c r="A21" s="9" t="s">
        <v>192</v>
      </c>
      <c r="B21" s="9">
        <v>2.4776999999999997E-2</v>
      </c>
      <c r="C21" s="9">
        <v>0.19438999999999998</v>
      </c>
      <c r="D21" s="9">
        <v>0</v>
      </c>
      <c r="E21" s="9">
        <v>1.4030000000000002E-3</v>
      </c>
      <c r="G21" s="9" t="s">
        <v>180</v>
      </c>
      <c r="H21" s="9" t="s">
        <v>262</v>
      </c>
      <c r="I21" s="9">
        <f t="shared" si="3"/>
        <v>3.7925999999999997</v>
      </c>
      <c r="J21" s="9">
        <f t="shared" si="4"/>
        <v>1.53</v>
      </c>
      <c r="K21" s="9">
        <f t="shared" si="5"/>
        <v>1.458</v>
      </c>
      <c r="L21" s="9">
        <f t="shared" si="6"/>
        <v>1.5681E-2</v>
      </c>
      <c r="M21" s="9">
        <f>'GHG data from Eurostat'!CP27</f>
        <v>0.38562000000000002</v>
      </c>
      <c r="N21" s="9">
        <f>'GHG data from Eurostat'!CN27</f>
        <v>3.6617099999999998</v>
      </c>
      <c r="O21" s="9">
        <f>'GHG data from Eurostat'!CQ27</f>
        <v>0.11552999999999999</v>
      </c>
      <c r="P21" s="9">
        <f>'GHG data from Eurostat'!CO27</f>
        <v>3.9419999999999997E-2</v>
      </c>
      <c r="Q21" s="9">
        <f>'GHG data from Eurostat'!CU27</f>
        <v>2.2678699999999998</v>
      </c>
      <c r="R21" s="9">
        <f>IFERROR(('GHG data from Eurostat'!CS27+'GHG data from Eurostat'!CW27),0)</f>
        <v>2.2946</v>
      </c>
      <c r="S21" s="9">
        <f>'GHG data from Eurostat'!CV27</f>
        <v>0.13622000000000001</v>
      </c>
      <c r="T21" s="9">
        <f>'GHG data from Eurostat'!CT27</f>
        <v>3.3E-3</v>
      </c>
      <c r="U21" s="9">
        <f>Q21+M21</f>
        <v>2.6534899999999997</v>
      </c>
      <c r="V21" s="9">
        <f t="shared" ref="V21:V22" si="82">R21+N21</f>
        <v>5.9563100000000002</v>
      </c>
      <c r="W21" s="9">
        <f t="shared" ref="W21:W22" si="83">S21+O21</f>
        <v>0.25175000000000003</v>
      </c>
      <c r="X21" s="9">
        <f t="shared" ref="X21:X22" si="84">T21+P21</f>
        <v>4.2719999999999994E-2</v>
      </c>
      <c r="Y21" s="9">
        <f t="shared" si="11"/>
        <v>8.9042699999999986</v>
      </c>
      <c r="Z21" s="17">
        <f t="shared" si="12"/>
        <v>0.6996493170911775</v>
      </c>
      <c r="AA21" s="17">
        <f t="shared" ref="AA21:AA82" si="85">(N21+R21)/J21</f>
        <v>3.893013071895425</v>
      </c>
      <c r="AB21" s="17">
        <f t="shared" ref="AB21:AB82" si="86">(O21+S21)/K21</f>
        <v>0.17266803840877917</v>
      </c>
      <c r="AC21" s="17">
        <f t="shared" ref="AC21:AC82" si="87">(P21+T21)/L21</f>
        <v>2.7243160512722397</v>
      </c>
      <c r="AD21" s="18"/>
      <c r="AE21" s="17">
        <f t="shared" si="13"/>
        <v>0.7</v>
      </c>
      <c r="AF21" s="17">
        <f t="shared" ref="AF21:AF84" si="88">ROUND(AA21,3)</f>
        <v>3.8929999999999998</v>
      </c>
      <c r="AG21" s="17">
        <f t="shared" ref="AG21:AG84" si="89">ROUND(AB21,3)</f>
        <v>0.17299999999999999</v>
      </c>
      <c r="AH21" s="17">
        <f t="shared" ref="AH21:AH84" si="90">ROUND(AC21,3)</f>
        <v>2.7240000000000002</v>
      </c>
      <c r="AJ21" s="9" t="s">
        <v>180</v>
      </c>
      <c r="AK21" s="9" t="s">
        <v>262</v>
      </c>
      <c r="AL21" s="9">
        <f>VLOOKUP($AJ21,Landcover!$A$3:$K$30,5,FALSE)/1000</f>
        <v>20.494</v>
      </c>
      <c r="AM21" s="9">
        <f>VLOOKUP($AJ21,Landcover!$A$3:$K$30,6,FALSE)/1000</f>
        <v>8.5869999999999997</v>
      </c>
      <c r="AN21" s="9">
        <f>VLOOKUP($AJ21,Landcover!$A$3:$K$30,8,FALSE)/1000</f>
        <v>8.4459999999999997</v>
      </c>
      <c r="AO21" s="9">
        <f>VLOOKUP($AJ21,Landcover!$A$3:$K$30,11,FALSE)/1000</f>
        <v>0.40899999999999997</v>
      </c>
      <c r="AP21" s="9">
        <f>VLOOKUP($AJ21,Landcover!$A$3:$K$30,7,FALSE)/1000</f>
        <v>0.82899999999999996</v>
      </c>
      <c r="AR21" s="9">
        <f>SUM('GHG data from Eurostat'!CX27,'GHG data from Eurostat'!DC27,'GHG data from Eurostat'!DG27,'GHG data from Eurostat'!DM27,'GHG data from Eurostat'!DP27,'GHG data from Eurostat'!DV27)</f>
        <v>7.5694099999999995</v>
      </c>
      <c r="AS21" s="9">
        <f>'GHG data from Eurostat'!DS27+'GHG data from Eurostat'!DT27</f>
        <v>-0.82256000000000007</v>
      </c>
      <c r="AT21" s="9">
        <f>'GHG data from Eurostat'!EA27+'GHG data from Eurostat'!EB27</f>
        <v>0.89551000000000003</v>
      </c>
      <c r="AU21" s="9">
        <f>'GHG data from Eurostat'!ED27</f>
        <v>0.11384</v>
      </c>
      <c r="AV21" s="9">
        <f>'GHG data from Eurostat'!EL27</f>
        <v>0</v>
      </c>
      <c r="AW21" s="18">
        <f t="shared" si="21"/>
        <v>7.7561999999999989</v>
      </c>
      <c r="AX21" s="16">
        <f>AR21/AL21</f>
        <v>0.36934761393578608</v>
      </c>
      <c r="AY21" s="16">
        <f t="shared" ref="AY21" si="91">AS21/AM21</f>
        <v>-9.5791312449050897E-2</v>
      </c>
      <c r="AZ21" s="16">
        <f t="shared" ref="AZ21" si="92">AT21/AN21</f>
        <v>0.1060277054226853</v>
      </c>
      <c r="BA21" s="16">
        <f t="shared" ref="BA21:BB21" si="93">AU21/AO21</f>
        <v>0.27833740831295845</v>
      </c>
      <c r="BB21" s="16">
        <f t="shared" si="93"/>
        <v>0</v>
      </c>
      <c r="BD21" s="16">
        <f t="shared" si="17"/>
        <v>0.36930000000000002</v>
      </c>
      <c r="BE21" s="16">
        <f t="shared" ref="BE21:BE84" si="94">ROUND(AY21,4)</f>
        <v>-9.5799999999999996E-2</v>
      </c>
      <c r="BF21" s="16">
        <f t="shared" ref="BF21:BF84" si="95">ROUND(AZ21,4)</f>
        <v>0.106</v>
      </c>
      <c r="BG21" s="16">
        <f t="shared" ref="BG21:BG84" si="96">ROUND(BA21,4)</f>
        <v>0.27829999999999999</v>
      </c>
      <c r="BH21" s="16">
        <f t="shared" ref="BH21:BH84" si="97">ROUND(BB21,4)</f>
        <v>0</v>
      </c>
      <c r="BJ21" s="16" t="str">
        <f t="shared" si="18"/>
        <v>Denmark</v>
      </c>
      <c r="BK21" s="16" t="s">
        <v>263</v>
      </c>
      <c r="BL21" s="9">
        <f>'GHG data from Eurostat'!EP27</f>
        <v>-4.6190000000000002E-2</v>
      </c>
    </row>
    <row r="22" spans="1:64" x14ac:dyDescent="0.25">
      <c r="A22" s="9" t="s">
        <v>193</v>
      </c>
      <c r="B22" s="9">
        <v>0.86159999999999992</v>
      </c>
      <c r="C22" s="9">
        <v>0.88500000000000001</v>
      </c>
      <c r="D22" s="9">
        <v>3.0379999999999998</v>
      </c>
      <c r="E22" s="9">
        <v>0.1174</v>
      </c>
      <c r="G22" s="9" t="s">
        <v>180</v>
      </c>
      <c r="H22" s="9" t="s">
        <v>233</v>
      </c>
      <c r="I22" s="9">
        <f t="shared" si="3"/>
        <v>3.7925999999999997</v>
      </c>
      <c r="J22" s="9">
        <f t="shared" si="4"/>
        <v>1.53</v>
      </c>
      <c r="K22" s="9">
        <f t="shared" si="5"/>
        <v>1.458</v>
      </c>
      <c r="L22" s="9">
        <f t="shared" si="6"/>
        <v>1.5681E-2</v>
      </c>
      <c r="M22" s="9">
        <f>'GHG data from Eurostat'!CP28</f>
        <v>0</v>
      </c>
      <c r="N22" s="9">
        <f>'GHG data from Eurostat'!CN28</f>
        <v>0</v>
      </c>
      <c r="O22" s="9">
        <f>'GHG data from Eurostat'!CQ28</f>
        <v>0</v>
      </c>
      <c r="P22" s="9">
        <f>'GHG data from Eurostat'!CO28</f>
        <v>0</v>
      </c>
      <c r="Q22" s="9">
        <f>'GHG data from Eurostat'!CU28</f>
        <v>0</v>
      </c>
      <c r="R22" s="9">
        <f>IFERROR(('GHG data from Eurostat'!CS28+'GHG data from Eurostat'!CW28),0)</f>
        <v>0</v>
      </c>
      <c r="S22" s="9">
        <f>'GHG data from Eurostat'!CV28</f>
        <v>0</v>
      </c>
      <c r="T22" s="9">
        <f>'GHG data from Eurostat'!CT28</f>
        <v>0</v>
      </c>
      <c r="U22" s="9">
        <f t="shared" ref="U22" si="98">Q22+M22</f>
        <v>0</v>
      </c>
      <c r="V22" s="9">
        <f t="shared" si="82"/>
        <v>0</v>
      </c>
      <c r="W22" s="9">
        <f t="shared" si="83"/>
        <v>0</v>
      </c>
      <c r="X22" s="9">
        <f t="shared" si="84"/>
        <v>0</v>
      </c>
      <c r="Y22" s="9">
        <f t="shared" si="11"/>
        <v>0</v>
      </c>
      <c r="Z22" s="17">
        <f t="shared" si="12"/>
        <v>0</v>
      </c>
      <c r="AA22" s="17">
        <f t="shared" si="85"/>
        <v>0</v>
      </c>
      <c r="AB22" s="17">
        <f t="shared" si="86"/>
        <v>0</v>
      </c>
      <c r="AC22" s="17">
        <f t="shared" si="87"/>
        <v>0</v>
      </c>
      <c r="AD22" s="18"/>
      <c r="AE22" s="17">
        <f t="shared" si="13"/>
        <v>0</v>
      </c>
      <c r="AF22" s="17">
        <f t="shared" si="88"/>
        <v>0</v>
      </c>
      <c r="AG22" s="17">
        <f t="shared" si="89"/>
        <v>0</v>
      </c>
      <c r="AH22" s="17">
        <f t="shared" si="90"/>
        <v>0</v>
      </c>
      <c r="AJ22" s="9" t="s">
        <v>180</v>
      </c>
      <c r="AK22" s="9" t="s">
        <v>233</v>
      </c>
      <c r="AL22" s="9">
        <f>VLOOKUP($AJ22,Landcover!$A$3:$K$30,5,FALSE)/1000</f>
        <v>20.494</v>
      </c>
      <c r="AM22" s="9">
        <f>VLOOKUP($AJ22,Landcover!$A$3:$K$30,6,FALSE)/1000</f>
        <v>8.5869999999999997</v>
      </c>
      <c r="AN22" s="9">
        <f>VLOOKUP($AJ22,Landcover!$A$3:$K$30,8,FALSE)/1000</f>
        <v>8.4459999999999997</v>
      </c>
      <c r="AO22" s="9">
        <f>VLOOKUP($AJ22,Landcover!$A$3:$K$30,11,FALSE)/1000</f>
        <v>0.40899999999999997</v>
      </c>
      <c r="AP22" s="9">
        <f>VLOOKUP($AJ22,Landcover!$A$3:$K$30,7,FALSE)/1000</f>
        <v>0.82899999999999996</v>
      </c>
      <c r="AR22" s="9">
        <f>SUM('GHG data from Eurostat'!CX28,'GHG data from Eurostat'!DC28,'GHG data from Eurostat'!DG28,'GHG data from Eurostat'!DM28,'GHG data from Eurostat'!DP28,'GHG data from Eurostat'!DV28)</f>
        <v>3.5795600000000003</v>
      </c>
      <c r="AS22" s="9">
        <f>'GHG data from Eurostat'!DS28+'GHG data from Eurostat'!DT28</f>
        <v>-0.95284000000000002</v>
      </c>
      <c r="AT22" s="9">
        <f>'GHG data from Eurostat'!EA28+'GHG data from Eurostat'!EB28</f>
        <v>0.68967999999999996</v>
      </c>
      <c r="AU22" s="9">
        <f>'GHG data from Eurostat'!ED28</f>
        <v>5.3460000000000001E-2</v>
      </c>
      <c r="AV22" s="9">
        <f>'GHG data from Eurostat'!EL28</f>
        <v>0</v>
      </c>
      <c r="AW22" s="18">
        <f t="shared" si="21"/>
        <v>3.3698600000000001</v>
      </c>
      <c r="AX22" s="16">
        <f>AR22/AL22</f>
        <v>0.1746638040402069</v>
      </c>
      <c r="AY22" s="16">
        <f t="shared" ref="AY22" si="99">AS22/AM22</f>
        <v>-0.11096308373122162</v>
      </c>
      <c r="AZ22" s="16">
        <f t="shared" ref="AZ22" si="100">AT22/AN22</f>
        <v>8.1657589391427893E-2</v>
      </c>
      <c r="BA22" s="16">
        <f t="shared" ref="BA22:BB22" si="101">AU22/AO22</f>
        <v>0.13070904645476775</v>
      </c>
      <c r="BB22" s="16">
        <f t="shared" si="101"/>
        <v>0</v>
      </c>
      <c r="BD22" s="16">
        <f t="shared" si="17"/>
        <v>0.17469999999999999</v>
      </c>
      <c r="BE22" s="16">
        <f t="shared" si="94"/>
        <v>-0.111</v>
      </c>
      <c r="BF22" s="16">
        <f t="shared" si="95"/>
        <v>8.1699999999999995E-2</v>
      </c>
      <c r="BG22" s="16">
        <f t="shared" si="96"/>
        <v>0.13070000000000001</v>
      </c>
      <c r="BH22" s="16">
        <f t="shared" si="97"/>
        <v>0</v>
      </c>
      <c r="BJ22" s="16" t="str">
        <f t="shared" si="18"/>
        <v>Denmark</v>
      </c>
      <c r="BK22" s="16" t="s">
        <v>259</v>
      </c>
      <c r="BL22" s="9">
        <f>'GHG data from Eurostat'!EP28</f>
        <v>-4.6190000000000002E-2</v>
      </c>
    </row>
    <row r="23" spans="1:64" x14ac:dyDescent="0.25">
      <c r="A23" s="9" t="s">
        <v>194</v>
      </c>
      <c r="B23" s="9">
        <v>1.0886999999999999E-2</v>
      </c>
      <c r="C23" s="9">
        <v>1.4119999999999999E-2</v>
      </c>
      <c r="D23" s="9">
        <v>3.2000000000000001E-2</v>
      </c>
      <c r="E23" s="9">
        <v>1.8900000000000002E-3</v>
      </c>
      <c r="G23" s="9" t="s">
        <v>180</v>
      </c>
      <c r="H23" s="9" t="s">
        <v>231</v>
      </c>
      <c r="I23" s="9">
        <f t="shared" si="3"/>
        <v>3.7925999999999997</v>
      </c>
      <c r="J23" s="9">
        <f t="shared" si="4"/>
        <v>1.53</v>
      </c>
      <c r="K23" s="9">
        <f t="shared" si="5"/>
        <v>1.458</v>
      </c>
      <c r="L23" s="9">
        <f t="shared" si="6"/>
        <v>1.5681E-2</v>
      </c>
      <c r="M23" s="9">
        <f>'GHG data from Eurostat'!CP29</f>
        <v>1.3769999999999999E-2</v>
      </c>
      <c r="N23" s="9">
        <f>'GHG data from Eurostat'!CN29</f>
        <v>0.13078000000000001</v>
      </c>
      <c r="O23" s="9">
        <f>'GHG data from Eurostat'!CQ29</f>
        <v>4.13E-3</v>
      </c>
      <c r="P23" s="9">
        <f>'GHG data from Eurostat'!CO29</f>
        <v>1.41E-3</v>
      </c>
      <c r="Q23" s="9">
        <f>'GHG data from Eurostat'!CU29</f>
        <v>7.3010000000000005E-2</v>
      </c>
      <c r="R23" s="9">
        <f>IFERROR(('GHG data from Eurostat'!CS29+'GHG data from Eurostat'!CW29),0)</f>
        <v>6.6420000000000007E-2</v>
      </c>
      <c r="S23" s="9">
        <f>'GHG data from Eurostat'!CV29</f>
        <v>2.81E-3</v>
      </c>
      <c r="T23" s="9">
        <f>'GHG data from Eurostat'!CT29</f>
        <v>6.0000000000000002E-5</v>
      </c>
      <c r="U23" s="9">
        <f>(Q23+M23)*1000</f>
        <v>86.780000000000015</v>
      </c>
      <c r="V23" s="9">
        <f t="shared" ref="V23:V24" si="102">(R23+N23)*1000</f>
        <v>197.20000000000002</v>
      </c>
      <c r="W23" s="9">
        <f t="shared" ref="W23:W24" si="103">(S23+O23)*1000</f>
        <v>6.94</v>
      </c>
      <c r="X23" s="9">
        <f t="shared" ref="X23:X24" si="104">(T23+P23)*1000</f>
        <v>1.47</v>
      </c>
      <c r="Y23" s="9">
        <f t="shared" si="11"/>
        <v>292.39000000000004</v>
      </c>
      <c r="Z23" s="17">
        <f t="shared" ref="Z23:AC24" si="105">IFERROR((M23+Q23)*1000/I23,0)</f>
        <v>22.881400622264415</v>
      </c>
      <c r="AA23" s="17">
        <f t="shared" si="105"/>
        <v>128.88888888888889</v>
      </c>
      <c r="AB23" s="17">
        <f t="shared" si="105"/>
        <v>4.7599451303155007</v>
      </c>
      <c r="AC23" s="17">
        <f t="shared" si="105"/>
        <v>93.744021427204899</v>
      </c>
      <c r="AD23" s="18"/>
      <c r="AE23" s="17">
        <f t="shared" si="13"/>
        <v>22.881</v>
      </c>
      <c r="AF23" s="17">
        <f t="shared" si="88"/>
        <v>128.88900000000001</v>
      </c>
      <c r="AG23" s="17">
        <f t="shared" si="89"/>
        <v>4.76</v>
      </c>
      <c r="AH23" s="17">
        <f t="shared" si="90"/>
        <v>93.744</v>
      </c>
      <c r="AJ23" s="9" t="s">
        <v>180</v>
      </c>
      <c r="AK23" s="9" t="s">
        <v>231</v>
      </c>
      <c r="AL23" s="9">
        <f>VLOOKUP($AJ23,Landcover!$A$3:$K$30,5,FALSE)/1000</f>
        <v>20.494</v>
      </c>
      <c r="AM23" s="9">
        <f>VLOOKUP($AJ23,Landcover!$A$3:$K$30,6,FALSE)/1000</f>
        <v>8.5869999999999997</v>
      </c>
      <c r="AN23" s="9">
        <f>VLOOKUP($AJ23,Landcover!$A$3:$K$30,8,FALSE)/1000</f>
        <v>8.4459999999999997</v>
      </c>
      <c r="AO23" s="9">
        <f>VLOOKUP($AJ23,Landcover!$A$3:$K$30,11,FALSE)/1000</f>
        <v>0.40899999999999997</v>
      </c>
      <c r="AP23" s="9">
        <f>VLOOKUP($AJ23,Landcover!$A$3:$K$30,7,FALSE)/1000</f>
        <v>0.82899999999999996</v>
      </c>
      <c r="AR23" s="9">
        <f>SUM('GHG data from Eurostat'!CX29,'GHG data from Eurostat'!DC29,'GHG data from Eurostat'!DG29,'GHG data from Eurostat'!DM29,'GHG data from Eurostat'!DP29,'GHG data from Eurostat'!DV29)</f>
        <v>5.9199999999999999E-3</v>
      </c>
      <c r="AS23" s="9">
        <f>'GHG data from Eurostat'!DS29+'GHG data from Eurostat'!DT29</f>
        <v>3.1199999999999999E-3</v>
      </c>
      <c r="AT23" s="9">
        <f>'GHG data from Eurostat'!EA29+'GHG data from Eurostat'!EB29</f>
        <v>7.3500000000000006E-3</v>
      </c>
      <c r="AU23" s="9">
        <f>'GHG data from Eurostat'!ED29</f>
        <v>2.15E-3</v>
      </c>
      <c r="AV23" s="9">
        <f>'GHG data from Eurostat'!EL29</f>
        <v>0</v>
      </c>
      <c r="AW23" s="18">
        <f t="shared" si="21"/>
        <v>1.8540000000000001E-2</v>
      </c>
      <c r="AX23" s="16">
        <f>IFERROR(AR23*1000/AL23,0)</f>
        <v>0.28886503366839072</v>
      </c>
      <c r="AY23" s="16">
        <f t="shared" ref="AY23:AY24" si="106">IFERROR(AS23*1000/AM23,0)</f>
        <v>0.36333993245603824</v>
      </c>
      <c r="AZ23" s="16">
        <f t="shared" ref="AZ23:AZ24" si="107">IFERROR(AT23*1000/AN23,0)</f>
        <v>0.87023443049964488</v>
      </c>
      <c r="BA23" s="16">
        <f t="shared" ref="BA23:BB24" si="108">IFERROR(AU23*1000/AO23,0)</f>
        <v>5.2567237163814182</v>
      </c>
      <c r="BB23" s="16">
        <f t="shared" si="108"/>
        <v>0</v>
      </c>
      <c r="BD23" s="16">
        <f t="shared" si="17"/>
        <v>0.28889999999999999</v>
      </c>
      <c r="BE23" s="16">
        <f t="shared" si="94"/>
        <v>0.36330000000000001</v>
      </c>
      <c r="BF23" s="16">
        <f t="shared" si="95"/>
        <v>0.87019999999999997</v>
      </c>
      <c r="BG23" s="16">
        <f t="shared" si="96"/>
        <v>5.2567000000000004</v>
      </c>
      <c r="BH23" s="16">
        <f t="shared" si="97"/>
        <v>0</v>
      </c>
      <c r="BJ23" s="16" t="str">
        <f t="shared" si="18"/>
        <v>Denmark</v>
      </c>
      <c r="BK23" s="16" t="s">
        <v>260</v>
      </c>
      <c r="BL23" s="9">
        <f>'GHG data from Eurostat'!EP29</f>
        <v>0</v>
      </c>
    </row>
    <row r="24" spans="1:64" x14ac:dyDescent="0.25">
      <c r="A24" s="9" t="s">
        <v>195</v>
      </c>
      <c r="B24" s="9">
        <v>3.5727000000000002</v>
      </c>
      <c r="C24" s="9">
        <v>3.69</v>
      </c>
      <c r="D24" s="9">
        <v>3.7109999999999999</v>
      </c>
      <c r="E24" s="9">
        <v>0.12610000000000002</v>
      </c>
      <c r="G24" s="9" t="s">
        <v>180</v>
      </c>
      <c r="H24" s="9" t="s">
        <v>232</v>
      </c>
      <c r="I24" s="9">
        <f t="shared" si="3"/>
        <v>3.7925999999999997</v>
      </c>
      <c r="J24" s="9">
        <f t="shared" si="4"/>
        <v>1.53</v>
      </c>
      <c r="K24" s="9">
        <f t="shared" si="5"/>
        <v>1.458</v>
      </c>
      <c r="L24" s="9">
        <f t="shared" si="6"/>
        <v>1.5681E-2</v>
      </c>
      <c r="M24" s="9">
        <f>'GHG data from Eurostat'!CP30</f>
        <v>0</v>
      </c>
      <c r="N24" s="9">
        <f>'GHG data from Eurostat'!CN30</f>
        <v>0</v>
      </c>
      <c r="O24" s="9">
        <f>'GHG data from Eurostat'!CQ30</f>
        <v>0</v>
      </c>
      <c r="P24" s="9">
        <f>'GHG data from Eurostat'!CO30</f>
        <v>0</v>
      </c>
      <c r="Q24" s="9">
        <f>'GHG data from Eurostat'!CU30</f>
        <v>8.4000000000000003E-4</v>
      </c>
      <c r="R24" s="9">
        <f>IFERROR(('GHG data from Eurostat'!CS30+'GHG data from Eurostat'!CW30),0)</f>
        <v>1.64E-3</v>
      </c>
      <c r="S24" s="9">
        <f>'GHG data from Eurostat'!CV30</f>
        <v>2.2000000000000001E-4</v>
      </c>
      <c r="T24" s="9">
        <f>'GHG data from Eurostat'!CT30</f>
        <v>1.0000000000000001E-5</v>
      </c>
      <c r="U24" s="9">
        <f>(Q24+M24)*1000</f>
        <v>0.84000000000000008</v>
      </c>
      <c r="V24" s="9">
        <f t="shared" si="102"/>
        <v>1.64</v>
      </c>
      <c r="W24" s="9">
        <f t="shared" si="103"/>
        <v>0.22</v>
      </c>
      <c r="X24" s="9">
        <f t="shared" si="104"/>
        <v>0.01</v>
      </c>
      <c r="Y24" s="9">
        <f t="shared" si="11"/>
        <v>2.71</v>
      </c>
      <c r="Z24" s="17">
        <f t="shared" si="105"/>
        <v>0.22148394241417502</v>
      </c>
      <c r="AA24" s="17">
        <f t="shared" si="105"/>
        <v>1.0718954248366013</v>
      </c>
      <c r="AB24" s="17">
        <f t="shared" si="105"/>
        <v>0.15089163237311387</v>
      </c>
      <c r="AC24" s="17">
        <f t="shared" si="105"/>
        <v>0.63771443147758433</v>
      </c>
      <c r="AD24" s="18"/>
      <c r="AE24" s="17">
        <f t="shared" si="13"/>
        <v>0.221</v>
      </c>
      <c r="AF24" s="17">
        <f t="shared" si="88"/>
        <v>1.0720000000000001</v>
      </c>
      <c r="AG24" s="17">
        <f t="shared" si="89"/>
        <v>0.151</v>
      </c>
      <c r="AH24" s="17">
        <f t="shared" si="90"/>
        <v>0.63800000000000001</v>
      </c>
      <c r="AJ24" s="9" t="s">
        <v>180</v>
      </c>
      <c r="AK24" s="9" t="s">
        <v>232</v>
      </c>
      <c r="AL24" s="9">
        <f>VLOOKUP($AJ24,Landcover!$A$3:$K$30,5,FALSE)/1000</f>
        <v>20.494</v>
      </c>
      <c r="AM24" s="9">
        <f>VLOOKUP($AJ24,Landcover!$A$3:$K$30,6,FALSE)/1000</f>
        <v>8.5869999999999997</v>
      </c>
      <c r="AN24" s="9">
        <f>VLOOKUP($AJ24,Landcover!$A$3:$K$30,8,FALSE)/1000</f>
        <v>8.4459999999999997</v>
      </c>
      <c r="AO24" s="9">
        <f>VLOOKUP($AJ24,Landcover!$A$3:$K$30,11,FALSE)/1000</f>
        <v>0.40899999999999997</v>
      </c>
      <c r="AP24" s="9">
        <f>VLOOKUP($AJ24,Landcover!$A$3:$K$30,7,FALSE)/1000</f>
        <v>0.82899999999999996</v>
      </c>
      <c r="AR24" s="9">
        <f>SUM('GHG data from Eurostat'!CX30,'GHG data from Eurostat'!DC30,'GHG data from Eurostat'!DG30,'GHG data from Eurostat'!DM30,'GHG data from Eurostat'!DP30,'GHG data from Eurostat'!DV30)</f>
        <v>1.443E-2</v>
      </c>
      <c r="AS24" s="9">
        <f>'GHG data from Eurostat'!DS30+'GHG data from Eurostat'!DT30</f>
        <v>1.6000000000000001E-4</v>
      </c>
      <c r="AT24" s="9">
        <f>'GHG data from Eurostat'!EA30+'GHG data from Eurostat'!EB30</f>
        <v>0</v>
      </c>
      <c r="AU24" s="9">
        <f>'GHG data from Eurostat'!ED30</f>
        <v>0</v>
      </c>
      <c r="AV24" s="9">
        <f>'GHG data from Eurostat'!EL30</f>
        <v>0</v>
      </c>
      <c r="AW24" s="18">
        <f t="shared" si="21"/>
        <v>1.4590000000000001E-2</v>
      </c>
      <c r="AX24" s="16">
        <f>IFERROR(AR24*1000/AL24,0)</f>
        <v>0.7041085195667024</v>
      </c>
      <c r="AY24" s="16">
        <f t="shared" si="106"/>
        <v>1.8632817049027601E-2</v>
      </c>
      <c r="AZ24" s="16">
        <f t="shared" si="107"/>
        <v>0</v>
      </c>
      <c r="BA24" s="16">
        <f t="shared" si="108"/>
        <v>0</v>
      </c>
      <c r="BB24" s="16">
        <f t="shared" si="108"/>
        <v>0</v>
      </c>
      <c r="BC24" s="18"/>
      <c r="BD24" s="16">
        <f t="shared" si="17"/>
        <v>0.70409999999999995</v>
      </c>
      <c r="BE24" s="16">
        <f t="shared" si="94"/>
        <v>1.8599999999999998E-2</v>
      </c>
      <c r="BF24" s="16">
        <f t="shared" si="95"/>
        <v>0</v>
      </c>
      <c r="BG24" s="16">
        <f t="shared" si="96"/>
        <v>0</v>
      </c>
      <c r="BH24" s="16">
        <f t="shared" si="97"/>
        <v>0</v>
      </c>
      <c r="BJ24" s="16" t="str">
        <f t="shared" si="18"/>
        <v>Denmark</v>
      </c>
      <c r="BK24" s="16" t="s">
        <v>261</v>
      </c>
      <c r="BL24" s="9">
        <f>'GHG data from Eurostat'!EP30</f>
        <v>0</v>
      </c>
    </row>
    <row r="25" spans="1:64" x14ac:dyDescent="0.25">
      <c r="A25" s="9" t="s">
        <v>196</v>
      </c>
      <c r="B25" s="9">
        <v>0.83297100000000002</v>
      </c>
      <c r="C25" s="9">
        <v>1.9128099999999999</v>
      </c>
      <c r="D25" s="9">
        <v>1.444</v>
      </c>
      <c r="E25" s="9">
        <v>4.9787999999999999E-2</v>
      </c>
      <c r="G25" s="26" t="s">
        <v>181</v>
      </c>
      <c r="H25" s="26" t="s">
        <v>262</v>
      </c>
      <c r="I25" s="26">
        <f t="shared" si="3"/>
        <v>7.9336200000000003</v>
      </c>
      <c r="J25" s="26">
        <f t="shared" si="4"/>
        <v>11.94909</v>
      </c>
      <c r="K25" s="26">
        <f t="shared" si="5"/>
        <v>9.9350000000000005</v>
      </c>
      <c r="L25" s="26">
        <f t="shared" si="6"/>
        <v>0.17159000000000002</v>
      </c>
      <c r="M25" s="26">
        <f>'GHG data from Eurostat'!CP31</f>
        <v>0.72109999999999996</v>
      </c>
      <c r="N25" s="26">
        <f>'GHG data from Eurostat'!CN31</f>
        <v>25.924199999999999</v>
      </c>
      <c r="O25" s="26">
        <f>'GHG data from Eurostat'!CQ31</f>
        <v>0.77580000000000005</v>
      </c>
      <c r="P25" s="26">
        <f>'GHG data from Eurostat'!CO31</f>
        <v>0.36903999999999998</v>
      </c>
      <c r="Q25" s="26">
        <f>'GHG data from Eurostat'!CU31</f>
        <v>2.89968</v>
      </c>
      <c r="R25" s="26">
        <f>IFERROR(('GHG data from Eurostat'!CS31+'GHG data from Eurostat'!CW31),0)</f>
        <v>6.8995199999999999</v>
      </c>
      <c r="S25" s="26">
        <f>'GHG data from Eurostat'!CV31</f>
        <v>0.59082000000000001</v>
      </c>
      <c r="T25" s="26">
        <f>'GHG data from Eurostat'!CT31</f>
        <v>4.2689999999999999E-2</v>
      </c>
      <c r="U25" s="26">
        <f>Q25+M25</f>
        <v>3.6207799999999999</v>
      </c>
      <c r="V25" s="26">
        <f t="shared" ref="V25:V26" si="109">R25+N25</f>
        <v>32.823720000000002</v>
      </c>
      <c r="W25" s="26">
        <f t="shared" ref="W25:W26" si="110">S25+O25</f>
        <v>1.3666200000000002</v>
      </c>
      <c r="X25" s="26">
        <f t="shared" ref="X25:X26" si="111">T25+P25</f>
        <v>0.41172999999999998</v>
      </c>
      <c r="Y25" s="26">
        <f t="shared" si="11"/>
        <v>38.222850000000001</v>
      </c>
      <c r="Z25" s="27">
        <f t="shared" si="12"/>
        <v>0.45638434913696391</v>
      </c>
      <c r="AA25" s="27">
        <f t="shared" si="85"/>
        <v>2.7469639947477171</v>
      </c>
      <c r="AB25" s="27">
        <f t="shared" si="86"/>
        <v>0.13755611474584803</v>
      </c>
      <c r="AC25" s="27">
        <f t="shared" si="87"/>
        <v>2.3994988052916835</v>
      </c>
      <c r="AD25" s="28"/>
      <c r="AE25" s="27">
        <f t="shared" si="13"/>
        <v>0.45600000000000002</v>
      </c>
      <c r="AF25" s="27">
        <f t="shared" si="88"/>
        <v>2.7469999999999999</v>
      </c>
      <c r="AG25" s="27">
        <f t="shared" si="89"/>
        <v>0.13800000000000001</v>
      </c>
      <c r="AH25" s="27">
        <f t="shared" si="90"/>
        <v>2.399</v>
      </c>
      <c r="AI25" s="29"/>
      <c r="AJ25" s="26" t="s">
        <v>181</v>
      </c>
      <c r="AK25" s="26" t="s">
        <v>262</v>
      </c>
      <c r="AL25" s="26">
        <f>VLOOKUP($AJ25,Landcover!$A$3:$K$30,5,FALSE)/1000</f>
        <v>115.399</v>
      </c>
      <c r="AM25" s="26">
        <f>VLOOKUP($AJ25,Landcover!$A$3:$K$30,6,FALSE)/1000</f>
        <v>123.76600000000001</v>
      </c>
      <c r="AN25" s="26">
        <f>VLOOKUP($AJ25,Landcover!$A$3:$K$30,8,FALSE)/1000</f>
        <v>74.218000000000004</v>
      </c>
      <c r="AO25" s="26">
        <f>VLOOKUP($AJ25,Landcover!$A$3:$K$30,11,FALSE)/1000</f>
        <v>2.0169999999999999</v>
      </c>
      <c r="AP25" s="26">
        <f>VLOOKUP($AJ25,Landcover!$A$3:$K$30,7,FALSE)/1000</f>
        <v>3.8359999999999999</v>
      </c>
      <c r="AQ25" s="29"/>
      <c r="AR25" s="26">
        <f>SUM('GHG data from Eurostat'!CX31,'GHG data from Eurostat'!DC31,'GHG data from Eurostat'!DG31,'GHG data from Eurostat'!DM31,'GHG data from Eurostat'!DP31,'GHG data from Eurostat'!DV31)</f>
        <v>44.624939999999995</v>
      </c>
      <c r="AS25" s="26">
        <f>'GHG data from Eurostat'!DS31+'GHG data from Eurostat'!DT31</f>
        <v>23.725199999999997</v>
      </c>
      <c r="AT25" s="26">
        <f>'GHG data from Eurostat'!EA31+'GHG data from Eurostat'!EB31</f>
        <v>34.03369</v>
      </c>
      <c r="AU25" s="26">
        <f>'GHG data from Eurostat'!ED31</f>
        <v>10.770289999999999</v>
      </c>
      <c r="AV25" s="26">
        <f>'GHG data from Eurostat'!EL31</f>
        <v>0</v>
      </c>
      <c r="AW25" s="28">
        <f t="shared" si="21"/>
        <v>113.15411999999999</v>
      </c>
      <c r="AX25" s="30">
        <f>AR25/AL25</f>
        <v>0.38670127124151848</v>
      </c>
      <c r="AY25" s="30">
        <f t="shared" ref="AY25" si="112">AS25/AM25</f>
        <v>0.19169400319958629</v>
      </c>
      <c r="AZ25" s="30">
        <f t="shared" ref="AZ25" si="113">AT25/AN25</f>
        <v>0.45856382548707858</v>
      </c>
      <c r="BA25" s="30">
        <f t="shared" ref="BA25:BB25" si="114">AU25/AO25</f>
        <v>5.3397570649479427</v>
      </c>
      <c r="BB25" s="30">
        <f t="shared" si="114"/>
        <v>0</v>
      </c>
      <c r="BC25" s="28"/>
      <c r="BD25" s="30">
        <f t="shared" si="17"/>
        <v>0.38669999999999999</v>
      </c>
      <c r="BE25" s="30">
        <f t="shared" si="94"/>
        <v>0.19170000000000001</v>
      </c>
      <c r="BF25" s="30">
        <f t="shared" si="95"/>
        <v>0.45860000000000001</v>
      </c>
      <c r="BG25" s="30">
        <f t="shared" si="96"/>
        <v>5.3398000000000003</v>
      </c>
      <c r="BH25" s="30">
        <f t="shared" si="97"/>
        <v>0</v>
      </c>
      <c r="BI25" s="29"/>
      <c r="BJ25" s="30" t="str">
        <f t="shared" si="18"/>
        <v>Germany</v>
      </c>
      <c r="BK25" s="30" t="s">
        <v>263</v>
      </c>
      <c r="BL25" s="26">
        <f>'GHG data from Eurostat'!EP31</f>
        <v>-4.6221899999999998</v>
      </c>
    </row>
    <row r="26" spans="1:64" x14ac:dyDescent="0.25">
      <c r="A26" s="9" t="s">
        <v>197</v>
      </c>
      <c r="B26" s="9">
        <v>3.3083100000000001</v>
      </c>
      <c r="C26" s="9">
        <v>6.1833</v>
      </c>
      <c r="D26" s="9">
        <v>17.117999999999999</v>
      </c>
      <c r="E26" s="9">
        <v>3.1844000000000004E-2</v>
      </c>
      <c r="G26" s="26" t="s">
        <v>181</v>
      </c>
      <c r="H26" s="26" t="s">
        <v>233</v>
      </c>
      <c r="I26" s="26">
        <f t="shared" si="3"/>
        <v>7.9336200000000003</v>
      </c>
      <c r="J26" s="26">
        <f t="shared" si="4"/>
        <v>11.94909</v>
      </c>
      <c r="K26" s="26">
        <f t="shared" si="5"/>
        <v>9.9350000000000005</v>
      </c>
      <c r="L26" s="26">
        <f t="shared" si="6"/>
        <v>0.17159000000000002</v>
      </c>
      <c r="M26" s="26">
        <f>'GHG data from Eurostat'!CP32</f>
        <v>0</v>
      </c>
      <c r="N26" s="26">
        <f>'GHG data from Eurostat'!CN32</f>
        <v>0</v>
      </c>
      <c r="O26" s="26">
        <f>'GHG data from Eurostat'!CQ32</f>
        <v>0</v>
      </c>
      <c r="P26" s="26">
        <f>'GHG data from Eurostat'!CO32</f>
        <v>0</v>
      </c>
      <c r="Q26" s="26">
        <f>'GHG data from Eurostat'!CU32</f>
        <v>0</v>
      </c>
      <c r="R26" s="26">
        <f>IFERROR(('GHG data from Eurostat'!CS32+'GHG data from Eurostat'!CW32),0)</f>
        <v>0</v>
      </c>
      <c r="S26" s="26">
        <f>'GHG data from Eurostat'!CV32</f>
        <v>0</v>
      </c>
      <c r="T26" s="26">
        <f>'GHG data from Eurostat'!CT32</f>
        <v>0</v>
      </c>
      <c r="U26" s="26">
        <f t="shared" ref="U26" si="115">Q26+M26</f>
        <v>0</v>
      </c>
      <c r="V26" s="26">
        <f t="shared" si="109"/>
        <v>0</v>
      </c>
      <c r="W26" s="26">
        <f t="shared" si="110"/>
        <v>0</v>
      </c>
      <c r="X26" s="26">
        <f t="shared" si="111"/>
        <v>0</v>
      </c>
      <c r="Y26" s="26">
        <f t="shared" si="11"/>
        <v>0</v>
      </c>
      <c r="Z26" s="27">
        <f t="shared" si="12"/>
        <v>0</v>
      </c>
      <c r="AA26" s="27">
        <f t="shared" si="85"/>
        <v>0</v>
      </c>
      <c r="AB26" s="27">
        <f t="shared" si="86"/>
        <v>0</v>
      </c>
      <c r="AC26" s="27">
        <f t="shared" si="87"/>
        <v>0</v>
      </c>
      <c r="AD26" s="28"/>
      <c r="AE26" s="27">
        <f t="shared" si="13"/>
        <v>0</v>
      </c>
      <c r="AF26" s="27">
        <f t="shared" si="88"/>
        <v>0</v>
      </c>
      <c r="AG26" s="27">
        <f t="shared" si="89"/>
        <v>0</v>
      </c>
      <c r="AH26" s="27">
        <f t="shared" si="90"/>
        <v>0</v>
      </c>
      <c r="AI26" s="29"/>
      <c r="AJ26" s="26" t="s">
        <v>181</v>
      </c>
      <c r="AK26" s="26" t="s">
        <v>233</v>
      </c>
      <c r="AL26" s="26">
        <f>VLOOKUP($AJ26,Landcover!$A$3:$K$30,5,FALSE)/1000</f>
        <v>115.399</v>
      </c>
      <c r="AM26" s="26">
        <f>VLOOKUP($AJ26,Landcover!$A$3:$K$30,6,FALSE)/1000</f>
        <v>123.76600000000001</v>
      </c>
      <c r="AN26" s="26">
        <f>VLOOKUP($AJ26,Landcover!$A$3:$K$30,8,FALSE)/1000</f>
        <v>74.218000000000004</v>
      </c>
      <c r="AO26" s="26">
        <f>VLOOKUP($AJ26,Landcover!$A$3:$K$30,11,FALSE)/1000</f>
        <v>2.0169999999999999</v>
      </c>
      <c r="AP26" s="26">
        <f>VLOOKUP($AJ26,Landcover!$A$3:$K$30,7,FALSE)/1000</f>
        <v>3.8359999999999999</v>
      </c>
      <c r="AQ26" s="29"/>
      <c r="AR26" s="26">
        <f>SUM('GHG data from Eurostat'!CX32,'GHG data from Eurostat'!DC32,'GHG data from Eurostat'!DG32,'GHG data from Eurostat'!DM32,'GHG data from Eurostat'!DP32,'GHG data from Eurostat'!DV32)</f>
        <v>24.758769999999998</v>
      </c>
      <c r="AS26" s="26">
        <f>'GHG data from Eurostat'!DS32+'GHG data from Eurostat'!DT32</f>
        <v>23.02937</v>
      </c>
      <c r="AT26" s="26">
        <f>'GHG data from Eurostat'!EA32+'GHG data from Eurostat'!EB32</f>
        <v>32.775939999999999</v>
      </c>
      <c r="AU26" s="26">
        <f>'GHG data from Eurostat'!ED32</f>
        <v>5.3369499999999999</v>
      </c>
      <c r="AV26" s="26">
        <f>'GHG data from Eurostat'!EL32</f>
        <v>0</v>
      </c>
      <c r="AW26" s="28">
        <f t="shared" si="21"/>
        <v>85.901029999999992</v>
      </c>
      <c r="AX26" s="30">
        <f>AR26/AL26</f>
        <v>0.2145492595256458</v>
      </c>
      <c r="AY26" s="30">
        <f t="shared" ref="AY26" si="116">AS26/AM26</f>
        <v>0.18607186141589774</v>
      </c>
      <c r="AZ26" s="30">
        <f t="shared" ref="AZ26" si="117">AT26/AN26</f>
        <v>0.44161712792045055</v>
      </c>
      <c r="BA26" s="30">
        <f t="shared" ref="BA26:BB26" si="118">AU26/AO26</f>
        <v>2.6459841348537432</v>
      </c>
      <c r="BB26" s="30">
        <f t="shared" si="118"/>
        <v>0</v>
      </c>
      <c r="BC26" s="31"/>
      <c r="BD26" s="30">
        <f t="shared" si="17"/>
        <v>0.2145</v>
      </c>
      <c r="BE26" s="30">
        <f t="shared" si="94"/>
        <v>0.18609999999999999</v>
      </c>
      <c r="BF26" s="30">
        <f t="shared" si="95"/>
        <v>0.44159999999999999</v>
      </c>
      <c r="BG26" s="30">
        <f t="shared" si="96"/>
        <v>2.6459999999999999</v>
      </c>
      <c r="BH26" s="30">
        <f t="shared" si="97"/>
        <v>0</v>
      </c>
      <c r="BI26" s="29"/>
      <c r="BJ26" s="30" t="str">
        <f t="shared" si="18"/>
        <v>Germany</v>
      </c>
      <c r="BK26" s="30" t="s">
        <v>259</v>
      </c>
      <c r="BL26" s="26">
        <f>'GHG data from Eurostat'!EP32</f>
        <v>-4.6221899999999998</v>
      </c>
    </row>
    <row r="27" spans="1:64" s="22" customFormat="1" x14ac:dyDescent="0.25">
      <c r="A27" s="20" t="s">
        <v>198</v>
      </c>
      <c r="B27" s="20">
        <v>0.66151500000000008</v>
      </c>
      <c r="C27" s="20">
        <v>1.63242</v>
      </c>
      <c r="D27" s="20">
        <v>3.0619999999999998</v>
      </c>
      <c r="E27" s="20">
        <v>0.25403800000000004</v>
      </c>
      <c r="G27" s="26" t="s">
        <v>181</v>
      </c>
      <c r="H27" s="26" t="s">
        <v>231</v>
      </c>
      <c r="I27" s="26">
        <f t="shared" si="3"/>
        <v>7.9336200000000003</v>
      </c>
      <c r="J27" s="26">
        <f t="shared" si="4"/>
        <v>11.94909</v>
      </c>
      <c r="K27" s="26">
        <f t="shared" si="5"/>
        <v>9.9350000000000005</v>
      </c>
      <c r="L27" s="26">
        <f t="shared" si="6"/>
        <v>0.17159000000000002</v>
      </c>
      <c r="M27" s="26">
        <f>'GHG data from Eurostat'!CP33</f>
        <v>2.5749999999999999E-2</v>
      </c>
      <c r="N27" s="26">
        <f>'GHG data from Eurostat'!CN33</f>
        <v>0.92586000000000002</v>
      </c>
      <c r="O27" s="26">
        <f>'GHG data from Eurostat'!CQ33</f>
        <v>2.7709999999999999E-2</v>
      </c>
      <c r="P27" s="26">
        <f>'GHG data from Eurostat'!CO33</f>
        <v>1.3180000000000001E-2</v>
      </c>
      <c r="Q27" s="26">
        <f>'GHG data from Eurostat'!CU33</f>
        <v>8.9969999999999994E-2</v>
      </c>
      <c r="R27" s="26">
        <f>IFERROR(('GHG data from Eurostat'!CS33+'GHG data from Eurostat'!CW33),0)</f>
        <v>0.1535</v>
      </c>
      <c r="S27" s="26">
        <f>'GHG data from Eurostat'!CV33</f>
        <v>9.2399999999999999E-3</v>
      </c>
      <c r="T27" s="26">
        <f>'GHG data from Eurostat'!CT33</f>
        <v>5.1000000000000004E-4</v>
      </c>
      <c r="U27" s="26">
        <f>(Q27+M27)*1000</f>
        <v>115.71999999999998</v>
      </c>
      <c r="V27" s="26">
        <f t="shared" ref="V27:V28" si="119">(R27+N27)*1000</f>
        <v>1079.3600000000001</v>
      </c>
      <c r="W27" s="26">
        <f t="shared" ref="W27:W28" si="120">(S27+O27)*1000</f>
        <v>36.949999999999996</v>
      </c>
      <c r="X27" s="26">
        <f t="shared" ref="X27:X28" si="121">(T27+P27)*1000</f>
        <v>13.690000000000001</v>
      </c>
      <c r="Y27" s="26">
        <f t="shared" si="11"/>
        <v>1245.7200000000003</v>
      </c>
      <c r="Z27" s="27">
        <f t="shared" ref="Z27:AC28" si="122">IFERROR((M27+Q27)*1000/I27,0)</f>
        <v>14.58602756370988</v>
      </c>
      <c r="AA27" s="27">
        <f t="shared" si="122"/>
        <v>90.329891230210848</v>
      </c>
      <c r="AB27" s="27">
        <f t="shared" si="122"/>
        <v>3.7191746351283337</v>
      </c>
      <c r="AC27" s="27">
        <f t="shared" si="122"/>
        <v>79.783204149425956</v>
      </c>
      <c r="AD27" s="28"/>
      <c r="AE27" s="27">
        <f t="shared" si="13"/>
        <v>14.586</v>
      </c>
      <c r="AF27" s="27">
        <f t="shared" si="88"/>
        <v>90.33</v>
      </c>
      <c r="AG27" s="27">
        <f t="shared" si="89"/>
        <v>3.7189999999999999</v>
      </c>
      <c r="AH27" s="27">
        <f t="shared" si="90"/>
        <v>79.783000000000001</v>
      </c>
      <c r="AI27" s="29"/>
      <c r="AJ27" s="26" t="s">
        <v>181</v>
      </c>
      <c r="AK27" s="26" t="s">
        <v>231</v>
      </c>
      <c r="AL27" s="26">
        <f>VLOOKUP($AJ27,Landcover!$A$3:$K$30,5,FALSE)/1000</f>
        <v>115.399</v>
      </c>
      <c r="AM27" s="26">
        <f>VLOOKUP($AJ27,Landcover!$A$3:$K$30,6,FALSE)/1000</f>
        <v>123.76600000000001</v>
      </c>
      <c r="AN27" s="26">
        <f>VLOOKUP($AJ27,Landcover!$A$3:$K$30,8,FALSE)/1000</f>
        <v>74.218000000000004</v>
      </c>
      <c r="AO27" s="26">
        <f>VLOOKUP($AJ27,Landcover!$A$3:$K$30,11,FALSE)/1000</f>
        <v>2.0169999999999999</v>
      </c>
      <c r="AP27" s="26">
        <f>VLOOKUP($AJ27,Landcover!$A$3:$K$30,7,FALSE)/1000</f>
        <v>3.8359999999999999</v>
      </c>
      <c r="AQ27" s="29"/>
      <c r="AR27" s="26">
        <f>SUM('GHG data from Eurostat'!CX33,'GHG data from Eurostat'!DC33,'GHG data from Eurostat'!DG33,'GHG data from Eurostat'!DM33,'GHG data from Eurostat'!DP33,'GHG data from Eurostat'!DV33)</f>
        <v>5.6270000000000001E-2</v>
      </c>
      <c r="AS27" s="26">
        <f>'GHG data from Eurostat'!DS33+'GHG data from Eurostat'!DT33</f>
        <v>2.2499999999999998E-3</v>
      </c>
      <c r="AT27" s="26">
        <f>'GHG data from Eurostat'!EA33+'GHG data from Eurostat'!EB33</f>
        <v>4.1819999999999996E-2</v>
      </c>
      <c r="AU27" s="26">
        <f>'GHG data from Eurostat'!ED33</f>
        <v>0.19270999999999999</v>
      </c>
      <c r="AV27" s="26">
        <f>'GHG data from Eurostat'!EL33</f>
        <v>0</v>
      </c>
      <c r="AW27" s="28">
        <f>SUM(AR27:AV27)*1000</f>
        <v>293.04999999999995</v>
      </c>
      <c r="AX27" s="30">
        <f>IFERROR(AR27*1000/AL27,0)</f>
        <v>0.48761254430281026</v>
      </c>
      <c r="AY27" s="30">
        <f t="shared" ref="AY27:AY28" si="123">IFERROR(AS27*1000/AM27,0)</f>
        <v>1.8179467705185592E-2</v>
      </c>
      <c r="AZ27" s="30">
        <f t="shared" ref="AZ27:AZ28" si="124">IFERROR(AT27*1000/AN27,0)</f>
        <v>0.56347516774906348</v>
      </c>
      <c r="BA27" s="30">
        <f t="shared" ref="BA27:BB28" si="125">IFERROR(AU27*1000/AO27,0)</f>
        <v>95.542885473475451</v>
      </c>
      <c r="BB27" s="30">
        <f t="shared" si="125"/>
        <v>0</v>
      </c>
      <c r="BC27" s="29"/>
      <c r="BD27" s="30">
        <f t="shared" si="17"/>
        <v>0.48759999999999998</v>
      </c>
      <c r="BE27" s="30">
        <f t="shared" si="94"/>
        <v>1.8200000000000001E-2</v>
      </c>
      <c r="BF27" s="30">
        <f t="shared" si="95"/>
        <v>0.5635</v>
      </c>
      <c r="BG27" s="30">
        <f t="shared" si="96"/>
        <v>95.542900000000003</v>
      </c>
      <c r="BH27" s="30">
        <f t="shared" si="97"/>
        <v>0</v>
      </c>
      <c r="BI27" s="29"/>
      <c r="BJ27" s="30" t="str">
        <f t="shared" si="18"/>
        <v>Germany</v>
      </c>
      <c r="BK27" s="30" t="s">
        <v>260</v>
      </c>
      <c r="BL27" s="26">
        <f>'GHG data from Eurostat'!EP33</f>
        <v>0</v>
      </c>
    </row>
    <row r="28" spans="1:64" x14ac:dyDescent="0.25">
      <c r="A28" s="9" t="s">
        <v>199</v>
      </c>
      <c r="B28" s="9">
        <v>1.1775899999999999</v>
      </c>
      <c r="C28" s="9">
        <v>1.9772000000000001</v>
      </c>
      <c r="D28" s="9">
        <v>3.7040000000000002</v>
      </c>
      <c r="E28" s="9">
        <v>1.1715699999999998</v>
      </c>
      <c r="G28" s="26" t="s">
        <v>181</v>
      </c>
      <c r="H28" s="26" t="s">
        <v>232</v>
      </c>
      <c r="I28" s="26">
        <f t="shared" si="3"/>
        <v>7.9336200000000003</v>
      </c>
      <c r="J28" s="26">
        <f t="shared" si="4"/>
        <v>11.94909</v>
      </c>
      <c r="K28" s="26">
        <f t="shared" si="5"/>
        <v>9.9350000000000005</v>
      </c>
      <c r="L28" s="26">
        <f t="shared" si="6"/>
        <v>0.17159000000000002</v>
      </c>
      <c r="M28" s="26">
        <f>'GHG data from Eurostat'!CP34</f>
        <v>0</v>
      </c>
      <c r="N28" s="26">
        <f>'GHG data from Eurostat'!CN34</f>
        <v>0</v>
      </c>
      <c r="O28" s="26">
        <f>'GHG data from Eurostat'!CQ34</f>
        <v>0</v>
      </c>
      <c r="P28" s="26">
        <f>'GHG data from Eurostat'!CO34</f>
        <v>0</v>
      </c>
      <c r="Q28" s="26">
        <f>'GHG data from Eurostat'!CU34</f>
        <v>1.4400000000000001E-3</v>
      </c>
      <c r="R28" s="26">
        <f>IFERROR(('GHG data from Eurostat'!CS34+'GHG data from Eurostat'!CW34),0)</f>
        <v>9.8199999999999989E-3</v>
      </c>
      <c r="S28" s="26">
        <f>'GHG data from Eurostat'!CV34</f>
        <v>1.25E-3</v>
      </c>
      <c r="T28" s="26">
        <f>'GHG data from Eurostat'!CT34</f>
        <v>1.1E-4</v>
      </c>
      <c r="U28" s="26">
        <f>(Q28+M28)*1000</f>
        <v>1.4400000000000002</v>
      </c>
      <c r="V28" s="26">
        <f t="shared" si="119"/>
        <v>9.8199999999999985</v>
      </c>
      <c r="W28" s="26">
        <f t="shared" si="120"/>
        <v>1.25</v>
      </c>
      <c r="X28" s="26">
        <f t="shared" si="121"/>
        <v>0.11</v>
      </c>
      <c r="Y28" s="26">
        <f t="shared" si="11"/>
        <v>12.619999999999997</v>
      </c>
      <c r="Z28" s="27">
        <f t="shared" si="122"/>
        <v>0.18150604642017137</v>
      </c>
      <c r="AA28" s="27">
        <f t="shared" si="122"/>
        <v>0.8218199042772294</v>
      </c>
      <c r="AB28" s="27">
        <f t="shared" si="122"/>
        <v>0.12581781580271767</v>
      </c>
      <c r="AC28" s="27">
        <f t="shared" si="122"/>
        <v>0.64106299900926622</v>
      </c>
      <c r="AD28" s="28"/>
      <c r="AE28" s="27">
        <f t="shared" si="13"/>
        <v>0.182</v>
      </c>
      <c r="AF28" s="27">
        <f t="shared" si="88"/>
        <v>0.82199999999999995</v>
      </c>
      <c r="AG28" s="27">
        <f t="shared" si="89"/>
        <v>0.126</v>
      </c>
      <c r="AH28" s="27">
        <f t="shared" si="90"/>
        <v>0.64100000000000001</v>
      </c>
      <c r="AI28" s="29"/>
      <c r="AJ28" s="26" t="s">
        <v>181</v>
      </c>
      <c r="AK28" s="26" t="s">
        <v>232</v>
      </c>
      <c r="AL28" s="26">
        <f>VLOOKUP($AJ28,Landcover!$A$3:$K$30,5,FALSE)/1000</f>
        <v>115.399</v>
      </c>
      <c r="AM28" s="26">
        <f>VLOOKUP($AJ28,Landcover!$A$3:$K$30,6,FALSE)/1000</f>
        <v>123.76600000000001</v>
      </c>
      <c r="AN28" s="26">
        <f>VLOOKUP($AJ28,Landcover!$A$3:$K$30,8,FALSE)/1000</f>
        <v>74.218000000000004</v>
      </c>
      <c r="AO28" s="26">
        <f>VLOOKUP($AJ28,Landcover!$A$3:$K$30,11,FALSE)/1000</f>
        <v>2.0169999999999999</v>
      </c>
      <c r="AP28" s="26">
        <f>VLOOKUP($AJ28,Landcover!$A$3:$K$30,7,FALSE)/1000</f>
        <v>3.8359999999999999</v>
      </c>
      <c r="AQ28" s="29"/>
      <c r="AR28" s="26">
        <f>SUM('GHG data from Eurostat'!CX34,'GHG data from Eurostat'!DC34,'GHG data from Eurostat'!DG34,'GHG data from Eurostat'!DM34,'GHG data from Eurostat'!DP34,'GHG data from Eurostat'!DV34)</f>
        <v>6.9019999999999998E-2</v>
      </c>
      <c r="AS28" s="26">
        <f>'GHG data from Eurostat'!DS34+'GHG data from Eurostat'!DT34</f>
        <v>2.3899999999999998E-3</v>
      </c>
      <c r="AT28" s="26">
        <f>'GHG data from Eurostat'!EA34+'GHG data from Eurostat'!EB34</f>
        <v>3.3E-4</v>
      </c>
      <c r="AU28" s="26">
        <f>'GHG data from Eurostat'!ED34</f>
        <v>1.3999999999999999E-4</v>
      </c>
      <c r="AV28" s="26">
        <f>'GHG data from Eurostat'!EL34</f>
        <v>0</v>
      </c>
      <c r="AW28" s="28">
        <f t="shared" si="21"/>
        <v>7.1879999999999999E-2</v>
      </c>
      <c r="AX28" s="30">
        <f>IFERROR(AR28*1000/AL28,0)</f>
        <v>0.59809877035329595</v>
      </c>
      <c r="AY28" s="30">
        <f t="shared" si="123"/>
        <v>1.931063458461936E-2</v>
      </c>
      <c r="AZ28" s="30">
        <f t="shared" si="124"/>
        <v>4.4463607211188659E-3</v>
      </c>
      <c r="BA28" s="30">
        <f t="shared" si="125"/>
        <v>6.9410014873574608E-2</v>
      </c>
      <c r="BB28" s="30">
        <f t="shared" si="125"/>
        <v>0</v>
      </c>
      <c r="BC28" s="29"/>
      <c r="BD28" s="30">
        <f t="shared" si="17"/>
        <v>0.59809999999999997</v>
      </c>
      <c r="BE28" s="30">
        <f t="shared" si="94"/>
        <v>1.9300000000000001E-2</v>
      </c>
      <c r="BF28" s="30">
        <f t="shared" si="95"/>
        <v>4.4000000000000003E-3</v>
      </c>
      <c r="BG28" s="30">
        <f t="shared" si="96"/>
        <v>6.9400000000000003E-2</v>
      </c>
      <c r="BH28" s="30">
        <f t="shared" si="97"/>
        <v>0</v>
      </c>
      <c r="BI28" s="29"/>
      <c r="BJ28" s="30" t="str">
        <f t="shared" si="18"/>
        <v>Germany</v>
      </c>
      <c r="BK28" s="30" t="s">
        <v>261</v>
      </c>
      <c r="BL28" s="26">
        <f>'GHG data from Eurostat'!EP34</f>
        <v>0</v>
      </c>
    </row>
    <row r="29" spans="1:64" x14ac:dyDescent="0.25">
      <c r="A29" s="9" t="s">
        <v>200</v>
      </c>
      <c r="B29" s="9">
        <v>7.7738999999999989E-2</v>
      </c>
      <c r="C29" s="9">
        <v>0.47681000000000001</v>
      </c>
      <c r="D29" s="9">
        <v>0.53500000000000003</v>
      </c>
      <c r="E29" s="9">
        <v>1.3462000000000002E-2</v>
      </c>
      <c r="G29" s="9" t="s">
        <v>182</v>
      </c>
      <c r="H29" s="9" t="s">
        <v>262</v>
      </c>
      <c r="I29" s="9">
        <f t="shared" si="3"/>
        <v>8.7119999999999989E-2</v>
      </c>
      <c r="J29" s="9">
        <f t="shared" si="4"/>
        <v>0.25190000000000001</v>
      </c>
      <c r="K29" s="9">
        <f t="shared" si="5"/>
        <v>0.34100000000000003</v>
      </c>
      <c r="L29" s="9">
        <f t="shared" si="6"/>
        <v>7.8300000000000002E-3</v>
      </c>
      <c r="M29" s="9">
        <f>'GHG data from Eurostat'!CP35</f>
        <v>9.1800000000000007E-3</v>
      </c>
      <c r="N29" s="9">
        <f>'GHG data from Eurostat'!CN35</f>
        <v>0.58787</v>
      </c>
      <c r="O29" s="9">
        <f>'GHG data from Eurostat'!CQ35</f>
        <v>3.8400000000000001E-3</v>
      </c>
      <c r="P29" s="9">
        <f>'GHG data from Eurostat'!CO35</f>
        <v>1.9220000000000001E-2</v>
      </c>
      <c r="Q29" s="9">
        <f>'GHG data from Eurostat'!CU35</f>
        <v>4.7829999999999998E-2</v>
      </c>
      <c r="R29" s="9">
        <f>IFERROR(('GHG data from Eurostat'!CS35+'GHG data from Eurostat'!CW35),0)</f>
        <v>0.16292000000000001</v>
      </c>
      <c r="S29" s="9">
        <f>'GHG data from Eurostat'!CV35</f>
        <v>6.5199999999999998E-3</v>
      </c>
      <c r="T29" s="9">
        <f>'GHG data from Eurostat'!CT35</f>
        <v>1.8400000000000001E-3</v>
      </c>
      <c r="U29" s="9">
        <f>Q29+M29</f>
        <v>5.7009999999999998E-2</v>
      </c>
      <c r="V29" s="9">
        <f t="shared" ref="V29:V30" si="126">R29+N29</f>
        <v>0.75079000000000007</v>
      </c>
      <c r="W29" s="9">
        <f t="shared" ref="W29:W30" si="127">S29+O29</f>
        <v>1.0359999999999999E-2</v>
      </c>
      <c r="X29" s="9">
        <f t="shared" ref="X29:X30" si="128">T29+P29</f>
        <v>2.1060000000000002E-2</v>
      </c>
      <c r="Y29" s="9">
        <f t="shared" si="11"/>
        <v>0.83922000000000008</v>
      </c>
      <c r="Z29" s="17">
        <f t="shared" si="12"/>
        <v>0.65438475665748397</v>
      </c>
      <c r="AA29" s="17">
        <f t="shared" si="85"/>
        <v>2.9805081381500598</v>
      </c>
      <c r="AB29" s="17">
        <f t="shared" si="86"/>
        <v>3.0381231671554248E-2</v>
      </c>
      <c r="AC29" s="17">
        <f t="shared" si="87"/>
        <v>2.6896551724137931</v>
      </c>
      <c r="AD29" s="18"/>
      <c r="AE29" s="17">
        <f t="shared" si="13"/>
        <v>0.65400000000000003</v>
      </c>
      <c r="AF29" s="17">
        <f t="shared" si="88"/>
        <v>2.9809999999999999</v>
      </c>
      <c r="AG29" s="17">
        <f t="shared" si="89"/>
        <v>0.03</v>
      </c>
      <c r="AH29" s="17">
        <f t="shared" si="90"/>
        <v>2.69</v>
      </c>
      <c r="AJ29" s="9" t="s">
        <v>182</v>
      </c>
      <c r="AK29" s="9" t="s">
        <v>262</v>
      </c>
      <c r="AL29" s="9">
        <f>VLOOKUP($AJ29,Landcover!$A$3:$K$30,5,FALSE)/1000</f>
        <v>5.843</v>
      </c>
      <c r="AM29" s="9">
        <f>VLOOKUP($AJ29,Landcover!$A$3:$K$30,6,FALSE)/1000</f>
        <v>26.277000000000001</v>
      </c>
      <c r="AN29" s="9">
        <f>VLOOKUP($AJ29,Landcover!$A$3:$K$30,8,FALSE)/1000</f>
        <v>7.3390000000000004</v>
      </c>
      <c r="AO29" s="9">
        <f>VLOOKUP($AJ29,Landcover!$A$3:$K$30,11,FALSE)/1000</f>
        <v>2.234</v>
      </c>
      <c r="AP29" s="9">
        <f>VLOOKUP($AJ29,Landcover!$A$3:$K$30,7,FALSE)/1000</f>
        <v>0.34899999999999998</v>
      </c>
      <c r="AR29" s="9">
        <f>SUM('GHG data from Eurostat'!CX35,'GHG data from Eurostat'!DC35,'GHG data from Eurostat'!DG35,'GHG data from Eurostat'!DM35,'GHG data from Eurostat'!DP35,'GHG data from Eurostat'!DV35)</f>
        <v>1.18866</v>
      </c>
      <c r="AS29" s="9">
        <f>'GHG data from Eurostat'!DS35+'GHG data from Eurostat'!DT35</f>
        <v>3.0074100000000001</v>
      </c>
      <c r="AT29" s="9">
        <f>'GHG data from Eurostat'!EA35+'GHG data from Eurostat'!EB35</f>
        <v>-9.579E-2</v>
      </c>
      <c r="AU29" s="9">
        <f>'GHG data from Eurostat'!ED35</f>
        <v>1.1428700000000001</v>
      </c>
      <c r="AV29" s="9">
        <f>'GHG data from Eurostat'!EL35</f>
        <v>7.8009999999999996E-2</v>
      </c>
      <c r="AW29" s="18">
        <f t="shared" si="21"/>
        <v>5.3211600000000008</v>
      </c>
      <c r="AX29" s="16">
        <f>AR29/AL29</f>
        <v>0.20343316789320556</v>
      </c>
      <c r="AY29" s="16">
        <f t="shared" ref="AY29" si="129">AS29/AM29</f>
        <v>0.11445027971229592</v>
      </c>
      <c r="AZ29" s="16">
        <f t="shared" ref="AZ29" si="130">AT29/AN29</f>
        <v>-1.3052186946450469E-2</v>
      </c>
      <c r="BA29" s="16">
        <f t="shared" ref="BA29:BB29" si="131">AU29/AO29</f>
        <v>0.51158012533572073</v>
      </c>
      <c r="BB29" s="16">
        <f t="shared" si="131"/>
        <v>0.2235243553008596</v>
      </c>
      <c r="BD29" s="16">
        <f t="shared" si="17"/>
        <v>0.2034</v>
      </c>
      <c r="BE29" s="16">
        <f t="shared" si="94"/>
        <v>0.1145</v>
      </c>
      <c r="BF29" s="16">
        <f t="shared" si="95"/>
        <v>-1.3100000000000001E-2</v>
      </c>
      <c r="BG29" s="16">
        <f t="shared" si="96"/>
        <v>0.51160000000000005</v>
      </c>
      <c r="BH29" s="16">
        <f t="shared" si="97"/>
        <v>0.2235</v>
      </c>
      <c r="BJ29" s="16" t="str">
        <f t="shared" si="18"/>
        <v>Estonia</v>
      </c>
      <c r="BK29" s="16" t="s">
        <v>263</v>
      </c>
      <c r="BL29" s="9">
        <f>'GHG data from Eurostat'!EP35</f>
        <v>-1.0950500000000001</v>
      </c>
    </row>
    <row r="30" spans="1:64" x14ac:dyDescent="0.25">
      <c r="A30" s="9" t="s">
        <v>201</v>
      </c>
      <c r="B30" s="9">
        <v>0.188106</v>
      </c>
      <c r="C30" s="9">
        <v>0.43886000000000003</v>
      </c>
      <c r="D30" s="9">
        <v>0.66200000000000003</v>
      </c>
      <c r="E30" s="9">
        <v>3.8803000000000004E-2</v>
      </c>
      <c r="G30" s="9" t="s">
        <v>182</v>
      </c>
      <c r="H30" s="9" t="s">
        <v>233</v>
      </c>
      <c r="I30" s="9">
        <f t="shared" si="3"/>
        <v>8.7119999999999989E-2</v>
      </c>
      <c r="J30" s="9">
        <f t="shared" si="4"/>
        <v>0.25190000000000001</v>
      </c>
      <c r="K30" s="9">
        <f t="shared" si="5"/>
        <v>0.34100000000000003</v>
      </c>
      <c r="L30" s="9">
        <f t="shared" si="6"/>
        <v>7.8300000000000002E-3</v>
      </c>
      <c r="M30" s="9">
        <f>'GHG data from Eurostat'!CP36</f>
        <v>0</v>
      </c>
      <c r="N30" s="9">
        <f>'GHG data from Eurostat'!CN36</f>
        <v>0</v>
      </c>
      <c r="O30" s="9">
        <f>'GHG data from Eurostat'!CQ36</f>
        <v>0</v>
      </c>
      <c r="P30" s="9">
        <f>'GHG data from Eurostat'!CO36</f>
        <v>0</v>
      </c>
      <c r="Q30" s="9">
        <f>'GHG data from Eurostat'!CU36</f>
        <v>0</v>
      </c>
      <c r="R30" s="9">
        <f>IFERROR(('GHG data from Eurostat'!CS36+'GHG data from Eurostat'!CW36),0)</f>
        <v>0</v>
      </c>
      <c r="S30" s="9">
        <f>'GHG data from Eurostat'!CV36</f>
        <v>0</v>
      </c>
      <c r="T30" s="9">
        <f>'GHG data from Eurostat'!CT36</f>
        <v>0</v>
      </c>
      <c r="U30" s="9">
        <f t="shared" ref="U30" si="132">Q30+M30</f>
        <v>0</v>
      </c>
      <c r="V30" s="9">
        <f t="shared" si="126"/>
        <v>0</v>
      </c>
      <c r="W30" s="9">
        <f t="shared" si="127"/>
        <v>0</v>
      </c>
      <c r="X30" s="9">
        <f t="shared" si="128"/>
        <v>0</v>
      </c>
      <c r="Y30" s="9">
        <f t="shared" si="11"/>
        <v>0</v>
      </c>
      <c r="Z30" s="17">
        <f t="shared" si="12"/>
        <v>0</v>
      </c>
      <c r="AA30" s="17">
        <f t="shared" si="85"/>
        <v>0</v>
      </c>
      <c r="AB30" s="17">
        <f t="shared" si="86"/>
        <v>0</v>
      </c>
      <c r="AC30" s="17">
        <f t="shared" si="87"/>
        <v>0</v>
      </c>
      <c r="AD30" s="18"/>
      <c r="AE30" s="17">
        <f t="shared" si="13"/>
        <v>0</v>
      </c>
      <c r="AF30" s="17">
        <f t="shared" si="88"/>
        <v>0</v>
      </c>
      <c r="AG30" s="17">
        <f t="shared" si="89"/>
        <v>0</v>
      </c>
      <c r="AH30" s="17">
        <f t="shared" si="90"/>
        <v>0</v>
      </c>
      <c r="AJ30" s="9" t="s">
        <v>182</v>
      </c>
      <c r="AK30" s="9" t="s">
        <v>233</v>
      </c>
      <c r="AL30" s="9">
        <f>VLOOKUP($AJ30,Landcover!$A$3:$K$30,5,FALSE)/1000</f>
        <v>5.843</v>
      </c>
      <c r="AM30" s="9">
        <f>VLOOKUP($AJ30,Landcover!$A$3:$K$30,6,FALSE)/1000</f>
        <v>26.277000000000001</v>
      </c>
      <c r="AN30" s="9">
        <f>VLOOKUP($AJ30,Landcover!$A$3:$K$30,8,FALSE)/1000</f>
        <v>7.3390000000000004</v>
      </c>
      <c r="AO30" s="9">
        <f>VLOOKUP($AJ30,Landcover!$A$3:$K$30,11,FALSE)/1000</f>
        <v>2.234</v>
      </c>
      <c r="AP30" s="9">
        <f>VLOOKUP($AJ30,Landcover!$A$3:$K$30,7,FALSE)/1000</f>
        <v>0.34899999999999998</v>
      </c>
      <c r="AR30" s="9">
        <f>SUM('GHG data from Eurostat'!CX36,'GHG data from Eurostat'!DC36,'GHG data from Eurostat'!DG36,'GHG data from Eurostat'!DM36,'GHG data from Eurostat'!DP36,'GHG data from Eurostat'!DV36)</f>
        <v>0.56106999999999996</v>
      </c>
      <c r="AS30" s="9">
        <f>'GHG data from Eurostat'!DS36+'GHG data from Eurostat'!DT36</f>
        <v>2.3651800000000001</v>
      </c>
      <c r="AT30" s="9">
        <f>'GHG data from Eurostat'!EA36+'GHG data from Eurostat'!EB36</f>
        <v>-9.5880000000000007E-2</v>
      </c>
      <c r="AU30" s="9">
        <f>'GHG data from Eurostat'!ED36</f>
        <v>1.14062</v>
      </c>
      <c r="AV30" s="9">
        <f>'GHG data from Eurostat'!EL36</f>
        <v>7.6619999999999994E-2</v>
      </c>
      <c r="AW30" s="18">
        <f t="shared" si="21"/>
        <v>4.0476099999999997</v>
      </c>
      <c r="AX30" s="16">
        <f>AR30/AL30</f>
        <v>9.6024302584288887E-2</v>
      </c>
      <c r="AY30" s="16">
        <f t="shared" ref="AY30" si="133">AS30/AM30</f>
        <v>9.0009514023670883E-2</v>
      </c>
      <c r="AZ30" s="16">
        <f t="shared" ref="AZ30" si="134">AT30/AN30</f>
        <v>-1.3064450197574601E-2</v>
      </c>
      <c r="BA30" s="16">
        <f t="shared" ref="BA30:BB30" si="135">AU30/AO30</f>
        <v>0.51057296329453894</v>
      </c>
      <c r="BB30" s="16">
        <f t="shared" si="135"/>
        <v>0.21954154727793695</v>
      </c>
      <c r="BD30" s="16">
        <f t="shared" si="17"/>
        <v>9.6000000000000002E-2</v>
      </c>
      <c r="BE30" s="16">
        <f t="shared" si="94"/>
        <v>0.09</v>
      </c>
      <c r="BF30" s="16">
        <f t="shared" si="95"/>
        <v>-1.3100000000000001E-2</v>
      </c>
      <c r="BG30" s="16">
        <f t="shared" si="96"/>
        <v>0.51060000000000005</v>
      </c>
      <c r="BH30" s="16">
        <f t="shared" si="97"/>
        <v>0.2195</v>
      </c>
      <c r="BJ30" s="16" t="str">
        <f t="shared" si="18"/>
        <v>Estonia</v>
      </c>
      <c r="BK30" s="16" t="s">
        <v>259</v>
      </c>
      <c r="BL30" s="9">
        <f>'GHG data from Eurostat'!EP36</f>
        <v>-1.0950500000000001</v>
      </c>
    </row>
    <row r="31" spans="1:64" x14ac:dyDescent="0.25">
      <c r="A31" s="9" t="s">
        <v>202</v>
      </c>
      <c r="B31" s="9">
        <v>0.31236000000000003</v>
      </c>
      <c r="C31" s="9">
        <v>0.85938000000000003</v>
      </c>
      <c r="D31" s="9">
        <v>1.0820000000000001</v>
      </c>
      <c r="E31" s="9">
        <v>1.5081000000000001E-2</v>
      </c>
      <c r="G31" s="9" t="s">
        <v>182</v>
      </c>
      <c r="H31" s="9" t="s">
        <v>231</v>
      </c>
      <c r="I31" s="9">
        <f t="shared" si="3"/>
        <v>8.7119999999999989E-2</v>
      </c>
      <c r="J31" s="9">
        <f t="shared" si="4"/>
        <v>0.25190000000000001</v>
      </c>
      <c r="K31" s="9">
        <f t="shared" si="5"/>
        <v>0.34100000000000003</v>
      </c>
      <c r="L31" s="9">
        <f t="shared" si="6"/>
        <v>7.8300000000000002E-3</v>
      </c>
      <c r="M31" s="9">
        <f>'GHG data from Eurostat'!CP37</f>
        <v>3.3E-4</v>
      </c>
      <c r="N31" s="9">
        <f>'GHG data from Eurostat'!CN37</f>
        <v>2.1000000000000001E-2</v>
      </c>
      <c r="O31" s="9">
        <f>'GHG data from Eurostat'!CQ37</f>
        <v>1.3999999999999999E-4</v>
      </c>
      <c r="P31" s="9">
        <f>'GHG data from Eurostat'!CO37</f>
        <v>6.8999999999999997E-4</v>
      </c>
      <c r="Q31" s="9">
        <f>'GHG data from Eurostat'!CU37</f>
        <v>1.6900000000000001E-3</v>
      </c>
      <c r="R31" s="9">
        <f>IFERROR(('GHG data from Eurostat'!CS37+'GHG data from Eurostat'!CW37),0)</f>
        <v>3.9399999999999999E-3</v>
      </c>
      <c r="S31" s="9">
        <f>'GHG data from Eurostat'!CV37</f>
        <v>1E-4</v>
      </c>
      <c r="T31" s="9">
        <f>'GHG data from Eurostat'!CT37</f>
        <v>2.0000000000000002E-5</v>
      </c>
      <c r="U31" s="9">
        <f>(Q31+M31)*1000</f>
        <v>2.02</v>
      </c>
      <c r="V31" s="9">
        <f t="shared" ref="V31:V32" si="136">(R31+N31)*1000</f>
        <v>24.94</v>
      </c>
      <c r="W31" s="9">
        <f t="shared" ref="W31:W32" si="137">(S31+O31)*1000</f>
        <v>0.24</v>
      </c>
      <c r="X31" s="9">
        <f t="shared" ref="X31:X32" si="138">(T31+P31)*1000</f>
        <v>0.71</v>
      </c>
      <c r="Y31" s="9">
        <f t="shared" si="11"/>
        <v>27.91</v>
      </c>
      <c r="Z31" s="17">
        <f t="shared" ref="Z31:AC32" si="139">IFERROR((M31+Q31)*1000/I31,0)</f>
        <v>23.186409550045916</v>
      </c>
      <c r="AA31" s="17">
        <f t="shared" si="139"/>
        <v>99.007542675664951</v>
      </c>
      <c r="AB31" s="17">
        <f t="shared" si="139"/>
        <v>0.70381231671554245</v>
      </c>
      <c r="AC31" s="17">
        <f t="shared" si="139"/>
        <v>90.676883780332048</v>
      </c>
      <c r="AD31" s="18"/>
      <c r="AE31" s="17">
        <f t="shared" si="13"/>
        <v>23.186</v>
      </c>
      <c r="AF31" s="17">
        <f t="shared" si="88"/>
        <v>99.007999999999996</v>
      </c>
      <c r="AG31" s="17">
        <f t="shared" si="89"/>
        <v>0.70399999999999996</v>
      </c>
      <c r="AH31" s="17">
        <f t="shared" si="90"/>
        <v>90.677000000000007</v>
      </c>
      <c r="AJ31" s="9" t="s">
        <v>182</v>
      </c>
      <c r="AK31" s="9" t="s">
        <v>231</v>
      </c>
      <c r="AL31" s="9">
        <f>VLOOKUP($AJ31,Landcover!$A$3:$K$30,5,FALSE)/1000</f>
        <v>5.843</v>
      </c>
      <c r="AM31" s="9">
        <f>VLOOKUP($AJ31,Landcover!$A$3:$K$30,6,FALSE)/1000</f>
        <v>26.277000000000001</v>
      </c>
      <c r="AN31" s="9">
        <f>VLOOKUP($AJ31,Landcover!$A$3:$K$30,8,FALSE)/1000</f>
        <v>7.3390000000000004</v>
      </c>
      <c r="AO31" s="9">
        <f>VLOOKUP($AJ31,Landcover!$A$3:$K$30,11,FALSE)/1000</f>
        <v>2.234</v>
      </c>
      <c r="AP31" s="9">
        <f>VLOOKUP($AJ31,Landcover!$A$3:$K$30,7,FALSE)/1000</f>
        <v>0.34899999999999998</v>
      </c>
      <c r="AR31" s="9">
        <f>SUM('GHG data from Eurostat'!CX37,'GHG data from Eurostat'!DC37,'GHG data from Eurostat'!DG37,'GHG data from Eurostat'!DM37,'GHG data from Eurostat'!DP37,'GHG data from Eurostat'!DV37)</f>
        <v>0</v>
      </c>
      <c r="AS31" s="9">
        <f>'GHG data from Eurostat'!DS37+'GHG data from Eurostat'!DT37</f>
        <v>5.6299999999999996E-3</v>
      </c>
      <c r="AT31" s="9">
        <f>'GHG data from Eurostat'!EA37+'GHG data from Eurostat'!EB37</f>
        <v>0</v>
      </c>
      <c r="AU31" s="9">
        <f>'GHG data from Eurostat'!ED37</f>
        <v>0</v>
      </c>
      <c r="AV31" s="9">
        <f>'GHG data from Eurostat'!EL37</f>
        <v>0</v>
      </c>
      <c r="AW31" s="18">
        <f t="shared" si="21"/>
        <v>5.6299999999999996E-3</v>
      </c>
      <c r="AX31" s="16">
        <f>IFERROR(AR31*1000/AL31,0)</f>
        <v>0</v>
      </c>
      <c r="AY31" s="16">
        <f t="shared" ref="AY31:AY32" si="140">IFERROR(AS31*1000/AM31,0)</f>
        <v>0.21425581306846289</v>
      </c>
      <c r="AZ31" s="16">
        <f t="shared" ref="AZ31:AZ32" si="141">IFERROR(AT31*1000/AN31,0)</f>
        <v>0</v>
      </c>
      <c r="BA31" s="16">
        <f t="shared" ref="BA31:BB32" si="142">IFERROR(AU31*1000/AO31,0)</f>
        <v>0</v>
      </c>
      <c r="BB31" s="16">
        <f t="shared" si="142"/>
        <v>0</v>
      </c>
      <c r="BD31" s="16">
        <f t="shared" si="17"/>
        <v>0</v>
      </c>
      <c r="BE31" s="16">
        <f t="shared" si="94"/>
        <v>0.21429999999999999</v>
      </c>
      <c r="BF31" s="16">
        <f t="shared" si="95"/>
        <v>0</v>
      </c>
      <c r="BG31" s="16">
        <f t="shared" si="96"/>
        <v>0</v>
      </c>
      <c r="BH31" s="16">
        <f t="shared" si="97"/>
        <v>0</v>
      </c>
      <c r="BJ31" s="16" t="str">
        <f t="shared" si="18"/>
        <v>Estonia</v>
      </c>
      <c r="BK31" s="16" t="s">
        <v>260</v>
      </c>
      <c r="BL31" s="9">
        <f>'GHG data from Eurostat'!EP37</f>
        <v>0</v>
      </c>
    </row>
    <row r="32" spans="1:64" x14ac:dyDescent="0.25">
      <c r="A32" s="9" t="s">
        <v>203</v>
      </c>
      <c r="B32" s="9">
        <v>0.42515999999999998</v>
      </c>
      <c r="C32" s="9">
        <v>1.4354500000000001</v>
      </c>
      <c r="D32" s="9">
        <v>1.4470000000000001</v>
      </c>
      <c r="E32" s="9">
        <v>3.7851999999999997E-2</v>
      </c>
      <c r="G32" s="9" t="s">
        <v>182</v>
      </c>
      <c r="H32" s="9" t="s">
        <v>232</v>
      </c>
      <c r="I32" s="9">
        <f t="shared" si="3"/>
        <v>8.7119999999999989E-2</v>
      </c>
      <c r="J32" s="9">
        <f t="shared" si="4"/>
        <v>0.25190000000000001</v>
      </c>
      <c r="K32" s="9">
        <f t="shared" si="5"/>
        <v>0.34100000000000003</v>
      </c>
      <c r="L32" s="9">
        <f t="shared" si="6"/>
        <v>7.8300000000000002E-3</v>
      </c>
      <c r="M32" s="9">
        <f>'GHG data from Eurostat'!CP38</f>
        <v>0</v>
      </c>
      <c r="N32" s="9">
        <f>'GHG data from Eurostat'!CN38</f>
        <v>0</v>
      </c>
      <c r="O32" s="9">
        <f>'GHG data from Eurostat'!CQ38</f>
        <v>0</v>
      </c>
      <c r="P32" s="9">
        <f>'GHG data from Eurostat'!CO38</f>
        <v>0</v>
      </c>
      <c r="Q32" s="9">
        <f>'GHG data from Eurostat'!CU38</f>
        <v>0</v>
      </c>
      <c r="R32" s="9">
        <f>IFERROR(('GHG data from Eurostat'!CS38+'GHG data from Eurostat'!CW38),0)</f>
        <v>1.8999999999999998E-4</v>
      </c>
      <c r="S32" s="9">
        <f>'GHG data from Eurostat'!CV38</f>
        <v>1.0000000000000001E-5</v>
      </c>
      <c r="T32" s="9">
        <f>'GHG data from Eurostat'!CT38</f>
        <v>1.0000000000000001E-5</v>
      </c>
      <c r="U32" s="9">
        <f>(Q32+M32)*1000</f>
        <v>0</v>
      </c>
      <c r="V32" s="9">
        <f t="shared" si="136"/>
        <v>0.18999999999999997</v>
      </c>
      <c r="W32" s="9">
        <f t="shared" si="137"/>
        <v>0.01</v>
      </c>
      <c r="X32" s="9">
        <f t="shared" si="138"/>
        <v>0.01</v>
      </c>
      <c r="Y32" s="9">
        <f t="shared" si="11"/>
        <v>0.21</v>
      </c>
      <c r="Z32" s="17">
        <f t="shared" si="139"/>
        <v>0</v>
      </c>
      <c r="AA32" s="17">
        <f t="shared" si="139"/>
        <v>0.75426756649464055</v>
      </c>
      <c r="AB32" s="17">
        <f t="shared" si="139"/>
        <v>2.9325513196480937E-2</v>
      </c>
      <c r="AC32" s="17">
        <f t="shared" si="139"/>
        <v>1.277139208173691</v>
      </c>
      <c r="AD32" s="18"/>
      <c r="AE32" s="17">
        <f t="shared" si="13"/>
        <v>0</v>
      </c>
      <c r="AF32" s="17">
        <f t="shared" si="88"/>
        <v>0.754</v>
      </c>
      <c r="AG32" s="17">
        <f t="shared" si="89"/>
        <v>2.9000000000000001E-2</v>
      </c>
      <c r="AH32" s="17">
        <f t="shared" si="90"/>
        <v>1.2769999999999999</v>
      </c>
      <c r="AJ32" s="9" t="s">
        <v>182</v>
      </c>
      <c r="AK32" s="9" t="s">
        <v>232</v>
      </c>
      <c r="AL32" s="9">
        <f>VLOOKUP($AJ32,Landcover!$A$3:$K$30,5,FALSE)/1000</f>
        <v>5.843</v>
      </c>
      <c r="AM32" s="9">
        <f>VLOOKUP($AJ32,Landcover!$A$3:$K$30,6,FALSE)/1000</f>
        <v>26.277000000000001</v>
      </c>
      <c r="AN32" s="9">
        <f>VLOOKUP($AJ32,Landcover!$A$3:$K$30,8,FALSE)/1000</f>
        <v>7.3390000000000004</v>
      </c>
      <c r="AO32" s="9">
        <f>VLOOKUP($AJ32,Landcover!$A$3:$K$30,11,FALSE)/1000</f>
        <v>2.234</v>
      </c>
      <c r="AP32" s="9">
        <f>VLOOKUP($AJ32,Landcover!$A$3:$K$30,7,FALSE)/1000</f>
        <v>0.34899999999999998</v>
      </c>
      <c r="AR32" s="9">
        <f>SUM('GHG data from Eurostat'!CX38,'GHG data from Eurostat'!DC38,'GHG data from Eurostat'!DG38,'GHG data from Eurostat'!DM38,'GHG data from Eurostat'!DP38,'GHG data from Eurostat'!DV38)</f>
        <v>2.3700000000000001E-3</v>
      </c>
      <c r="AS32" s="9">
        <f>'GHG data from Eurostat'!DS38+'GHG data from Eurostat'!DT38</f>
        <v>1.82E-3</v>
      </c>
      <c r="AT32" s="9">
        <f>'GHG data from Eurostat'!EA38+'GHG data from Eurostat'!EB38</f>
        <v>0</v>
      </c>
      <c r="AU32" s="9">
        <f>'GHG data from Eurostat'!ED38</f>
        <v>1.0000000000000001E-5</v>
      </c>
      <c r="AV32" s="9">
        <f>'GHG data from Eurostat'!EL38</f>
        <v>1.0000000000000001E-5</v>
      </c>
      <c r="AW32" s="18">
        <f t="shared" si="21"/>
        <v>4.2099999999999993E-3</v>
      </c>
      <c r="AX32" s="16">
        <f>IFERROR(AR32*1000/AL32,0)</f>
        <v>0.40561355468081467</v>
      </c>
      <c r="AY32" s="16">
        <f t="shared" si="140"/>
        <v>6.92620923240857E-2</v>
      </c>
      <c r="AZ32" s="16">
        <f t="shared" si="141"/>
        <v>0</v>
      </c>
      <c r="BA32" s="16">
        <f t="shared" si="142"/>
        <v>4.4762757385854966E-3</v>
      </c>
      <c r="BB32" s="16">
        <f t="shared" si="142"/>
        <v>2.865329512893983E-2</v>
      </c>
      <c r="BD32" s="16">
        <f t="shared" si="17"/>
        <v>0.40560000000000002</v>
      </c>
      <c r="BE32" s="16">
        <f t="shared" si="94"/>
        <v>6.93E-2</v>
      </c>
      <c r="BF32" s="16">
        <f t="shared" si="95"/>
        <v>0</v>
      </c>
      <c r="BG32" s="16">
        <f t="shared" si="96"/>
        <v>4.4999999999999997E-3</v>
      </c>
      <c r="BH32" s="16">
        <f t="shared" si="97"/>
        <v>2.87E-2</v>
      </c>
      <c r="BJ32" s="16" t="str">
        <f t="shared" si="18"/>
        <v>Estonia</v>
      </c>
      <c r="BK32" s="16" t="s">
        <v>261</v>
      </c>
      <c r="BL32" s="9">
        <f>'GHG data from Eurostat'!EP38</f>
        <v>0</v>
      </c>
    </row>
    <row r="33" spans="7:64" x14ac:dyDescent="0.25">
      <c r="G33" s="9" t="s">
        <v>183</v>
      </c>
      <c r="H33" s="9" t="s">
        <v>262</v>
      </c>
      <c r="I33" s="9">
        <f t="shared" si="3"/>
        <v>0.47164500000000004</v>
      </c>
      <c r="J33" s="9">
        <f t="shared" si="4"/>
        <v>6.5934900000000001</v>
      </c>
      <c r="K33" s="9">
        <f t="shared" si="5"/>
        <v>1.38</v>
      </c>
      <c r="L33" s="9">
        <f t="shared" si="6"/>
        <v>0.38072500000000004</v>
      </c>
      <c r="M33" s="9">
        <f>'GHG data from Eurostat'!CP39</f>
        <v>5.3850000000000002E-2</v>
      </c>
      <c r="N33" s="9">
        <f>'GHG data from Eurostat'!CN39</f>
        <v>11.808619999999999</v>
      </c>
      <c r="O33" s="9">
        <f>'GHG data from Eurostat'!CQ39</f>
        <v>4.7039999999999998E-2</v>
      </c>
      <c r="P33" s="9">
        <f>'GHG data from Eurostat'!CO39</f>
        <v>1.0070300000000001</v>
      </c>
      <c r="Q33" s="9">
        <f>'GHG data from Eurostat'!CU39</f>
        <v>0.37685999999999997</v>
      </c>
      <c r="R33" s="9">
        <f>IFERROR(('GHG data from Eurostat'!CS39+'GHG data from Eurostat'!CW39),0)</f>
        <v>2.0215299999999998</v>
      </c>
      <c r="S33" s="9">
        <f>'GHG data from Eurostat'!CV39</f>
        <v>0.12952</v>
      </c>
      <c r="T33" s="9">
        <f>'GHG data from Eurostat'!CT39</f>
        <v>3.9260000000000003E-2</v>
      </c>
      <c r="U33" s="9">
        <f>Q33+M33</f>
        <v>0.43070999999999998</v>
      </c>
      <c r="V33" s="9">
        <f t="shared" ref="V33:V34" si="143">R33+N33</f>
        <v>13.83015</v>
      </c>
      <c r="W33" s="9">
        <f t="shared" ref="W33:W34" si="144">S33+O33</f>
        <v>0.17655999999999999</v>
      </c>
      <c r="X33" s="9">
        <f t="shared" ref="X33:X34" si="145">T33+P33</f>
        <v>1.0462900000000002</v>
      </c>
      <c r="Y33" s="9">
        <f t="shared" si="11"/>
        <v>15.48371</v>
      </c>
      <c r="Z33" s="17">
        <f t="shared" si="12"/>
        <v>0.91320802722386529</v>
      </c>
      <c r="AA33" s="17">
        <f t="shared" si="85"/>
        <v>2.0975462160403668</v>
      </c>
      <c r="AB33" s="17">
        <f t="shared" si="86"/>
        <v>0.12794202898550724</v>
      </c>
      <c r="AC33" s="17">
        <f t="shared" si="87"/>
        <v>2.7481515529581722</v>
      </c>
      <c r="AD33" s="18"/>
      <c r="AE33" s="17">
        <f t="shared" si="13"/>
        <v>0.91300000000000003</v>
      </c>
      <c r="AF33" s="17">
        <f t="shared" si="88"/>
        <v>2.0979999999999999</v>
      </c>
      <c r="AG33" s="17">
        <f t="shared" si="89"/>
        <v>0.128</v>
      </c>
      <c r="AH33" s="17">
        <f t="shared" si="90"/>
        <v>2.7480000000000002</v>
      </c>
      <c r="AJ33" s="9" t="s">
        <v>183</v>
      </c>
      <c r="AK33" s="9" t="s">
        <v>262</v>
      </c>
      <c r="AL33" s="9">
        <f>VLOOKUP($AJ33,Landcover!$A$3:$K$30,5,FALSE)/1000</f>
        <v>3.8180000000000001</v>
      </c>
      <c r="AM33" s="9">
        <f>VLOOKUP($AJ33,Landcover!$A$3:$K$30,6,FALSE)/1000</f>
        <v>9.8819999999999997</v>
      </c>
      <c r="AN33" s="9">
        <f>VLOOKUP($AJ33,Landcover!$A$3:$K$30,8,FALSE)/1000</f>
        <v>40.334000000000003</v>
      </c>
      <c r="AO33" s="9">
        <f>VLOOKUP($AJ33,Landcover!$A$3:$K$30,11,FALSE)/1000</f>
        <v>3.4780000000000002</v>
      </c>
      <c r="AP33" s="9">
        <f>VLOOKUP($AJ33,Landcover!$A$3:$K$30,7,FALSE)/1000</f>
        <v>7.157</v>
      </c>
      <c r="AR33" s="9">
        <f>SUM('GHG data from Eurostat'!CX39,'GHG data from Eurostat'!DC39,'GHG data from Eurostat'!DG39,'GHG data from Eurostat'!DM39,'GHG data from Eurostat'!DP39,'GHG data from Eurostat'!DV39)</f>
        <v>5.0029700000000004</v>
      </c>
      <c r="AS33" s="9">
        <f>'GHG data from Eurostat'!DS39+'GHG data from Eurostat'!DT39</f>
        <v>0.77059999999999995</v>
      </c>
      <c r="AT33" s="9">
        <f>'GHG data from Eurostat'!EA39+'GHG data from Eurostat'!EB39</f>
        <v>3.97281</v>
      </c>
      <c r="AU33" s="9">
        <f>'GHG data from Eurostat'!ED39</f>
        <v>4.6120400000000004</v>
      </c>
      <c r="AV33" s="9">
        <f>'GHG data from Eurostat'!EL39</f>
        <v>1.686E-2</v>
      </c>
      <c r="AW33" s="18">
        <f t="shared" si="21"/>
        <v>14.37528</v>
      </c>
      <c r="AX33" s="16">
        <f>AR33/AL33</f>
        <v>1.3103640649554742</v>
      </c>
      <c r="AY33" s="16">
        <f t="shared" ref="AY33" si="146">AS33/AM33</f>
        <v>7.7980165958308034E-2</v>
      </c>
      <c r="AZ33" s="16">
        <f t="shared" ref="AZ33" si="147">AT33/AN33</f>
        <v>9.8497793424902058E-2</v>
      </c>
      <c r="BA33" s="16">
        <f t="shared" ref="BA33:BB33" si="148">AU33/AO33</f>
        <v>1.3260609545715929</v>
      </c>
      <c r="BB33" s="16">
        <f t="shared" si="148"/>
        <v>2.3557356434260163E-3</v>
      </c>
      <c r="BD33" s="16">
        <f t="shared" si="17"/>
        <v>1.3104</v>
      </c>
      <c r="BE33" s="16">
        <f t="shared" si="94"/>
        <v>7.8E-2</v>
      </c>
      <c r="BF33" s="16">
        <f t="shared" si="95"/>
        <v>9.8500000000000004E-2</v>
      </c>
      <c r="BG33" s="16">
        <f t="shared" si="96"/>
        <v>1.3261000000000001</v>
      </c>
      <c r="BH33" s="16">
        <f t="shared" si="97"/>
        <v>2.3999999999999998E-3</v>
      </c>
      <c r="BJ33" s="16" t="str">
        <f t="shared" si="18"/>
        <v>Ireland</v>
      </c>
      <c r="BK33" s="16" t="s">
        <v>263</v>
      </c>
      <c r="BL33" s="9">
        <f>'GHG data from Eurostat'!EP39</f>
        <v>-0.82565999999999995</v>
      </c>
    </row>
    <row r="34" spans="7:64" x14ac:dyDescent="0.25">
      <c r="G34" s="9" t="s">
        <v>183</v>
      </c>
      <c r="H34" s="9" t="s">
        <v>233</v>
      </c>
      <c r="I34" s="9">
        <f t="shared" si="3"/>
        <v>0.47164500000000004</v>
      </c>
      <c r="J34" s="9">
        <f t="shared" si="4"/>
        <v>6.5934900000000001</v>
      </c>
      <c r="K34" s="9">
        <f t="shared" si="5"/>
        <v>1.38</v>
      </c>
      <c r="L34" s="9">
        <f t="shared" si="6"/>
        <v>0.38072500000000004</v>
      </c>
      <c r="M34" s="9">
        <f>'GHG data from Eurostat'!CP40</f>
        <v>0</v>
      </c>
      <c r="N34" s="9">
        <f>'GHG data from Eurostat'!CN40</f>
        <v>0</v>
      </c>
      <c r="O34" s="9">
        <f>'GHG data from Eurostat'!CQ40</f>
        <v>0</v>
      </c>
      <c r="P34" s="9">
        <f>'GHG data from Eurostat'!CO40</f>
        <v>0</v>
      </c>
      <c r="Q34" s="9">
        <f>'GHG data from Eurostat'!CU40</f>
        <v>0</v>
      </c>
      <c r="R34" s="9">
        <f>IFERROR(('GHG data from Eurostat'!CS40+'GHG data from Eurostat'!CW40),0)</f>
        <v>0</v>
      </c>
      <c r="S34" s="9">
        <f>'GHG data from Eurostat'!CV40</f>
        <v>0</v>
      </c>
      <c r="T34" s="9">
        <f>'GHG data from Eurostat'!CT40</f>
        <v>0</v>
      </c>
      <c r="U34" s="9">
        <f t="shared" ref="U34" si="149">Q34+M34</f>
        <v>0</v>
      </c>
      <c r="V34" s="9">
        <f t="shared" si="143"/>
        <v>0</v>
      </c>
      <c r="W34" s="9">
        <f t="shared" si="144"/>
        <v>0</v>
      </c>
      <c r="X34" s="9">
        <f t="shared" si="145"/>
        <v>0</v>
      </c>
      <c r="Y34" s="9">
        <f t="shared" si="11"/>
        <v>0</v>
      </c>
      <c r="Z34" s="17">
        <f t="shared" si="12"/>
        <v>0</v>
      </c>
      <c r="AA34" s="17">
        <f t="shared" si="85"/>
        <v>0</v>
      </c>
      <c r="AB34" s="17">
        <f t="shared" si="86"/>
        <v>0</v>
      </c>
      <c r="AC34" s="17">
        <f t="shared" si="87"/>
        <v>0</v>
      </c>
      <c r="AD34" s="18"/>
      <c r="AE34" s="17">
        <f t="shared" si="13"/>
        <v>0</v>
      </c>
      <c r="AF34" s="17">
        <f t="shared" si="88"/>
        <v>0</v>
      </c>
      <c r="AG34" s="17">
        <f t="shared" si="89"/>
        <v>0</v>
      </c>
      <c r="AH34" s="17">
        <f t="shared" si="90"/>
        <v>0</v>
      </c>
      <c r="AJ34" s="9" t="s">
        <v>183</v>
      </c>
      <c r="AK34" s="9" t="s">
        <v>233</v>
      </c>
      <c r="AL34" s="9">
        <f>VLOOKUP($AJ34,Landcover!$A$3:$K$30,5,FALSE)/1000</f>
        <v>3.8180000000000001</v>
      </c>
      <c r="AM34" s="9">
        <f>VLOOKUP($AJ34,Landcover!$A$3:$K$30,6,FALSE)/1000</f>
        <v>9.8819999999999997</v>
      </c>
      <c r="AN34" s="9">
        <f>VLOOKUP($AJ34,Landcover!$A$3:$K$30,8,FALSE)/1000</f>
        <v>40.334000000000003</v>
      </c>
      <c r="AO34" s="9">
        <f>VLOOKUP($AJ34,Landcover!$A$3:$K$30,11,FALSE)/1000</f>
        <v>3.4780000000000002</v>
      </c>
      <c r="AP34" s="9">
        <f>VLOOKUP($AJ34,Landcover!$A$3:$K$30,7,FALSE)/1000</f>
        <v>7.157</v>
      </c>
      <c r="AR34" s="9">
        <f>SUM('GHG data from Eurostat'!CX40,'GHG data from Eurostat'!DC40,'GHG data from Eurostat'!DG40,'GHG data from Eurostat'!DM40,'GHG data from Eurostat'!DP40,'GHG data from Eurostat'!DV40)</f>
        <v>0.30624000000000001</v>
      </c>
      <c r="AS34" s="9">
        <f>'GHG data from Eurostat'!DS40+'GHG data from Eurostat'!DT40</f>
        <v>0.25289</v>
      </c>
      <c r="AT34" s="9">
        <f>'GHG data from Eurostat'!EA40+'GHG data from Eurostat'!EB40</f>
        <v>1.3248800000000001</v>
      </c>
      <c r="AU34" s="9">
        <f>'GHG data from Eurostat'!ED40</f>
        <v>2.4053100000000001</v>
      </c>
      <c r="AV34" s="9">
        <f>'GHG data from Eurostat'!EL40</f>
        <v>1.5650000000000001E-2</v>
      </c>
      <c r="AW34" s="18">
        <f t="shared" si="21"/>
        <v>4.30497</v>
      </c>
      <c r="AX34" s="16">
        <f>AR34/AL34</f>
        <v>8.0209533787323206E-2</v>
      </c>
      <c r="AY34" s="16">
        <f t="shared" ref="AY34" si="150">AS34/AM34</f>
        <v>2.5590973487148352E-2</v>
      </c>
      <c r="AZ34" s="16">
        <f t="shared" ref="AZ34" si="151">AT34/AN34</f>
        <v>3.2847721525264044E-2</v>
      </c>
      <c r="BA34" s="16">
        <f t="shared" ref="BA34:BB34" si="152">AU34/AO34</f>
        <v>0.69157849338700406</v>
      </c>
      <c r="BB34" s="16">
        <f t="shared" si="152"/>
        <v>2.1866703926226075E-3</v>
      </c>
      <c r="BD34" s="16">
        <f t="shared" si="17"/>
        <v>8.0199999999999994E-2</v>
      </c>
      <c r="BE34" s="16">
        <f t="shared" si="94"/>
        <v>2.5600000000000001E-2</v>
      </c>
      <c r="BF34" s="16">
        <f t="shared" si="95"/>
        <v>3.2800000000000003E-2</v>
      </c>
      <c r="BG34" s="16">
        <f t="shared" si="96"/>
        <v>0.69159999999999999</v>
      </c>
      <c r="BH34" s="16">
        <f t="shared" si="97"/>
        <v>2.2000000000000001E-3</v>
      </c>
      <c r="BJ34" s="16" t="str">
        <f t="shared" si="18"/>
        <v>Ireland</v>
      </c>
      <c r="BK34" s="16" t="s">
        <v>259</v>
      </c>
      <c r="BL34" s="9">
        <f>'GHG data from Eurostat'!EP40</f>
        <v>-0.82565999999999995</v>
      </c>
    </row>
    <row r="35" spans="7:64" x14ac:dyDescent="0.25">
      <c r="G35" s="9" t="s">
        <v>183</v>
      </c>
      <c r="H35" s="9" t="s">
        <v>231</v>
      </c>
      <c r="I35" s="9">
        <f t="shared" si="3"/>
        <v>0.47164500000000004</v>
      </c>
      <c r="J35" s="9">
        <f t="shared" si="4"/>
        <v>6.5934900000000001</v>
      </c>
      <c r="K35" s="9">
        <f t="shared" si="5"/>
        <v>1.38</v>
      </c>
      <c r="L35" s="9">
        <f t="shared" si="6"/>
        <v>0.38072500000000004</v>
      </c>
      <c r="M35" s="9">
        <f>'GHG data from Eurostat'!CP41</f>
        <v>1.92E-3</v>
      </c>
      <c r="N35" s="9">
        <f>'GHG data from Eurostat'!CN41</f>
        <v>0.42174</v>
      </c>
      <c r="O35" s="9">
        <f>'GHG data from Eurostat'!CQ41</f>
        <v>1.6800000000000001E-3</v>
      </c>
      <c r="P35" s="9">
        <f>'GHG data from Eurostat'!CO41</f>
        <v>3.5970000000000002E-2</v>
      </c>
      <c r="Q35" s="9">
        <f>'GHG data from Eurostat'!CU41</f>
        <v>1.306E-2</v>
      </c>
      <c r="R35" s="9">
        <f>IFERROR(('GHG data from Eurostat'!CS41+'GHG data from Eurostat'!CW41),0)</f>
        <v>5.2760000000000001E-2</v>
      </c>
      <c r="S35" s="9">
        <f>'GHG data from Eurostat'!CV41</f>
        <v>4.0600000000000002E-3</v>
      </c>
      <c r="T35" s="9">
        <f>'GHG data from Eurostat'!CT41</f>
        <v>8.5999999999999998E-4</v>
      </c>
      <c r="U35" s="9">
        <f>(Q35+M35)*1000</f>
        <v>14.98</v>
      </c>
      <c r="V35" s="9">
        <f t="shared" ref="V35:V36" si="153">(R35+N35)*1000</f>
        <v>474.50000000000006</v>
      </c>
      <c r="W35" s="9">
        <f t="shared" ref="W35:W36" si="154">(S35+O35)*1000</f>
        <v>5.74</v>
      </c>
      <c r="X35" s="9">
        <f t="shared" ref="X35:X36" si="155">(T35+P35)*1000</f>
        <v>36.83</v>
      </c>
      <c r="Y35" s="9">
        <f t="shared" si="11"/>
        <v>532.05000000000007</v>
      </c>
      <c r="Z35" s="17">
        <f t="shared" ref="Z35:AC36" si="156">IFERROR((M35+Q35)*1000/I35,0)</f>
        <v>31.761176308452331</v>
      </c>
      <c r="AA35" s="17">
        <f t="shared" si="156"/>
        <v>71.964922977057682</v>
      </c>
      <c r="AB35" s="17">
        <f t="shared" si="156"/>
        <v>4.1594202898550732</v>
      </c>
      <c r="AC35" s="17">
        <f t="shared" si="156"/>
        <v>96.73648959222534</v>
      </c>
      <c r="AD35" s="18"/>
      <c r="AE35" s="17">
        <f t="shared" si="13"/>
        <v>31.760999999999999</v>
      </c>
      <c r="AF35" s="17">
        <f t="shared" si="88"/>
        <v>71.965000000000003</v>
      </c>
      <c r="AG35" s="17">
        <f t="shared" si="89"/>
        <v>4.1589999999999998</v>
      </c>
      <c r="AH35" s="17">
        <f t="shared" si="90"/>
        <v>96.736000000000004</v>
      </c>
      <c r="AJ35" s="9" t="s">
        <v>183</v>
      </c>
      <c r="AK35" s="9" t="s">
        <v>231</v>
      </c>
      <c r="AL35" s="9">
        <f>VLOOKUP($AJ35,Landcover!$A$3:$K$30,5,FALSE)/1000</f>
        <v>3.8180000000000001</v>
      </c>
      <c r="AM35" s="9">
        <f>VLOOKUP($AJ35,Landcover!$A$3:$K$30,6,FALSE)/1000</f>
        <v>9.8819999999999997</v>
      </c>
      <c r="AN35" s="9">
        <f>VLOOKUP($AJ35,Landcover!$A$3:$K$30,8,FALSE)/1000</f>
        <v>40.334000000000003</v>
      </c>
      <c r="AO35" s="9">
        <f>VLOOKUP($AJ35,Landcover!$A$3:$K$30,11,FALSE)/1000</f>
        <v>3.4780000000000002</v>
      </c>
      <c r="AP35" s="9">
        <f>VLOOKUP($AJ35,Landcover!$A$3:$K$30,7,FALSE)/1000</f>
        <v>7.157</v>
      </c>
      <c r="AR35" s="9">
        <f>SUM('GHG data from Eurostat'!CX41,'GHG data from Eurostat'!DC41,'GHG data from Eurostat'!DG41,'GHG data from Eurostat'!DM41,'GHG data from Eurostat'!DP41,'GHG data from Eurostat'!DV41)</f>
        <v>0</v>
      </c>
      <c r="AS35" s="9">
        <f>'GHG data from Eurostat'!DS41+'GHG data from Eurostat'!DT41</f>
        <v>4.5599999999999998E-3</v>
      </c>
      <c r="AT35" s="9">
        <f>'GHG data from Eurostat'!EA41+'GHG data from Eurostat'!EB41</f>
        <v>9.4469999999999998E-2</v>
      </c>
      <c r="AU35" s="9">
        <f>'GHG data from Eurostat'!ED41</f>
        <v>7.7700000000000005E-2</v>
      </c>
      <c r="AV35" s="9">
        <f>'GHG data from Eurostat'!EL41</f>
        <v>0</v>
      </c>
      <c r="AW35" s="18">
        <f t="shared" si="21"/>
        <v>0.17673</v>
      </c>
      <c r="AX35" s="16">
        <f>IFERROR(AR35*1000/AL35,0)</f>
        <v>0</v>
      </c>
      <c r="AY35" s="16">
        <f t="shared" ref="AY35:AY36" si="157">IFERROR(AS35*1000/AM35,0)</f>
        <v>0.46144505160898602</v>
      </c>
      <c r="AZ35" s="16">
        <f t="shared" ref="AZ35:AZ36" si="158">IFERROR(AT35*1000/AN35,0)</f>
        <v>2.3421926910299002</v>
      </c>
      <c r="BA35" s="16">
        <f t="shared" ref="BA35:BB36" si="159">IFERROR(AU35*1000/AO35,0)</f>
        <v>22.340425531914892</v>
      </c>
      <c r="BB35" s="16">
        <f t="shared" si="159"/>
        <v>0</v>
      </c>
      <c r="BD35" s="16">
        <f t="shared" si="17"/>
        <v>0</v>
      </c>
      <c r="BE35" s="16">
        <f t="shared" si="94"/>
        <v>0.46139999999999998</v>
      </c>
      <c r="BF35" s="16">
        <f t="shared" si="95"/>
        <v>2.3422000000000001</v>
      </c>
      <c r="BG35" s="16">
        <f t="shared" si="96"/>
        <v>22.340399999999999</v>
      </c>
      <c r="BH35" s="16">
        <f t="shared" si="97"/>
        <v>0</v>
      </c>
      <c r="BJ35" s="16" t="str">
        <f t="shared" si="18"/>
        <v>Ireland</v>
      </c>
      <c r="BK35" s="16" t="s">
        <v>260</v>
      </c>
      <c r="BL35" s="9">
        <f>'GHG data from Eurostat'!EP41</f>
        <v>0</v>
      </c>
    </row>
    <row r="36" spans="7:64" x14ac:dyDescent="0.25">
      <c r="G36" s="9" t="s">
        <v>183</v>
      </c>
      <c r="H36" s="9" t="s">
        <v>232</v>
      </c>
      <c r="I36" s="9">
        <f t="shared" si="3"/>
        <v>0.47164500000000004</v>
      </c>
      <c r="J36" s="9">
        <f t="shared" si="4"/>
        <v>6.5934900000000001</v>
      </c>
      <c r="K36" s="9">
        <f t="shared" si="5"/>
        <v>1.38</v>
      </c>
      <c r="L36" s="9">
        <f t="shared" si="6"/>
        <v>0.38072500000000004</v>
      </c>
      <c r="M36" s="9">
        <f>'GHG data from Eurostat'!CP42</f>
        <v>0</v>
      </c>
      <c r="N36" s="9">
        <f>'GHG data from Eurostat'!CN42</f>
        <v>0</v>
      </c>
      <c r="O36" s="9">
        <f>'GHG data from Eurostat'!CQ42</f>
        <v>0</v>
      </c>
      <c r="P36" s="9">
        <f>'GHG data from Eurostat'!CO42</f>
        <v>0</v>
      </c>
      <c r="Q36" s="9">
        <f>'GHG data from Eurostat'!CU42</f>
        <v>4.0000000000000003E-5</v>
      </c>
      <c r="R36" s="9">
        <f>IFERROR(('GHG data from Eurostat'!CS42+'GHG data from Eurostat'!CW42),0)</f>
        <v>2.0499999999999997E-3</v>
      </c>
      <c r="S36" s="9">
        <f>'GHG data from Eurostat'!CV42</f>
        <v>6.0000000000000002E-5</v>
      </c>
      <c r="T36" s="9">
        <f>'GHG data from Eurostat'!CT42</f>
        <v>6.0000000000000002E-5</v>
      </c>
      <c r="U36" s="9">
        <f>(Q36+M36)*1000</f>
        <v>0.04</v>
      </c>
      <c r="V36" s="9">
        <f t="shared" si="153"/>
        <v>2.0499999999999998</v>
      </c>
      <c r="W36" s="9">
        <f t="shared" si="154"/>
        <v>6.0000000000000005E-2</v>
      </c>
      <c r="X36" s="9">
        <f t="shared" si="155"/>
        <v>6.0000000000000005E-2</v>
      </c>
      <c r="Y36" s="9">
        <f t="shared" si="11"/>
        <v>2.21</v>
      </c>
      <c r="Z36" s="17">
        <f t="shared" si="156"/>
        <v>8.4809549555279917E-2</v>
      </c>
      <c r="AA36" s="17">
        <f t="shared" si="156"/>
        <v>0.31091273362058636</v>
      </c>
      <c r="AB36" s="17">
        <f t="shared" si="156"/>
        <v>4.3478260869565223E-2</v>
      </c>
      <c r="AC36" s="17">
        <f t="shared" si="156"/>
        <v>0.1575940639569243</v>
      </c>
      <c r="AD36" s="18"/>
      <c r="AE36" s="17">
        <f t="shared" si="13"/>
        <v>8.5000000000000006E-2</v>
      </c>
      <c r="AF36" s="17">
        <f t="shared" si="88"/>
        <v>0.311</v>
      </c>
      <c r="AG36" s="17">
        <f t="shared" si="89"/>
        <v>4.2999999999999997E-2</v>
      </c>
      <c r="AH36" s="17">
        <f t="shared" si="90"/>
        <v>0.158</v>
      </c>
      <c r="AJ36" s="9" t="s">
        <v>183</v>
      </c>
      <c r="AK36" s="9" t="s">
        <v>232</v>
      </c>
      <c r="AL36" s="9">
        <f>VLOOKUP($AJ36,Landcover!$A$3:$K$30,5,FALSE)/1000</f>
        <v>3.8180000000000001</v>
      </c>
      <c r="AM36" s="9">
        <f>VLOOKUP($AJ36,Landcover!$A$3:$K$30,6,FALSE)/1000</f>
        <v>9.8819999999999997</v>
      </c>
      <c r="AN36" s="9">
        <f>VLOOKUP($AJ36,Landcover!$A$3:$K$30,8,FALSE)/1000</f>
        <v>40.334000000000003</v>
      </c>
      <c r="AO36" s="9">
        <f>VLOOKUP($AJ36,Landcover!$A$3:$K$30,11,FALSE)/1000</f>
        <v>3.4780000000000002</v>
      </c>
      <c r="AP36" s="9">
        <f>VLOOKUP($AJ36,Landcover!$A$3:$K$30,7,FALSE)/1000</f>
        <v>7.157</v>
      </c>
      <c r="AR36" s="9">
        <f>SUM('GHG data from Eurostat'!CX42,'GHG data from Eurostat'!DC42,'GHG data from Eurostat'!DG42,'GHG data from Eurostat'!DM42,'GHG data from Eurostat'!DP42,'GHG data from Eurostat'!DV42)</f>
        <v>1.772E-2</v>
      </c>
      <c r="AS36" s="9">
        <f>'GHG data from Eurostat'!DS42+'GHG data from Eurostat'!DT42</f>
        <v>1.48E-3</v>
      </c>
      <c r="AT36" s="9">
        <f>'GHG data from Eurostat'!EA42+'GHG data from Eurostat'!EB42</f>
        <v>1.0000000000000001E-5</v>
      </c>
      <c r="AU36" s="9">
        <f>'GHG data from Eurostat'!ED42</f>
        <v>1.2E-4</v>
      </c>
      <c r="AV36" s="9">
        <f>'GHG data from Eurostat'!EL42</f>
        <v>0</v>
      </c>
      <c r="AW36" s="18">
        <f t="shared" si="21"/>
        <v>1.9329999999999996E-2</v>
      </c>
      <c r="AX36" s="16">
        <f>IFERROR(AR36*1000/AL36,0)</f>
        <v>4.6411733892090092</v>
      </c>
      <c r="AY36" s="16">
        <f t="shared" si="157"/>
        <v>0.14976725359239021</v>
      </c>
      <c r="AZ36" s="16">
        <f t="shared" si="158"/>
        <v>2.4792978628452423E-4</v>
      </c>
      <c r="BA36" s="16">
        <f t="shared" si="159"/>
        <v>3.4502587694077054E-2</v>
      </c>
      <c r="BB36" s="16">
        <f t="shared" si="159"/>
        <v>0</v>
      </c>
      <c r="BD36" s="16">
        <f t="shared" si="17"/>
        <v>4.6412000000000004</v>
      </c>
      <c r="BE36" s="16">
        <f t="shared" si="94"/>
        <v>0.14979999999999999</v>
      </c>
      <c r="BF36" s="16">
        <f t="shared" si="95"/>
        <v>2.0000000000000001E-4</v>
      </c>
      <c r="BG36" s="16">
        <f t="shared" si="96"/>
        <v>3.4500000000000003E-2</v>
      </c>
      <c r="BH36" s="16">
        <f t="shared" si="97"/>
        <v>0</v>
      </c>
      <c r="BJ36" s="16" t="str">
        <f t="shared" si="18"/>
        <v>Ireland</v>
      </c>
      <c r="BK36" s="16" t="s">
        <v>261</v>
      </c>
      <c r="BL36" s="9">
        <f>'GHG data from Eurostat'!EP42</f>
        <v>0</v>
      </c>
    </row>
    <row r="37" spans="7:64" x14ac:dyDescent="0.25">
      <c r="G37" s="9" t="s">
        <v>184</v>
      </c>
      <c r="H37" s="9" t="s">
        <v>262</v>
      </c>
      <c r="I37" s="9">
        <f t="shared" si="3"/>
        <v>0.21629999999999999</v>
      </c>
      <c r="J37" s="9">
        <f t="shared" si="4"/>
        <v>0.54200000000000004</v>
      </c>
      <c r="K37" s="9">
        <f t="shared" si="5"/>
        <v>1.891</v>
      </c>
      <c r="L37" s="9">
        <f t="shared" si="6"/>
        <v>1.2055</v>
      </c>
      <c r="M37" s="9">
        <f>'GHG data from Eurostat'!CP43</f>
        <v>3.023E-2</v>
      </c>
      <c r="N37" s="9">
        <f>'GHG data from Eurostat'!CN43</f>
        <v>1.12581</v>
      </c>
      <c r="O37" s="9">
        <f>'GHG data from Eurostat'!CQ43</f>
        <v>0.58289999999999997</v>
      </c>
      <c r="P37" s="9">
        <f>'GHG data from Eurostat'!CO43</f>
        <v>2.36164</v>
      </c>
      <c r="Q37" s="9">
        <f>'GHG data from Eurostat'!CU43</f>
        <v>0.36993999999999999</v>
      </c>
      <c r="R37" s="9">
        <f>IFERROR(('GHG data from Eurostat'!CS43+'GHG data from Eurostat'!CW43),0)</f>
        <v>0.26685999999999999</v>
      </c>
      <c r="S37" s="9">
        <f>'GHG data from Eurostat'!CV43</f>
        <v>9.4850000000000004E-2</v>
      </c>
      <c r="T37" s="9">
        <f>'GHG data from Eurostat'!CT43</f>
        <v>0.28395999999999999</v>
      </c>
      <c r="U37" s="9">
        <f>Q37+M37</f>
        <v>0.40016999999999997</v>
      </c>
      <c r="V37" s="9">
        <f t="shared" ref="V37:V38" si="160">R37+N37</f>
        <v>1.3926699999999999</v>
      </c>
      <c r="W37" s="9">
        <f t="shared" ref="W37:W38" si="161">S37+O37</f>
        <v>0.67774999999999996</v>
      </c>
      <c r="X37" s="9">
        <f t="shared" ref="X37:X38" si="162">T37+P37</f>
        <v>2.6456</v>
      </c>
      <c r="Y37" s="9">
        <f t="shared" si="11"/>
        <v>5.1161899999999996</v>
      </c>
      <c r="Z37" s="17">
        <f t="shared" si="12"/>
        <v>1.8500693481276005</v>
      </c>
      <c r="AA37" s="17">
        <f t="shared" si="85"/>
        <v>2.5695018450184497</v>
      </c>
      <c r="AB37" s="17">
        <f t="shared" si="86"/>
        <v>0.35840824960338441</v>
      </c>
      <c r="AC37" s="17">
        <f t="shared" si="87"/>
        <v>2.1946080464537534</v>
      </c>
      <c r="AD37" s="18"/>
      <c r="AE37" s="17">
        <f t="shared" si="13"/>
        <v>1.85</v>
      </c>
      <c r="AF37" s="17">
        <f t="shared" si="88"/>
        <v>2.57</v>
      </c>
      <c r="AG37" s="17">
        <f t="shared" si="89"/>
        <v>0.35799999999999998</v>
      </c>
      <c r="AH37" s="17">
        <f t="shared" si="90"/>
        <v>2.1949999999999998</v>
      </c>
      <c r="AJ37" s="9" t="s">
        <v>184</v>
      </c>
      <c r="AK37" s="9" t="s">
        <v>262</v>
      </c>
      <c r="AL37" s="9">
        <f>VLOOKUP($AJ37,Landcover!$A$3:$K$30,5,FALSE)/1000</f>
        <v>26.994</v>
      </c>
      <c r="AM37" s="9">
        <f>VLOOKUP($AJ37,Landcover!$A$3:$K$30,6,FALSE)/1000</f>
        <v>53.005000000000003</v>
      </c>
      <c r="AN37" s="9">
        <f>VLOOKUP($AJ37,Landcover!$A$3:$K$30,8,FALSE)/1000</f>
        <v>18.224</v>
      </c>
      <c r="AO37" s="9">
        <f>VLOOKUP($AJ37,Landcover!$A$3:$K$30,11,FALSE)/1000</f>
        <v>0.83499999999999996</v>
      </c>
      <c r="AP37" s="9">
        <f>VLOOKUP($AJ37,Landcover!$A$3:$K$30,7,FALSE)/1000</f>
        <v>22.81</v>
      </c>
      <c r="AR37" s="9">
        <f>SUM('GHG data from Eurostat'!CX43,'GHG data from Eurostat'!DC43,'GHG data from Eurostat'!DG43,'GHG data from Eurostat'!DM43,'GHG data from Eurostat'!DP43,'GHG data from Eurostat'!DV43)</f>
        <v>1.9787300000000001</v>
      </c>
      <c r="AS37" s="9">
        <f>'GHG data from Eurostat'!DS43+'GHG data from Eurostat'!DT43</f>
        <v>-2.1038199999999998</v>
      </c>
      <c r="AT37" s="9">
        <f>'GHG data from Eurostat'!EA43+'GHG data from Eurostat'!EB43</f>
        <v>1.8929999999999999E-2</v>
      </c>
      <c r="AU37" s="9">
        <f>'GHG data from Eurostat'!ED43</f>
        <v>4.0000000000000002E-4</v>
      </c>
      <c r="AV37" s="9">
        <f>'GHG data from Eurostat'!EL43</f>
        <v>8.4500000000000006E-2</v>
      </c>
      <c r="AW37" s="18">
        <f t="shared" si="21"/>
        <v>-2.1259999999999696E-2</v>
      </c>
      <c r="AX37" s="16">
        <f>AR37/AL37</f>
        <v>7.3302585759798478E-2</v>
      </c>
      <c r="AY37" s="16">
        <f t="shared" ref="AY37" si="163">AS37/AM37</f>
        <v>-3.9690972549759451E-2</v>
      </c>
      <c r="AZ37" s="16">
        <f t="shared" ref="AZ37" si="164">AT37/AN37</f>
        <v>1.0387401229148374E-3</v>
      </c>
      <c r="BA37" s="16">
        <f t="shared" ref="BA37:BB37" si="165">AU37/AO37</f>
        <v>4.7904191616766472E-4</v>
      </c>
      <c r="BB37" s="16">
        <f t="shared" si="165"/>
        <v>3.7045155633494086E-3</v>
      </c>
      <c r="BD37" s="16">
        <f t="shared" si="17"/>
        <v>7.3300000000000004E-2</v>
      </c>
      <c r="BE37" s="16">
        <f t="shared" si="94"/>
        <v>-3.9699999999999999E-2</v>
      </c>
      <c r="BF37" s="16">
        <f t="shared" si="95"/>
        <v>1E-3</v>
      </c>
      <c r="BG37" s="16">
        <f t="shared" si="96"/>
        <v>5.0000000000000001E-4</v>
      </c>
      <c r="BH37" s="16">
        <f t="shared" si="97"/>
        <v>3.7000000000000002E-3</v>
      </c>
      <c r="BJ37" s="16" t="str">
        <f t="shared" si="18"/>
        <v>Greece</v>
      </c>
      <c r="BK37" s="16" t="s">
        <v>263</v>
      </c>
      <c r="BL37" s="9">
        <f>'GHG data from Eurostat'!EP43</f>
        <v>-3.2129999999999999E-2</v>
      </c>
    </row>
    <row r="38" spans="7:64" x14ac:dyDescent="0.25">
      <c r="G38" s="9" t="s">
        <v>184</v>
      </c>
      <c r="H38" s="9" t="s">
        <v>233</v>
      </c>
      <c r="I38" s="9">
        <f t="shared" si="3"/>
        <v>0.21629999999999999</v>
      </c>
      <c r="J38" s="9">
        <f t="shared" si="4"/>
        <v>0.54200000000000004</v>
      </c>
      <c r="K38" s="9">
        <f t="shared" si="5"/>
        <v>1.891</v>
      </c>
      <c r="L38" s="9">
        <f t="shared" si="6"/>
        <v>1.2055</v>
      </c>
      <c r="M38" s="9">
        <f>'GHG data from Eurostat'!CP44</f>
        <v>0</v>
      </c>
      <c r="N38" s="9">
        <f>'GHG data from Eurostat'!CN44</f>
        <v>0</v>
      </c>
      <c r="O38" s="9">
        <f>'GHG data from Eurostat'!CQ44</f>
        <v>0</v>
      </c>
      <c r="P38" s="9">
        <f>'GHG data from Eurostat'!CO44</f>
        <v>0</v>
      </c>
      <c r="Q38" s="9">
        <f>'GHG data from Eurostat'!CU44</f>
        <v>0</v>
      </c>
      <c r="R38" s="9">
        <f>IFERROR(('GHG data from Eurostat'!CS44+'GHG data from Eurostat'!CW44),0)</f>
        <v>0</v>
      </c>
      <c r="S38" s="9">
        <f>'GHG data from Eurostat'!CV44</f>
        <v>0</v>
      </c>
      <c r="T38" s="9">
        <f>'GHG data from Eurostat'!CT44</f>
        <v>0</v>
      </c>
      <c r="U38" s="9">
        <f t="shared" ref="U38" si="166">Q38+M38</f>
        <v>0</v>
      </c>
      <c r="V38" s="9">
        <f t="shared" si="160"/>
        <v>0</v>
      </c>
      <c r="W38" s="9">
        <f t="shared" si="161"/>
        <v>0</v>
      </c>
      <c r="X38" s="9">
        <f t="shared" si="162"/>
        <v>0</v>
      </c>
      <c r="Y38" s="9">
        <f t="shared" si="11"/>
        <v>0</v>
      </c>
      <c r="Z38" s="17">
        <f t="shared" si="12"/>
        <v>0</v>
      </c>
      <c r="AA38" s="17">
        <f t="shared" si="85"/>
        <v>0</v>
      </c>
      <c r="AB38" s="17">
        <f t="shared" si="86"/>
        <v>0</v>
      </c>
      <c r="AC38" s="17">
        <f t="shared" si="87"/>
        <v>0</v>
      </c>
      <c r="AD38" s="18"/>
      <c r="AE38" s="17">
        <f t="shared" si="13"/>
        <v>0</v>
      </c>
      <c r="AF38" s="17">
        <f t="shared" si="88"/>
        <v>0</v>
      </c>
      <c r="AG38" s="17">
        <f t="shared" si="89"/>
        <v>0</v>
      </c>
      <c r="AH38" s="17">
        <f t="shared" si="90"/>
        <v>0</v>
      </c>
      <c r="AJ38" s="9" t="s">
        <v>184</v>
      </c>
      <c r="AK38" s="9" t="s">
        <v>233</v>
      </c>
      <c r="AL38" s="9">
        <f>VLOOKUP($AJ38,Landcover!$A$3:$K$30,5,FALSE)/1000</f>
        <v>26.994</v>
      </c>
      <c r="AM38" s="9">
        <f>VLOOKUP($AJ38,Landcover!$A$3:$K$30,6,FALSE)/1000</f>
        <v>53.005000000000003</v>
      </c>
      <c r="AN38" s="9">
        <f>VLOOKUP($AJ38,Landcover!$A$3:$K$30,8,FALSE)/1000</f>
        <v>18.224</v>
      </c>
      <c r="AO38" s="9">
        <f>VLOOKUP($AJ38,Landcover!$A$3:$K$30,11,FALSE)/1000</f>
        <v>0.83499999999999996</v>
      </c>
      <c r="AP38" s="9">
        <f>VLOOKUP($AJ38,Landcover!$A$3:$K$30,7,FALSE)/1000</f>
        <v>22.81</v>
      </c>
      <c r="AR38" s="9">
        <f>SUM('GHG data from Eurostat'!CX44,'GHG data from Eurostat'!DC44,'GHG data from Eurostat'!DG44,'GHG data from Eurostat'!DM44,'GHG data from Eurostat'!DP44,'GHG data from Eurostat'!DV44)</f>
        <v>-0.99439999999999995</v>
      </c>
      <c r="AS38" s="9">
        <f>'GHG data from Eurostat'!DS44+'GHG data from Eurostat'!DT44</f>
        <v>-2.1085199999999999</v>
      </c>
      <c r="AT38" s="9">
        <f>'GHG data from Eurostat'!EA44+'GHG data from Eurostat'!EB44</f>
        <v>5.1000000000000004E-4</v>
      </c>
      <c r="AU38" s="9">
        <f>'GHG data from Eurostat'!ED44</f>
        <v>3.8000000000000002E-4</v>
      </c>
      <c r="AV38" s="9">
        <f>'GHG data from Eurostat'!EL44</f>
        <v>7.9020000000000007E-2</v>
      </c>
      <c r="AW38" s="18">
        <f t="shared" si="21"/>
        <v>-3.0230100000000006</v>
      </c>
      <c r="AX38" s="16">
        <f>AR38/AL38</f>
        <v>-3.6837815810920944E-2</v>
      </c>
      <c r="AY38" s="16">
        <f t="shared" ref="AY38" si="167">AS38/AM38</f>
        <v>-3.9779643429865105E-2</v>
      </c>
      <c r="AZ38" s="16">
        <f t="shared" ref="AZ38" si="168">AT38/AN38</f>
        <v>2.7985074626865672E-5</v>
      </c>
      <c r="BA38" s="16">
        <f t="shared" ref="BA38:BB38" si="169">AU38/AO38</f>
        <v>4.5508982035928148E-4</v>
      </c>
      <c r="BB38" s="16">
        <f t="shared" si="169"/>
        <v>3.4642700569925476E-3</v>
      </c>
      <c r="BD38" s="16">
        <f t="shared" si="17"/>
        <v>-3.6799999999999999E-2</v>
      </c>
      <c r="BE38" s="16">
        <f t="shared" si="94"/>
        <v>-3.9800000000000002E-2</v>
      </c>
      <c r="BF38" s="16">
        <f t="shared" si="95"/>
        <v>0</v>
      </c>
      <c r="BG38" s="16">
        <f t="shared" si="96"/>
        <v>5.0000000000000001E-4</v>
      </c>
      <c r="BH38" s="16">
        <f t="shared" si="97"/>
        <v>3.5000000000000001E-3</v>
      </c>
      <c r="BJ38" s="16" t="str">
        <f t="shared" si="18"/>
        <v>Greece</v>
      </c>
      <c r="BK38" s="16" t="s">
        <v>259</v>
      </c>
      <c r="BL38" s="9">
        <f>'GHG data from Eurostat'!EP44</f>
        <v>-3.2129999999999999E-2</v>
      </c>
    </row>
    <row r="39" spans="7:64" x14ac:dyDescent="0.25">
      <c r="G39" s="9" t="s">
        <v>184</v>
      </c>
      <c r="H39" s="9" t="s">
        <v>231</v>
      </c>
      <c r="I39" s="9">
        <f t="shared" si="3"/>
        <v>0.21629999999999999</v>
      </c>
      <c r="J39" s="9">
        <f t="shared" si="4"/>
        <v>0.54200000000000004</v>
      </c>
      <c r="K39" s="9">
        <f t="shared" si="5"/>
        <v>1.891</v>
      </c>
      <c r="L39" s="9">
        <f t="shared" si="6"/>
        <v>1.2055</v>
      </c>
      <c r="M39" s="9">
        <f>'GHG data from Eurostat'!CP45</f>
        <v>1.08E-3</v>
      </c>
      <c r="N39" s="9">
        <f>'GHG data from Eurostat'!CN45</f>
        <v>4.0210000000000003E-2</v>
      </c>
      <c r="O39" s="9">
        <f>'GHG data from Eurostat'!CQ45</f>
        <v>2.0820000000000002E-2</v>
      </c>
      <c r="P39" s="9">
        <f>'GHG data from Eurostat'!CO45</f>
        <v>8.4339999999999998E-2</v>
      </c>
      <c r="Q39" s="9">
        <f>'GHG data from Eurostat'!CU45</f>
        <v>1.2489999999999999E-2</v>
      </c>
      <c r="R39" s="9">
        <f>IFERROR(('GHG data from Eurostat'!CS45+'GHG data from Eurostat'!CW45),0)</f>
        <v>2.9199999999999999E-3</v>
      </c>
      <c r="S39" s="9">
        <f>'GHG data from Eurostat'!CV45</f>
        <v>2.0600000000000002E-3</v>
      </c>
      <c r="T39" s="9">
        <f>'GHG data from Eurostat'!CT45</f>
        <v>9.1500000000000001E-3</v>
      </c>
      <c r="U39" s="9">
        <f>(Q39+M39)*1000</f>
        <v>13.569999999999999</v>
      </c>
      <c r="V39" s="9">
        <f t="shared" ref="V39:V40" si="170">(R39+N39)*1000</f>
        <v>43.13</v>
      </c>
      <c r="W39" s="9">
        <f t="shared" ref="W39:W40" si="171">(S39+O39)*1000</f>
        <v>22.880000000000003</v>
      </c>
      <c r="X39" s="9">
        <f t="shared" ref="X39:X40" si="172">(T39+P39)*1000</f>
        <v>93.490000000000009</v>
      </c>
      <c r="Y39" s="9">
        <f t="shared" si="11"/>
        <v>173.07000000000002</v>
      </c>
      <c r="Z39" s="17">
        <f t="shared" ref="Z39:AC40" si="173">IFERROR((M39+Q39)*1000/I39,0)</f>
        <v>62.736939435968559</v>
      </c>
      <c r="AA39" s="17">
        <f t="shared" si="173"/>
        <v>79.575645756457561</v>
      </c>
      <c r="AB39" s="17">
        <f t="shared" si="173"/>
        <v>12.099418297197252</v>
      </c>
      <c r="AC39" s="17">
        <f t="shared" si="173"/>
        <v>77.552882621318957</v>
      </c>
      <c r="AD39" s="18"/>
      <c r="AE39" s="17">
        <f t="shared" si="13"/>
        <v>62.737000000000002</v>
      </c>
      <c r="AF39" s="17">
        <f t="shared" si="88"/>
        <v>79.575999999999993</v>
      </c>
      <c r="AG39" s="17">
        <f t="shared" si="89"/>
        <v>12.099</v>
      </c>
      <c r="AH39" s="17">
        <f t="shared" si="90"/>
        <v>77.552999999999997</v>
      </c>
      <c r="AJ39" s="9" t="s">
        <v>184</v>
      </c>
      <c r="AK39" s="9" t="s">
        <v>231</v>
      </c>
      <c r="AL39" s="9">
        <f>VLOOKUP($AJ39,Landcover!$A$3:$K$30,5,FALSE)/1000</f>
        <v>26.994</v>
      </c>
      <c r="AM39" s="9">
        <f>VLOOKUP($AJ39,Landcover!$A$3:$K$30,6,FALSE)/1000</f>
        <v>53.005000000000003</v>
      </c>
      <c r="AN39" s="9">
        <f>VLOOKUP($AJ39,Landcover!$A$3:$K$30,8,FALSE)/1000</f>
        <v>18.224</v>
      </c>
      <c r="AO39" s="9">
        <f>VLOOKUP($AJ39,Landcover!$A$3:$K$30,11,FALSE)/1000</f>
        <v>0.83499999999999996</v>
      </c>
      <c r="AP39" s="9">
        <f>VLOOKUP($AJ39,Landcover!$A$3:$K$30,7,FALSE)/1000</f>
        <v>22.81</v>
      </c>
      <c r="AR39" s="9">
        <f>SUM('GHG data from Eurostat'!CX45,'GHG data from Eurostat'!DC45,'GHG data from Eurostat'!DG45,'GHG data from Eurostat'!DM45,'GHG data from Eurostat'!DP45,'GHG data from Eurostat'!DV45)</f>
        <v>6.3299999999999997E-3</v>
      </c>
      <c r="AS39" s="9">
        <f>'GHG data from Eurostat'!DS45+'GHG data from Eurostat'!DT45</f>
        <v>1.6000000000000001E-4</v>
      </c>
      <c r="AT39" s="9">
        <f>'GHG data from Eurostat'!EA45+'GHG data from Eurostat'!EB45</f>
        <v>6.2E-4</v>
      </c>
      <c r="AU39" s="9">
        <f>'GHG data from Eurostat'!ED45</f>
        <v>0</v>
      </c>
      <c r="AV39" s="9">
        <f>'GHG data from Eurostat'!EL45</f>
        <v>0</v>
      </c>
      <c r="AW39" s="18">
        <f t="shared" si="21"/>
        <v>7.11E-3</v>
      </c>
      <c r="AX39" s="16">
        <f>IFERROR(AR39*1000/AL39,0)</f>
        <v>0.23449655478995332</v>
      </c>
      <c r="AY39" s="16">
        <f t="shared" ref="AY39:AY40" si="174">IFERROR(AS39*1000/AM39,0)</f>
        <v>3.0185831525327798E-3</v>
      </c>
      <c r="AZ39" s="16">
        <f t="shared" ref="AZ39:AZ40" si="175">IFERROR(AT39*1000/AN39,0)</f>
        <v>3.4021071115013166E-2</v>
      </c>
      <c r="BA39" s="16">
        <f t="shared" ref="BA39:BB40" si="176">IFERROR(AU39*1000/AO39,0)</f>
        <v>0</v>
      </c>
      <c r="BB39" s="16">
        <f t="shared" si="176"/>
        <v>0</v>
      </c>
      <c r="BD39" s="16">
        <f t="shared" si="17"/>
        <v>0.23449999999999999</v>
      </c>
      <c r="BE39" s="16">
        <f t="shared" si="94"/>
        <v>3.0000000000000001E-3</v>
      </c>
      <c r="BF39" s="16">
        <f t="shared" si="95"/>
        <v>3.4000000000000002E-2</v>
      </c>
      <c r="BG39" s="16">
        <f t="shared" si="96"/>
        <v>0</v>
      </c>
      <c r="BH39" s="16">
        <f t="shared" si="97"/>
        <v>0</v>
      </c>
      <c r="BJ39" s="16" t="str">
        <f t="shared" si="18"/>
        <v>Greece</v>
      </c>
      <c r="BK39" s="16" t="s">
        <v>260</v>
      </c>
      <c r="BL39" s="9">
        <f>'GHG data from Eurostat'!EP45</f>
        <v>0</v>
      </c>
    </row>
    <row r="40" spans="7:64" x14ac:dyDescent="0.25">
      <c r="G40" s="9" t="s">
        <v>184</v>
      </c>
      <c r="H40" s="9" t="s">
        <v>232</v>
      </c>
      <c r="I40" s="9">
        <f t="shared" si="3"/>
        <v>0.21629999999999999</v>
      </c>
      <c r="J40" s="9">
        <f t="shared" si="4"/>
        <v>0.54200000000000004</v>
      </c>
      <c r="K40" s="9">
        <f t="shared" si="5"/>
        <v>1.891</v>
      </c>
      <c r="L40" s="9">
        <f t="shared" si="6"/>
        <v>1.2055</v>
      </c>
      <c r="M40" s="9">
        <f>'GHG data from Eurostat'!CP46</f>
        <v>0</v>
      </c>
      <c r="N40" s="9">
        <f>'GHG data from Eurostat'!CN46</f>
        <v>0</v>
      </c>
      <c r="O40" s="9">
        <f>'GHG data from Eurostat'!CQ46</f>
        <v>0</v>
      </c>
      <c r="P40" s="9">
        <f>'GHG data from Eurostat'!CO46</f>
        <v>0</v>
      </c>
      <c r="Q40" s="9">
        <f>'GHG data from Eurostat'!CU46</f>
        <v>8.0000000000000007E-5</v>
      </c>
      <c r="R40" s="9">
        <f>IFERROR(('GHG data from Eurostat'!CS46+'GHG data from Eurostat'!CW46),0)</f>
        <v>6.8999999999999997E-4</v>
      </c>
      <c r="S40" s="9">
        <f>'GHG data from Eurostat'!CV46</f>
        <v>1.3999999999999999E-4</v>
      </c>
      <c r="T40" s="9">
        <f>'GHG data from Eurostat'!CT46</f>
        <v>1E-4</v>
      </c>
      <c r="U40" s="9">
        <f>(Q40+M40)*1000</f>
        <v>0.08</v>
      </c>
      <c r="V40" s="9">
        <f t="shared" si="170"/>
        <v>0.69</v>
      </c>
      <c r="W40" s="9">
        <f t="shared" si="171"/>
        <v>0.13999999999999999</v>
      </c>
      <c r="X40" s="9">
        <f t="shared" si="172"/>
        <v>0.1</v>
      </c>
      <c r="Y40" s="9">
        <f t="shared" si="11"/>
        <v>1.01</v>
      </c>
      <c r="Z40" s="17">
        <f t="shared" si="173"/>
        <v>0.36985668053629223</v>
      </c>
      <c r="AA40" s="17">
        <f t="shared" si="173"/>
        <v>1.2730627306273061</v>
      </c>
      <c r="AB40" s="17">
        <f t="shared" si="173"/>
        <v>7.4034902168164982E-2</v>
      </c>
      <c r="AC40" s="17">
        <f t="shared" si="173"/>
        <v>8.2953131480713399E-2</v>
      </c>
      <c r="AD40" s="18"/>
      <c r="AE40" s="17">
        <f t="shared" si="13"/>
        <v>0.37</v>
      </c>
      <c r="AF40" s="17">
        <f t="shared" si="88"/>
        <v>1.2729999999999999</v>
      </c>
      <c r="AG40" s="17">
        <f t="shared" si="89"/>
        <v>7.3999999999999996E-2</v>
      </c>
      <c r="AH40" s="17">
        <f t="shared" si="90"/>
        <v>8.3000000000000004E-2</v>
      </c>
      <c r="AJ40" s="9" t="s">
        <v>184</v>
      </c>
      <c r="AK40" s="9" t="s">
        <v>232</v>
      </c>
      <c r="AL40" s="9">
        <f>VLOOKUP($AJ40,Landcover!$A$3:$K$30,5,FALSE)/1000</f>
        <v>26.994</v>
      </c>
      <c r="AM40" s="9">
        <f>VLOOKUP($AJ40,Landcover!$A$3:$K$30,6,FALSE)/1000</f>
        <v>53.005000000000003</v>
      </c>
      <c r="AN40" s="9">
        <f>VLOOKUP($AJ40,Landcover!$A$3:$K$30,8,FALSE)/1000</f>
        <v>18.224</v>
      </c>
      <c r="AO40" s="9">
        <f>VLOOKUP($AJ40,Landcover!$A$3:$K$30,11,FALSE)/1000</f>
        <v>0.83499999999999996</v>
      </c>
      <c r="AP40" s="9">
        <f>VLOOKUP($AJ40,Landcover!$A$3:$K$30,7,FALSE)/1000</f>
        <v>22.81</v>
      </c>
      <c r="AR40" s="9">
        <f>SUM('GHG data from Eurostat'!CX46,'GHG data from Eurostat'!DC46,'GHG data from Eurostat'!DG46,'GHG data from Eurostat'!DM46,'GHG data from Eurostat'!DP46,'GHG data from Eurostat'!DV46)</f>
        <v>1.0549999999999999E-2</v>
      </c>
      <c r="AS40" s="9">
        <f>'GHG data from Eurostat'!DS46+'GHG data from Eurostat'!DT46</f>
        <v>0</v>
      </c>
      <c r="AT40" s="9">
        <f>'GHG data from Eurostat'!EA46+'GHG data from Eurostat'!EB46</f>
        <v>0</v>
      </c>
      <c r="AU40" s="9">
        <f>'GHG data from Eurostat'!ED46</f>
        <v>0</v>
      </c>
      <c r="AV40" s="9">
        <f>'GHG data from Eurostat'!EL46</f>
        <v>2.0000000000000002E-5</v>
      </c>
      <c r="AW40" s="18">
        <f t="shared" si="21"/>
        <v>1.0569999999999998E-2</v>
      </c>
      <c r="AX40" s="16">
        <f>IFERROR(AR40*1000/AL40,0)</f>
        <v>0.39082759131658884</v>
      </c>
      <c r="AY40" s="16">
        <f t="shared" si="174"/>
        <v>0</v>
      </c>
      <c r="AZ40" s="16">
        <f t="shared" si="175"/>
        <v>0</v>
      </c>
      <c r="BA40" s="16">
        <f t="shared" si="176"/>
        <v>0</v>
      </c>
      <c r="BB40" s="16">
        <f t="shared" si="176"/>
        <v>8.7680841736080669E-4</v>
      </c>
      <c r="BD40" s="16">
        <f t="shared" si="17"/>
        <v>0.39079999999999998</v>
      </c>
      <c r="BE40" s="16">
        <f t="shared" si="94"/>
        <v>0</v>
      </c>
      <c r="BF40" s="16">
        <f t="shared" si="95"/>
        <v>0</v>
      </c>
      <c r="BG40" s="16">
        <f t="shared" si="96"/>
        <v>0</v>
      </c>
      <c r="BH40" s="16">
        <f t="shared" si="97"/>
        <v>8.9999999999999998E-4</v>
      </c>
      <c r="BJ40" s="16" t="str">
        <f t="shared" si="18"/>
        <v>Greece</v>
      </c>
      <c r="BK40" s="16" t="s">
        <v>261</v>
      </c>
      <c r="BL40" s="9">
        <f>'GHG data from Eurostat'!EP46</f>
        <v>0</v>
      </c>
    </row>
    <row r="41" spans="7:64" x14ac:dyDescent="0.25">
      <c r="G41" s="9" t="s">
        <v>185</v>
      </c>
      <c r="H41" s="9" t="s">
        <v>262</v>
      </c>
      <c r="I41" s="9">
        <f t="shared" si="3"/>
        <v>9.2412299999999998</v>
      </c>
      <c r="J41" s="9">
        <f t="shared" si="4"/>
        <v>6.5105900000000005</v>
      </c>
      <c r="K41" s="9">
        <f t="shared" si="5"/>
        <v>11.194000000000001</v>
      </c>
      <c r="L41" s="9">
        <f t="shared" si="6"/>
        <v>1.8617319999999999</v>
      </c>
      <c r="M41" s="9">
        <f>'GHG data from Eurostat'!CP47</f>
        <v>0.69220999999999999</v>
      </c>
      <c r="N41" s="9">
        <f>'GHG data from Eurostat'!CN47</f>
        <v>11.38503</v>
      </c>
      <c r="O41" s="9">
        <f>'GHG data from Eurostat'!CQ47</f>
        <v>1.01366</v>
      </c>
      <c r="P41" s="9">
        <f>'GHG data from Eurostat'!CO47</f>
        <v>3.36978</v>
      </c>
      <c r="Q41" s="9">
        <f>'GHG data from Eurostat'!CU47</f>
        <v>5.9728199999999996</v>
      </c>
      <c r="R41" s="9">
        <f>IFERROR(('GHG data from Eurostat'!CS47+'GHG data from Eurostat'!CW47),0)</f>
        <v>2.49315</v>
      </c>
      <c r="S41" s="9">
        <f>'GHG data from Eurostat'!CV47</f>
        <v>0.67961000000000005</v>
      </c>
      <c r="T41" s="9">
        <f>'GHG data from Eurostat'!CT47</f>
        <v>0.34658</v>
      </c>
      <c r="U41" s="9">
        <f>Q41+M41</f>
        <v>6.6650299999999998</v>
      </c>
      <c r="V41" s="9">
        <f t="shared" ref="V41:V42" si="177">R41+N41</f>
        <v>13.87818</v>
      </c>
      <c r="W41" s="9">
        <f t="shared" ref="W41:W42" si="178">S41+O41</f>
        <v>1.6932700000000001</v>
      </c>
      <c r="X41" s="9">
        <f t="shared" ref="X41:X42" si="179">T41+P41</f>
        <v>3.7163599999999999</v>
      </c>
      <c r="Y41" s="9">
        <f t="shared" si="11"/>
        <v>25.952840000000002</v>
      </c>
      <c r="Z41" s="17">
        <f t="shared" si="12"/>
        <v>0.72122758550539268</v>
      </c>
      <c r="AA41" s="17">
        <f t="shared" si="85"/>
        <v>2.1316316954377403</v>
      </c>
      <c r="AB41" s="17">
        <f t="shared" si="86"/>
        <v>0.15126585670895121</v>
      </c>
      <c r="AC41" s="17">
        <f t="shared" si="87"/>
        <v>1.9961841983701198</v>
      </c>
      <c r="AD41" s="18"/>
      <c r="AE41" s="17">
        <f t="shared" si="13"/>
        <v>0.72099999999999997</v>
      </c>
      <c r="AF41" s="17">
        <f t="shared" si="88"/>
        <v>2.1320000000000001</v>
      </c>
      <c r="AG41" s="17">
        <f t="shared" si="89"/>
        <v>0.151</v>
      </c>
      <c r="AH41" s="17">
        <f t="shared" si="90"/>
        <v>1.996</v>
      </c>
      <c r="AJ41" s="9" t="s">
        <v>185</v>
      </c>
      <c r="AK41" s="9" t="s">
        <v>262</v>
      </c>
      <c r="AL41" s="9">
        <f>VLOOKUP($AJ41,Landcover!$A$3:$K$30,5,FALSE)/1000</f>
        <v>136.476</v>
      </c>
      <c r="AM41" s="9">
        <f>VLOOKUP($AJ41,Landcover!$A$3:$K$30,6,FALSE)/1000</f>
        <v>175.161</v>
      </c>
      <c r="AN41" s="9">
        <f>VLOOKUP($AJ41,Landcover!$A$3:$K$30,8,FALSE)/1000</f>
        <v>64.021000000000001</v>
      </c>
      <c r="AO41" s="9">
        <f>VLOOKUP($AJ41,Landcover!$A$3:$K$30,11,FALSE)/1000</f>
        <v>0.68</v>
      </c>
      <c r="AP41" s="9">
        <f>VLOOKUP($AJ41,Landcover!$A$3:$K$30,7,FALSE)/1000</f>
        <v>74.073999999999998</v>
      </c>
      <c r="AR41" s="9">
        <f>SUM('GHG data from Eurostat'!CX47,'GHG data from Eurostat'!DC47,'GHG data from Eurostat'!DG47,'GHG data from Eurostat'!DM47,'GHG data from Eurostat'!DP47,'GHG data from Eurostat'!DV47)</f>
        <v>3.951579999999999</v>
      </c>
      <c r="AS41" s="9">
        <f>'GHG data from Eurostat'!DS47+'GHG data from Eurostat'!DT47</f>
        <v>-31.136330000000001</v>
      </c>
      <c r="AT41" s="9">
        <f>'GHG data from Eurostat'!EA47+'GHG data from Eurostat'!EB47</f>
        <v>2.8369999999999999E-2</v>
      </c>
      <c r="AU41" s="9">
        <f>'GHG data from Eurostat'!ED47</f>
        <v>-9.5820000000000002E-2</v>
      </c>
      <c r="AV41" s="9">
        <f>'GHG data from Eurostat'!EL47</f>
        <v>4.3619999999999999E-2</v>
      </c>
      <c r="AW41" s="18">
        <f t="shared" si="21"/>
        <v>-27.208580000000001</v>
      </c>
      <c r="AX41" s="16">
        <f>AR41/AL41</f>
        <v>2.8954394911925901E-2</v>
      </c>
      <c r="AY41" s="16">
        <f t="shared" ref="AY41" si="180">AS41/AM41</f>
        <v>-0.17775834803409435</v>
      </c>
      <c r="AZ41" s="16">
        <f t="shared" ref="AZ41" si="181">AT41/AN41</f>
        <v>4.4313584605051469E-4</v>
      </c>
      <c r="BA41" s="16">
        <f t="shared" ref="BA41:BB41" si="182">AU41/AO41</f>
        <v>-0.14091176470588235</v>
      </c>
      <c r="BB41" s="16">
        <f t="shared" si="182"/>
        <v>5.8887058887058892E-4</v>
      </c>
      <c r="BD41" s="16">
        <f t="shared" si="17"/>
        <v>2.9000000000000001E-2</v>
      </c>
      <c r="BE41" s="16">
        <f t="shared" si="94"/>
        <v>-0.17780000000000001</v>
      </c>
      <c r="BF41" s="16">
        <f t="shared" si="95"/>
        <v>4.0000000000000002E-4</v>
      </c>
      <c r="BG41" s="16">
        <f t="shared" si="96"/>
        <v>-0.1409</v>
      </c>
      <c r="BH41" s="16">
        <f t="shared" si="97"/>
        <v>5.9999999999999995E-4</v>
      </c>
      <c r="BJ41" s="16" t="str">
        <f t="shared" si="18"/>
        <v>Spain</v>
      </c>
      <c r="BK41" s="16" t="s">
        <v>263</v>
      </c>
      <c r="BL41" s="9">
        <f>'GHG data from Eurostat'!EP47</f>
        <v>-2.74844</v>
      </c>
    </row>
    <row r="42" spans="7:64" x14ac:dyDescent="0.25">
      <c r="G42" s="9" t="s">
        <v>185</v>
      </c>
      <c r="H42" s="9" t="s">
        <v>233</v>
      </c>
      <c r="I42" s="9">
        <f t="shared" si="3"/>
        <v>9.2412299999999998</v>
      </c>
      <c r="J42" s="9">
        <f t="shared" si="4"/>
        <v>6.5105900000000005</v>
      </c>
      <c r="K42" s="9">
        <f t="shared" si="5"/>
        <v>11.194000000000001</v>
      </c>
      <c r="L42" s="9">
        <f t="shared" si="6"/>
        <v>1.8617319999999999</v>
      </c>
      <c r="M42" s="9">
        <f>'GHG data from Eurostat'!CP48</f>
        <v>0</v>
      </c>
      <c r="N42" s="9">
        <f>'GHG data from Eurostat'!CN48</f>
        <v>0</v>
      </c>
      <c r="O42" s="9">
        <f>'GHG data from Eurostat'!CQ48</f>
        <v>0</v>
      </c>
      <c r="P42" s="9">
        <f>'GHG data from Eurostat'!CO48</f>
        <v>0</v>
      </c>
      <c r="Q42" s="9">
        <f>'GHG data from Eurostat'!CU48</f>
        <v>0</v>
      </c>
      <c r="R42" s="9">
        <f>IFERROR(('GHG data from Eurostat'!CS48+'GHG data from Eurostat'!CW48),0)</f>
        <v>0</v>
      </c>
      <c r="S42" s="9">
        <f>'GHG data from Eurostat'!CV48</f>
        <v>0</v>
      </c>
      <c r="T42" s="9">
        <f>'GHG data from Eurostat'!CT48</f>
        <v>0</v>
      </c>
      <c r="U42" s="9">
        <f t="shared" ref="U42" si="183">Q42+M42</f>
        <v>0</v>
      </c>
      <c r="V42" s="9">
        <f t="shared" si="177"/>
        <v>0</v>
      </c>
      <c r="W42" s="9">
        <f t="shared" si="178"/>
        <v>0</v>
      </c>
      <c r="X42" s="9">
        <f t="shared" si="179"/>
        <v>0</v>
      </c>
      <c r="Y42" s="9">
        <f t="shared" si="11"/>
        <v>0</v>
      </c>
      <c r="Z42" s="17">
        <f t="shared" si="12"/>
        <v>0</v>
      </c>
      <c r="AA42" s="17">
        <f t="shared" si="85"/>
        <v>0</v>
      </c>
      <c r="AB42" s="17">
        <f t="shared" si="86"/>
        <v>0</v>
      </c>
      <c r="AC42" s="17">
        <f t="shared" si="87"/>
        <v>0</v>
      </c>
      <c r="AD42" s="18"/>
      <c r="AE42" s="17">
        <f t="shared" si="13"/>
        <v>0</v>
      </c>
      <c r="AF42" s="17">
        <f t="shared" si="88"/>
        <v>0</v>
      </c>
      <c r="AG42" s="17">
        <f t="shared" si="89"/>
        <v>0</v>
      </c>
      <c r="AH42" s="17">
        <f t="shared" si="90"/>
        <v>0</v>
      </c>
      <c r="AJ42" s="9" t="s">
        <v>185</v>
      </c>
      <c r="AK42" s="9" t="s">
        <v>233</v>
      </c>
      <c r="AL42" s="9">
        <f>VLOOKUP($AJ42,Landcover!$A$3:$K$30,5,FALSE)/1000</f>
        <v>136.476</v>
      </c>
      <c r="AM42" s="9">
        <f>VLOOKUP($AJ42,Landcover!$A$3:$K$30,6,FALSE)/1000</f>
        <v>175.161</v>
      </c>
      <c r="AN42" s="9">
        <f>VLOOKUP($AJ42,Landcover!$A$3:$K$30,8,FALSE)/1000</f>
        <v>64.021000000000001</v>
      </c>
      <c r="AO42" s="9">
        <f>VLOOKUP($AJ42,Landcover!$A$3:$K$30,11,FALSE)/1000</f>
        <v>0.68</v>
      </c>
      <c r="AP42" s="9">
        <f>VLOOKUP($AJ42,Landcover!$A$3:$K$30,7,FALSE)/1000</f>
        <v>74.073999999999998</v>
      </c>
      <c r="AR42" s="9">
        <f>SUM('GHG data from Eurostat'!CX48,'GHG data from Eurostat'!DC48,'GHG data from Eurostat'!DG48,'GHG data from Eurostat'!DM48,'GHG data from Eurostat'!DP48,'GHG data from Eurostat'!DV48)</f>
        <v>-3.1817799999999998</v>
      </c>
      <c r="AS42" s="9">
        <f>'GHG data from Eurostat'!DS48+'GHG data from Eurostat'!DT48</f>
        <v>-31.150510000000001</v>
      </c>
      <c r="AT42" s="9">
        <f>'GHG data from Eurostat'!EA48+'GHG data from Eurostat'!EB48</f>
        <v>-3.6729999999999999E-2</v>
      </c>
      <c r="AU42" s="9">
        <f>'GHG data from Eurostat'!ED48</f>
        <v>-9.5839999999999995E-2</v>
      </c>
      <c r="AV42" s="9">
        <f>'GHG data from Eurostat'!EL48</f>
        <v>4.0469999999999999E-2</v>
      </c>
      <c r="AW42" s="18">
        <f t="shared" si="21"/>
        <v>-34.424390000000002</v>
      </c>
      <c r="AX42" s="16">
        <f>AR42/AL42</f>
        <v>-2.3313842726926343E-2</v>
      </c>
      <c r="AY42" s="16">
        <f t="shared" ref="AY42" si="184">AS42/AM42</f>
        <v>-0.17783930212775675</v>
      </c>
      <c r="AZ42" s="16">
        <f t="shared" ref="AZ42" si="185">AT42/AN42</f>
        <v>-5.7371799878164979E-4</v>
      </c>
      <c r="BA42" s="16">
        <f t="shared" ref="BA42:BB42" si="186">AU42/AO42</f>
        <v>-0.14094117647058821</v>
      </c>
      <c r="BB42" s="16">
        <f t="shared" si="186"/>
        <v>5.4634554634554633E-4</v>
      </c>
      <c r="BD42" s="16">
        <f t="shared" si="17"/>
        <v>-2.3300000000000001E-2</v>
      </c>
      <c r="BE42" s="16">
        <f t="shared" si="94"/>
        <v>-0.17780000000000001</v>
      </c>
      <c r="BF42" s="16">
        <f t="shared" si="95"/>
        <v>-5.9999999999999995E-4</v>
      </c>
      <c r="BG42" s="16">
        <f t="shared" si="96"/>
        <v>-0.1409</v>
      </c>
      <c r="BH42" s="16">
        <f t="shared" si="97"/>
        <v>5.0000000000000001E-4</v>
      </c>
      <c r="BJ42" s="16" t="str">
        <f t="shared" si="18"/>
        <v>Spain</v>
      </c>
      <c r="BK42" s="16" t="s">
        <v>259</v>
      </c>
      <c r="BL42" s="9">
        <f>'GHG data from Eurostat'!EP48</f>
        <v>-2.74844</v>
      </c>
    </row>
    <row r="43" spans="7:64" x14ac:dyDescent="0.25">
      <c r="G43" s="9" t="s">
        <v>185</v>
      </c>
      <c r="H43" s="9" t="s">
        <v>231</v>
      </c>
      <c r="I43" s="9">
        <f t="shared" si="3"/>
        <v>9.2412299999999998</v>
      </c>
      <c r="J43" s="9">
        <f t="shared" si="4"/>
        <v>6.5105900000000005</v>
      </c>
      <c r="K43" s="9">
        <f t="shared" si="5"/>
        <v>11.194000000000001</v>
      </c>
      <c r="L43" s="9">
        <f t="shared" si="6"/>
        <v>1.8617319999999999</v>
      </c>
      <c r="M43" s="9">
        <f>'GHG data from Eurostat'!CP49</f>
        <v>2.4719999999999999E-2</v>
      </c>
      <c r="N43" s="9">
        <f>'GHG data from Eurostat'!CN49</f>
        <v>0.40661000000000003</v>
      </c>
      <c r="O43" s="9">
        <f>'GHG data from Eurostat'!CQ49</f>
        <v>3.6200000000000003E-2</v>
      </c>
      <c r="P43" s="9">
        <f>'GHG data from Eurostat'!CO49</f>
        <v>0.12035</v>
      </c>
      <c r="Q43" s="9">
        <f>'GHG data from Eurostat'!CU49</f>
        <v>0.20483000000000001</v>
      </c>
      <c r="R43" s="9">
        <f>IFERROR(('GHG data from Eurostat'!CS49+'GHG data from Eurostat'!CW49),0)</f>
        <v>5.0439999999999999E-2</v>
      </c>
      <c r="S43" s="9">
        <f>'GHG data from Eurostat'!CV49</f>
        <v>1.346E-2</v>
      </c>
      <c r="T43" s="9">
        <f>'GHG data from Eurostat'!CT49</f>
        <v>9.1500000000000001E-3</v>
      </c>
      <c r="U43" s="9">
        <f>(Q43+M43)*1000</f>
        <v>229.55</v>
      </c>
      <c r="V43" s="9">
        <f t="shared" ref="V43:V44" si="187">(R43+N43)*1000</f>
        <v>457.05</v>
      </c>
      <c r="W43" s="9">
        <f t="shared" ref="W43:W44" si="188">(S43+O43)*1000</f>
        <v>49.660000000000004</v>
      </c>
      <c r="X43" s="9">
        <f t="shared" ref="X43:X44" si="189">(T43+P43)*1000</f>
        <v>129.5</v>
      </c>
      <c r="Y43" s="9">
        <f t="shared" si="11"/>
        <v>865.76</v>
      </c>
      <c r="Z43" s="17">
        <f t="shared" ref="Z43:AC44" si="190">IFERROR((M43+Q43)*1000/I43,0)</f>
        <v>24.83976700071311</v>
      </c>
      <c r="AA43" s="17">
        <f t="shared" si="190"/>
        <v>70.201010968283981</v>
      </c>
      <c r="AB43" s="17">
        <f t="shared" si="190"/>
        <v>4.4363051634804362</v>
      </c>
      <c r="AC43" s="17">
        <f t="shared" si="190"/>
        <v>69.558883878023266</v>
      </c>
      <c r="AD43" s="18"/>
      <c r="AE43" s="17">
        <f t="shared" si="13"/>
        <v>24.84</v>
      </c>
      <c r="AF43" s="17">
        <f t="shared" si="88"/>
        <v>70.200999999999993</v>
      </c>
      <c r="AG43" s="17">
        <f t="shared" si="89"/>
        <v>4.4359999999999999</v>
      </c>
      <c r="AH43" s="17">
        <f t="shared" si="90"/>
        <v>69.558999999999997</v>
      </c>
      <c r="AJ43" s="9" t="s">
        <v>185</v>
      </c>
      <c r="AK43" s="9" t="s">
        <v>231</v>
      </c>
      <c r="AL43" s="9">
        <f>VLOOKUP($AJ43,Landcover!$A$3:$K$30,5,FALSE)/1000</f>
        <v>136.476</v>
      </c>
      <c r="AM43" s="9">
        <f>VLOOKUP($AJ43,Landcover!$A$3:$K$30,6,FALSE)/1000</f>
        <v>175.161</v>
      </c>
      <c r="AN43" s="9">
        <f>VLOOKUP($AJ43,Landcover!$A$3:$K$30,8,FALSE)/1000</f>
        <v>64.021000000000001</v>
      </c>
      <c r="AO43" s="9">
        <f>VLOOKUP($AJ43,Landcover!$A$3:$K$30,11,FALSE)/1000</f>
        <v>0.68</v>
      </c>
      <c r="AP43" s="9">
        <f>VLOOKUP($AJ43,Landcover!$A$3:$K$30,7,FALSE)/1000</f>
        <v>74.073999999999998</v>
      </c>
      <c r="AR43" s="9">
        <f>SUM('GHG data from Eurostat'!CX49,'GHG data from Eurostat'!DC49,'GHG data from Eurostat'!DG49,'GHG data from Eurostat'!DM49,'GHG data from Eurostat'!DP49,'GHG data from Eurostat'!DV49)</f>
        <v>2.1079999999999998E-2</v>
      </c>
      <c r="AS43" s="9">
        <f>'GHG data from Eurostat'!DS49+'GHG data from Eurostat'!DT49</f>
        <v>3.3E-4</v>
      </c>
      <c r="AT43" s="9">
        <f>'GHG data from Eurostat'!EA49+'GHG data from Eurostat'!EB49</f>
        <v>1.16E-3</v>
      </c>
      <c r="AU43" s="9">
        <f>'GHG data from Eurostat'!ED49</f>
        <v>0</v>
      </c>
      <c r="AV43" s="9">
        <f>'GHG data from Eurostat'!EL49</f>
        <v>0</v>
      </c>
      <c r="AW43" s="18">
        <f t="shared" si="21"/>
        <v>2.257E-2</v>
      </c>
      <c r="AX43" s="16">
        <f>IFERROR(AR43*1000/AL43,0)</f>
        <v>0.15445939212755355</v>
      </c>
      <c r="AY43" s="16">
        <f t="shared" ref="AY43:AY44" si="191">IFERROR(AS43*1000/AM43,0)</f>
        <v>1.8839810231729667E-3</v>
      </c>
      <c r="AZ43" s="16">
        <f t="shared" ref="AZ43:AZ44" si="192">IFERROR(AT43*1000/AN43,0)</f>
        <v>1.8119054685181425E-2</v>
      </c>
      <c r="BA43" s="16">
        <f t="shared" ref="BA43:BB44" si="193">IFERROR(AU43*1000/AO43,0)</f>
        <v>0</v>
      </c>
      <c r="BB43" s="16">
        <f t="shared" si="193"/>
        <v>0</v>
      </c>
      <c r="BD43" s="16">
        <f t="shared" si="17"/>
        <v>0.1545</v>
      </c>
      <c r="BE43" s="16">
        <f t="shared" si="94"/>
        <v>1.9E-3</v>
      </c>
      <c r="BF43" s="16">
        <f t="shared" si="95"/>
        <v>1.8100000000000002E-2</v>
      </c>
      <c r="BG43" s="16">
        <f t="shared" si="96"/>
        <v>0</v>
      </c>
      <c r="BH43" s="16">
        <f t="shared" si="97"/>
        <v>0</v>
      </c>
      <c r="BJ43" s="16" t="str">
        <f t="shared" si="18"/>
        <v>Spain</v>
      </c>
      <c r="BK43" s="16" t="s">
        <v>260</v>
      </c>
      <c r="BL43" s="9">
        <f>'GHG data from Eurostat'!EP49</f>
        <v>0</v>
      </c>
    </row>
    <row r="44" spans="7:64" x14ac:dyDescent="0.25">
      <c r="G44" s="9" t="s">
        <v>185</v>
      </c>
      <c r="H44" s="9" t="s">
        <v>232</v>
      </c>
      <c r="I44" s="9">
        <f t="shared" si="3"/>
        <v>9.2412299999999998</v>
      </c>
      <c r="J44" s="9">
        <f t="shared" si="4"/>
        <v>6.5105900000000005</v>
      </c>
      <c r="K44" s="9">
        <f t="shared" si="5"/>
        <v>11.194000000000001</v>
      </c>
      <c r="L44" s="9">
        <f t="shared" si="6"/>
        <v>1.8617319999999999</v>
      </c>
      <c r="M44" s="9">
        <f>'GHG data from Eurostat'!CP50</f>
        <v>0</v>
      </c>
      <c r="N44" s="9">
        <f>'GHG data from Eurostat'!CN50</f>
        <v>0</v>
      </c>
      <c r="O44" s="9">
        <f>'GHG data from Eurostat'!CQ50</f>
        <v>0</v>
      </c>
      <c r="P44" s="9">
        <f>'GHG data from Eurostat'!CO50</f>
        <v>0</v>
      </c>
      <c r="Q44" s="9">
        <f>'GHG data from Eurostat'!CU50</f>
        <v>8.9999999999999998E-4</v>
      </c>
      <c r="R44" s="9">
        <f>IFERROR(('GHG data from Eurostat'!CS50+'GHG data from Eurostat'!CW50),0)</f>
        <v>4.0800000000000003E-3</v>
      </c>
      <c r="S44" s="9">
        <f>'GHG data from Eurostat'!CV50</f>
        <v>1.14E-3</v>
      </c>
      <c r="T44" s="9">
        <f>'GHG data from Eurostat'!CT50</f>
        <v>3.4000000000000002E-4</v>
      </c>
      <c r="U44" s="9">
        <f>(Q44+M44)*1000</f>
        <v>0.9</v>
      </c>
      <c r="V44" s="9">
        <f t="shared" si="187"/>
        <v>4.08</v>
      </c>
      <c r="W44" s="9">
        <f t="shared" si="188"/>
        <v>1.1399999999999999</v>
      </c>
      <c r="X44" s="9">
        <f t="shared" si="189"/>
        <v>0.34</v>
      </c>
      <c r="Y44" s="9">
        <f t="shared" si="11"/>
        <v>6.46</v>
      </c>
      <c r="Z44" s="17">
        <f t="shared" si="190"/>
        <v>9.7389633198178172E-2</v>
      </c>
      <c r="AA44" s="17">
        <f t="shared" si="190"/>
        <v>0.62667131550289601</v>
      </c>
      <c r="AB44" s="17">
        <f t="shared" si="190"/>
        <v>0.10184027157405752</v>
      </c>
      <c r="AC44" s="17">
        <f t="shared" si="190"/>
        <v>0.1826256410697136</v>
      </c>
      <c r="AD44" s="18"/>
      <c r="AE44" s="17">
        <f t="shared" si="13"/>
        <v>9.7000000000000003E-2</v>
      </c>
      <c r="AF44" s="17">
        <f t="shared" si="88"/>
        <v>0.627</v>
      </c>
      <c r="AG44" s="17">
        <f t="shared" si="89"/>
        <v>0.10199999999999999</v>
      </c>
      <c r="AH44" s="17">
        <f t="shared" si="90"/>
        <v>0.183</v>
      </c>
      <c r="AJ44" s="9" t="s">
        <v>185</v>
      </c>
      <c r="AK44" s="9" t="s">
        <v>232</v>
      </c>
      <c r="AL44" s="9">
        <f>VLOOKUP($AJ44,Landcover!$A$3:$K$30,5,FALSE)/1000</f>
        <v>136.476</v>
      </c>
      <c r="AM44" s="9">
        <f>VLOOKUP($AJ44,Landcover!$A$3:$K$30,6,FALSE)/1000</f>
        <v>175.161</v>
      </c>
      <c r="AN44" s="9">
        <f>VLOOKUP($AJ44,Landcover!$A$3:$K$30,8,FALSE)/1000</f>
        <v>64.021000000000001</v>
      </c>
      <c r="AO44" s="9">
        <f>VLOOKUP($AJ44,Landcover!$A$3:$K$30,11,FALSE)/1000</f>
        <v>0.68</v>
      </c>
      <c r="AP44" s="9">
        <f>VLOOKUP($AJ44,Landcover!$A$3:$K$30,7,FALSE)/1000</f>
        <v>74.073999999999998</v>
      </c>
      <c r="AR44" s="9">
        <f>SUM('GHG data from Eurostat'!CX50,'GHG data from Eurostat'!DC50,'GHG data from Eurostat'!DG50,'GHG data from Eurostat'!DM50,'GHG data from Eurostat'!DP50,'GHG data from Eurostat'!DV50)</f>
        <v>2.469E-2</v>
      </c>
      <c r="AS44" s="9">
        <f>'GHG data from Eurostat'!DS50+'GHG data from Eurostat'!DT50</f>
        <v>2.0000000000000002E-5</v>
      </c>
      <c r="AT44" s="9">
        <f>'GHG data from Eurostat'!EA50+'GHG data from Eurostat'!EB50</f>
        <v>1.2E-4</v>
      </c>
      <c r="AU44" s="9">
        <f>'GHG data from Eurostat'!ED50</f>
        <v>0</v>
      </c>
      <c r="AV44" s="9">
        <f>'GHG data from Eurostat'!EL50</f>
        <v>1.0000000000000001E-5</v>
      </c>
      <c r="AW44" s="18">
        <f t="shared" si="21"/>
        <v>2.4839999999999997E-2</v>
      </c>
      <c r="AX44" s="16">
        <f>IFERROR(AR44*1000/AL44,0)</f>
        <v>0.18091092939417922</v>
      </c>
      <c r="AY44" s="16">
        <f t="shared" si="191"/>
        <v>1.1418066807108888E-4</v>
      </c>
      <c r="AZ44" s="16">
        <f t="shared" si="192"/>
        <v>1.8743849674325614E-3</v>
      </c>
      <c r="BA44" s="16">
        <f t="shared" si="193"/>
        <v>0</v>
      </c>
      <c r="BB44" s="16">
        <f t="shared" si="193"/>
        <v>1.3500013500013501E-4</v>
      </c>
      <c r="BD44" s="16">
        <f t="shared" si="17"/>
        <v>0.18090000000000001</v>
      </c>
      <c r="BE44" s="16">
        <f t="shared" si="94"/>
        <v>1E-4</v>
      </c>
      <c r="BF44" s="16">
        <f t="shared" si="95"/>
        <v>1.9E-3</v>
      </c>
      <c r="BG44" s="16">
        <f t="shared" si="96"/>
        <v>0</v>
      </c>
      <c r="BH44" s="16">
        <f t="shared" si="97"/>
        <v>1E-4</v>
      </c>
      <c r="BJ44" s="16" t="str">
        <f t="shared" si="18"/>
        <v>Spain</v>
      </c>
      <c r="BK44" s="16" t="s">
        <v>261</v>
      </c>
      <c r="BL44" s="9">
        <f>'GHG data from Eurostat'!EP50</f>
        <v>0</v>
      </c>
    </row>
    <row r="45" spans="7:64" x14ac:dyDescent="0.25">
      <c r="G45" s="9" t="s">
        <v>186</v>
      </c>
      <c r="H45" s="9" t="s">
        <v>262</v>
      </c>
      <c r="I45" s="9">
        <f t="shared" si="3"/>
        <v>4.1138999999999992</v>
      </c>
      <c r="J45" s="9">
        <f t="shared" si="4"/>
        <v>18.613040000000002</v>
      </c>
      <c r="K45" s="9">
        <f t="shared" si="5"/>
        <v>13.637</v>
      </c>
      <c r="L45" s="9">
        <f t="shared" si="6"/>
        <v>0.8418000000000001</v>
      </c>
      <c r="M45" s="9">
        <f>'GHG data from Eurostat'!CP51</f>
        <v>0.27746999999999999</v>
      </c>
      <c r="N45" s="9">
        <f>'GHG data from Eurostat'!CN51</f>
        <v>36.702449999999999</v>
      </c>
      <c r="O45" s="9">
        <f>'GHG data from Eurostat'!CQ51</f>
        <v>0.74033000000000004</v>
      </c>
      <c r="P45" s="9">
        <f>'GHG data from Eurostat'!CO51</f>
        <v>2.5686300000000002</v>
      </c>
      <c r="Q45" s="9">
        <f>'GHG data from Eurostat'!CU51</f>
        <v>2.6617799999999998</v>
      </c>
      <c r="R45" s="9">
        <f>IFERROR(('GHG data from Eurostat'!CS51+'GHG data from Eurostat'!CW51),0)</f>
        <v>7.2840100000000003</v>
      </c>
      <c r="S45" s="9">
        <f>'GHG data from Eurostat'!CV51</f>
        <v>0.43851000000000001</v>
      </c>
      <c r="T45" s="9">
        <f>'GHG data from Eurostat'!CT51</f>
        <v>0.16100999999999999</v>
      </c>
      <c r="U45" s="9">
        <f>Q45+M45</f>
        <v>2.9392499999999999</v>
      </c>
      <c r="V45" s="9">
        <f t="shared" ref="V45:V46" si="194">R45+N45</f>
        <v>43.986460000000001</v>
      </c>
      <c r="W45" s="9">
        <f t="shared" ref="W45:W46" si="195">S45+O45</f>
        <v>1.1788400000000001</v>
      </c>
      <c r="X45" s="9">
        <f t="shared" ref="X45:X46" si="196">T45+P45</f>
        <v>2.7296400000000003</v>
      </c>
      <c r="Y45" s="9">
        <f t="shared" si="11"/>
        <v>50.834190000000007</v>
      </c>
      <c r="Z45" s="17">
        <f t="shared" si="12"/>
        <v>0.71446802304382717</v>
      </c>
      <c r="AA45" s="17">
        <f t="shared" si="85"/>
        <v>2.3632066551192068</v>
      </c>
      <c r="AB45" s="17">
        <f t="shared" si="86"/>
        <v>8.6444232602478563E-2</v>
      </c>
      <c r="AC45" s="17">
        <f t="shared" si="87"/>
        <v>3.2426229508196722</v>
      </c>
      <c r="AD45" s="18"/>
      <c r="AE45" s="17">
        <f t="shared" si="13"/>
        <v>0.71399999999999997</v>
      </c>
      <c r="AF45" s="17">
        <f t="shared" si="88"/>
        <v>2.363</v>
      </c>
      <c r="AG45" s="17">
        <f t="shared" si="89"/>
        <v>8.5999999999999993E-2</v>
      </c>
      <c r="AH45" s="17">
        <f t="shared" si="90"/>
        <v>3.2429999999999999</v>
      </c>
      <c r="AJ45" s="9" t="s">
        <v>186</v>
      </c>
      <c r="AK45" s="9" t="s">
        <v>262</v>
      </c>
      <c r="AL45" s="9">
        <f>VLOOKUP($AJ45,Landcover!$A$3:$K$30,5,FALSE)/1000</f>
        <v>164.34899999999999</v>
      </c>
      <c r="AM45" s="9">
        <f>VLOOKUP($AJ45,Landcover!$A$3:$K$30,6,FALSE)/1000</f>
        <v>181.93</v>
      </c>
      <c r="AN45" s="9">
        <f>VLOOKUP($AJ45,Landcover!$A$3:$K$30,8,FALSE)/1000</f>
        <v>135.161</v>
      </c>
      <c r="AO45" s="9">
        <f>VLOOKUP($AJ45,Landcover!$A$3:$K$30,11,FALSE)/1000</f>
        <v>1.728</v>
      </c>
      <c r="AP45" s="9">
        <f>VLOOKUP($AJ45,Landcover!$A$3:$K$30,7,FALSE)/1000</f>
        <v>15.476000000000001</v>
      </c>
      <c r="AR45" s="9">
        <f>SUM('GHG data from Eurostat'!CX51,'GHG data from Eurostat'!DC51,'GHG data from Eurostat'!DG51,'GHG data from Eurostat'!DM51,'GHG data from Eurostat'!DP51,'GHG data from Eurostat'!DV51)</f>
        <v>34.752569999999999</v>
      </c>
      <c r="AS45" s="9">
        <f>'GHG data from Eurostat'!DS51+'GHG data from Eurostat'!DT51</f>
        <v>-33.214570000000002</v>
      </c>
      <c r="AT45" s="9">
        <f>'GHG data from Eurostat'!EA51+'GHG data from Eurostat'!EB51</f>
        <v>-2.2385799999999998</v>
      </c>
      <c r="AU45" s="9">
        <f>'GHG data from Eurostat'!ED51</f>
        <v>0.80874999999999997</v>
      </c>
      <c r="AV45" s="9">
        <f>'GHG data from Eurostat'!EL51</f>
        <v>5.6899999999999999E-2</v>
      </c>
      <c r="AW45" s="18">
        <f t="shared" si="21"/>
        <v>0.16506999999999689</v>
      </c>
      <c r="AX45" s="16">
        <f>AR45/AL45</f>
        <v>0.21145592610846431</v>
      </c>
      <c r="AY45" s="16">
        <f t="shared" ref="AY45" si="197">AS45/AM45</f>
        <v>-0.18256785576870224</v>
      </c>
      <c r="AZ45" s="16">
        <f t="shared" ref="AZ45" si="198">AT45/AN45</f>
        <v>-1.6562321971574638E-2</v>
      </c>
      <c r="BA45" s="16">
        <f t="shared" ref="BA45:BB45" si="199">AU45/AO45</f>
        <v>0.46802662037037035</v>
      </c>
      <c r="BB45" s="16">
        <f t="shared" si="199"/>
        <v>3.6766606358232101E-3</v>
      </c>
      <c r="BD45" s="16">
        <f t="shared" si="17"/>
        <v>0.21149999999999999</v>
      </c>
      <c r="BE45" s="16">
        <f t="shared" si="94"/>
        <v>-0.18260000000000001</v>
      </c>
      <c r="BF45" s="16">
        <f t="shared" si="95"/>
        <v>-1.66E-2</v>
      </c>
      <c r="BG45" s="16">
        <f t="shared" si="96"/>
        <v>0.46800000000000003</v>
      </c>
      <c r="BH45" s="16">
        <f t="shared" si="97"/>
        <v>3.7000000000000002E-3</v>
      </c>
      <c r="BJ45" s="16" t="str">
        <f t="shared" si="18"/>
        <v>France</v>
      </c>
      <c r="BK45" s="16" t="s">
        <v>263</v>
      </c>
      <c r="BL45" s="9">
        <f>'GHG data from Eurostat'!EP51</f>
        <v>-1.0438700000000001</v>
      </c>
    </row>
    <row r="46" spans="7:64" x14ac:dyDescent="0.25">
      <c r="G46" s="9" t="s">
        <v>186</v>
      </c>
      <c r="H46" s="9" t="s">
        <v>233</v>
      </c>
      <c r="I46" s="9">
        <f t="shared" si="3"/>
        <v>4.1138999999999992</v>
      </c>
      <c r="J46" s="9">
        <f t="shared" si="4"/>
        <v>18.613040000000002</v>
      </c>
      <c r="K46" s="9">
        <f t="shared" si="5"/>
        <v>13.637</v>
      </c>
      <c r="L46" s="9">
        <f t="shared" si="6"/>
        <v>0.8418000000000001</v>
      </c>
      <c r="M46" s="9">
        <f>'GHG data from Eurostat'!CP52</f>
        <v>0</v>
      </c>
      <c r="N46" s="9">
        <f>'GHG data from Eurostat'!CN52</f>
        <v>0</v>
      </c>
      <c r="O46" s="9">
        <f>'GHG data from Eurostat'!CQ52</f>
        <v>0</v>
      </c>
      <c r="P46" s="9">
        <f>'GHG data from Eurostat'!CO52</f>
        <v>0</v>
      </c>
      <c r="Q46" s="9">
        <f>'GHG data from Eurostat'!CU52</f>
        <v>0</v>
      </c>
      <c r="R46" s="9">
        <f>IFERROR(('GHG data from Eurostat'!CS52+'GHG data from Eurostat'!CW52),0)</f>
        <v>0</v>
      </c>
      <c r="S46" s="9">
        <f>'GHG data from Eurostat'!CV52</f>
        <v>0</v>
      </c>
      <c r="T46" s="9">
        <f>'GHG data from Eurostat'!CT52</f>
        <v>0</v>
      </c>
      <c r="U46" s="9">
        <f t="shared" ref="U46" si="200">Q46+M46</f>
        <v>0</v>
      </c>
      <c r="V46" s="9">
        <f t="shared" si="194"/>
        <v>0</v>
      </c>
      <c r="W46" s="9">
        <f t="shared" si="195"/>
        <v>0</v>
      </c>
      <c r="X46" s="9">
        <f t="shared" si="196"/>
        <v>0</v>
      </c>
      <c r="Y46" s="9">
        <f t="shared" si="11"/>
        <v>0</v>
      </c>
      <c r="Z46" s="17">
        <f t="shared" si="12"/>
        <v>0</v>
      </c>
      <c r="AA46" s="17">
        <f t="shared" si="85"/>
        <v>0</v>
      </c>
      <c r="AB46" s="17">
        <f t="shared" si="86"/>
        <v>0</v>
      </c>
      <c r="AC46" s="17">
        <f t="shared" si="87"/>
        <v>0</v>
      </c>
      <c r="AD46" s="18"/>
      <c r="AE46" s="17">
        <f t="shared" si="13"/>
        <v>0</v>
      </c>
      <c r="AF46" s="17">
        <f t="shared" si="88"/>
        <v>0</v>
      </c>
      <c r="AG46" s="17">
        <f t="shared" si="89"/>
        <v>0</v>
      </c>
      <c r="AH46" s="17">
        <f t="shared" si="90"/>
        <v>0</v>
      </c>
      <c r="AJ46" s="9" t="s">
        <v>186</v>
      </c>
      <c r="AK46" s="9" t="s">
        <v>233</v>
      </c>
      <c r="AL46" s="9">
        <f>VLOOKUP($AJ46,Landcover!$A$3:$K$30,5,FALSE)/1000</f>
        <v>164.34899999999999</v>
      </c>
      <c r="AM46" s="9">
        <f>VLOOKUP($AJ46,Landcover!$A$3:$K$30,6,FALSE)/1000</f>
        <v>181.93</v>
      </c>
      <c r="AN46" s="9">
        <f>VLOOKUP($AJ46,Landcover!$A$3:$K$30,8,FALSE)/1000</f>
        <v>135.161</v>
      </c>
      <c r="AO46" s="9">
        <f>VLOOKUP($AJ46,Landcover!$A$3:$K$30,11,FALSE)/1000</f>
        <v>1.728</v>
      </c>
      <c r="AP46" s="9">
        <f>VLOOKUP($AJ46,Landcover!$A$3:$K$30,7,FALSE)/1000</f>
        <v>15.476000000000001</v>
      </c>
      <c r="AR46" s="9">
        <f>SUM('GHG data from Eurostat'!CX52,'GHG data from Eurostat'!DC52,'GHG data from Eurostat'!DG52,'GHG data from Eurostat'!DM52,'GHG data from Eurostat'!DP52,'GHG data from Eurostat'!DV52)</f>
        <v>13.26688</v>
      </c>
      <c r="AS46" s="9">
        <f>'GHG data from Eurostat'!DS52+'GHG data from Eurostat'!DT52</f>
        <v>-33.306780000000003</v>
      </c>
      <c r="AT46" s="9">
        <f>'GHG data from Eurostat'!EA52+'GHG data from Eurostat'!EB52</f>
        <v>-2.43594</v>
      </c>
      <c r="AU46" s="9">
        <f>'GHG data from Eurostat'!ED52</f>
        <v>0.77024999999999999</v>
      </c>
      <c r="AV46" s="9">
        <f>'GHG data from Eurostat'!EL52</f>
        <v>5.2940000000000001E-2</v>
      </c>
      <c r="AW46" s="18">
        <f t="shared" si="21"/>
        <v>-21.652650000000001</v>
      </c>
      <c r="AX46" s="16">
        <f>AR46/AL46</f>
        <v>8.0723825517648423E-2</v>
      </c>
      <c r="AY46" s="16">
        <f t="shared" ref="AY46" si="201">AS46/AM46</f>
        <v>-0.18307469906007806</v>
      </c>
      <c r="AZ46" s="16">
        <f t="shared" ref="AZ46" si="202">AT46/AN46</f>
        <v>-1.8022506492257381E-2</v>
      </c>
      <c r="BA46" s="16">
        <f t="shared" ref="BA46:BB46" si="203">AU46/AO46</f>
        <v>0.44574652777777779</v>
      </c>
      <c r="BB46" s="16">
        <f t="shared" si="203"/>
        <v>3.4207805634530884E-3</v>
      </c>
      <c r="BD46" s="16">
        <f t="shared" si="17"/>
        <v>8.0699999999999994E-2</v>
      </c>
      <c r="BE46" s="16">
        <f t="shared" si="94"/>
        <v>-0.18310000000000001</v>
      </c>
      <c r="BF46" s="16">
        <f t="shared" si="95"/>
        <v>-1.7999999999999999E-2</v>
      </c>
      <c r="BG46" s="16">
        <f t="shared" si="96"/>
        <v>0.44569999999999999</v>
      </c>
      <c r="BH46" s="16">
        <f t="shared" si="97"/>
        <v>3.3999999999999998E-3</v>
      </c>
      <c r="BJ46" s="16" t="str">
        <f t="shared" si="18"/>
        <v>France</v>
      </c>
      <c r="BK46" s="16" t="s">
        <v>259</v>
      </c>
      <c r="BL46" s="9">
        <f>'GHG data from Eurostat'!EP52</f>
        <v>-1.0438700000000001</v>
      </c>
    </row>
    <row r="47" spans="7:64" x14ac:dyDescent="0.25">
      <c r="G47" s="9" t="s">
        <v>186</v>
      </c>
      <c r="H47" s="9" t="s">
        <v>231</v>
      </c>
      <c r="I47" s="9">
        <f t="shared" si="3"/>
        <v>4.1138999999999992</v>
      </c>
      <c r="J47" s="9">
        <f t="shared" si="4"/>
        <v>18.613040000000002</v>
      </c>
      <c r="K47" s="9">
        <f t="shared" si="5"/>
        <v>13.637</v>
      </c>
      <c r="L47" s="9">
        <f t="shared" si="6"/>
        <v>0.8418000000000001</v>
      </c>
      <c r="M47" s="9">
        <f>'GHG data from Eurostat'!CP53</f>
        <v>9.9100000000000004E-3</v>
      </c>
      <c r="N47" s="9">
        <f>'GHG data from Eurostat'!CN53</f>
        <v>1.3108</v>
      </c>
      <c r="O47" s="9">
        <f>'GHG data from Eurostat'!CQ53</f>
        <v>2.6440000000000002E-2</v>
      </c>
      <c r="P47" s="9">
        <f>'GHG data from Eurostat'!CO53</f>
        <v>9.1740000000000002E-2</v>
      </c>
      <c r="Q47" s="9">
        <f>'GHG data from Eurostat'!CU53</f>
        <v>9.3939999999999996E-2</v>
      </c>
      <c r="R47" s="9">
        <f>IFERROR(('GHG data from Eurostat'!CS53+'GHG data from Eurostat'!CW53),0)</f>
        <v>0.15842000000000001</v>
      </c>
      <c r="S47" s="9">
        <f>'GHG data from Eurostat'!CV53</f>
        <v>1.0290000000000001E-2</v>
      </c>
      <c r="T47" s="9">
        <f>'GHG data from Eurostat'!CT53</f>
        <v>2.6900000000000001E-3</v>
      </c>
      <c r="U47" s="9">
        <f>(Q47+M47)*1000</f>
        <v>103.85</v>
      </c>
      <c r="V47" s="9">
        <f t="shared" ref="V47:V48" si="204">(R47+N47)*1000</f>
        <v>1469.22</v>
      </c>
      <c r="W47" s="9">
        <f t="shared" ref="W47:W48" si="205">(S47+O47)*1000</f>
        <v>36.729999999999997</v>
      </c>
      <c r="X47" s="9">
        <f t="shared" ref="X47:X48" si="206">(T47+P47)*1000</f>
        <v>94.43</v>
      </c>
      <c r="Y47" s="9">
        <f t="shared" si="11"/>
        <v>1704.23</v>
      </c>
      <c r="Z47" s="17">
        <f t="shared" ref="Z47:AC48" si="207">IFERROR((M47+Q47)*1000/I47,0)</f>
        <v>25.243686040010697</v>
      </c>
      <c r="AA47" s="17">
        <f t="shared" si="207"/>
        <v>78.934983216067863</v>
      </c>
      <c r="AB47" s="17">
        <f t="shared" si="207"/>
        <v>2.693407640976754</v>
      </c>
      <c r="AC47" s="17">
        <f t="shared" si="207"/>
        <v>112.17628890472795</v>
      </c>
      <c r="AD47" s="18"/>
      <c r="AE47" s="17">
        <f t="shared" si="13"/>
        <v>25.244</v>
      </c>
      <c r="AF47" s="17">
        <f t="shared" si="88"/>
        <v>78.935000000000002</v>
      </c>
      <c r="AG47" s="17">
        <f t="shared" si="89"/>
        <v>2.6930000000000001</v>
      </c>
      <c r="AH47" s="17">
        <f t="shared" si="90"/>
        <v>112.176</v>
      </c>
      <c r="AJ47" s="9" t="s">
        <v>186</v>
      </c>
      <c r="AK47" s="9" t="s">
        <v>231</v>
      </c>
      <c r="AL47" s="9">
        <f>VLOOKUP($AJ47,Landcover!$A$3:$K$30,5,FALSE)/1000</f>
        <v>164.34899999999999</v>
      </c>
      <c r="AM47" s="9">
        <f>VLOOKUP($AJ47,Landcover!$A$3:$K$30,6,FALSE)/1000</f>
        <v>181.93</v>
      </c>
      <c r="AN47" s="9">
        <f>VLOOKUP($AJ47,Landcover!$A$3:$K$30,8,FALSE)/1000</f>
        <v>135.161</v>
      </c>
      <c r="AO47" s="9">
        <f>VLOOKUP($AJ47,Landcover!$A$3:$K$30,11,FALSE)/1000</f>
        <v>1.728</v>
      </c>
      <c r="AP47" s="9">
        <f>VLOOKUP($AJ47,Landcover!$A$3:$K$30,7,FALSE)/1000</f>
        <v>15.476000000000001</v>
      </c>
      <c r="AR47" s="9">
        <f>SUM('GHG data from Eurostat'!CX53,'GHG data from Eurostat'!DC53,'GHG data from Eurostat'!DG53,'GHG data from Eurostat'!DM53,'GHG data from Eurostat'!DP53,'GHG data from Eurostat'!DV53)</f>
        <v>9.1000000000000004E-3</v>
      </c>
      <c r="AS47" s="9">
        <f>'GHG data from Eurostat'!DS53+'GHG data from Eurostat'!DT53</f>
        <v>2.2200000000000002E-3</v>
      </c>
      <c r="AT47" s="9">
        <f>'GHG data from Eurostat'!EA53+'GHG data from Eurostat'!EB53</f>
        <v>5.0600000000000003E-3</v>
      </c>
      <c r="AU47" s="9">
        <f>'GHG data from Eurostat'!ED53</f>
        <v>2.9999999999999997E-4</v>
      </c>
      <c r="AV47" s="9">
        <f>'GHG data from Eurostat'!EL53</f>
        <v>1.0000000000000001E-5</v>
      </c>
      <c r="AW47" s="18">
        <f t="shared" si="21"/>
        <v>1.669E-2</v>
      </c>
      <c r="AX47" s="16">
        <f>IFERROR(AR47*1000/AL47,0)</f>
        <v>5.5369974870549871E-2</v>
      </c>
      <c r="AY47" s="16">
        <f t="shared" ref="AY47:AY48" si="208">IFERROR(AS47*1000/AM47,0)</f>
        <v>1.2202495465288848E-2</v>
      </c>
      <c r="AZ47" s="16">
        <f t="shared" ref="AZ47:AZ48" si="209">IFERROR(AT47*1000/AN47,0)</f>
        <v>3.7436834589859504E-2</v>
      </c>
      <c r="BA47" s="16">
        <f t="shared" ref="BA47:BB48" si="210">IFERROR(AU47*1000/AO47,0)</f>
        <v>0.1736111111111111</v>
      </c>
      <c r="BB47" s="16">
        <f t="shared" si="210"/>
        <v>6.4616179891444818E-4</v>
      </c>
      <c r="BD47" s="16">
        <f t="shared" si="17"/>
        <v>5.5399999999999998E-2</v>
      </c>
      <c r="BE47" s="16">
        <f t="shared" si="94"/>
        <v>1.2200000000000001E-2</v>
      </c>
      <c r="BF47" s="16">
        <f t="shared" si="95"/>
        <v>3.7400000000000003E-2</v>
      </c>
      <c r="BG47" s="16">
        <f t="shared" si="96"/>
        <v>0.1736</v>
      </c>
      <c r="BH47" s="16">
        <f t="shared" si="97"/>
        <v>5.9999999999999995E-4</v>
      </c>
      <c r="BJ47" s="16" t="str">
        <f t="shared" si="18"/>
        <v>France</v>
      </c>
      <c r="BK47" s="16" t="s">
        <v>260</v>
      </c>
      <c r="BL47" s="9">
        <f>'GHG data from Eurostat'!EP53</f>
        <v>0</v>
      </c>
    </row>
    <row r="48" spans="7:64" x14ac:dyDescent="0.25">
      <c r="G48" s="9" t="s">
        <v>186</v>
      </c>
      <c r="H48" s="9" t="s">
        <v>232</v>
      </c>
      <c r="I48" s="9">
        <f t="shared" si="3"/>
        <v>4.1138999999999992</v>
      </c>
      <c r="J48" s="9">
        <f t="shared" si="4"/>
        <v>18.613040000000002</v>
      </c>
      <c r="K48" s="9">
        <f t="shared" si="5"/>
        <v>13.637</v>
      </c>
      <c r="L48" s="9">
        <f t="shared" si="6"/>
        <v>0.8418000000000001</v>
      </c>
      <c r="M48" s="9">
        <f>'GHG data from Eurostat'!CP54</f>
        <v>0</v>
      </c>
      <c r="N48" s="9">
        <f>'GHG data from Eurostat'!CN54</f>
        <v>0</v>
      </c>
      <c r="O48" s="9">
        <f>'GHG data from Eurostat'!CQ54</f>
        <v>0</v>
      </c>
      <c r="P48" s="9">
        <f>'GHG data from Eurostat'!CO54</f>
        <v>0</v>
      </c>
      <c r="Q48" s="9">
        <f>'GHG data from Eurostat'!CU54</f>
        <v>1.2E-4</v>
      </c>
      <c r="R48" s="9">
        <f>IFERROR(('GHG data from Eurostat'!CS54+'GHG data from Eurostat'!CW54),0)</f>
        <v>1.0749999999999999E-2</v>
      </c>
      <c r="S48" s="9">
        <f>'GHG data from Eurostat'!CV54</f>
        <v>5.6999999999999998E-4</v>
      </c>
      <c r="T48" s="9">
        <f>'GHG data from Eurostat'!CT54</f>
        <v>3.2000000000000003E-4</v>
      </c>
      <c r="U48" s="9">
        <f>(Q48+M48)*1000</f>
        <v>0.12000000000000001</v>
      </c>
      <c r="V48" s="9">
        <f t="shared" si="204"/>
        <v>10.75</v>
      </c>
      <c r="W48" s="9">
        <f t="shared" si="205"/>
        <v>0.56999999999999995</v>
      </c>
      <c r="X48" s="9">
        <f t="shared" si="206"/>
        <v>0.32</v>
      </c>
      <c r="Y48" s="9">
        <f t="shared" si="11"/>
        <v>11.76</v>
      </c>
      <c r="Z48" s="17">
        <f t="shared" si="207"/>
        <v>2.9169401298038366E-2</v>
      </c>
      <c r="AA48" s="17">
        <f t="shared" si="207"/>
        <v>0.57755208176633155</v>
      </c>
      <c r="AB48" s="17">
        <f t="shared" si="207"/>
        <v>4.179804942436019E-2</v>
      </c>
      <c r="AC48" s="17">
        <f t="shared" si="207"/>
        <v>0.38013779995248276</v>
      </c>
      <c r="AD48" s="18"/>
      <c r="AE48" s="17">
        <f t="shared" si="13"/>
        <v>2.9000000000000001E-2</v>
      </c>
      <c r="AF48" s="17">
        <f t="shared" si="88"/>
        <v>0.57799999999999996</v>
      </c>
      <c r="AG48" s="17">
        <f t="shared" si="89"/>
        <v>4.2000000000000003E-2</v>
      </c>
      <c r="AH48" s="17">
        <f t="shared" si="90"/>
        <v>0.38</v>
      </c>
      <c r="AJ48" s="9" t="s">
        <v>186</v>
      </c>
      <c r="AK48" s="9" t="s">
        <v>232</v>
      </c>
      <c r="AL48" s="9">
        <f>VLOOKUP($AJ48,Landcover!$A$3:$K$30,5,FALSE)/1000</f>
        <v>164.34899999999999</v>
      </c>
      <c r="AM48" s="9">
        <f>VLOOKUP($AJ48,Landcover!$A$3:$K$30,6,FALSE)/1000</f>
        <v>181.93</v>
      </c>
      <c r="AN48" s="9">
        <f>VLOOKUP($AJ48,Landcover!$A$3:$K$30,8,FALSE)/1000</f>
        <v>135.161</v>
      </c>
      <c r="AO48" s="9">
        <f>VLOOKUP($AJ48,Landcover!$A$3:$K$30,11,FALSE)/1000</f>
        <v>1.728</v>
      </c>
      <c r="AP48" s="9">
        <f>VLOOKUP($AJ48,Landcover!$A$3:$K$30,7,FALSE)/1000</f>
        <v>15.476000000000001</v>
      </c>
      <c r="AR48" s="9">
        <f>SUM('GHG data from Eurostat'!CX54,'GHG data from Eurostat'!DC54,'GHG data from Eurostat'!DG54,'GHG data from Eurostat'!DM54,'GHG data from Eurostat'!DP54,'GHG data from Eurostat'!DV54)</f>
        <v>8.0110000000000001E-2</v>
      </c>
      <c r="AS48" s="9">
        <f>'GHG data from Eurostat'!DS54+'GHG data from Eurostat'!DT54</f>
        <v>1.1E-4</v>
      </c>
      <c r="AT48" s="9">
        <f>'GHG data from Eurostat'!EA54+'GHG data from Eurostat'!EB54</f>
        <v>2.1000000000000001E-4</v>
      </c>
      <c r="AU48" s="9">
        <f>'GHG data from Eurostat'!ED54</f>
        <v>1.1E-4</v>
      </c>
      <c r="AV48" s="9">
        <f>'GHG data from Eurostat'!EL54</f>
        <v>1.0000000000000001E-5</v>
      </c>
      <c r="AW48" s="18">
        <f t="shared" si="21"/>
        <v>8.0549999999999997E-2</v>
      </c>
      <c r="AX48" s="16">
        <f>IFERROR(AR48*1000/AL48,0)</f>
        <v>0.48743831723953296</v>
      </c>
      <c r="AY48" s="16">
        <f t="shared" si="208"/>
        <v>6.0462815368548346E-4</v>
      </c>
      <c r="AZ48" s="16">
        <f t="shared" si="209"/>
        <v>1.5537026213182797E-3</v>
      </c>
      <c r="BA48" s="16">
        <f t="shared" si="210"/>
        <v>6.3657407407407413E-2</v>
      </c>
      <c r="BB48" s="16">
        <f t="shared" si="210"/>
        <v>6.4616179891444818E-4</v>
      </c>
      <c r="BD48" s="16">
        <f t="shared" si="17"/>
        <v>0.4874</v>
      </c>
      <c r="BE48" s="16">
        <f t="shared" si="94"/>
        <v>5.9999999999999995E-4</v>
      </c>
      <c r="BF48" s="16">
        <f t="shared" si="95"/>
        <v>1.6000000000000001E-3</v>
      </c>
      <c r="BG48" s="16">
        <f t="shared" si="96"/>
        <v>6.3700000000000007E-2</v>
      </c>
      <c r="BH48" s="16">
        <f t="shared" si="97"/>
        <v>5.9999999999999995E-4</v>
      </c>
      <c r="BJ48" s="16" t="str">
        <f t="shared" si="18"/>
        <v>France</v>
      </c>
      <c r="BK48" s="16" t="s">
        <v>261</v>
      </c>
      <c r="BL48" s="9">
        <f>'GHG data from Eurostat'!EP54</f>
        <v>0</v>
      </c>
    </row>
    <row r="49" spans="7:64" x14ac:dyDescent="0.25">
      <c r="G49" s="9" t="s">
        <v>187</v>
      </c>
      <c r="H49" s="9" t="s">
        <v>262</v>
      </c>
      <c r="I49" s="9">
        <f t="shared" si="3"/>
        <v>0.31469999999999998</v>
      </c>
      <c r="J49" s="9">
        <f t="shared" si="4"/>
        <v>0.41399999999999998</v>
      </c>
      <c r="K49" s="9">
        <f t="shared" si="5"/>
        <v>0.54900000000000004</v>
      </c>
      <c r="L49" s="9">
        <f t="shared" si="6"/>
        <v>7.1599999999999997E-2</v>
      </c>
      <c r="M49" s="9">
        <f>'GHG data from Eurostat'!CP55</f>
        <v>4.4060000000000002E-2</v>
      </c>
      <c r="N49" s="9">
        <f>'GHG data from Eurostat'!CN55</f>
        <v>0.90744000000000002</v>
      </c>
      <c r="O49" s="9">
        <f>'GHG data from Eurostat'!CQ55</f>
        <v>2.4309999999999998E-2</v>
      </c>
      <c r="P49" s="9">
        <f>'GHG data from Eurostat'!CO55</f>
        <v>0.14252999999999999</v>
      </c>
      <c r="Q49" s="9">
        <f>'GHG data from Eurostat'!CU55</f>
        <v>0.20477999999999999</v>
      </c>
      <c r="R49" s="9">
        <f>IFERROR(('GHG data from Eurostat'!CS55+'GHG data from Eurostat'!CW55),0)</f>
        <v>0.32528000000000001</v>
      </c>
      <c r="S49" s="9">
        <f>'GHG data from Eurostat'!CV55</f>
        <v>2.75E-2</v>
      </c>
      <c r="T49" s="9">
        <f>'GHG data from Eurostat'!CT55</f>
        <v>7.4999999999999997E-3</v>
      </c>
      <c r="U49" s="9">
        <f>Q49+M49</f>
        <v>0.24884000000000001</v>
      </c>
      <c r="V49" s="9">
        <f t="shared" ref="V49:V50" si="211">R49+N49</f>
        <v>1.23272</v>
      </c>
      <c r="W49" s="9">
        <f t="shared" ref="W49:W50" si="212">S49+O49</f>
        <v>5.1809999999999995E-2</v>
      </c>
      <c r="X49" s="9">
        <f t="shared" ref="X49:X50" si="213">T49+P49</f>
        <v>0.15003</v>
      </c>
      <c r="Y49" s="9">
        <f t="shared" si="11"/>
        <v>1.6833999999999998</v>
      </c>
      <c r="Z49" s="17">
        <f t="shared" si="12"/>
        <v>0.79072132189386723</v>
      </c>
      <c r="AA49" s="17">
        <f t="shared" si="85"/>
        <v>2.9775845410628023</v>
      </c>
      <c r="AB49" s="17">
        <f t="shared" si="86"/>
        <v>9.4371584699453531E-2</v>
      </c>
      <c r="AC49" s="17">
        <f t="shared" si="87"/>
        <v>2.095391061452514</v>
      </c>
      <c r="AD49" s="18"/>
      <c r="AE49" s="17">
        <f t="shared" si="13"/>
        <v>0.79100000000000004</v>
      </c>
      <c r="AF49" s="17">
        <f t="shared" si="88"/>
        <v>2.9780000000000002</v>
      </c>
      <c r="AG49" s="17">
        <f t="shared" si="89"/>
        <v>9.4E-2</v>
      </c>
      <c r="AH49" s="17">
        <f t="shared" si="90"/>
        <v>2.0950000000000002</v>
      </c>
      <c r="AJ49" s="9" t="s">
        <v>187</v>
      </c>
      <c r="AK49" s="9" t="s">
        <v>262</v>
      </c>
      <c r="AL49" s="9">
        <f>VLOOKUP($AJ49,Landcover!$A$3:$K$30,5,FALSE)/1000</f>
        <v>9.4139999999999997</v>
      </c>
      <c r="AM49" s="9">
        <f>VLOOKUP($AJ49,Landcover!$A$3:$K$30,6,FALSE)/1000</f>
        <v>27.225999999999999</v>
      </c>
      <c r="AN49" s="9">
        <f>VLOOKUP($AJ49,Landcover!$A$3:$K$30,8,FALSE)/1000</f>
        <v>9.8339999999999996</v>
      </c>
      <c r="AO49" s="9">
        <f>VLOOKUP($AJ49,Landcover!$A$3:$K$30,11,FALSE)/1000</f>
        <v>0.186</v>
      </c>
      <c r="AP49" s="9">
        <f>VLOOKUP($AJ49,Landcover!$A$3:$K$30,7,FALSE)/1000</f>
        <v>6.258</v>
      </c>
      <c r="AR49" s="9">
        <f>SUM('GHG data from Eurostat'!CX55,'GHG data from Eurostat'!DC55,'GHG data from Eurostat'!DG55,'GHG data from Eurostat'!DM55,'GHG data from Eurostat'!DP55,'GHG data from Eurostat'!DV55)</f>
        <v>1.25648</v>
      </c>
      <c r="AS49" s="9">
        <f>'GHG data from Eurostat'!DS55+'GHG data from Eurostat'!DT55</f>
        <v>-5.2815700000000003</v>
      </c>
      <c r="AT49" s="9">
        <f>'GHG data from Eurostat'!EA55+'GHG data from Eurostat'!EB55</f>
        <v>3.0100000000000001E-3</v>
      </c>
      <c r="AU49" s="9">
        <f>'GHG data from Eurostat'!ED55</f>
        <v>1.2160000000000001E-2</v>
      </c>
      <c r="AV49" s="9">
        <f>'GHG data from Eurostat'!EL55</f>
        <v>0</v>
      </c>
      <c r="AW49" s="18">
        <f t="shared" si="21"/>
        <v>-4.009920000000001</v>
      </c>
      <c r="AX49" s="16">
        <f>AR49/AL49</f>
        <v>0.13346930104100277</v>
      </c>
      <c r="AY49" s="16">
        <f t="shared" ref="AY49" si="214">AS49/AM49</f>
        <v>-0.19398993609050175</v>
      </c>
      <c r="AZ49" s="16">
        <f t="shared" ref="AZ49" si="215">AT49/AN49</f>
        <v>3.0608094366483629E-4</v>
      </c>
      <c r="BA49" s="16">
        <f t="shared" ref="BA49:BB49" si="216">AU49/AO49</f>
        <v>6.5376344086021512E-2</v>
      </c>
      <c r="BB49" s="16">
        <f t="shared" si="216"/>
        <v>0</v>
      </c>
      <c r="BD49" s="16">
        <f t="shared" si="17"/>
        <v>0.13350000000000001</v>
      </c>
      <c r="BE49" s="16">
        <f t="shared" si="94"/>
        <v>-0.19400000000000001</v>
      </c>
      <c r="BF49" s="16">
        <f t="shared" si="95"/>
        <v>2.9999999999999997E-4</v>
      </c>
      <c r="BG49" s="16">
        <f t="shared" si="96"/>
        <v>6.54E-2</v>
      </c>
      <c r="BH49" s="16">
        <f t="shared" si="97"/>
        <v>0</v>
      </c>
      <c r="BJ49" s="16" t="str">
        <f t="shared" si="18"/>
        <v>Croatia</v>
      </c>
      <c r="BK49" s="16" t="s">
        <v>263</v>
      </c>
      <c r="BL49" s="9">
        <f>'GHG data from Eurostat'!EP55</f>
        <v>-0.76166</v>
      </c>
    </row>
    <row r="50" spans="7:64" x14ac:dyDescent="0.25">
      <c r="G50" s="9" t="s">
        <v>187</v>
      </c>
      <c r="H50" s="9" t="s">
        <v>233</v>
      </c>
      <c r="I50" s="9">
        <f t="shared" si="3"/>
        <v>0.31469999999999998</v>
      </c>
      <c r="J50" s="9">
        <f t="shared" si="4"/>
        <v>0.41399999999999998</v>
      </c>
      <c r="K50" s="9">
        <f t="shared" si="5"/>
        <v>0.54900000000000004</v>
      </c>
      <c r="L50" s="9">
        <f t="shared" si="6"/>
        <v>7.1599999999999997E-2</v>
      </c>
      <c r="M50" s="9">
        <f>'GHG data from Eurostat'!CP56</f>
        <v>0</v>
      </c>
      <c r="N50" s="9">
        <f>'GHG data from Eurostat'!CN56</f>
        <v>0</v>
      </c>
      <c r="O50" s="9">
        <f>'GHG data from Eurostat'!CQ56</f>
        <v>0</v>
      </c>
      <c r="P50" s="9">
        <f>'GHG data from Eurostat'!CO56</f>
        <v>0</v>
      </c>
      <c r="Q50" s="9">
        <f>'GHG data from Eurostat'!CU56</f>
        <v>0</v>
      </c>
      <c r="R50" s="9">
        <f>IFERROR(('GHG data from Eurostat'!CS56+'GHG data from Eurostat'!CW56),0)</f>
        <v>0</v>
      </c>
      <c r="S50" s="9">
        <f>'GHG data from Eurostat'!CV56</f>
        <v>0</v>
      </c>
      <c r="T50" s="9">
        <f>'GHG data from Eurostat'!CT56</f>
        <v>0</v>
      </c>
      <c r="U50" s="9">
        <f t="shared" ref="U50" si="217">Q50+M50</f>
        <v>0</v>
      </c>
      <c r="V50" s="9">
        <f t="shared" si="211"/>
        <v>0</v>
      </c>
      <c r="W50" s="9">
        <f t="shared" si="212"/>
        <v>0</v>
      </c>
      <c r="X50" s="9">
        <f t="shared" si="213"/>
        <v>0</v>
      </c>
      <c r="Y50" s="9">
        <f t="shared" si="11"/>
        <v>0</v>
      </c>
      <c r="Z50" s="17">
        <f t="shared" si="12"/>
        <v>0</v>
      </c>
      <c r="AA50" s="17">
        <f t="shared" si="85"/>
        <v>0</v>
      </c>
      <c r="AB50" s="17">
        <f t="shared" si="86"/>
        <v>0</v>
      </c>
      <c r="AC50" s="17">
        <f t="shared" si="87"/>
        <v>0</v>
      </c>
      <c r="AD50" s="18"/>
      <c r="AE50" s="17">
        <f t="shared" si="13"/>
        <v>0</v>
      </c>
      <c r="AF50" s="17">
        <f t="shared" si="88"/>
        <v>0</v>
      </c>
      <c r="AG50" s="17">
        <f t="shared" si="89"/>
        <v>0</v>
      </c>
      <c r="AH50" s="17">
        <f t="shared" si="90"/>
        <v>0</v>
      </c>
      <c r="AJ50" s="9" t="s">
        <v>187</v>
      </c>
      <c r="AK50" s="9" t="s">
        <v>233</v>
      </c>
      <c r="AL50" s="9">
        <f>VLOOKUP($AJ50,Landcover!$A$3:$K$30,5,FALSE)/1000</f>
        <v>9.4139999999999997</v>
      </c>
      <c r="AM50" s="9">
        <f>VLOOKUP($AJ50,Landcover!$A$3:$K$30,6,FALSE)/1000</f>
        <v>27.225999999999999</v>
      </c>
      <c r="AN50" s="9">
        <f>VLOOKUP($AJ50,Landcover!$A$3:$K$30,8,FALSE)/1000</f>
        <v>9.8339999999999996</v>
      </c>
      <c r="AO50" s="9">
        <f>VLOOKUP($AJ50,Landcover!$A$3:$K$30,11,FALSE)/1000</f>
        <v>0.186</v>
      </c>
      <c r="AP50" s="9">
        <f>VLOOKUP($AJ50,Landcover!$A$3:$K$30,7,FALSE)/1000</f>
        <v>6.258</v>
      </c>
      <c r="AR50" s="9">
        <f>SUM('GHG data from Eurostat'!CX56,'GHG data from Eurostat'!DC56,'GHG data from Eurostat'!DG56,'GHG data from Eurostat'!DM56,'GHG data from Eurostat'!DP56,'GHG data from Eurostat'!DV56)</f>
        <v>0.27640999999999999</v>
      </c>
      <c r="AS50" s="9">
        <f>'GHG data from Eurostat'!DS56+'GHG data from Eurostat'!DT56</f>
        <v>-5.2827200000000003</v>
      </c>
      <c r="AT50" s="9">
        <f>'GHG data from Eurostat'!EA56+'GHG data from Eurostat'!EB56</f>
        <v>2.0699999999999998E-3</v>
      </c>
      <c r="AU50" s="9">
        <f>'GHG data from Eurostat'!ED56</f>
        <v>1.0840000000000001E-2</v>
      </c>
      <c r="AV50" s="9">
        <f>'GHG data from Eurostat'!EL56</f>
        <v>0</v>
      </c>
      <c r="AW50" s="18">
        <f t="shared" si="21"/>
        <v>-4.9934000000000003</v>
      </c>
      <c r="AX50" s="16">
        <f>AR50/AL50</f>
        <v>2.9361589122583385E-2</v>
      </c>
      <c r="AY50" s="16">
        <f t="shared" ref="AY50" si="218">AS50/AM50</f>
        <v>-0.19403217512671714</v>
      </c>
      <c r="AZ50" s="16">
        <f t="shared" ref="AZ50" si="219">AT50/AN50</f>
        <v>2.1049420378279438E-4</v>
      </c>
      <c r="BA50" s="16">
        <f t="shared" ref="BA50:BB50" si="220">AU50/AO50</f>
        <v>5.827956989247312E-2</v>
      </c>
      <c r="BB50" s="16">
        <f t="shared" si="220"/>
        <v>0</v>
      </c>
      <c r="BD50" s="16">
        <f t="shared" si="17"/>
        <v>2.9399999999999999E-2</v>
      </c>
      <c r="BE50" s="16">
        <f t="shared" si="94"/>
        <v>-0.19400000000000001</v>
      </c>
      <c r="BF50" s="16">
        <f t="shared" si="95"/>
        <v>2.0000000000000001E-4</v>
      </c>
      <c r="BG50" s="16">
        <f t="shared" si="96"/>
        <v>5.8299999999999998E-2</v>
      </c>
      <c r="BH50" s="16">
        <f t="shared" si="97"/>
        <v>0</v>
      </c>
      <c r="BJ50" s="16" t="str">
        <f t="shared" si="18"/>
        <v>Croatia</v>
      </c>
      <c r="BK50" s="16" t="s">
        <v>259</v>
      </c>
      <c r="BL50" s="9">
        <f>'GHG data from Eurostat'!EP56</f>
        <v>-0.76166</v>
      </c>
    </row>
    <row r="51" spans="7:64" x14ac:dyDescent="0.25">
      <c r="G51" s="9" t="s">
        <v>187</v>
      </c>
      <c r="H51" s="9" t="s">
        <v>231</v>
      </c>
      <c r="I51" s="9">
        <f t="shared" si="3"/>
        <v>0.31469999999999998</v>
      </c>
      <c r="J51" s="9">
        <f t="shared" si="4"/>
        <v>0.41399999999999998</v>
      </c>
      <c r="K51" s="9">
        <f t="shared" si="5"/>
        <v>0.54900000000000004</v>
      </c>
      <c r="L51" s="9">
        <f t="shared" si="6"/>
        <v>7.1599999999999997E-2</v>
      </c>
      <c r="M51" s="9">
        <f>'GHG data from Eurostat'!CP57</f>
        <v>1.57E-3</v>
      </c>
      <c r="N51" s="9">
        <f>'GHG data from Eurostat'!CN57</f>
        <v>3.2410000000000001E-2</v>
      </c>
      <c r="O51" s="9">
        <f>'GHG data from Eurostat'!CQ57</f>
        <v>8.7000000000000001E-4</v>
      </c>
      <c r="P51" s="9">
        <f>'GHG data from Eurostat'!CO57</f>
        <v>5.0899999999999999E-3</v>
      </c>
      <c r="Q51" s="9">
        <f>'GHG data from Eurostat'!CU57</f>
        <v>7.1999999999999998E-3</v>
      </c>
      <c r="R51" s="9">
        <f>IFERROR(('GHG data from Eurostat'!CS57+'GHG data from Eurostat'!CW57),0)</f>
        <v>8.3499999999999998E-3</v>
      </c>
      <c r="S51" s="9">
        <f>'GHG data from Eurostat'!CV57</f>
        <v>5.1000000000000004E-4</v>
      </c>
      <c r="T51" s="9">
        <f>'GHG data from Eurostat'!CT57</f>
        <v>1.3999999999999999E-4</v>
      </c>
      <c r="U51" s="9">
        <f>(Q51+M51)*1000</f>
        <v>8.77</v>
      </c>
      <c r="V51" s="9">
        <f t="shared" ref="V51:V52" si="221">(R51+N51)*1000</f>
        <v>40.760000000000005</v>
      </c>
      <c r="W51" s="9">
        <f t="shared" ref="W51:W52" si="222">(S51+O51)*1000</f>
        <v>1.3800000000000001</v>
      </c>
      <c r="X51" s="9">
        <f t="shared" ref="X51:X52" si="223">(T51+P51)*1000</f>
        <v>5.23</v>
      </c>
      <c r="Y51" s="9">
        <f t="shared" si="11"/>
        <v>56.14</v>
      </c>
      <c r="Z51" s="17">
        <f t="shared" ref="Z51:AC52" si="224">IFERROR((M51+Q51)*1000/I51,0)</f>
        <v>27.86781061328249</v>
      </c>
      <c r="AA51" s="17">
        <f t="shared" si="224"/>
        <v>98.454106280193258</v>
      </c>
      <c r="AB51" s="17">
        <f t="shared" si="224"/>
        <v>2.5136612021857925</v>
      </c>
      <c r="AC51" s="17">
        <f t="shared" si="224"/>
        <v>73.044692737430182</v>
      </c>
      <c r="AD51" s="18"/>
      <c r="AE51" s="17">
        <f t="shared" si="13"/>
        <v>27.867999999999999</v>
      </c>
      <c r="AF51" s="17">
        <f t="shared" si="88"/>
        <v>98.453999999999994</v>
      </c>
      <c r="AG51" s="17">
        <f t="shared" si="89"/>
        <v>2.5139999999999998</v>
      </c>
      <c r="AH51" s="17">
        <f t="shared" si="90"/>
        <v>73.045000000000002</v>
      </c>
      <c r="AJ51" s="9" t="s">
        <v>187</v>
      </c>
      <c r="AK51" s="9" t="s">
        <v>231</v>
      </c>
      <c r="AL51" s="9">
        <f>VLOOKUP($AJ51,Landcover!$A$3:$K$30,5,FALSE)/1000</f>
        <v>9.4139999999999997</v>
      </c>
      <c r="AM51" s="9">
        <f>VLOOKUP($AJ51,Landcover!$A$3:$K$30,6,FALSE)/1000</f>
        <v>27.225999999999999</v>
      </c>
      <c r="AN51" s="9">
        <f>VLOOKUP($AJ51,Landcover!$A$3:$K$30,8,FALSE)/1000</f>
        <v>9.8339999999999996</v>
      </c>
      <c r="AO51" s="9">
        <f>VLOOKUP($AJ51,Landcover!$A$3:$K$30,11,FALSE)/1000</f>
        <v>0.186</v>
      </c>
      <c r="AP51" s="9">
        <f>VLOOKUP($AJ51,Landcover!$A$3:$K$30,7,FALSE)/1000</f>
        <v>6.258</v>
      </c>
      <c r="AR51" s="9">
        <f>SUM('GHG data from Eurostat'!CX57,'GHG data from Eurostat'!DC57,'GHG data from Eurostat'!DG57,'GHG data from Eurostat'!DM57,'GHG data from Eurostat'!DP57,'GHG data from Eurostat'!DV57)</f>
        <v>0</v>
      </c>
      <c r="AS51" s="9">
        <f>'GHG data from Eurostat'!DS57+'GHG data from Eurostat'!DT57</f>
        <v>3.0000000000000001E-5</v>
      </c>
      <c r="AT51" s="9">
        <f>'GHG data from Eurostat'!EA57+'GHG data from Eurostat'!EB57</f>
        <v>2.0000000000000002E-5</v>
      </c>
      <c r="AU51" s="9">
        <f>'GHG data from Eurostat'!ED57</f>
        <v>0</v>
      </c>
      <c r="AV51" s="9">
        <f>'GHG data from Eurostat'!EL57</f>
        <v>0</v>
      </c>
      <c r="AW51" s="18">
        <f t="shared" si="21"/>
        <v>5.0000000000000002E-5</v>
      </c>
      <c r="AX51" s="16">
        <f>IFERROR(AR51*1000/AL51,0)</f>
        <v>0</v>
      </c>
      <c r="AY51" s="16">
        <f t="shared" ref="AY51:AY52" si="225">IFERROR(AS51*1000/AM51,0)</f>
        <v>1.1018879012708442E-3</v>
      </c>
      <c r="AZ51" s="16">
        <f t="shared" ref="AZ51:AZ52" si="226">IFERROR(AT51*1000/AN51,0)</f>
        <v>2.033760423022168E-3</v>
      </c>
      <c r="BA51" s="16">
        <f t="shared" ref="BA51:BB52" si="227">IFERROR(AU51*1000/AO51,0)</f>
        <v>0</v>
      </c>
      <c r="BB51" s="16">
        <f t="shared" si="227"/>
        <v>0</v>
      </c>
      <c r="BD51" s="16">
        <f t="shared" si="17"/>
        <v>0</v>
      </c>
      <c r="BE51" s="16">
        <f t="shared" si="94"/>
        <v>1.1000000000000001E-3</v>
      </c>
      <c r="BF51" s="16">
        <f t="shared" si="95"/>
        <v>2E-3</v>
      </c>
      <c r="BG51" s="16">
        <f t="shared" si="96"/>
        <v>0</v>
      </c>
      <c r="BH51" s="16">
        <f t="shared" si="97"/>
        <v>0</v>
      </c>
      <c r="BJ51" s="16" t="str">
        <f t="shared" si="18"/>
        <v>Croatia</v>
      </c>
      <c r="BK51" s="16" t="s">
        <v>260</v>
      </c>
      <c r="BL51" s="9">
        <f>'GHG data from Eurostat'!EP57</f>
        <v>0</v>
      </c>
    </row>
    <row r="52" spans="7:64" x14ac:dyDescent="0.25">
      <c r="G52" s="9" t="s">
        <v>187</v>
      </c>
      <c r="H52" s="9" t="s">
        <v>232</v>
      </c>
      <c r="I52" s="9">
        <f t="shared" si="3"/>
        <v>0.31469999999999998</v>
      </c>
      <c r="J52" s="9">
        <f t="shared" si="4"/>
        <v>0.41399999999999998</v>
      </c>
      <c r="K52" s="9">
        <f t="shared" si="5"/>
        <v>0.54900000000000004</v>
      </c>
      <c r="L52" s="9">
        <f t="shared" si="6"/>
        <v>7.1599999999999997E-2</v>
      </c>
      <c r="M52" s="9">
        <f>'GHG data from Eurostat'!CP58</f>
        <v>0</v>
      </c>
      <c r="N52" s="9">
        <f>'GHG data from Eurostat'!CN58</f>
        <v>0</v>
      </c>
      <c r="O52" s="9">
        <f>'GHG data from Eurostat'!CQ58</f>
        <v>0</v>
      </c>
      <c r="P52" s="9">
        <f>'GHG data from Eurostat'!CO58</f>
        <v>0</v>
      </c>
      <c r="Q52" s="9">
        <f>'GHG data from Eurostat'!CU58</f>
        <v>1.0000000000000001E-5</v>
      </c>
      <c r="R52" s="9">
        <f>IFERROR(('GHG data from Eurostat'!CS58+'GHG data from Eurostat'!CW58),0)</f>
        <v>3.3999999999999997E-4</v>
      </c>
      <c r="S52" s="9">
        <f>'GHG data from Eurostat'!CV58</f>
        <v>5.0000000000000002E-5</v>
      </c>
      <c r="T52" s="9">
        <f>'GHG data from Eurostat'!CT58</f>
        <v>1.0000000000000001E-5</v>
      </c>
      <c r="U52" s="9">
        <f>(Q52+M52)*1000</f>
        <v>0.01</v>
      </c>
      <c r="V52" s="9">
        <f t="shared" si="221"/>
        <v>0.33999999999999997</v>
      </c>
      <c r="W52" s="9">
        <f t="shared" si="222"/>
        <v>0.05</v>
      </c>
      <c r="X52" s="9">
        <f t="shared" si="223"/>
        <v>0.01</v>
      </c>
      <c r="Y52" s="9">
        <f t="shared" si="11"/>
        <v>0.41</v>
      </c>
      <c r="Z52" s="17">
        <f t="shared" si="224"/>
        <v>3.1776294884016523E-2</v>
      </c>
      <c r="AA52" s="17">
        <f t="shared" si="224"/>
        <v>0.82125603864734298</v>
      </c>
      <c r="AB52" s="17">
        <f t="shared" si="224"/>
        <v>9.107468123861566E-2</v>
      </c>
      <c r="AC52" s="17">
        <f t="shared" si="224"/>
        <v>0.13966480446927376</v>
      </c>
      <c r="AD52" s="18"/>
      <c r="AE52" s="17">
        <f t="shared" si="13"/>
        <v>3.2000000000000001E-2</v>
      </c>
      <c r="AF52" s="17">
        <f t="shared" si="88"/>
        <v>0.82099999999999995</v>
      </c>
      <c r="AG52" s="17">
        <f t="shared" si="89"/>
        <v>9.0999999999999998E-2</v>
      </c>
      <c r="AH52" s="17">
        <f t="shared" si="90"/>
        <v>0.14000000000000001</v>
      </c>
      <c r="AJ52" s="9" t="s">
        <v>187</v>
      </c>
      <c r="AK52" s="9" t="s">
        <v>232</v>
      </c>
      <c r="AL52" s="9">
        <f>VLOOKUP($AJ52,Landcover!$A$3:$K$30,5,FALSE)/1000</f>
        <v>9.4139999999999997</v>
      </c>
      <c r="AM52" s="9">
        <f>VLOOKUP($AJ52,Landcover!$A$3:$K$30,6,FALSE)/1000</f>
        <v>27.225999999999999</v>
      </c>
      <c r="AN52" s="9">
        <f>VLOOKUP($AJ52,Landcover!$A$3:$K$30,8,FALSE)/1000</f>
        <v>9.8339999999999996</v>
      </c>
      <c r="AO52" s="9">
        <f>VLOOKUP($AJ52,Landcover!$A$3:$K$30,11,FALSE)/1000</f>
        <v>0.186</v>
      </c>
      <c r="AP52" s="9">
        <f>VLOOKUP($AJ52,Landcover!$A$3:$K$30,7,FALSE)/1000</f>
        <v>6.258</v>
      </c>
      <c r="AR52" s="9">
        <f>SUM('GHG data from Eurostat'!CX58,'GHG data from Eurostat'!DC58,'GHG data from Eurostat'!DG58,'GHG data from Eurostat'!DM58,'GHG data from Eurostat'!DP58,'GHG data from Eurostat'!DV58)</f>
        <v>3.7000000000000002E-3</v>
      </c>
      <c r="AS52" s="9">
        <f>'GHG data from Eurostat'!DS58+'GHG data from Eurostat'!DT58</f>
        <v>0</v>
      </c>
      <c r="AT52" s="9">
        <f>'GHG data from Eurostat'!EA58+'GHG data from Eurostat'!EB58</f>
        <v>0</v>
      </c>
      <c r="AU52" s="9">
        <f>'GHG data from Eurostat'!ED58</f>
        <v>0</v>
      </c>
      <c r="AV52" s="9">
        <f>'GHG data from Eurostat'!EL58</f>
        <v>0</v>
      </c>
      <c r="AW52" s="18">
        <f t="shared" si="21"/>
        <v>3.7000000000000002E-3</v>
      </c>
      <c r="AX52" s="16">
        <f>IFERROR(AR52*1000/AL52,0)</f>
        <v>0.39303165498194181</v>
      </c>
      <c r="AY52" s="16">
        <f t="shared" si="225"/>
        <v>0</v>
      </c>
      <c r="AZ52" s="16">
        <f t="shared" si="226"/>
        <v>0</v>
      </c>
      <c r="BA52" s="16">
        <f t="shared" si="227"/>
        <v>0</v>
      </c>
      <c r="BB52" s="16">
        <f t="shared" si="227"/>
        <v>0</v>
      </c>
      <c r="BD52" s="16">
        <f t="shared" si="17"/>
        <v>0.39300000000000002</v>
      </c>
      <c r="BE52" s="16">
        <f t="shared" si="94"/>
        <v>0</v>
      </c>
      <c r="BF52" s="16">
        <f t="shared" si="95"/>
        <v>0</v>
      </c>
      <c r="BG52" s="16">
        <f t="shared" si="96"/>
        <v>0</v>
      </c>
      <c r="BH52" s="16">
        <f t="shared" si="97"/>
        <v>0</v>
      </c>
      <c r="BJ52" s="16" t="str">
        <f t="shared" si="18"/>
        <v>Croatia</v>
      </c>
      <c r="BK52" s="16" t="s">
        <v>261</v>
      </c>
      <c r="BL52" s="9">
        <f>'GHG data from Eurostat'!EP58</f>
        <v>0</v>
      </c>
    </row>
    <row r="53" spans="7:64" x14ac:dyDescent="0.25">
      <c r="G53" s="9" t="s">
        <v>188</v>
      </c>
      <c r="H53" s="9" t="s">
        <v>262</v>
      </c>
      <c r="I53" s="9">
        <f t="shared" si="3"/>
        <v>2.5476689999999995</v>
      </c>
      <c r="J53" s="9">
        <f t="shared" si="4"/>
        <v>6.3111600000000001</v>
      </c>
      <c r="K53" s="9">
        <f t="shared" si="5"/>
        <v>8.1440000000000001</v>
      </c>
      <c r="L53" s="9">
        <f t="shared" si="6"/>
        <v>0.81654099999999996</v>
      </c>
      <c r="M53" s="9">
        <f>'GHG data from Eurostat'!CP59</f>
        <v>0.35666999999999999</v>
      </c>
      <c r="N53" s="9">
        <f>'GHG data from Eurostat'!CN59</f>
        <v>11.53439</v>
      </c>
      <c r="O53" s="9">
        <f>'GHG data from Eurostat'!CQ59</f>
        <v>1.22919</v>
      </c>
      <c r="P53" s="9">
        <f>'GHG data from Eurostat'!CO59</f>
        <v>1.49851</v>
      </c>
      <c r="Q53" s="9">
        <f>'GHG data from Eurostat'!CU59</f>
        <v>2.1584599999999998</v>
      </c>
      <c r="R53" s="9">
        <f>IFERROR(('GHG data from Eurostat'!CS59+'GHG data from Eurostat'!CW59),0)</f>
        <v>3.7670699999999999</v>
      </c>
      <c r="S53" s="9">
        <f>'GHG data from Eurostat'!CV59</f>
        <v>0.64607999999999999</v>
      </c>
      <c r="T53" s="9">
        <f>'GHG data from Eurostat'!CT59</f>
        <v>7.6469999999999996E-2</v>
      </c>
      <c r="U53" s="9">
        <f>Q53+M53</f>
        <v>2.5151299999999996</v>
      </c>
      <c r="V53" s="9">
        <f t="shared" ref="V53:V54" si="228">R53+N53</f>
        <v>15.301460000000001</v>
      </c>
      <c r="W53" s="9">
        <f t="shared" ref="W53:W54" si="229">S53+O53</f>
        <v>1.87527</v>
      </c>
      <c r="X53" s="9">
        <f t="shared" ref="X53:X54" si="230">T53+P53</f>
        <v>1.57498</v>
      </c>
      <c r="Y53" s="9">
        <f t="shared" si="11"/>
        <v>21.266840000000002</v>
      </c>
      <c r="Z53" s="17">
        <f t="shared" si="12"/>
        <v>0.9872279326710024</v>
      </c>
      <c r="AA53" s="17">
        <f t="shared" si="85"/>
        <v>2.4245083312734903</v>
      </c>
      <c r="AB53" s="17">
        <f t="shared" si="86"/>
        <v>0.23026399803536346</v>
      </c>
      <c r="AC53" s="17">
        <f t="shared" si="87"/>
        <v>1.9288437445272193</v>
      </c>
      <c r="AD53" s="18"/>
      <c r="AE53" s="17">
        <f t="shared" si="13"/>
        <v>0.98699999999999999</v>
      </c>
      <c r="AF53" s="17">
        <f t="shared" si="88"/>
        <v>2.4249999999999998</v>
      </c>
      <c r="AG53" s="17">
        <f t="shared" si="89"/>
        <v>0.23</v>
      </c>
      <c r="AH53" s="17">
        <f t="shared" si="90"/>
        <v>1.929</v>
      </c>
      <c r="AJ53" s="9" t="s">
        <v>188</v>
      </c>
      <c r="AK53" s="9" t="s">
        <v>262</v>
      </c>
      <c r="AL53" s="9">
        <f>VLOOKUP($AJ53,Landcover!$A$3:$K$30,5,FALSE)/1000</f>
        <v>95.611999999999995</v>
      </c>
      <c r="AM53" s="9">
        <f>VLOOKUP($AJ53,Landcover!$A$3:$K$30,6,FALSE)/1000</f>
        <v>106.337</v>
      </c>
      <c r="AN53" s="9">
        <f>VLOOKUP($AJ53,Landcover!$A$3:$K$30,8,FALSE)/1000</f>
        <v>49.567999999999998</v>
      </c>
      <c r="AO53" s="9">
        <f>VLOOKUP($AJ53,Landcover!$A$3:$K$30,11,FALSE)/1000</f>
        <v>0.50700000000000001</v>
      </c>
      <c r="AP53" s="9">
        <f>VLOOKUP($AJ53,Landcover!$A$3:$K$30,7,FALSE)/1000</f>
        <v>18.004000000000001</v>
      </c>
      <c r="AR53" s="9">
        <f>SUM('GHG data from Eurostat'!CX59,'GHG data from Eurostat'!DC59,'GHG data from Eurostat'!DG59,'GHG data from Eurostat'!DM59,'GHG data from Eurostat'!DP59,'GHG data from Eurostat'!DV59)</f>
        <v>11.761750000000001</v>
      </c>
      <c r="AS53" s="9">
        <f>'GHG data from Eurostat'!DS59+'GHG data from Eurostat'!DT59</f>
        <v>-38.305100000000003</v>
      </c>
      <c r="AT53" s="9">
        <f>'GHG data from Eurostat'!EA59+'GHG data from Eurostat'!EB59</f>
        <v>-2.8495900000000001</v>
      </c>
      <c r="AU53" s="9">
        <f>'GHG data from Eurostat'!ED59</f>
        <v>3.1609999999999999E-2</v>
      </c>
      <c r="AV53" s="9">
        <f>'GHG data from Eurostat'!EL59</f>
        <v>0</v>
      </c>
      <c r="AW53" s="18">
        <f t="shared" si="21"/>
        <v>-29.361330000000002</v>
      </c>
      <c r="AX53" s="16">
        <f>AR53/AL53</f>
        <v>0.12301541647491948</v>
      </c>
      <c r="AY53" s="16">
        <f t="shared" ref="AY53" si="231">AS53/AM53</f>
        <v>-0.36022362865230356</v>
      </c>
      <c r="AZ53" s="16">
        <f t="shared" ref="AZ53" si="232">AT53/AN53</f>
        <v>-5.7488500645577797E-2</v>
      </c>
      <c r="BA53" s="16">
        <f t="shared" ref="BA53:BB53" si="233">AU53/AO53</f>
        <v>6.2347140039447732E-2</v>
      </c>
      <c r="BB53" s="16">
        <f t="shared" si="233"/>
        <v>0</v>
      </c>
      <c r="BD53" s="16">
        <f t="shared" si="17"/>
        <v>0.123</v>
      </c>
      <c r="BE53" s="16">
        <f t="shared" si="94"/>
        <v>-0.36020000000000002</v>
      </c>
      <c r="BF53" s="16">
        <f t="shared" si="95"/>
        <v>-5.7500000000000002E-2</v>
      </c>
      <c r="BG53" s="16">
        <f t="shared" si="96"/>
        <v>6.2300000000000001E-2</v>
      </c>
      <c r="BH53" s="16">
        <f t="shared" si="97"/>
        <v>0</v>
      </c>
      <c r="BJ53" s="16" t="str">
        <f t="shared" si="18"/>
        <v>Italy</v>
      </c>
      <c r="BK53" s="16" t="s">
        <v>263</v>
      </c>
      <c r="BL53" s="9">
        <f>'GHG data from Eurostat'!EP59</f>
        <v>0.2641</v>
      </c>
    </row>
    <row r="54" spans="7:64" x14ac:dyDescent="0.25">
      <c r="G54" s="9" t="s">
        <v>188</v>
      </c>
      <c r="H54" s="9" t="s">
        <v>233</v>
      </c>
      <c r="I54" s="9">
        <f t="shared" si="3"/>
        <v>2.5476689999999995</v>
      </c>
      <c r="J54" s="9">
        <f t="shared" si="4"/>
        <v>6.3111600000000001</v>
      </c>
      <c r="K54" s="9">
        <f t="shared" si="5"/>
        <v>8.1440000000000001</v>
      </c>
      <c r="L54" s="9">
        <f t="shared" si="6"/>
        <v>0.81654099999999996</v>
      </c>
      <c r="M54" s="9">
        <f>'GHG data from Eurostat'!CP60</f>
        <v>0</v>
      </c>
      <c r="N54" s="9">
        <f>'GHG data from Eurostat'!CN60</f>
        <v>0</v>
      </c>
      <c r="O54" s="9">
        <f>'GHG data from Eurostat'!CQ60</f>
        <v>0</v>
      </c>
      <c r="P54" s="9">
        <f>'GHG data from Eurostat'!CO60</f>
        <v>0</v>
      </c>
      <c r="Q54" s="9">
        <f>'GHG data from Eurostat'!CU60</f>
        <v>0</v>
      </c>
      <c r="R54" s="9">
        <f>IFERROR(('GHG data from Eurostat'!CS60+'GHG data from Eurostat'!CW60),0)</f>
        <v>0</v>
      </c>
      <c r="S54" s="9">
        <f>'GHG data from Eurostat'!CV60</f>
        <v>0</v>
      </c>
      <c r="T54" s="9">
        <f>'GHG data from Eurostat'!CT60</f>
        <v>0</v>
      </c>
      <c r="U54" s="9">
        <f t="shared" ref="U54" si="234">Q54+M54</f>
        <v>0</v>
      </c>
      <c r="V54" s="9">
        <f t="shared" si="228"/>
        <v>0</v>
      </c>
      <c r="W54" s="9">
        <f t="shared" si="229"/>
        <v>0</v>
      </c>
      <c r="X54" s="9">
        <f t="shared" si="230"/>
        <v>0</v>
      </c>
      <c r="Y54" s="9">
        <f t="shared" si="11"/>
        <v>0</v>
      </c>
      <c r="Z54" s="17">
        <f t="shared" si="12"/>
        <v>0</v>
      </c>
      <c r="AA54" s="17">
        <f t="shared" si="85"/>
        <v>0</v>
      </c>
      <c r="AB54" s="17">
        <f t="shared" si="86"/>
        <v>0</v>
      </c>
      <c r="AC54" s="17">
        <f t="shared" si="87"/>
        <v>0</v>
      </c>
      <c r="AD54" s="18"/>
      <c r="AE54" s="17">
        <f t="shared" si="13"/>
        <v>0</v>
      </c>
      <c r="AF54" s="17">
        <f t="shared" si="88"/>
        <v>0</v>
      </c>
      <c r="AG54" s="17">
        <f t="shared" si="89"/>
        <v>0</v>
      </c>
      <c r="AH54" s="17">
        <f t="shared" si="90"/>
        <v>0</v>
      </c>
      <c r="AJ54" s="9" t="s">
        <v>188</v>
      </c>
      <c r="AK54" s="9" t="s">
        <v>233</v>
      </c>
      <c r="AL54" s="9">
        <f>VLOOKUP($AJ54,Landcover!$A$3:$K$30,5,FALSE)/1000</f>
        <v>95.611999999999995</v>
      </c>
      <c r="AM54" s="9">
        <f>VLOOKUP($AJ54,Landcover!$A$3:$K$30,6,FALSE)/1000</f>
        <v>106.337</v>
      </c>
      <c r="AN54" s="9">
        <f>VLOOKUP($AJ54,Landcover!$A$3:$K$30,8,FALSE)/1000</f>
        <v>49.567999999999998</v>
      </c>
      <c r="AO54" s="9">
        <f>VLOOKUP($AJ54,Landcover!$A$3:$K$30,11,FALSE)/1000</f>
        <v>0.50700000000000001</v>
      </c>
      <c r="AP54" s="9">
        <f>VLOOKUP($AJ54,Landcover!$A$3:$K$30,7,FALSE)/1000</f>
        <v>18.004000000000001</v>
      </c>
      <c r="AR54" s="9">
        <f>SUM('GHG data from Eurostat'!CX60,'GHG data from Eurostat'!DC60,'GHG data from Eurostat'!DG60,'GHG data from Eurostat'!DM60,'GHG data from Eurostat'!DP60,'GHG data from Eurostat'!DV60)</f>
        <v>0.66296999999999995</v>
      </c>
      <c r="AS54" s="9">
        <f>'GHG data from Eurostat'!DS60+'GHG data from Eurostat'!DT60</f>
        <v>-38.39716</v>
      </c>
      <c r="AT54" s="9">
        <f>'GHG data from Eurostat'!EA60+'GHG data from Eurostat'!EB60</f>
        <v>-2.8744999999999998</v>
      </c>
      <c r="AU54" s="9">
        <f>'GHG data from Eurostat'!ED60</f>
        <v>3.1609999999999999E-2</v>
      </c>
      <c r="AV54" s="9">
        <f>'GHG data from Eurostat'!EL60</f>
        <v>0</v>
      </c>
      <c r="AW54" s="18">
        <f t="shared" si="21"/>
        <v>-40.577079999999995</v>
      </c>
      <c r="AX54" s="16">
        <f>AR54/AL54</f>
        <v>6.9339622641509434E-3</v>
      </c>
      <c r="AY54" s="16">
        <f t="shared" ref="AY54" si="235">AS54/AM54</f>
        <v>-0.36108936682434145</v>
      </c>
      <c r="AZ54" s="16">
        <f t="shared" ref="AZ54" si="236">AT54/AN54</f>
        <v>-5.7991042608134279E-2</v>
      </c>
      <c r="BA54" s="16">
        <f t="shared" ref="BA54:BB54" si="237">AU54/AO54</f>
        <v>6.2347140039447732E-2</v>
      </c>
      <c r="BB54" s="16">
        <f t="shared" si="237"/>
        <v>0</v>
      </c>
      <c r="BD54" s="16">
        <f t="shared" si="17"/>
        <v>6.8999999999999999E-3</v>
      </c>
      <c r="BE54" s="16">
        <f t="shared" si="94"/>
        <v>-0.36109999999999998</v>
      </c>
      <c r="BF54" s="16">
        <f t="shared" si="95"/>
        <v>-5.8000000000000003E-2</v>
      </c>
      <c r="BG54" s="16">
        <f t="shared" si="96"/>
        <v>6.2300000000000001E-2</v>
      </c>
      <c r="BH54" s="16">
        <f t="shared" si="97"/>
        <v>0</v>
      </c>
      <c r="BJ54" s="16" t="str">
        <f t="shared" si="18"/>
        <v>Italy</v>
      </c>
      <c r="BK54" s="16" t="s">
        <v>259</v>
      </c>
      <c r="BL54" s="9">
        <f>'GHG data from Eurostat'!EP60</f>
        <v>0.2641</v>
      </c>
    </row>
    <row r="55" spans="7:64" x14ac:dyDescent="0.25">
      <c r="G55" s="9" t="s">
        <v>188</v>
      </c>
      <c r="H55" s="9" t="s">
        <v>231</v>
      </c>
      <c r="I55" s="9">
        <f t="shared" si="3"/>
        <v>2.5476689999999995</v>
      </c>
      <c r="J55" s="9">
        <f t="shared" si="4"/>
        <v>6.3111600000000001</v>
      </c>
      <c r="K55" s="9">
        <f t="shared" si="5"/>
        <v>8.1440000000000001</v>
      </c>
      <c r="L55" s="9">
        <f t="shared" si="6"/>
        <v>0.81654099999999996</v>
      </c>
      <c r="M55" s="9">
        <f>'GHG data from Eurostat'!CP61</f>
        <v>1.274E-2</v>
      </c>
      <c r="N55" s="9">
        <f>'GHG data from Eurostat'!CN61</f>
        <v>0.41193999999999997</v>
      </c>
      <c r="O55" s="9">
        <f>'GHG data from Eurostat'!CQ61</f>
        <v>4.3900000000000002E-2</v>
      </c>
      <c r="P55" s="9">
        <f>'GHG data from Eurostat'!CO61</f>
        <v>5.3519999999999998E-2</v>
      </c>
      <c r="Q55" s="9">
        <f>'GHG data from Eurostat'!CU61</f>
        <v>6.9610000000000005E-2</v>
      </c>
      <c r="R55" s="9">
        <f>IFERROR(('GHG data from Eurostat'!CS61+'GHG data from Eurostat'!CW61),0)</f>
        <v>8.8200000000000001E-2</v>
      </c>
      <c r="S55" s="9">
        <f>'GHG data from Eurostat'!CV61</f>
        <v>1.44E-2</v>
      </c>
      <c r="T55" s="9">
        <f>'GHG data from Eurostat'!CT61</f>
        <v>1.8699999999999999E-3</v>
      </c>
      <c r="U55" s="9">
        <f>(Q55+M55)*1000</f>
        <v>82.350000000000009</v>
      </c>
      <c r="V55" s="9">
        <f t="shared" ref="V55:V56" si="238">(R55+N55)*1000</f>
        <v>500.14000000000004</v>
      </c>
      <c r="W55" s="9">
        <f t="shared" ref="W55:W56" si="239">(S55+O55)*1000</f>
        <v>58.300000000000004</v>
      </c>
      <c r="X55" s="9">
        <f t="shared" ref="X55:X56" si="240">(T55+P55)*1000</f>
        <v>55.389999999999993</v>
      </c>
      <c r="Y55" s="9">
        <f t="shared" si="11"/>
        <v>696.18</v>
      </c>
      <c r="Z55" s="17">
        <f t="shared" ref="Z55:AC56" si="241">IFERROR((M55+Q55)*1000/I55,0)</f>
        <v>32.323665279908823</v>
      </c>
      <c r="AA55" s="17">
        <f t="shared" si="241"/>
        <v>79.246921326665785</v>
      </c>
      <c r="AB55" s="17">
        <f t="shared" si="241"/>
        <v>7.158644400785855</v>
      </c>
      <c r="AC55" s="17">
        <f t="shared" si="241"/>
        <v>67.834928068523197</v>
      </c>
      <c r="AD55" s="18"/>
      <c r="AE55" s="17">
        <f t="shared" si="13"/>
        <v>32.323999999999998</v>
      </c>
      <c r="AF55" s="17">
        <f t="shared" si="88"/>
        <v>79.247</v>
      </c>
      <c r="AG55" s="17">
        <f t="shared" si="89"/>
        <v>7.1589999999999998</v>
      </c>
      <c r="AH55" s="17">
        <f t="shared" si="90"/>
        <v>67.834999999999994</v>
      </c>
      <c r="AJ55" s="9" t="s">
        <v>188</v>
      </c>
      <c r="AK55" s="9" t="s">
        <v>231</v>
      </c>
      <c r="AL55" s="9">
        <f>VLOOKUP($AJ55,Landcover!$A$3:$K$30,5,FALSE)/1000</f>
        <v>95.611999999999995</v>
      </c>
      <c r="AM55" s="9">
        <f>VLOOKUP($AJ55,Landcover!$A$3:$K$30,6,FALSE)/1000</f>
        <v>106.337</v>
      </c>
      <c r="AN55" s="9">
        <f>VLOOKUP($AJ55,Landcover!$A$3:$K$30,8,FALSE)/1000</f>
        <v>49.567999999999998</v>
      </c>
      <c r="AO55" s="9">
        <f>VLOOKUP($AJ55,Landcover!$A$3:$K$30,11,FALSE)/1000</f>
        <v>0.50700000000000001</v>
      </c>
      <c r="AP55" s="9">
        <f>VLOOKUP($AJ55,Landcover!$A$3:$K$30,7,FALSE)/1000</f>
        <v>18.004000000000001</v>
      </c>
      <c r="AR55" s="9">
        <f>SUM('GHG data from Eurostat'!CX61,'GHG data from Eurostat'!DC61,'GHG data from Eurostat'!DG61,'GHG data from Eurostat'!DM61,'GHG data from Eurostat'!DP61,'GHG data from Eurostat'!DV61)</f>
        <v>6.4840000000000009E-2</v>
      </c>
      <c r="AS55" s="9">
        <f>'GHG data from Eurostat'!DS61+'GHG data from Eurostat'!DT61</f>
        <v>2.16E-3</v>
      </c>
      <c r="AT55" s="9">
        <f>'GHG data from Eurostat'!EA61+'GHG data from Eurostat'!EB61</f>
        <v>5.8E-4</v>
      </c>
      <c r="AU55" s="9">
        <f>'GHG data from Eurostat'!ED61</f>
        <v>0</v>
      </c>
      <c r="AV55" s="9">
        <f>'GHG data from Eurostat'!EL61</f>
        <v>0</v>
      </c>
      <c r="AW55" s="18">
        <f t="shared" si="21"/>
        <v>6.7580000000000001E-2</v>
      </c>
      <c r="AX55" s="16">
        <f>IFERROR(AR55*1000/AL55,0)</f>
        <v>0.67815755344517437</v>
      </c>
      <c r="AY55" s="16">
        <f t="shared" ref="AY55:AY56" si="242">IFERROR(AS55*1000/AM55,0)</f>
        <v>2.0312779183162964E-2</v>
      </c>
      <c r="AZ55" s="16">
        <f t="shared" ref="AZ55:AZ56" si="243">IFERROR(AT55*1000/AN55,0)</f>
        <v>1.1701097482246611E-2</v>
      </c>
      <c r="BA55" s="16">
        <f t="shared" ref="BA55:BB56" si="244">IFERROR(AU55*1000/AO55,0)</f>
        <v>0</v>
      </c>
      <c r="BB55" s="16">
        <f t="shared" si="244"/>
        <v>0</v>
      </c>
      <c r="BD55" s="16">
        <f t="shared" si="17"/>
        <v>0.67820000000000003</v>
      </c>
      <c r="BE55" s="16">
        <f t="shared" si="94"/>
        <v>2.0299999999999999E-2</v>
      </c>
      <c r="BF55" s="16">
        <f t="shared" si="95"/>
        <v>1.17E-2</v>
      </c>
      <c r="BG55" s="16">
        <f t="shared" si="96"/>
        <v>0</v>
      </c>
      <c r="BH55" s="16">
        <f t="shared" si="97"/>
        <v>0</v>
      </c>
      <c r="BJ55" s="16" t="str">
        <f t="shared" si="18"/>
        <v>Italy</v>
      </c>
      <c r="BK55" s="16" t="s">
        <v>260</v>
      </c>
      <c r="BL55" s="9">
        <f>'GHG data from Eurostat'!EP61</f>
        <v>0</v>
      </c>
    </row>
    <row r="56" spans="7:64" x14ac:dyDescent="0.25">
      <c r="G56" s="9" t="s">
        <v>188</v>
      </c>
      <c r="H56" s="9" t="s">
        <v>232</v>
      </c>
      <c r="I56" s="9">
        <f t="shared" si="3"/>
        <v>2.5476689999999995</v>
      </c>
      <c r="J56" s="9">
        <f t="shared" si="4"/>
        <v>6.3111600000000001</v>
      </c>
      <c r="K56" s="9">
        <f t="shared" si="5"/>
        <v>8.1440000000000001</v>
      </c>
      <c r="L56" s="9">
        <f t="shared" si="6"/>
        <v>0.81654099999999996</v>
      </c>
      <c r="M56" s="9">
        <f>'GHG data from Eurostat'!CP62</f>
        <v>0</v>
      </c>
      <c r="N56" s="9">
        <f>'GHG data from Eurostat'!CN62</f>
        <v>0</v>
      </c>
      <c r="O56" s="9">
        <f>'GHG data from Eurostat'!CQ62</f>
        <v>0</v>
      </c>
      <c r="P56" s="9">
        <f>'GHG data from Eurostat'!CO62</f>
        <v>0</v>
      </c>
      <c r="Q56" s="9">
        <f>'GHG data from Eurostat'!CU62</f>
        <v>7.9000000000000001E-4</v>
      </c>
      <c r="R56" s="9">
        <f>IFERROR(('GHG data from Eurostat'!CS62+'GHG data from Eurostat'!CW62),0)</f>
        <v>4.8900000000000002E-3</v>
      </c>
      <c r="S56" s="9">
        <f>'GHG data from Eurostat'!CV62</f>
        <v>9.2000000000000003E-4</v>
      </c>
      <c r="T56" s="9">
        <f>'GHG data from Eurostat'!CT62</f>
        <v>9.0000000000000006E-5</v>
      </c>
      <c r="U56" s="9">
        <f>(Q56+M56)*1000</f>
        <v>0.79</v>
      </c>
      <c r="V56" s="9">
        <f t="shared" si="238"/>
        <v>4.8900000000000006</v>
      </c>
      <c r="W56" s="9">
        <f t="shared" si="239"/>
        <v>0.92</v>
      </c>
      <c r="X56" s="9">
        <f t="shared" si="240"/>
        <v>9.0000000000000011E-2</v>
      </c>
      <c r="Y56" s="9">
        <f t="shared" si="11"/>
        <v>6.69</v>
      </c>
      <c r="Z56" s="17">
        <f t="shared" si="241"/>
        <v>0.31008737791290791</v>
      </c>
      <c r="AA56" s="17">
        <f t="shared" si="241"/>
        <v>0.77481794155115713</v>
      </c>
      <c r="AB56" s="17">
        <f t="shared" si="241"/>
        <v>0.11296660117878193</v>
      </c>
      <c r="AC56" s="17">
        <f t="shared" si="241"/>
        <v>0.11022104217669415</v>
      </c>
      <c r="AD56" s="18"/>
      <c r="AE56" s="17">
        <f t="shared" si="13"/>
        <v>0.31</v>
      </c>
      <c r="AF56" s="17">
        <f t="shared" si="88"/>
        <v>0.77500000000000002</v>
      </c>
      <c r="AG56" s="17">
        <f t="shared" si="89"/>
        <v>0.113</v>
      </c>
      <c r="AH56" s="17">
        <f t="shared" si="90"/>
        <v>0.11</v>
      </c>
      <c r="AJ56" s="9" t="s">
        <v>188</v>
      </c>
      <c r="AK56" s="9" t="s">
        <v>232</v>
      </c>
      <c r="AL56" s="9">
        <f>VLOOKUP($AJ56,Landcover!$A$3:$K$30,5,FALSE)/1000</f>
        <v>95.611999999999995</v>
      </c>
      <c r="AM56" s="9">
        <f>VLOOKUP($AJ56,Landcover!$A$3:$K$30,6,FALSE)/1000</f>
        <v>106.337</v>
      </c>
      <c r="AN56" s="9">
        <f>VLOOKUP($AJ56,Landcover!$A$3:$K$30,8,FALSE)/1000</f>
        <v>49.567999999999998</v>
      </c>
      <c r="AO56" s="9">
        <f>VLOOKUP($AJ56,Landcover!$A$3:$K$30,11,FALSE)/1000</f>
        <v>0.50700000000000001</v>
      </c>
      <c r="AP56" s="9">
        <f>VLOOKUP($AJ56,Landcover!$A$3:$K$30,7,FALSE)/1000</f>
        <v>18.004000000000001</v>
      </c>
      <c r="AR56" s="9">
        <f>SUM('GHG data from Eurostat'!CX62,'GHG data from Eurostat'!DC62,'GHG data from Eurostat'!DG62,'GHG data from Eurostat'!DM62,'GHG data from Eurostat'!DP62,'GHG data from Eurostat'!DV62)</f>
        <v>3.5030000000000006E-2</v>
      </c>
      <c r="AS56" s="9">
        <f>'GHG data from Eurostat'!DS62+'GHG data from Eurostat'!DT62</f>
        <v>1.2E-4</v>
      </c>
      <c r="AT56" s="9">
        <f>'GHG data from Eurostat'!EA62+'GHG data from Eurostat'!EB62</f>
        <v>3.0000000000000001E-5</v>
      </c>
      <c r="AU56" s="9">
        <f>'GHG data from Eurostat'!ED62</f>
        <v>0</v>
      </c>
      <c r="AV56" s="9">
        <f>'GHG data from Eurostat'!EL62</f>
        <v>0</v>
      </c>
      <c r="AW56" s="18">
        <f t="shared" si="21"/>
        <v>3.518000000000001E-2</v>
      </c>
      <c r="AX56" s="16">
        <f>IFERROR(AR56*1000/AL56,0)</f>
        <v>0.36637660544701511</v>
      </c>
      <c r="AY56" s="16">
        <f t="shared" si="242"/>
        <v>1.1284877323979425E-3</v>
      </c>
      <c r="AZ56" s="16">
        <f t="shared" si="243"/>
        <v>6.0522918011620406E-4</v>
      </c>
      <c r="BA56" s="16">
        <f t="shared" si="244"/>
        <v>0</v>
      </c>
      <c r="BB56" s="16">
        <f t="shared" si="244"/>
        <v>0</v>
      </c>
      <c r="BD56" s="16">
        <f t="shared" si="17"/>
        <v>0.3664</v>
      </c>
      <c r="BE56" s="16">
        <f t="shared" si="94"/>
        <v>1.1000000000000001E-3</v>
      </c>
      <c r="BF56" s="16">
        <f t="shared" si="95"/>
        <v>5.9999999999999995E-4</v>
      </c>
      <c r="BG56" s="16">
        <f t="shared" si="96"/>
        <v>0</v>
      </c>
      <c r="BH56" s="16">
        <f t="shared" si="97"/>
        <v>0</v>
      </c>
      <c r="BJ56" s="16" t="str">
        <f t="shared" si="18"/>
        <v>Italy</v>
      </c>
      <c r="BK56" s="16" t="s">
        <v>261</v>
      </c>
      <c r="BL56" s="9">
        <f>'GHG data from Eurostat'!EP62</f>
        <v>0</v>
      </c>
    </row>
    <row r="57" spans="7:64" x14ac:dyDescent="0.25">
      <c r="G57" s="9" t="s">
        <v>189</v>
      </c>
      <c r="H57" s="9" t="s">
        <v>262</v>
      </c>
      <c r="I57" s="9">
        <f t="shared" si="3"/>
        <v>0.108615</v>
      </c>
      <c r="J57" s="9">
        <f t="shared" si="4"/>
        <v>7.0819999999999994E-2</v>
      </c>
      <c r="K57" s="9">
        <f t="shared" si="5"/>
        <v>0.17799999999999999</v>
      </c>
      <c r="L57" s="9">
        <f t="shared" si="6"/>
        <v>5.6140000000000002E-2</v>
      </c>
      <c r="M57" s="9">
        <f>'GHG data from Eurostat'!CP63</f>
        <v>1.521E-2</v>
      </c>
      <c r="N57" s="9">
        <f>'GHG data from Eurostat'!CN63</f>
        <v>0.17251</v>
      </c>
      <c r="O57" s="9">
        <f>'GHG data from Eurostat'!CQ63</f>
        <v>3.5610000000000003E-2</v>
      </c>
      <c r="P57" s="9">
        <f>'GHG data from Eurostat'!CO63</f>
        <v>6.966E-2</v>
      </c>
      <c r="Q57" s="9">
        <f>'GHG data from Eurostat'!CU63</f>
        <v>4.3869999999999999E-2</v>
      </c>
      <c r="R57" s="9">
        <f>IFERROR(('GHG data from Eurostat'!CS63+'GHG data from Eurostat'!CW63),0)</f>
        <v>6.1429999999999998E-2</v>
      </c>
      <c r="S57" s="9">
        <f>'GHG data from Eurostat'!CV63</f>
        <v>1.8700000000000001E-2</v>
      </c>
      <c r="T57" s="9">
        <f>'GHG data from Eurostat'!CT63</f>
        <v>1.55E-2</v>
      </c>
      <c r="U57" s="9">
        <f>Q57+M57</f>
        <v>5.9080000000000001E-2</v>
      </c>
      <c r="V57" s="9">
        <f t="shared" ref="V57:V58" si="245">R57+N57</f>
        <v>0.23393999999999998</v>
      </c>
      <c r="W57" s="9">
        <f t="shared" ref="W57:W58" si="246">S57+O57</f>
        <v>5.4310000000000004E-2</v>
      </c>
      <c r="X57" s="9">
        <f t="shared" ref="X57:X58" si="247">T57+P57</f>
        <v>8.516E-2</v>
      </c>
      <c r="Y57" s="9">
        <f t="shared" si="11"/>
        <v>0.43249000000000004</v>
      </c>
      <c r="Z57" s="17">
        <f t="shared" si="12"/>
        <v>0.54393960318556367</v>
      </c>
      <c r="AA57" s="17">
        <f t="shared" si="85"/>
        <v>3.3033041513696695</v>
      </c>
      <c r="AB57" s="17">
        <f t="shared" si="86"/>
        <v>0.30511235955056182</v>
      </c>
      <c r="AC57" s="17">
        <f t="shared" si="87"/>
        <v>1.5169219807623797</v>
      </c>
      <c r="AD57" s="18"/>
      <c r="AE57" s="17">
        <f t="shared" si="13"/>
        <v>0.54400000000000004</v>
      </c>
      <c r="AF57" s="17">
        <f t="shared" si="88"/>
        <v>3.3029999999999999</v>
      </c>
      <c r="AG57" s="17">
        <f t="shared" si="89"/>
        <v>0.30499999999999999</v>
      </c>
      <c r="AH57" s="17">
        <f t="shared" si="90"/>
        <v>1.5169999999999999</v>
      </c>
      <c r="AJ57" s="9" t="s">
        <v>189</v>
      </c>
      <c r="AK57" s="9" t="s">
        <v>262</v>
      </c>
      <c r="AL57" s="9">
        <f>VLOOKUP($AJ57,Landcover!$A$3:$K$30,5,FALSE)/1000</f>
        <v>2.8170000000000002</v>
      </c>
      <c r="AM57" s="9">
        <f>VLOOKUP($AJ57,Landcover!$A$3:$K$30,6,FALSE)/1000</f>
        <v>2.2240000000000002</v>
      </c>
      <c r="AN57" s="9">
        <f>VLOOKUP($AJ57,Landcover!$A$3:$K$30,8,FALSE)/1000</f>
        <v>1.012</v>
      </c>
      <c r="AO57" s="9">
        <f>VLOOKUP($AJ57,Landcover!$A$3:$K$30,11,FALSE)/1000</f>
        <v>1.2E-2</v>
      </c>
      <c r="AP57" s="9">
        <f>VLOOKUP($AJ57,Landcover!$A$3:$K$30,7,FALSE)/1000</f>
        <v>2.0779999999999998</v>
      </c>
      <c r="AR57" s="9">
        <f>SUM('GHG data from Eurostat'!CX63,'GHG data from Eurostat'!DC63,'GHG data from Eurostat'!DG63,'GHG data from Eurostat'!DM63,'GHG data from Eurostat'!DP63,'GHG data from Eurostat'!DV63)</f>
        <v>-8.0010000000000012E-2</v>
      </c>
      <c r="AS57" s="9">
        <f>'GHG data from Eurostat'!DS63+'GHG data from Eurostat'!DT63</f>
        <v>-0.16672999999999999</v>
      </c>
      <c r="AT57" s="9">
        <f>'GHG data from Eurostat'!EA63+'GHG data from Eurostat'!EB63</f>
        <v>-2.1899999999999999E-2</v>
      </c>
      <c r="AU57" s="9">
        <f>'GHG data from Eurostat'!ED63</f>
        <v>4.6999999999999999E-4</v>
      </c>
      <c r="AV57" s="9">
        <f>'GHG data from Eurostat'!EL63</f>
        <v>6.0000000000000002E-5</v>
      </c>
      <c r="AW57" s="18">
        <f t="shared" si="21"/>
        <v>-0.26810999999999996</v>
      </c>
      <c r="AX57" s="16">
        <f>AR57/AL57</f>
        <v>-2.8402555910543133E-2</v>
      </c>
      <c r="AY57" s="16">
        <f t="shared" ref="AY57" si="248">AS57/AM57</f>
        <v>-7.496852517985611E-2</v>
      </c>
      <c r="AZ57" s="16">
        <f t="shared" ref="AZ57" si="249">AT57/AN57</f>
        <v>-2.1640316205533597E-2</v>
      </c>
      <c r="BA57" s="16">
        <f t="shared" ref="BA57:BB57" si="250">AU57/AO57</f>
        <v>3.9166666666666662E-2</v>
      </c>
      <c r="BB57" s="16">
        <f t="shared" si="250"/>
        <v>2.8873917228103948E-5</v>
      </c>
      <c r="BD57" s="16">
        <f t="shared" si="17"/>
        <v>-2.8400000000000002E-2</v>
      </c>
      <c r="BE57" s="16">
        <f t="shared" si="94"/>
        <v>-7.4999999999999997E-2</v>
      </c>
      <c r="BF57" s="16">
        <f t="shared" si="95"/>
        <v>-2.1600000000000001E-2</v>
      </c>
      <c r="BG57" s="16">
        <f t="shared" si="96"/>
        <v>3.9199999999999999E-2</v>
      </c>
      <c r="BH57" s="16">
        <f t="shared" si="97"/>
        <v>0</v>
      </c>
      <c r="BJ57" s="16" t="str">
        <f t="shared" si="18"/>
        <v>Cyprus</v>
      </c>
      <c r="BK57" s="16" t="s">
        <v>263</v>
      </c>
      <c r="BL57" s="9">
        <f>'GHG data from Eurostat'!EP63</f>
        <v>2.2239999999999999E-2</v>
      </c>
    </row>
    <row r="58" spans="7:64" x14ac:dyDescent="0.25">
      <c r="G58" s="9" t="s">
        <v>189</v>
      </c>
      <c r="H58" s="9" t="s">
        <v>233</v>
      </c>
      <c r="I58" s="9">
        <f t="shared" si="3"/>
        <v>0.108615</v>
      </c>
      <c r="J58" s="9">
        <f t="shared" si="4"/>
        <v>7.0819999999999994E-2</v>
      </c>
      <c r="K58" s="9">
        <f t="shared" si="5"/>
        <v>0.17799999999999999</v>
      </c>
      <c r="L58" s="9">
        <f t="shared" si="6"/>
        <v>5.6140000000000002E-2</v>
      </c>
      <c r="M58" s="9">
        <f>'GHG data from Eurostat'!CP64</f>
        <v>0</v>
      </c>
      <c r="N58" s="9">
        <f>'GHG data from Eurostat'!CN64</f>
        <v>0</v>
      </c>
      <c r="O58" s="9">
        <f>'GHG data from Eurostat'!CQ64</f>
        <v>0</v>
      </c>
      <c r="P58" s="9">
        <f>'GHG data from Eurostat'!CO64</f>
        <v>0</v>
      </c>
      <c r="Q58" s="9">
        <f>'GHG data from Eurostat'!CU64</f>
        <v>0</v>
      </c>
      <c r="R58" s="9">
        <f>IFERROR(('GHG data from Eurostat'!CS64+'GHG data from Eurostat'!CW64),0)</f>
        <v>0</v>
      </c>
      <c r="S58" s="9">
        <f>'GHG data from Eurostat'!CV64</f>
        <v>0</v>
      </c>
      <c r="T58" s="9">
        <f>'GHG data from Eurostat'!CT64</f>
        <v>0</v>
      </c>
      <c r="U58" s="9">
        <f t="shared" ref="U58" si="251">Q58+M58</f>
        <v>0</v>
      </c>
      <c r="V58" s="9">
        <f t="shared" si="245"/>
        <v>0</v>
      </c>
      <c r="W58" s="9">
        <f t="shared" si="246"/>
        <v>0</v>
      </c>
      <c r="X58" s="9">
        <f t="shared" si="247"/>
        <v>0</v>
      </c>
      <c r="Y58" s="9">
        <f t="shared" si="11"/>
        <v>0</v>
      </c>
      <c r="Z58" s="17">
        <f t="shared" si="12"/>
        <v>0</v>
      </c>
      <c r="AA58" s="17">
        <f t="shared" si="85"/>
        <v>0</v>
      </c>
      <c r="AB58" s="17">
        <f t="shared" si="86"/>
        <v>0</v>
      </c>
      <c r="AC58" s="17">
        <f t="shared" si="87"/>
        <v>0</v>
      </c>
      <c r="AD58" s="18"/>
      <c r="AE58" s="17">
        <f t="shared" si="13"/>
        <v>0</v>
      </c>
      <c r="AF58" s="17">
        <f t="shared" si="88"/>
        <v>0</v>
      </c>
      <c r="AG58" s="17">
        <f t="shared" si="89"/>
        <v>0</v>
      </c>
      <c r="AH58" s="17">
        <f t="shared" si="90"/>
        <v>0</v>
      </c>
      <c r="AJ58" s="9" t="s">
        <v>189</v>
      </c>
      <c r="AK58" s="9" t="s">
        <v>233</v>
      </c>
      <c r="AL58" s="9">
        <f>VLOOKUP($AJ58,Landcover!$A$3:$K$30,5,FALSE)/1000</f>
        <v>2.8170000000000002</v>
      </c>
      <c r="AM58" s="9">
        <f>VLOOKUP($AJ58,Landcover!$A$3:$K$30,6,FALSE)/1000</f>
        <v>2.2240000000000002</v>
      </c>
      <c r="AN58" s="9">
        <f>VLOOKUP($AJ58,Landcover!$A$3:$K$30,8,FALSE)/1000</f>
        <v>1.012</v>
      </c>
      <c r="AO58" s="9">
        <f>VLOOKUP($AJ58,Landcover!$A$3:$K$30,11,FALSE)/1000</f>
        <v>1.2E-2</v>
      </c>
      <c r="AP58" s="9">
        <f>VLOOKUP($AJ58,Landcover!$A$3:$K$30,7,FALSE)/1000</f>
        <v>2.0779999999999998</v>
      </c>
      <c r="AR58" s="9">
        <f>SUM('GHG data from Eurostat'!CX64,'GHG data from Eurostat'!DC64,'GHG data from Eurostat'!DG64,'GHG data from Eurostat'!DM64,'GHG data from Eurostat'!DP64,'GHG data from Eurostat'!DV64)</f>
        <v>-0.12927</v>
      </c>
      <c r="AS58" s="9">
        <f>'GHG data from Eurostat'!DS64+'GHG data from Eurostat'!DT64</f>
        <v>-0.16749</v>
      </c>
      <c r="AT58" s="9">
        <f>'GHG data from Eurostat'!EA64+'GHG data from Eurostat'!EB64</f>
        <v>-2.1899999999999999E-2</v>
      </c>
      <c r="AU58" s="9">
        <f>'GHG data from Eurostat'!ED64</f>
        <v>4.6999999999999999E-4</v>
      </c>
      <c r="AV58" s="9">
        <f>'GHG data from Eurostat'!EL64</f>
        <v>6.0000000000000002E-5</v>
      </c>
      <c r="AW58" s="18">
        <f t="shared" si="21"/>
        <v>-0.31812999999999997</v>
      </c>
      <c r="AX58" s="16">
        <f>AR58/AL58</f>
        <v>-4.5889243876464321E-2</v>
      </c>
      <c r="AY58" s="16">
        <f t="shared" ref="AY58" si="252">AS58/AM58</f>
        <v>-7.5310251798561142E-2</v>
      </c>
      <c r="AZ58" s="16">
        <f t="shared" ref="AZ58" si="253">AT58/AN58</f>
        <v>-2.1640316205533597E-2</v>
      </c>
      <c r="BA58" s="16">
        <f t="shared" ref="BA58:BB58" si="254">AU58/AO58</f>
        <v>3.9166666666666662E-2</v>
      </c>
      <c r="BB58" s="16">
        <f t="shared" si="254"/>
        <v>2.8873917228103948E-5</v>
      </c>
      <c r="BD58" s="16">
        <f t="shared" si="17"/>
        <v>-4.5900000000000003E-2</v>
      </c>
      <c r="BE58" s="16">
        <f t="shared" si="94"/>
        <v>-7.5300000000000006E-2</v>
      </c>
      <c r="BF58" s="16">
        <f t="shared" si="95"/>
        <v>-2.1600000000000001E-2</v>
      </c>
      <c r="BG58" s="16">
        <f t="shared" si="96"/>
        <v>3.9199999999999999E-2</v>
      </c>
      <c r="BH58" s="16">
        <f t="shared" si="97"/>
        <v>0</v>
      </c>
      <c r="BJ58" s="16" t="str">
        <f t="shared" si="18"/>
        <v>Cyprus</v>
      </c>
      <c r="BK58" s="16" t="s">
        <v>259</v>
      </c>
      <c r="BL58" s="9">
        <f>'GHG data from Eurostat'!EP64</f>
        <v>2.2239999999999999E-2</v>
      </c>
    </row>
    <row r="59" spans="7:64" x14ac:dyDescent="0.25">
      <c r="G59" s="9" t="s">
        <v>189</v>
      </c>
      <c r="H59" s="9" t="s">
        <v>231</v>
      </c>
      <c r="I59" s="9">
        <f t="shared" si="3"/>
        <v>0.108615</v>
      </c>
      <c r="J59" s="9">
        <f t="shared" si="4"/>
        <v>7.0819999999999994E-2</v>
      </c>
      <c r="K59" s="9">
        <f t="shared" si="5"/>
        <v>0.17799999999999999</v>
      </c>
      <c r="L59" s="9">
        <f t="shared" si="6"/>
        <v>5.6140000000000002E-2</v>
      </c>
      <c r="M59" s="9">
        <f>'GHG data from Eurostat'!CP65</f>
        <v>5.4000000000000001E-4</v>
      </c>
      <c r="N59" s="9">
        <f>'GHG data from Eurostat'!CN65</f>
        <v>6.1599999999999997E-3</v>
      </c>
      <c r="O59" s="9">
        <f>'GHG data from Eurostat'!CQ65</f>
        <v>1.2700000000000001E-3</v>
      </c>
      <c r="P59" s="9">
        <f>'GHG data from Eurostat'!CO65</f>
        <v>2.49E-3</v>
      </c>
      <c r="Q59" s="9">
        <f>'GHG data from Eurostat'!CU65</f>
        <v>1.5399999999999999E-3</v>
      </c>
      <c r="R59" s="9">
        <f>IFERROR(('GHG data from Eurostat'!CS65+'GHG data from Eurostat'!CW65),0)</f>
        <v>9.3000000000000005E-4</v>
      </c>
      <c r="S59" s="9">
        <f>'GHG data from Eurostat'!CV65</f>
        <v>1.2999999999999999E-4</v>
      </c>
      <c r="T59" s="9">
        <f>'GHG data from Eurostat'!CT65</f>
        <v>9.0000000000000006E-5</v>
      </c>
      <c r="U59" s="9">
        <f>(Q59+M59)*1000</f>
        <v>2.0799999999999996</v>
      </c>
      <c r="V59" s="9">
        <f t="shared" ref="V59:V60" si="255">(R59+N59)*1000</f>
        <v>7.09</v>
      </c>
      <c r="W59" s="9">
        <f t="shared" ref="W59:W60" si="256">(S59+O59)*1000</f>
        <v>1.4</v>
      </c>
      <c r="X59" s="9">
        <f t="shared" ref="X59:X60" si="257">(T59+P59)*1000</f>
        <v>2.5799999999999996</v>
      </c>
      <c r="Y59" s="9">
        <f t="shared" si="11"/>
        <v>13.15</v>
      </c>
      <c r="Z59" s="17">
        <f t="shared" ref="Z59:AC60" si="258">IFERROR((M59+Q59)*1000/I59,0)</f>
        <v>19.150209455415915</v>
      </c>
      <c r="AA59" s="17">
        <f t="shared" si="258"/>
        <v>100.11296243998871</v>
      </c>
      <c r="AB59" s="17">
        <f t="shared" si="258"/>
        <v>7.8651685393258424</v>
      </c>
      <c r="AC59" s="17">
        <f t="shared" si="258"/>
        <v>45.956537228357668</v>
      </c>
      <c r="AD59" s="18"/>
      <c r="AE59" s="17">
        <f t="shared" si="13"/>
        <v>19.149999999999999</v>
      </c>
      <c r="AF59" s="17">
        <f t="shared" si="88"/>
        <v>100.113</v>
      </c>
      <c r="AG59" s="17">
        <f t="shared" si="89"/>
        <v>7.8650000000000002</v>
      </c>
      <c r="AH59" s="17">
        <f t="shared" si="90"/>
        <v>45.957000000000001</v>
      </c>
      <c r="AJ59" s="9" t="s">
        <v>189</v>
      </c>
      <c r="AK59" s="9" t="s">
        <v>231</v>
      </c>
      <c r="AL59" s="9">
        <f>VLOOKUP($AJ59,Landcover!$A$3:$K$30,5,FALSE)/1000</f>
        <v>2.8170000000000002</v>
      </c>
      <c r="AM59" s="9">
        <f>VLOOKUP($AJ59,Landcover!$A$3:$K$30,6,FALSE)/1000</f>
        <v>2.2240000000000002</v>
      </c>
      <c r="AN59" s="9">
        <f>VLOOKUP($AJ59,Landcover!$A$3:$K$30,8,FALSE)/1000</f>
        <v>1.012</v>
      </c>
      <c r="AO59" s="9">
        <f>VLOOKUP($AJ59,Landcover!$A$3:$K$30,11,FALSE)/1000</f>
        <v>1.2E-2</v>
      </c>
      <c r="AP59" s="9">
        <f>VLOOKUP($AJ59,Landcover!$A$3:$K$30,7,FALSE)/1000</f>
        <v>2.0779999999999998</v>
      </c>
      <c r="AR59" s="9">
        <f>SUM('GHG data from Eurostat'!CX65,'GHG data from Eurostat'!DC65,'GHG data from Eurostat'!DG65,'GHG data from Eurostat'!DM65,'GHG data from Eurostat'!DP65,'GHG data from Eurostat'!DV65)</f>
        <v>1.0000000000000001E-5</v>
      </c>
      <c r="AS59" s="9">
        <f>'GHG data from Eurostat'!DS65+'GHG data from Eurostat'!DT65</f>
        <v>2.0000000000000002E-5</v>
      </c>
      <c r="AT59" s="9">
        <f>'GHG data from Eurostat'!EA65+'GHG data from Eurostat'!EB65</f>
        <v>0</v>
      </c>
      <c r="AU59" s="9">
        <f>'GHG data from Eurostat'!ED65</f>
        <v>0</v>
      </c>
      <c r="AV59" s="9">
        <f>'GHG data from Eurostat'!EL65</f>
        <v>0</v>
      </c>
      <c r="AW59" s="18">
        <f t="shared" si="21"/>
        <v>3.0000000000000004E-5</v>
      </c>
      <c r="AX59" s="16">
        <f>IFERROR(AR59*1000/AL59,0)</f>
        <v>3.5498757543485976E-3</v>
      </c>
      <c r="AY59" s="16">
        <f t="shared" ref="AY59:AY60" si="259">IFERROR(AS59*1000/AM59,0)</f>
        <v>8.9928057553956831E-3</v>
      </c>
      <c r="AZ59" s="16">
        <f t="shared" ref="AZ59:AZ60" si="260">IFERROR(AT59*1000/AN59,0)</f>
        <v>0</v>
      </c>
      <c r="BA59" s="16">
        <f t="shared" ref="BA59:BB60" si="261">IFERROR(AU59*1000/AO59,0)</f>
        <v>0</v>
      </c>
      <c r="BB59" s="16">
        <f t="shared" si="261"/>
        <v>0</v>
      </c>
      <c r="BD59" s="16">
        <f t="shared" si="17"/>
        <v>3.5000000000000001E-3</v>
      </c>
      <c r="BE59" s="16">
        <f t="shared" si="94"/>
        <v>8.9999999999999993E-3</v>
      </c>
      <c r="BF59" s="16">
        <f t="shared" si="95"/>
        <v>0</v>
      </c>
      <c r="BG59" s="16">
        <f t="shared" si="96"/>
        <v>0</v>
      </c>
      <c r="BH59" s="16">
        <f t="shared" si="97"/>
        <v>0</v>
      </c>
      <c r="BJ59" s="16" t="str">
        <f t="shared" si="18"/>
        <v>Cyprus</v>
      </c>
      <c r="BK59" s="16" t="s">
        <v>260</v>
      </c>
      <c r="BL59" s="9">
        <f>'GHG data from Eurostat'!EP65</f>
        <v>0</v>
      </c>
    </row>
    <row r="60" spans="7:64" x14ac:dyDescent="0.25">
      <c r="G60" s="9" t="s">
        <v>189</v>
      </c>
      <c r="H60" s="9" t="s">
        <v>232</v>
      </c>
      <c r="I60" s="9">
        <f t="shared" si="3"/>
        <v>0.108615</v>
      </c>
      <c r="J60" s="9">
        <f t="shared" si="4"/>
        <v>7.0819999999999994E-2</v>
      </c>
      <c r="K60" s="9">
        <f t="shared" si="5"/>
        <v>0.17799999999999999</v>
      </c>
      <c r="L60" s="9">
        <f t="shared" si="6"/>
        <v>5.6140000000000002E-2</v>
      </c>
      <c r="M60" s="9">
        <f>'GHG data from Eurostat'!CP66</f>
        <v>0</v>
      </c>
      <c r="N60" s="9">
        <f>'GHG data from Eurostat'!CN66</f>
        <v>0</v>
      </c>
      <c r="O60" s="9">
        <f>'GHG data from Eurostat'!CQ66</f>
        <v>0</v>
      </c>
      <c r="P60" s="9">
        <f>'GHG data from Eurostat'!CO66</f>
        <v>0</v>
      </c>
      <c r="Q60" s="9">
        <f>'GHG data from Eurostat'!CU66</f>
        <v>0</v>
      </c>
      <c r="R60" s="9">
        <f>IFERROR(('GHG data from Eurostat'!CS66+'GHG data from Eurostat'!CW66),0)</f>
        <v>1.3000000000000002E-4</v>
      </c>
      <c r="S60" s="9">
        <f>'GHG data from Eurostat'!CV66</f>
        <v>6.0000000000000002E-5</v>
      </c>
      <c r="T60" s="9">
        <f>'GHG data from Eurostat'!CT66</f>
        <v>5.0000000000000002E-5</v>
      </c>
      <c r="U60" s="9">
        <f>(Q60+M60)*1000</f>
        <v>0</v>
      </c>
      <c r="V60" s="9">
        <f t="shared" si="255"/>
        <v>0.13</v>
      </c>
      <c r="W60" s="9">
        <f t="shared" si="256"/>
        <v>6.0000000000000005E-2</v>
      </c>
      <c r="X60" s="9">
        <f t="shared" si="257"/>
        <v>0.05</v>
      </c>
      <c r="Y60" s="9">
        <f t="shared" si="11"/>
        <v>0.24</v>
      </c>
      <c r="Z60" s="17">
        <f t="shared" si="258"/>
        <v>0</v>
      </c>
      <c r="AA60" s="17">
        <f t="shared" si="258"/>
        <v>1.8356396498164362</v>
      </c>
      <c r="AB60" s="17">
        <f t="shared" si="258"/>
        <v>0.3370786516853933</v>
      </c>
      <c r="AC60" s="17">
        <f t="shared" si="258"/>
        <v>0.89063056644104022</v>
      </c>
      <c r="AD60" s="18"/>
      <c r="AE60" s="17">
        <f t="shared" si="13"/>
        <v>0</v>
      </c>
      <c r="AF60" s="17">
        <f t="shared" si="88"/>
        <v>1.8360000000000001</v>
      </c>
      <c r="AG60" s="17">
        <f t="shared" si="89"/>
        <v>0.33700000000000002</v>
      </c>
      <c r="AH60" s="17">
        <f t="shared" si="90"/>
        <v>0.89100000000000001</v>
      </c>
      <c r="AJ60" s="9" t="s">
        <v>189</v>
      </c>
      <c r="AK60" s="9" t="s">
        <v>232</v>
      </c>
      <c r="AL60" s="9">
        <f>VLOOKUP($AJ60,Landcover!$A$3:$K$30,5,FALSE)/1000</f>
        <v>2.8170000000000002</v>
      </c>
      <c r="AM60" s="9">
        <f>VLOOKUP($AJ60,Landcover!$A$3:$K$30,6,FALSE)/1000</f>
        <v>2.2240000000000002</v>
      </c>
      <c r="AN60" s="9">
        <f>VLOOKUP($AJ60,Landcover!$A$3:$K$30,8,FALSE)/1000</f>
        <v>1.012</v>
      </c>
      <c r="AO60" s="9">
        <f>VLOOKUP($AJ60,Landcover!$A$3:$K$30,11,FALSE)/1000</f>
        <v>1.2E-2</v>
      </c>
      <c r="AP60" s="9">
        <f>VLOOKUP($AJ60,Landcover!$A$3:$K$30,7,FALSE)/1000</f>
        <v>2.0779999999999998</v>
      </c>
      <c r="AR60" s="9">
        <f>SUM('GHG data from Eurostat'!CX66,'GHG data from Eurostat'!DC66,'GHG data from Eurostat'!DG66,'GHG data from Eurostat'!DM66,'GHG data from Eurostat'!DP66,'GHG data from Eurostat'!DV66)</f>
        <v>1.8000000000000001E-4</v>
      </c>
      <c r="AS60" s="9">
        <f>'GHG data from Eurostat'!DS66+'GHG data from Eurostat'!DT66</f>
        <v>0</v>
      </c>
      <c r="AT60" s="9">
        <f>'GHG data from Eurostat'!EA66+'GHG data from Eurostat'!EB66</f>
        <v>0</v>
      </c>
      <c r="AU60" s="9">
        <f>'GHG data from Eurostat'!ED66</f>
        <v>0</v>
      </c>
      <c r="AV60" s="9">
        <f>'GHG data from Eurostat'!EL66</f>
        <v>0</v>
      </c>
      <c r="AW60" s="18">
        <f t="shared" si="21"/>
        <v>1.8000000000000001E-4</v>
      </c>
      <c r="AX60" s="16">
        <f>IFERROR(AR60*1000/AL60,0)</f>
        <v>6.3897763578274758E-2</v>
      </c>
      <c r="AY60" s="16">
        <f t="shared" si="259"/>
        <v>0</v>
      </c>
      <c r="AZ60" s="16">
        <f t="shared" si="260"/>
        <v>0</v>
      </c>
      <c r="BA60" s="16">
        <f t="shared" si="261"/>
        <v>0</v>
      </c>
      <c r="BB60" s="16">
        <f t="shared" si="261"/>
        <v>0</v>
      </c>
      <c r="BD60" s="16">
        <f t="shared" si="17"/>
        <v>6.3899999999999998E-2</v>
      </c>
      <c r="BE60" s="16">
        <f t="shared" si="94"/>
        <v>0</v>
      </c>
      <c r="BF60" s="16">
        <f t="shared" si="95"/>
        <v>0</v>
      </c>
      <c r="BG60" s="16">
        <f t="shared" si="96"/>
        <v>0</v>
      </c>
      <c r="BH60" s="16">
        <f t="shared" si="97"/>
        <v>0</v>
      </c>
      <c r="BJ60" s="16" t="str">
        <f t="shared" si="18"/>
        <v>Cyprus</v>
      </c>
      <c r="BK60" s="16" t="s">
        <v>261</v>
      </c>
      <c r="BL60" s="9">
        <f>'GHG data from Eurostat'!EP66</f>
        <v>0</v>
      </c>
    </row>
    <row r="61" spans="7:64" x14ac:dyDescent="0.25">
      <c r="G61" s="9" t="s">
        <v>190</v>
      </c>
      <c r="H61" s="9" t="s">
        <v>262</v>
      </c>
      <c r="I61" s="9">
        <f t="shared" si="3"/>
        <v>9.1469999999999996E-2</v>
      </c>
      <c r="J61" s="9">
        <f t="shared" si="4"/>
        <v>0.39532999999999996</v>
      </c>
      <c r="K61" s="9">
        <f t="shared" si="5"/>
        <v>0.28100000000000003</v>
      </c>
      <c r="L61" s="9">
        <f t="shared" si="6"/>
        <v>1.1953000000000002E-2</v>
      </c>
      <c r="M61" s="9">
        <f>'GHG data from Eurostat'!CP67</f>
        <v>1.281E-2</v>
      </c>
      <c r="N61" s="9">
        <f>'GHG data from Eurostat'!CN67</f>
        <v>0.89966000000000002</v>
      </c>
      <c r="O61" s="9">
        <f>'GHG data from Eurostat'!CQ67</f>
        <v>1.5429999999999999E-2</v>
      </c>
      <c r="P61" s="9">
        <f>'GHG data from Eurostat'!CO67</f>
        <v>2.4039999999999999E-2</v>
      </c>
      <c r="Q61" s="9">
        <f>'GHG data from Eurostat'!CU67</f>
        <v>2.487E-2</v>
      </c>
      <c r="R61" s="9">
        <f>IFERROR(('GHG data from Eurostat'!CS67+'GHG data from Eurostat'!CW67),0)</f>
        <v>0.13045999999999999</v>
      </c>
      <c r="S61" s="9">
        <f>'GHG data from Eurostat'!CV67</f>
        <v>1.069E-2</v>
      </c>
      <c r="T61" s="9">
        <f>'GHG data from Eurostat'!CT67</f>
        <v>2.8999999999999998E-3</v>
      </c>
      <c r="U61" s="9">
        <f>Q61+M61</f>
        <v>3.7679999999999998E-2</v>
      </c>
      <c r="V61" s="9">
        <f t="shared" ref="V61:V62" si="262">R61+N61</f>
        <v>1.0301199999999999</v>
      </c>
      <c r="W61" s="9">
        <f t="shared" ref="W61:W62" si="263">S61+O61</f>
        <v>2.6119999999999997E-2</v>
      </c>
      <c r="X61" s="9">
        <f t="shared" ref="X61:X62" si="264">T61+P61</f>
        <v>2.6939999999999999E-2</v>
      </c>
      <c r="Y61" s="9">
        <f t="shared" si="11"/>
        <v>1.1208599999999997</v>
      </c>
      <c r="Z61" s="17">
        <f t="shared" si="12"/>
        <v>0.41193834043948835</v>
      </c>
      <c r="AA61" s="17">
        <f t="shared" si="85"/>
        <v>2.6057218020388033</v>
      </c>
      <c r="AB61" s="17">
        <f t="shared" si="86"/>
        <v>9.2953736654804248E-2</v>
      </c>
      <c r="AC61" s="17">
        <f t="shared" si="87"/>
        <v>2.2538274910064415</v>
      </c>
      <c r="AD61" s="18"/>
      <c r="AE61" s="17">
        <f t="shared" si="13"/>
        <v>0.41199999999999998</v>
      </c>
      <c r="AF61" s="17">
        <f t="shared" si="88"/>
        <v>2.6059999999999999</v>
      </c>
      <c r="AG61" s="17">
        <f t="shared" si="89"/>
        <v>9.2999999999999999E-2</v>
      </c>
      <c r="AH61" s="17">
        <f t="shared" si="90"/>
        <v>2.254</v>
      </c>
      <c r="AJ61" s="9" t="s">
        <v>190</v>
      </c>
      <c r="AK61" s="9" t="s">
        <v>262</v>
      </c>
      <c r="AL61" s="9">
        <f>VLOOKUP($AJ61,Landcover!$A$3:$K$30,5,FALSE)/1000</f>
        <v>9.9570000000000007</v>
      </c>
      <c r="AM61" s="9">
        <f>VLOOKUP($AJ61,Landcover!$A$3:$K$30,6,FALSE)/1000</f>
        <v>35.326000000000001</v>
      </c>
      <c r="AN61" s="9">
        <f>VLOOKUP($AJ61,Landcover!$A$3:$K$30,8,FALSE)/1000</f>
        <v>13.489000000000001</v>
      </c>
      <c r="AO61" s="9">
        <f>VLOOKUP($AJ61,Landcover!$A$3:$K$30,11,FALSE)/1000</f>
        <v>1.633</v>
      </c>
      <c r="AP61" s="9">
        <f>VLOOKUP($AJ61,Landcover!$A$3:$K$30,7,FALSE)/1000</f>
        <v>0.871</v>
      </c>
      <c r="AR61" s="9">
        <f>SUM('GHG data from Eurostat'!CX67,'GHG data from Eurostat'!DC67,'GHG data from Eurostat'!DG67,'GHG data from Eurostat'!DM67,'GHG data from Eurostat'!DP67,'GHG data from Eurostat'!DV67)</f>
        <v>2.5621499999999999</v>
      </c>
      <c r="AS61" s="9">
        <f>'GHG data from Eurostat'!DS67+'GHG data from Eurostat'!DT67</f>
        <v>-2.8432599999999999</v>
      </c>
      <c r="AT61" s="9">
        <f>'GHG data from Eurostat'!EA67+'GHG data from Eurostat'!EB67</f>
        <v>0.95517999999999992</v>
      </c>
      <c r="AU61" s="9">
        <f>'GHG data from Eurostat'!ED67</f>
        <v>1.74586</v>
      </c>
      <c r="AV61" s="9">
        <f>'GHG data from Eurostat'!EL67</f>
        <v>0</v>
      </c>
      <c r="AW61" s="18">
        <f t="shared" si="21"/>
        <v>2.4199299999999999</v>
      </c>
      <c r="AX61" s="16">
        <f>AR61/AL61</f>
        <v>0.2573214823742091</v>
      </c>
      <c r="AY61" s="16">
        <f t="shared" ref="AY61" si="265">AS61/AM61</f>
        <v>-8.0486327350959633E-2</v>
      </c>
      <c r="AZ61" s="16">
        <f t="shared" ref="AZ61" si="266">AT61/AN61</f>
        <v>7.0811772555415514E-2</v>
      </c>
      <c r="BA61" s="16">
        <f t="shared" ref="BA61:BB61" si="267">AU61/AO61</f>
        <v>1.0691120636864666</v>
      </c>
      <c r="BB61" s="16">
        <f t="shared" si="267"/>
        <v>0</v>
      </c>
      <c r="BD61" s="16">
        <f t="shared" si="17"/>
        <v>0.25729999999999997</v>
      </c>
      <c r="BE61" s="16">
        <f t="shared" si="94"/>
        <v>-8.0500000000000002E-2</v>
      </c>
      <c r="BF61" s="16">
        <f t="shared" si="95"/>
        <v>7.0800000000000002E-2</v>
      </c>
      <c r="BG61" s="16">
        <f t="shared" si="96"/>
        <v>1.0690999999999999</v>
      </c>
      <c r="BH61" s="16">
        <f t="shared" si="97"/>
        <v>0</v>
      </c>
      <c r="BJ61" s="16" t="str">
        <f t="shared" si="18"/>
        <v>Latvia</v>
      </c>
      <c r="BK61" s="16" t="s">
        <v>263</v>
      </c>
      <c r="BL61" s="9">
        <f>'GHG data from Eurostat'!EP67</f>
        <v>-2.2966899999999999</v>
      </c>
    </row>
    <row r="62" spans="7:64" x14ac:dyDescent="0.25">
      <c r="G62" s="9" t="s">
        <v>190</v>
      </c>
      <c r="H62" s="9" t="s">
        <v>233</v>
      </c>
      <c r="I62" s="9">
        <f t="shared" si="3"/>
        <v>9.1469999999999996E-2</v>
      </c>
      <c r="J62" s="9">
        <f t="shared" si="4"/>
        <v>0.39532999999999996</v>
      </c>
      <c r="K62" s="9">
        <f t="shared" si="5"/>
        <v>0.28100000000000003</v>
      </c>
      <c r="L62" s="9">
        <f t="shared" si="6"/>
        <v>1.1953000000000002E-2</v>
      </c>
      <c r="M62" s="9">
        <f>'GHG data from Eurostat'!CP68</f>
        <v>0</v>
      </c>
      <c r="N62" s="9">
        <f>'GHG data from Eurostat'!CN68</f>
        <v>0</v>
      </c>
      <c r="O62" s="9">
        <f>'GHG data from Eurostat'!CQ68</f>
        <v>0</v>
      </c>
      <c r="P62" s="9">
        <f>'GHG data from Eurostat'!CO68</f>
        <v>0</v>
      </c>
      <c r="Q62" s="9">
        <f>'GHG data from Eurostat'!CU68</f>
        <v>0</v>
      </c>
      <c r="R62" s="9">
        <f>IFERROR(('GHG data from Eurostat'!CS68+'GHG data from Eurostat'!CW68),0)</f>
        <v>0</v>
      </c>
      <c r="S62" s="9">
        <f>'GHG data from Eurostat'!CV68</f>
        <v>0</v>
      </c>
      <c r="T62" s="9">
        <f>'GHG data from Eurostat'!CT68</f>
        <v>0</v>
      </c>
      <c r="U62" s="9">
        <f t="shared" ref="U62" si="268">Q62+M62</f>
        <v>0</v>
      </c>
      <c r="V62" s="9">
        <f t="shared" si="262"/>
        <v>0</v>
      </c>
      <c r="W62" s="9">
        <f t="shared" si="263"/>
        <v>0</v>
      </c>
      <c r="X62" s="9">
        <f t="shared" si="264"/>
        <v>0</v>
      </c>
      <c r="Y62" s="9">
        <f t="shared" si="11"/>
        <v>0</v>
      </c>
      <c r="Z62" s="17">
        <f t="shared" si="12"/>
        <v>0</v>
      </c>
      <c r="AA62" s="17">
        <f t="shared" si="85"/>
        <v>0</v>
      </c>
      <c r="AB62" s="17">
        <f t="shared" si="86"/>
        <v>0</v>
      </c>
      <c r="AC62" s="17">
        <f t="shared" si="87"/>
        <v>0</v>
      </c>
      <c r="AD62" s="18"/>
      <c r="AE62" s="17">
        <f t="shared" si="13"/>
        <v>0</v>
      </c>
      <c r="AF62" s="17">
        <f t="shared" si="88"/>
        <v>0</v>
      </c>
      <c r="AG62" s="17">
        <f t="shared" si="89"/>
        <v>0</v>
      </c>
      <c r="AH62" s="17">
        <f t="shared" si="90"/>
        <v>0</v>
      </c>
      <c r="AJ62" s="9" t="s">
        <v>190</v>
      </c>
      <c r="AK62" s="9" t="s">
        <v>233</v>
      </c>
      <c r="AL62" s="9">
        <f>VLOOKUP($AJ62,Landcover!$A$3:$K$30,5,FALSE)/1000</f>
        <v>9.9570000000000007</v>
      </c>
      <c r="AM62" s="9">
        <f>VLOOKUP($AJ62,Landcover!$A$3:$K$30,6,FALSE)/1000</f>
        <v>35.326000000000001</v>
      </c>
      <c r="AN62" s="9">
        <f>VLOOKUP($AJ62,Landcover!$A$3:$K$30,8,FALSE)/1000</f>
        <v>13.489000000000001</v>
      </c>
      <c r="AO62" s="9">
        <f>VLOOKUP($AJ62,Landcover!$A$3:$K$30,11,FALSE)/1000</f>
        <v>1.633</v>
      </c>
      <c r="AP62" s="9">
        <f>VLOOKUP($AJ62,Landcover!$A$3:$K$30,7,FALSE)/1000</f>
        <v>0.871</v>
      </c>
      <c r="AR62" s="9">
        <f>SUM('GHG data from Eurostat'!CX68,'GHG data from Eurostat'!DC68,'GHG data from Eurostat'!DG68,'GHG data from Eurostat'!DM68,'GHG data from Eurostat'!DP68,'GHG data from Eurostat'!DV68)</f>
        <v>1.4966900000000001</v>
      </c>
      <c r="AS62" s="9">
        <f>'GHG data from Eurostat'!DS68+'GHG data from Eurostat'!DT68</f>
        <v>-4.4458099999999998</v>
      </c>
      <c r="AT62" s="9">
        <f>'GHG data from Eurostat'!EA68+'GHG data from Eurostat'!EB68</f>
        <v>0.55918000000000001</v>
      </c>
      <c r="AU62" s="9">
        <f>'GHG data from Eurostat'!ED68</f>
        <v>1.6615599999999999</v>
      </c>
      <c r="AV62" s="9">
        <f>'GHG data from Eurostat'!EL68</f>
        <v>0</v>
      </c>
      <c r="AW62" s="18">
        <f t="shared" si="21"/>
        <v>-0.72837999999999981</v>
      </c>
      <c r="AX62" s="16">
        <f>AR62/AL62</f>
        <v>0.15031535603093302</v>
      </c>
      <c r="AY62" s="16">
        <f t="shared" ref="AY62" si="269">AS62/AM62</f>
        <v>-0.1258509313253694</v>
      </c>
      <c r="AZ62" s="16">
        <f t="shared" ref="AZ62" si="270">AT62/AN62</f>
        <v>4.1454518496552746E-2</v>
      </c>
      <c r="BA62" s="16">
        <f t="shared" ref="BA62:BB62" si="271">AU62/AO62</f>
        <v>1.0174892835272504</v>
      </c>
      <c r="BB62" s="16">
        <f t="shared" si="271"/>
        <v>0</v>
      </c>
      <c r="BD62" s="16">
        <f t="shared" si="17"/>
        <v>0.15029999999999999</v>
      </c>
      <c r="BE62" s="16">
        <f t="shared" si="94"/>
        <v>-0.12590000000000001</v>
      </c>
      <c r="BF62" s="16">
        <f t="shared" si="95"/>
        <v>4.1500000000000002E-2</v>
      </c>
      <c r="BG62" s="16">
        <f t="shared" si="96"/>
        <v>1.0175000000000001</v>
      </c>
      <c r="BH62" s="16">
        <f t="shared" si="97"/>
        <v>0</v>
      </c>
      <c r="BJ62" s="16" t="str">
        <f t="shared" si="18"/>
        <v>Latvia</v>
      </c>
      <c r="BK62" s="16" t="s">
        <v>259</v>
      </c>
      <c r="BL62" s="9">
        <f>'GHG data from Eurostat'!EP68</f>
        <v>-2.2966899999999999</v>
      </c>
    </row>
    <row r="63" spans="7:64" x14ac:dyDescent="0.25">
      <c r="G63" s="9" t="s">
        <v>190</v>
      </c>
      <c r="H63" s="9" t="s">
        <v>231</v>
      </c>
      <c r="I63" s="9">
        <f t="shared" si="3"/>
        <v>9.1469999999999996E-2</v>
      </c>
      <c r="J63" s="9">
        <f t="shared" si="4"/>
        <v>0.39532999999999996</v>
      </c>
      <c r="K63" s="9">
        <f t="shared" si="5"/>
        <v>0.28100000000000003</v>
      </c>
      <c r="L63" s="9">
        <f t="shared" si="6"/>
        <v>1.1953000000000002E-2</v>
      </c>
      <c r="M63" s="9">
        <f>'GHG data from Eurostat'!CP69</f>
        <v>4.6000000000000001E-4</v>
      </c>
      <c r="N63" s="9">
        <f>'GHG data from Eurostat'!CN69</f>
        <v>3.2129999999999999E-2</v>
      </c>
      <c r="O63" s="9">
        <f>'GHG data from Eurostat'!CQ69</f>
        <v>5.5000000000000003E-4</v>
      </c>
      <c r="P63" s="9">
        <f>'GHG data from Eurostat'!CO69</f>
        <v>8.5999999999999998E-4</v>
      </c>
      <c r="Q63" s="9">
        <f>'GHG data from Eurostat'!CU69</f>
        <v>7.3999999999999999E-4</v>
      </c>
      <c r="R63" s="9">
        <f>IFERROR(('GHG data from Eurostat'!CS69+'GHG data from Eurostat'!CW69),0)</f>
        <v>2.64E-3</v>
      </c>
      <c r="S63" s="9">
        <f>'GHG data from Eurostat'!CV69</f>
        <v>1.9000000000000001E-4</v>
      </c>
      <c r="T63" s="9">
        <f>'GHG data from Eurostat'!CT69</f>
        <v>2.0000000000000002E-5</v>
      </c>
      <c r="U63" s="9">
        <f>(Q63+M63)*1000</f>
        <v>1.2000000000000002</v>
      </c>
      <c r="V63" s="9">
        <f t="shared" ref="V63:V64" si="272">(R63+N63)*1000</f>
        <v>34.769999999999996</v>
      </c>
      <c r="W63" s="9">
        <f t="shared" ref="W63:W64" si="273">(S63+O63)*1000</f>
        <v>0.74</v>
      </c>
      <c r="X63" s="9">
        <f t="shared" ref="X63:X64" si="274">(T63+P63)*1000</f>
        <v>0.88</v>
      </c>
      <c r="Y63" s="9">
        <f t="shared" si="11"/>
        <v>37.590000000000003</v>
      </c>
      <c r="Z63" s="17">
        <f t="shared" ref="Z63:AC64" si="275">IFERROR((M63+Q63)*1000/I63,0)</f>
        <v>13.119055428009187</v>
      </c>
      <c r="AA63" s="17">
        <f t="shared" si="275"/>
        <v>87.951837705208305</v>
      </c>
      <c r="AB63" s="17">
        <f t="shared" si="275"/>
        <v>2.6334519572953732</v>
      </c>
      <c r="AC63" s="17">
        <f t="shared" si="275"/>
        <v>73.621684932652883</v>
      </c>
      <c r="AD63" s="18"/>
      <c r="AE63" s="17">
        <f t="shared" si="13"/>
        <v>13.119</v>
      </c>
      <c r="AF63" s="17">
        <f t="shared" si="88"/>
        <v>87.951999999999998</v>
      </c>
      <c r="AG63" s="17">
        <f t="shared" si="89"/>
        <v>2.633</v>
      </c>
      <c r="AH63" s="17">
        <f t="shared" si="90"/>
        <v>73.622</v>
      </c>
      <c r="AJ63" s="9" t="s">
        <v>190</v>
      </c>
      <c r="AK63" s="9" t="s">
        <v>231</v>
      </c>
      <c r="AL63" s="9">
        <f>VLOOKUP($AJ63,Landcover!$A$3:$K$30,5,FALSE)/1000</f>
        <v>9.9570000000000007</v>
      </c>
      <c r="AM63" s="9">
        <f>VLOOKUP($AJ63,Landcover!$A$3:$K$30,6,FALSE)/1000</f>
        <v>35.326000000000001</v>
      </c>
      <c r="AN63" s="9">
        <f>VLOOKUP($AJ63,Landcover!$A$3:$K$30,8,FALSE)/1000</f>
        <v>13.489000000000001</v>
      </c>
      <c r="AO63" s="9">
        <f>VLOOKUP($AJ63,Landcover!$A$3:$K$30,11,FALSE)/1000</f>
        <v>1.633</v>
      </c>
      <c r="AP63" s="9">
        <f>VLOOKUP($AJ63,Landcover!$A$3:$K$30,7,FALSE)/1000</f>
        <v>0.871</v>
      </c>
      <c r="AR63" s="9">
        <f>SUM('GHG data from Eurostat'!CX69,'GHG data from Eurostat'!DC69,'GHG data from Eurostat'!DG69,'GHG data from Eurostat'!DM69,'GHG data from Eurostat'!DP69,'GHG data from Eurostat'!DV69)</f>
        <v>4.79E-3</v>
      </c>
      <c r="AS63" s="9">
        <f>'GHG data from Eurostat'!DS69+'GHG data from Eurostat'!DT69</f>
        <v>2.4629999999999999E-2</v>
      </c>
      <c r="AT63" s="9">
        <f>'GHG data from Eurostat'!EA69+'GHG data from Eurostat'!EB69</f>
        <v>1.413E-2</v>
      </c>
      <c r="AU63" s="9">
        <f>'GHG data from Eurostat'!ED69</f>
        <v>2.7899999999999999E-3</v>
      </c>
      <c r="AV63" s="9">
        <f>'GHG data from Eurostat'!EL69</f>
        <v>0</v>
      </c>
      <c r="AW63" s="18">
        <f t="shared" si="21"/>
        <v>4.6339999999999999E-2</v>
      </c>
      <c r="AX63" s="16">
        <f>IFERROR(AR63*1000/AL63,0)</f>
        <v>0.48106859495832077</v>
      </c>
      <c r="AY63" s="16">
        <f t="shared" ref="AY63:AY64" si="276">IFERROR(AS63*1000/AM63,0)</f>
        <v>0.69722017777274525</v>
      </c>
      <c r="AZ63" s="16">
        <f t="shared" ref="AZ63:AZ64" si="277">IFERROR(AT63*1000/AN63,0)</f>
        <v>1.0475202016457854</v>
      </c>
      <c r="BA63" s="16">
        <f t="shared" ref="BA63:BB64" si="278">IFERROR(AU63*1000/AO63,0)</f>
        <v>1.7085119412124923</v>
      </c>
      <c r="BB63" s="16">
        <f t="shared" si="278"/>
        <v>0</v>
      </c>
      <c r="BD63" s="16">
        <f t="shared" si="17"/>
        <v>0.48110000000000003</v>
      </c>
      <c r="BE63" s="16">
        <f t="shared" si="94"/>
        <v>0.69720000000000004</v>
      </c>
      <c r="BF63" s="16">
        <f t="shared" si="95"/>
        <v>1.0475000000000001</v>
      </c>
      <c r="BG63" s="16">
        <f t="shared" si="96"/>
        <v>1.7084999999999999</v>
      </c>
      <c r="BH63" s="16">
        <f t="shared" si="97"/>
        <v>0</v>
      </c>
      <c r="BJ63" s="16" t="str">
        <f t="shared" si="18"/>
        <v>Latvia</v>
      </c>
      <c r="BK63" s="16" t="s">
        <v>260</v>
      </c>
      <c r="BL63" s="9">
        <f>'GHG data from Eurostat'!EP69</f>
        <v>0</v>
      </c>
    </row>
    <row r="64" spans="7:64" x14ac:dyDescent="0.25">
      <c r="G64" s="9" t="s">
        <v>190</v>
      </c>
      <c r="H64" s="9" t="s">
        <v>232</v>
      </c>
      <c r="I64" s="9">
        <f t="shared" si="3"/>
        <v>9.1469999999999996E-2</v>
      </c>
      <c r="J64" s="9">
        <f t="shared" si="4"/>
        <v>0.39532999999999996</v>
      </c>
      <c r="K64" s="9">
        <f t="shared" si="5"/>
        <v>0.28100000000000003</v>
      </c>
      <c r="L64" s="9">
        <f t="shared" si="6"/>
        <v>1.1953000000000002E-2</v>
      </c>
      <c r="M64" s="9">
        <f>'GHG data from Eurostat'!CP70</f>
        <v>0</v>
      </c>
      <c r="N64" s="9">
        <f>'GHG data from Eurostat'!CN70</f>
        <v>0</v>
      </c>
      <c r="O64" s="9">
        <f>'GHG data from Eurostat'!CQ70</f>
        <v>0</v>
      </c>
      <c r="P64" s="9">
        <f>'GHG data from Eurostat'!CO70</f>
        <v>0</v>
      </c>
      <c r="Q64" s="9">
        <f>'GHG data from Eurostat'!CU70</f>
        <v>2.0000000000000002E-5</v>
      </c>
      <c r="R64" s="9">
        <f>IFERROR(('GHG data from Eurostat'!CS70+'GHG data from Eurostat'!CW70),0)</f>
        <v>2.1000000000000001E-4</v>
      </c>
      <c r="S64" s="9">
        <f>'GHG data from Eurostat'!CV70</f>
        <v>2.0000000000000002E-5</v>
      </c>
      <c r="T64" s="9">
        <f>'GHG data from Eurostat'!CT70</f>
        <v>1.0000000000000001E-5</v>
      </c>
      <c r="U64" s="9">
        <f>(Q64+M64)*1000</f>
        <v>0.02</v>
      </c>
      <c r="V64" s="9">
        <f t="shared" si="272"/>
        <v>0.21000000000000002</v>
      </c>
      <c r="W64" s="9">
        <f t="shared" si="273"/>
        <v>0.02</v>
      </c>
      <c r="X64" s="9">
        <f t="shared" si="274"/>
        <v>0.01</v>
      </c>
      <c r="Y64" s="9">
        <f t="shared" si="11"/>
        <v>0.26</v>
      </c>
      <c r="Z64" s="17">
        <f t="shared" si="275"/>
        <v>0.21865092380015308</v>
      </c>
      <c r="AA64" s="17">
        <f t="shared" si="275"/>
        <v>0.53120178079073188</v>
      </c>
      <c r="AB64" s="17">
        <f t="shared" si="275"/>
        <v>7.1174377224199281E-2</v>
      </c>
      <c r="AC64" s="17">
        <f t="shared" si="275"/>
        <v>0.83661005605287364</v>
      </c>
      <c r="AD64" s="18"/>
      <c r="AE64" s="17">
        <f t="shared" si="13"/>
        <v>0.219</v>
      </c>
      <c r="AF64" s="17">
        <f t="shared" si="88"/>
        <v>0.53100000000000003</v>
      </c>
      <c r="AG64" s="17">
        <f t="shared" si="89"/>
        <v>7.0999999999999994E-2</v>
      </c>
      <c r="AH64" s="17">
        <f t="shared" si="90"/>
        <v>0.83699999999999997</v>
      </c>
      <c r="AJ64" s="9" t="s">
        <v>190</v>
      </c>
      <c r="AK64" s="9" t="s">
        <v>232</v>
      </c>
      <c r="AL64" s="9">
        <f>VLOOKUP($AJ64,Landcover!$A$3:$K$30,5,FALSE)/1000</f>
        <v>9.9570000000000007</v>
      </c>
      <c r="AM64" s="9">
        <f>VLOOKUP($AJ64,Landcover!$A$3:$K$30,6,FALSE)/1000</f>
        <v>35.326000000000001</v>
      </c>
      <c r="AN64" s="9">
        <f>VLOOKUP($AJ64,Landcover!$A$3:$K$30,8,FALSE)/1000</f>
        <v>13.489000000000001</v>
      </c>
      <c r="AO64" s="9">
        <f>VLOOKUP($AJ64,Landcover!$A$3:$K$30,11,FALSE)/1000</f>
        <v>1.633</v>
      </c>
      <c r="AP64" s="9">
        <f>VLOOKUP($AJ64,Landcover!$A$3:$K$30,7,FALSE)/1000</f>
        <v>0.871</v>
      </c>
      <c r="AR64" s="9">
        <f>SUM('GHG data from Eurostat'!CX70,'GHG data from Eurostat'!DC70,'GHG data from Eurostat'!DG70,'GHG data from Eurostat'!DM70,'GHG data from Eurostat'!DP70,'GHG data from Eurostat'!DV70)</f>
        <v>3.5100000000000001E-3</v>
      </c>
      <c r="AS64" s="9">
        <f>'GHG data from Eurostat'!DS70+'GHG data from Eurostat'!DT70</f>
        <v>3.4499999999999999E-3</v>
      </c>
      <c r="AT64" s="9">
        <f>'GHG data from Eurostat'!EA70+'GHG data from Eurostat'!EB70</f>
        <v>0</v>
      </c>
      <c r="AU64" s="9">
        <f>'GHG data from Eurostat'!ED70</f>
        <v>2.0000000000000002E-5</v>
      </c>
      <c r="AV64" s="9">
        <f>'GHG data from Eurostat'!EL70</f>
        <v>0</v>
      </c>
      <c r="AW64" s="18">
        <f t="shared" si="21"/>
        <v>6.9800000000000001E-3</v>
      </c>
      <c r="AX64" s="16">
        <f>IFERROR(AR64*1000/AL64,0)</f>
        <v>0.35251581801747511</v>
      </c>
      <c r="AY64" s="16">
        <f t="shared" si="276"/>
        <v>9.7661778859763335E-2</v>
      </c>
      <c r="AZ64" s="16">
        <f t="shared" si="277"/>
        <v>0</v>
      </c>
      <c r="BA64" s="16">
        <f t="shared" si="278"/>
        <v>1.2247397428046541E-2</v>
      </c>
      <c r="BB64" s="16">
        <f t="shared" si="278"/>
        <v>0</v>
      </c>
      <c r="BD64" s="16">
        <f t="shared" si="17"/>
        <v>0.35249999999999998</v>
      </c>
      <c r="BE64" s="16">
        <f t="shared" si="94"/>
        <v>9.7699999999999995E-2</v>
      </c>
      <c r="BF64" s="16">
        <f t="shared" si="95"/>
        <v>0</v>
      </c>
      <c r="BG64" s="16">
        <f t="shared" si="96"/>
        <v>1.2200000000000001E-2</v>
      </c>
      <c r="BH64" s="16">
        <f t="shared" si="97"/>
        <v>0</v>
      </c>
      <c r="BJ64" s="16" t="str">
        <f t="shared" si="18"/>
        <v>Latvia</v>
      </c>
      <c r="BK64" s="16" t="s">
        <v>261</v>
      </c>
      <c r="BL64" s="9">
        <f>'GHG data from Eurostat'!EP70</f>
        <v>0</v>
      </c>
    </row>
    <row r="65" spans="7:64" x14ac:dyDescent="0.25">
      <c r="G65" s="9" t="s">
        <v>191</v>
      </c>
      <c r="H65" s="9" t="s">
        <v>262</v>
      </c>
      <c r="I65" s="9">
        <f t="shared" si="3"/>
        <v>0.17159999999999997</v>
      </c>
      <c r="J65" s="9">
        <f t="shared" si="4"/>
        <v>0.65349999999999997</v>
      </c>
      <c r="K65" s="9">
        <f t="shared" si="5"/>
        <v>0.80900000000000005</v>
      </c>
      <c r="L65" s="9">
        <f t="shared" si="6"/>
        <v>1.7860000000000001E-2</v>
      </c>
      <c r="M65" s="9">
        <f>'GHG data from Eurostat'!CP71</f>
        <v>2.308E-2</v>
      </c>
      <c r="N65" s="9">
        <f>'GHG data from Eurostat'!CN71</f>
        <v>1.7005999999999999</v>
      </c>
      <c r="O65" s="9">
        <f>'GHG data from Eurostat'!CQ71</f>
        <v>1.436E-2</v>
      </c>
      <c r="P65" s="9">
        <f>'GHG data from Eurostat'!CO71</f>
        <v>5.0659999999999997E-2</v>
      </c>
      <c r="Q65" s="9">
        <f>'GHG data from Eurostat'!CU71</f>
        <v>4.1200000000000001E-2</v>
      </c>
      <c r="R65" s="9">
        <f>IFERROR(('GHG data from Eurostat'!CS71+'GHG data from Eurostat'!CW71),0)</f>
        <v>0.32081000000000004</v>
      </c>
      <c r="S65" s="9">
        <f>'GHG data from Eurostat'!CV71</f>
        <v>4.462E-2</v>
      </c>
      <c r="T65" s="9">
        <f>'GHG data from Eurostat'!CT71</f>
        <v>4.1999999999999997E-3</v>
      </c>
      <c r="U65" s="9">
        <f>Q65+M65</f>
        <v>6.4280000000000004E-2</v>
      </c>
      <c r="V65" s="9">
        <f t="shared" ref="V65:V66" si="279">R65+N65</f>
        <v>2.0214099999999999</v>
      </c>
      <c r="W65" s="9">
        <f t="shared" ref="W65:W66" si="280">S65+O65</f>
        <v>5.8979999999999998E-2</v>
      </c>
      <c r="X65" s="9">
        <f t="shared" ref="X65:X66" si="281">T65+P65</f>
        <v>5.4859999999999999E-2</v>
      </c>
      <c r="Y65" s="9">
        <f t="shared" si="11"/>
        <v>2.1995300000000002</v>
      </c>
      <c r="Z65" s="17">
        <f t="shared" si="12"/>
        <v>0.37459207459207466</v>
      </c>
      <c r="AA65" s="17">
        <f t="shared" si="85"/>
        <v>3.0932058148431523</v>
      </c>
      <c r="AB65" s="17">
        <f t="shared" si="86"/>
        <v>7.2904820766378234E-2</v>
      </c>
      <c r="AC65" s="17">
        <f t="shared" si="87"/>
        <v>3.0716685330347144</v>
      </c>
      <c r="AD65" s="18"/>
      <c r="AE65" s="17">
        <f t="shared" si="13"/>
        <v>0.375</v>
      </c>
      <c r="AF65" s="17">
        <f t="shared" si="88"/>
        <v>3.093</v>
      </c>
      <c r="AG65" s="17">
        <f t="shared" si="89"/>
        <v>7.2999999999999995E-2</v>
      </c>
      <c r="AH65" s="17">
        <f t="shared" si="90"/>
        <v>3.0720000000000001</v>
      </c>
      <c r="AJ65" s="9" t="s">
        <v>191</v>
      </c>
      <c r="AK65" s="9" t="s">
        <v>262</v>
      </c>
      <c r="AL65" s="9">
        <f>VLOOKUP($AJ65,Landcover!$A$3:$K$30,5,FALSE)/1000</f>
        <v>20.911000000000001</v>
      </c>
      <c r="AM65" s="9">
        <f>VLOOKUP($AJ65,Landcover!$A$3:$K$30,6,FALSE)/1000</f>
        <v>25.504000000000001</v>
      </c>
      <c r="AN65" s="9">
        <f>VLOOKUP($AJ65,Landcover!$A$3:$K$30,8,FALSE)/1000</f>
        <v>14.329000000000001</v>
      </c>
      <c r="AO65" s="9">
        <f>VLOOKUP($AJ65,Landcover!$A$3:$K$30,11,FALSE)/1000</f>
        <v>0.77</v>
      </c>
      <c r="AP65" s="9">
        <f>VLOOKUP($AJ65,Landcover!$A$3:$K$30,7,FALSE)/1000</f>
        <v>0.317</v>
      </c>
      <c r="AR65" s="9">
        <f>SUM('GHG data from Eurostat'!CX71,'GHG data from Eurostat'!DC71,'GHG data from Eurostat'!DG71,'GHG data from Eurostat'!DM71,'GHG data from Eurostat'!DP71,'GHG data from Eurostat'!DV71)</f>
        <v>2.0526</v>
      </c>
      <c r="AS65" s="9">
        <f>'GHG data from Eurostat'!DS71+'GHG data from Eurostat'!DT71</f>
        <v>-2.9449499999999995</v>
      </c>
      <c r="AT65" s="9">
        <f>'GHG data from Eurostat'!EA71+'GHG data from Eurostat'!EB71</f>
        <v>3.4053899999999997</v>
      </c>
      <c r="AU65" s="9">
        <f>'GHG data from Eurostat'!ED71</f>
        <v>0.81423000000000001</v>
      </c>
      <c r="AV65" s="9">
        <f>'GHG data from Eurostat'!EL71</f>
        <v>0.73202999999999996</v>
      </c>
      <c r="AW65" s="18">
        <f t="shared" si="21"/>
        <v>4.0593000000000004</v>
      </c>
      <c r="AX65" s="16">
        <f>AR65/AL65</f>
        <v>9.8158863755917924E-2</v>
      </c>
      <c r="AY65" s="16">
        <f t="shared" ref="AY65" si="282">AS65/AM65</f>
        <v>-0.11547012233375155</v>
      </c>
      <c r="AZ65" s="16">
        <f t="shared" ref="AZ65" si="283">AT65/AN65</f>
        <v>0.23765719868797541</v>
      </c>
      <c r="BA65" s="16">
        <f t="shared" ref="BA65:BB65" si="284">AU65/AO65</f>
        <v>1.0574415584415584</v>
      </c>
      <c r="BB65" s="16">
        <f t="shared" si="284"/>
        <v>2.3092429022082017</v>
      </c>
      <c r="BD65" s="16">
        <f t="shared" si="17"/>
        <v>9.8199999999999996E-2</v>
      </c>
      <c r="BE65" s="16">
        <f t="shared" si="94"/>
        <v>-0.11550000000000001</v>
      </c>
      <c r="BF65" s="16">
        <f t="shared" si="95"/>
        <v>0.23769999999999999</v>
      </c>
      <c r="BG65" s="16">
        <f t="shared" si="96"/>
        <v>1.0573999999999999</v>
      </c>
      <c r="BH65" s="16">
        <f t="shared" si="97"/>
        <v>2.3092000000000001</v>
      </c>
      <c r="BJ65" s="16" t="str">
        <f t="shared" si="18"/>
        <v>Lithuania</v>
      </c>
      <c r="BK65" s="16" t="s">
        <v>263</v>
      </c>
      <c r="BL65" s="9">
        <f>'GHG data from Eurostat'!EP71</f>
        <v>-1.0685500000000001</v>
      </c>
    </row>
    <row r="66" spans="7:64" x14ac:dyDescent="0.25">
      <c r="G66" s="9" t="s">
        <v>191</v>
      </c>
      <c r="H66" s="9" t="s">
        <v>233</v>
      </c>
      <c r="I66" s="9">
        <f t="shared" si="3"/>
        <v>0.17159999999999997</v>
      </c>
      <c r="J66" s="9">
        <f t="shared" si="4"/>
        <v>0.65349999999999997</v>
      </c>
      <c r="K66" s="9">
        <f t="shared" si="5"/>
        <v>0.80900000000000005</v>
      </c>
      <c r="L66" s="9">
        <f t="shared" si="6"/>
        <v>1.7860000000000001E-2</v>
      </c>
      <c r="M66" s="9">
        <f>'GHG data from Eurostat'!CP72</f>
        <v>0</v>
      </c>
      <c r="N66" s="9">
        <f>'GHG data from Eurostat'!CN72</f>
        <v>0</v>
      </c>
      <c r="O66" s="9">
        <f>'GHG data from Eurostat'!CQ72</f>
        <v>0</v>
      </c>
      <c r="P66" s="9">
        <f>'GHG data from Eurostat'!CO72</f>
        <v>0</v>
      </c>
      <c r="Q66" s="9">
        <f>'GHG data from Eurostat'!CU72</f>
        <v>0</v>
      </c>
      <c r="R66" s="9">
        <f>IFERROR(('GHG data from Eurostat'!CS72+'GHG data from Eurostat'!CW72),0)</f>
        <v>0</v>
      </c>
      <c r="S66" s="9">
        <f>'GHG data from Eurostat'!CV72</f>
        <v>0</v>
      </c>
      <c r="T66" s="9">
        <f>'GHG data from Eurostat'!CT72</f>
        <v>0</v>
      </c>
      <c r="U66" s="9">
        <f t="shared" ref="U66" si="285">Q66+M66</f>
        <v>0</v>
      </c>
      <c r="V66" s="9">
        <f t="shared" si="279"/>
        <v>0</v>
      </c>
      <c r="W66" s="9">
        <f t="shared" si="280"/>
        <v>0</v>
      </c>
      <c r="X66" s="9">
        <f t="shared" si="281"/>
        <v>0</v>
      </c>
      <c r="Y66" s="9">
        <f t="shared" si="11"/>
        <v>0</v>
      </c>
      <c r="Z66" s="17">
        <f t="shared" si="12"/>
        <v>0</v>
      </c>
      <c r="AA66" s="17">
        <f t="shared" si="85"/>
        <v>0</v>
      </c>
      <c r="AB66" s="17">
        <f t="shared" si="86"/>
        <v>0</v>
      </c>
      <c r="AC66" s="17">
        <f t="shared" si="87"/>
        <v>0</v>
      </c>
      <c r="AD66" s="18"/>
      <c r="AE66" s="17">
        <f t="shared" si="13"/>
        <v>0</v>
      </c>
      <c r="AF66" s="17">
        <f t="shared" si="88"/>
        <v>0</v>
      </c>
      <c r="AG66" s="17">
        <f t="shared" si="89"/>
        <v>0</v>
      </c>
      <c r="AH66" s="17">
        <f t="shared" si="90"/>
        <v>0</v>
      </c>
      <c r="AJ66" s="9" t="s">
        <v>191</v>
      </c>
      <c r="AK66" s="9" t="s">
        <v>233</v>
      </c>
      <c r="AL66" s="9">
        <f>VLOOKUP($AJ66,Landcover!$A$3:$K$30,5,FALSE)/1000</f>
        <v>20.911000000000001</v>
      </c>
      <c r="AM66" s="9">
        <f>VLOOKUP($AJ66,Landcover!$A$3:$K$30,6,FALSE)/1000</f>
        <v>25.504000000000001</v>
      </c>
      <c r="AN66" s="9">
        <f>VLOOKUP($AJ66,Landcover!$A$3:$K$30,8,FALSE)/1000</f>
        <v>14.329000000000001</v>
      </c>
      <c r="AO66" s="9">
        <f>VLOOKUP($AJ66,Landcover!$A$3:$K$30,11,FALSE)/1000</f>
        <v>0.77</v>
      </c>
      <c r="AP66" s="9">
        <f>VLOOKUP($AJ66,Landcover!$A$3:$K$30,7,FALSE)/1000</f>
        <v>0.317</v>
      </c>
      <c r="AR66" s="9">
        <f>SUM('GHG data from Eurostat'!CX72,'GHG data from Eurostat'!DC72,'GHG data from Eurostat'!DG72,'GHG data from Eurostat'!DM72,'GHG data from Eurostat'!DP72,'GHG data from Eurostat'!DV72)</f>
        <v>0.30014000000000002</v>
      </c>
      <c r="AS66" s="9">
        <f>'GHG data from Eurostat'!DS72+'GHG data from Eurostat'!DT72</f>
        <v>-3.6390599999999997</v>
      </c>
      <c r="AT66" s="9">
        <f>'GHG data from Eurostat'!EA72+'GHG data from Eurostat'!EB72</f>
        <v>3.4007800000000001</v>
      </c>
      <c r="AU66" s="9">
        <f>'GHG data from Eurostat'!ED72</f>
        <v>0.81001999999999996</v>
      </c>
      <c r="AV66" s="9">
        <f>'GHG data from Eurostat'!EL72</f>
        <v>0.72763</v>
      </c>
      <c r="AW66" s="18">
        <f t="shared" si="21"/>
        <v>1.5995100000000002</v>
      </c>
      <c r="AX66" s="16">
        <f>AR66/AL66</f>
        <v>1.4353211228540002E-2</v>
      </c>
      <c r="AY66" s="16">
        <f t="shared" ref="AY66" si="286">AS66/AM66</f>
        <v>-0.14268585319949811</v>
      </c>
      <c r="AZ66" s="16">
        <f t="shared" ref="AZ66" si="287">AT66/AN66</f>
        <v>0.23733547351524881</v>
      </c>
      <c r="BA66" s="16">
        <f t="shared" ref="BA66:BB66" si="288">AU66/AO66</f>
        <v>1.051974025974026</v>
      </c>
      <c r="BB66" s="16">
        <f t="shared" si="288"/>
        <v>2.2953627760252364</v>
      </c>
      <c r="BD66" s="16">
        <f t="shared" si="17"/>
        <v>1.44E-2</v>
      </c>
      <c r="BE66" s="16">
        <f t="shared" si="94"/>
        <v>-0.14269999999999999</v>
      </c>
      <c r="BF66" s="16">
        <f t="shared" si="95"/>
        <v>0.23730000000000001</v>
      </c>
      <c r="BG66" s="16">
        <f t="shared" si="96"/>
        <v>1.052</v>
      </c>
      <c r="BH66" s="16">
        <f t="shared" si="97"/>
        <v>2.2953999999999999</v>
      </c>
      <c r="BJ66" s="16" t="str">
        <f t="shared" si="18"/>
        <v>Lithuania</v>
      </c>
      <c r="BK66" s="16" t="s">
        <v>259</v>
      </c>
      <c r="BL66" s="9">
        <f>'GHG data from Eurostat'!EP72</f>
        <v>-1.0685500000000001</v>
      </c>
    </row>
    <row r="67" spans="7:64" x14ac:dyDescent="0.25">
      <c r="G67" s="9" t="s">
        <v>191</v>
      </c>
      <c r="H67" s="9" t="s">
        <v>231</v>
      </c>
      <c r="I67" s="9">
        <f t="shared" si="3"/>
        <v>0.17159999999999997</v>
      </c>
      <c r="J67" s="9">
        <f t="shared" si="4"/>
        <v>0.65349999999999997</v>
      </c>
      <c r="K67" s="9">
        <f t="shared" si="5"/>
        <v>0.80900000000000005</v>
      </c>
      <c r="L67" s="9">
        <f t="shared" si="6"/>
        <v>1.7860000000000001E-2</v>
      </c>
      <c r="M67" s="9">
        <f>'GHG data from Eurostat'!CP73</f>
        <v>8.1999999999999998E-4</v>
      </c>
      <c r="N67" s="9">
        <f>'GHG data from Eurostat'!CN73</f>
        <v>6.0740000000000002E-2</v>
      </c>
      <c r="O67" s="9">
        <f>'GHG data from Eurostat'!CQ73</f>
        <v>5.1000000000000004E-4</v>
      </c>
      <c r="P67" s="9">
        <f>'GHG data from Eurostat'!CO73</f>
        <v>1.81E-3</v>
      </c>
      <c r="Q67" s="9">
        <f>'GHG data from Eurostat'!CU73</f>
        <v>1.4E-3</v>
      </c>
      <c r="R67" s="9">
        <f>IFERROR(('GHG data from Eurostat'!CS73+'GHG data from Eurostat'!CW73),0)</f>
        <v>6.2599999999999999E-3</v>
      </c>
      <c r="S67" s="9">
        <f>'GHG data from Eurostat'!CV73</f>
        <v>1.1299999999999999E-3</v>
      </c>
      <c r="T67" s="9">
        <f>'GHG data from Eurostat'!CT73</f>
        <v>6.9999999999999994E-5</v>
      </c>
      <c r="U67" s="9">
        <f>(Q67+M67)*1000</f>
        <v>2.2199999999999998</v>
      </c>
      <c r="V67" s="9">
        <f t="shared" ref="V67:V68" si="289">(R67+N67)*1000</f>
        <v>67</v>
      </c>
      <c r="W67" s="9">
        <f t="shared" ref="W67:W68" si="290">(S67+O67)*1000</f>
        <v>1.64</v>
      </c>
      <c r="X67" s="9">
        <f t="shared" ref="X67:X68" si="291">(T67+P67)*1000</f>
        <v>1.88</v>
      </c>
      <c r="Y67" s="9">
        <f t="shared" si="11"/>
        <v>72.739999999999995</v>
      </c>
      <c r="Z67" s="17">
        <f t="shared" ref="Z67:AC68" si="292">IFERROR((M67+Q67)*1000/I67,0)</f>
        <v>12.937062937062937</v>
      </c>
      <c r="AA67" s="17">
        <f t="shared" si="292"/>
        <v>102.52486610558532</v>
      </c>
      <c r="AB67" s="17">
        <f t="shared" si="292"/>
        <v>2.0271940667490727</v>
      </c>
      <c r="AC67" s="17">
        <f t="shared" si="292"/>
        <v>105.26315789473684</v>
      </c>
      <c r="AD67" s="18"/>
      <c r="AE67" s="17">
        <f t="shared" si="13"/>
        <v>12.936999999999999</v>
      </c>
      <c r="AF67" s="17">
        <f t="shared" si="88"/>
        <v>102.52500000000001</v>
      </c>
      <c r="AG67" s="17">
        <f t="shared" si="89"/>
        <v>2.0270000000000001</v>
      </c>
      <c r="AH67" s="17">
        <f t="shared" si="90"/>
        <v>105.26300000000001</v>
      </c>
      <c r="AJ67" s="9" t="s">
        <v>191</v>
      </c>
      <c r="AK67" s="9" t="s">
        <v>231</v>
      </c>
      <c r="AL67" s="9">
        <f>VLOOKUP($AJ67,Landcover!$A$3:$K$30,5,FALSE)/1000</f>
        <v>20.911000000000001</v>
      </c>
      <c r="AM67" s="9">
        <f>VLOOKUP($AJ67,Landcover!$A$3:$K$30,6,FALSE)/1000</f>
        <v>25.504000000000001</v>
      </c>
      <c r="AN67" s="9">
        <f>VLOOKUP($AJ67,Landcover!$A$3:$K$30,8,FALSE)/1000</f>
        <v>14.329000000000001</v>
      </c>
      <c r="AO67" s="9">
        <f>VLOOKUP($AJ67,Landcover!$A$3:$K$30,11,FALSE)/1000</f>
        <v>0.77</v>
      </c>
      <c r="AP67" s="9">
        <f>VLOOKUP($AJ67,Landcover!$A$3:$K$30,7,FALSE)/1000</f>
        <v>0.317</v>
      </c>
      <c r="AR67" s="9">
        <f>SUM('GHG data from Eurostat'!CX73,'GHG data from Eurostat'!DC73,'GHG data from Eurostat'!DG73,'GHG data from Eurostat'!DM73,'GHG data from Eurostat'!DP73,'GHG data from Eurostat'!DV73)</f>
        <v>2.0000000000000002E-5</v>
      </c>
      <c r="AS67" s="9">
        <f>'GHG data from Eurostat'!DS73+'GHG data from Eurostat'!DT73</f>
        <v>1.0000000000000001E-5</v>
      </c>
      <c r="AT67" s="9">
        <f>'GHG data from Eurostat'!EA73+'GHG data from Eurostat'!EB73</f>
        <v>1.5000000000000001E-4</v>
      </c>
      <c r="AU67" s="9">
        <f>'GHG data from Eurostat'!ED73</f>
        <v>0</v>
      </c>
      <c r="AV67" s="9">
        <f>'GHG data from Eurostat'!EL73</f>
        <v>0</v>
      </c>
      <c r="AW67" s="18">
        <f t="shared" si="21"/>
        <v>1.8000000000000001E-4</v>
      </c>
      <c r="AX67" s="16">
        <f>IFERROR(AR67*1000/AL67,0)</f>
        <v>9.5643441251016203E-4</v>
      </c>
      <c r="AY67" s="16">
        <f t="shared" ref="AY67:AY68" si="293">IFERROR(AS67*1000/AM67,0)</f>
        <v>3.9209535759096613E-4</v>
      </c>
      <c r="AZ67" s="16">
        <f t="shared" ref="AZ67:AZ68" si="294">IFERROR(AT67*1000/AN67,0)</f>
        <v>1.0468281108242028E-2</v>
      </c>
      <c r="BA67" s="16">
        <f t="shared" ref="BA67:BB68" si="295">IFERROR(AU67*1000/AO67,0)</f>
        <v>0</v>
      </c>
      <c r="BB67" s="16">
        <f t="shared" si="295"/>
        <v>0</v>
      </c>
      <c r="BD67" s="16">
        <f t="shared" si="17"/>
        <v>1E-3</v>
      </c>
      <c r="BE67" s="16">
        <f t="shared" si="94"/>
        <v>4.0000000000000002E-4</v>
      </c>
      <c r="BF67" s="16">
        <f t="shared" si="95"/>
        <v>1.0500000000000001E-2</v>
      </c>
      <c r="BG67" s="16">
        <f t="shared" si="96"/>
        <v>0</v>
      </c>
      <c r="BH67" s="16">
        <f t="shared" si="97"/>
        <v>0</v>
      </c>
      <c r="BJ67" s="16" t="str">
        <f t="shared" si="18"/>
        <v>Lithuania</v>
      </c>
      <c r="BK67" s="16" t="s">
        <v>260</v>
      </c>
      <c r="BL67" s="9">
        <f>'GHG data from Eurostat'!EP73</f>
        <v>0</v>
      </c>
    </row>
    <row r="68" spans="7:64" x14ac:dyDescent="0.25">
      <c r="G68" s="9" t="s">
        <v>191</v>
      </c>
      <c r="H68" s="9" t="s">
        <v>232</v>
      </c>
      <c r="I68" s="9">
        <f t="shared" si="3"/>
        <v>0.17159999999999997</v>
      </c>
      <c r="J68" s="9">
        <f t="shared" si="4"/>
        <v>0.65349999999999997</v>
      </c>
      <c r="K68" s="9">
        <f t="shared" si="5"/>
        <v>0.80900000000000005</v>
      </c>
      <c r="L68" s="9">
        <f t="shared" si="6"/>
        <v>1.7860000000000001E-2</v>
      </c>
      <c r="M68" s="9">
        <f>'GHG data from Eurostat'!CP74</f>
        <v>0</v>
      </c>
      <c r="N68" s="9">
        <f>'GHG data from Eurostat'!CN74</f>
        <v>0</v>
      </c>
      <c r="O68" s="9">
        <f>'GHG data from Eurostat'!CQ74</f>
        <v>0</v>
      </c>
      <c r="P68" s="9">
        <f>'GHG data from Eurostat'!CO74</f>
        <v>0</v>
      </c>
      <c r="Q68" s="9">
        <f>'GHG data from Eurostat'!CU74</f>
        <v>1.0000000000000001E-5</v>
      </c>
      <c r="R68" s="9">
        <f>IFERROR(('GHG data from Eurostat'!CS74+'GHG data from Eurostat'!CW74),0)</f>
        <v>5.4999999999999992E-4</v>
      </c>
      <c r="S68" s="9">
        <f>'GHG data from Eurostat'!CV74</f>
        <v>5.0000000000000002E-5</v>
      </c>
      <c r="T68" s="9">
        <f>'GHG data from Eurostat'!CT74</f>
        <v>1.0000000000000001E-5</v>
      </c>
      <c r="U68" s="9">
        <f>(Q68+M68)*1000</f>
        <v>0.01</v>
      </c>
      <c r="V68" s="9">
        <f t="shared" si="289"/>
        <v>0.54999999999999993</v>
      </c>
      <c r="W68" s="9">
        <f t="shared" si="290"/>
        <v>0.05</v>
      </c>
      <c r="X68" s="9">
        <f t="shared" si="291"/>
        <v>0.01</v>
      </c>
      <c r="Y68" s="9">
        <f t="shared" si="11"/>
        <v>0.62</v>
      </c>
      <c r="Z68" s="17">
        <f t="shared" si="292"/>
        <v>5.8275058275058286E-2</v>
      </c>
      <c r="AA68" s="17">
        <f t="shared" si="292"/>
        <v>0.84162203519510326</v>
      </c>
      <c r="AB68" s="17">
        <f t="shared" si="292"/>
        <v>6.1804697156983932E-2</v>
      </c>
      <c r="AC68" s="17">
        <f t="shared" si="292"/>
        <v>0.55991041433370659</v>
      </c>
      <c r="AD68" s="18"/>
      <c r="AE68" s="17">
        <f t="shared" si="13"/>
        <v>5.8000000000000003E-2</v>
      </c>
      <c r="AF68" s="17">
        <f t="shared" si="88"/>
        <v>0.84199999999999997</v>
      </c>
      <c r="AG68" s="17">
        <f t="shared" si="89"/>
        <v>6.2E-2</v>
      </c>
      <c r="AH68" s="17">
        <f t="shared" si="90"/>
        <v>0.56000000000000005</v>
      </c>
      <c r="AJ68" s="9" t="s">
        <v>191</v>
      </c>
      <c r="AK68" s="9" t="s">
        <v>232</v>
      </c>
      <c r="AL68" s="9">
        <f>VLOOKUP($AJ68,Landcover!$A$3:$K$30,5,FALSE)/1000</f>
        <v>20.911000000000001</v>
      </c>
      <c r="AM68" s="9">
        <f>VLOOKUP($AJ68,Landcover!$A$3:$K$30,6,FALSE)/1000</f>
        <v>25.504000000000001</v>
      </c>
      <c r="AN68" s="9">
        <f>VLOOKUP($AJ68,Landcover!$A$3:$K$30,8,FALSE)/1000</f>
        <v>14.329000000000001</v>
      </c>
      <c r="AO68" s="9">
        <f>VLOOKUP($AJ68,Landcover!$A$3:$K$30,11,FALSE)/1000</f>
        <v>0.77</v>
      </c>
      <c r="AP68" s="9">
        <f>VLOOKUP($AJ68,Landcover!$A$3:$K$30,7,FALSE)/1000</f>
        <v>0.317</v>
      </c>
      <c r="AR68" s="9">
        <f>SUM('GHG data from Eurostat'!CX74,'GHG data from Eurostat'!DC74,'GHG data from Eurostat'!DG74,'GHG data from Eurostat'!DM74,'GHG data from Eurostat'!DP74,'GHG data from Eurostat'!DV74)</f>
        <v>6.6100000000000004E-3</v>
      </c>
      <c r="AS68" s="9">
        <f>'GHG data from Eurostat'!DS74+'GHG data from Eurostat'!DT74</f>
        <v>2.6199999999999999E-3</v>
      </c>
      <c r="AT68" s="9">
        <f>'GHG data from Eurostat'!EA74+'GHG data from Eurostat'!EB74</f>
        <v>0</v>
      </c>
      <c r="AU68" s="9">
        <f>'GHG data from Eurostat'!ED74</f>
        <v>2.0000000000000002E-5</v>
      </c>
      <c r="AV68" s="9">
        <f>'GHG data from Eurostat'!EL74</f>
        <v>2.0000000000000002E-5</v>
      </c>
      <c r="AW68" s="18">
        <f t="shared" si="21"/>
        <v>9.2699999999999987E-3</v>
      </c>
      <c r="AX68" s="16">
        <f>IFERROR(AR68*1000/AL68,0)</f>
        <v>0.31610157333460859</v>
      </c>
      <c r="AY68" s="16">
        <f t="shared" si="293"/>
        <v>0.10272898368883313</v>
      </c>
      <c r="AZ68" s="16">
        <f t="shared" si="294"/>
        <v>0</v>
      </c>
      <c r="BA68" s="16">
        <f t="shared" si="295"/>
        <v>2.5974025974025972E-2</v>
      </c>
      <c r="BB68" s="16">
        <f t="shared" si="295"/>
        <v>6.3091482649842268E-2</v>
      </c>
      <c r="BD68" s="16">
        <f t="shared" si="17"/>
        <v>0.31609999999999999</v>
      </c>
      <c r="BE68" s="16">
        <f t="shared" si="94"/>
        <v>0.1027</v>
      </c>
      <c r="BF68" s="16">
        <f t="shared" si="95"/>
        <v>0</v>
      </c>
      <c r="BG68" s="16">
        <f t="shared" si="96"/>
        <v>2.5999999999999999E-2</v>
      </c>
      <c r="BH68" s="16">
        <f t="shared" si="97"/>
        <v>6.3100000000000003E-2</v>
      </c>
      <c r="BJ68" s="16" t="str">
        <f t="shared" si="18"/>
        <v>Lithuania</v>
      </c>
      <c r="BK68" s="16" t="s">
        <v>261</v>
      </c>
      <c r="BL68" s="9">
        <f>'GHG data from Eurostat'!EP74</f>
        <v>0</v>
      </c>
    </row>
    <row r="69" spans="7:64" x14ac:dyDescent="0.25">
      <c r="G69" s="9" t="s">
        <v>192</v>
      </c>
      <c r="H69" s="9" t="s">
        <v>262</v>
      </c>
      <c r="I69" s="9">
        <f t="shared" si="3"/>
        <v>2.4776999999999997E-2</v>
      </c>
      <c r="J69" s="9">
        <f t="shared" si="4"/>
        <v>0.19438999999999998</v>
      </c>
      <c r="K69" s="9">
        <f t="shared" si="5"/>
        <v>0</v>
      </c>
      <c r="L69" s="9">
        <f t="shared" si="6"/>
        <v>1.4030000000000002E-3</v>
      </c>
      <c r="M69" s="9">
        <f>'GHG data from Eurostat'!CP75</f>
        <v>3.3700000000000002E-3</v>
      </c>
      <c r="N69" s="9">
        <f>'GHG data from Eurostat'!CN75</f>
        <v>0.42153000000000002</v>
      </c>
      <c r="O69" s="9">
        <f>'GHG data from Eurostat'!CQ75</f>
        <v>5.4599999999999996E-3</v>
      </c>
      <c r="P69" s="9">
        <f>'GHG data from Eurostat'!CO75</f>
        <v>3.4299999999999999E-3</v>
      </c>
      <c r="Q69" s="9">
        <f>'GHG data from Eurostat'!CU75</f>
        <v>1.54E-2</v>
      </c>
      <c r="R69" s="9">
        <f>IFERROR(('GHG data from Eurostat'!CS75+'GHG data from Eurostat'!CW75),0)</f>
        <v>0.11349999999999999</v>
      </c>
      <c r="S69" s="9">
        <f>'GHG data from Eurostat'!CV75</f>
        <v>1.9599999999999999E-3</v>
      </c>
      <c r="T69" s="9">
        <f>'GHG data from Eurostat'!CT75</f>
        <v>1.3999999999999999E-4</v>
      </c>
      <c r="U69" s="9">
        <f>Q69+M69</f>
        <v>1.8770000000000002E-2</v>
      </c>
      <c r="V69" s="9">
        <f t="shared" ref="V69:V70" si="296">R69+N69</f>
        <v>0.53503000000000001</v>
      </c>
      <c r="W69" s="9">
        <f t="shared" ref="W69:W70" si="297">S69+O69</f>
        <v>7.4199999999999995E-3</v>
      </c>
      <c r="X69" s="9">
        <f t="shared" ref="X69:X70" si="298">T69+P69</f>
        <v>3.5699999999999998E-3</v>
      </c>
      <c r="Y69" s="9">
        <f t="shared" si="11"/>
        <v>0.5647899999999999</v>
      </c>
      <c r="Z69" s="17">
        <f t="shared" si="12"/>
        <v>0.75755741211607552</v>
      </c>
      <c r="AA69" s="17">
        <f t="shared" si="85"/>
        <v>2.7523535161273731</v>
      </c>
      <c r="AB69" s="17">
        <f>IFERROR((O69+S69)/K69,0)</f>
        <v>0</v>
      </c>
      <c r="AC69" s="17">
        <f t="shared" si="87"/>
        <v>2.5445473984319311</v>
      </c>
      <c r="AD69" s="18"/>
      <c r="AE69" s="17">
        <f t="shared" si="13"/>
        <v>0.75800000000000001</v>
      </c>
      <c r="AF69" s="17">
        <f t="shared" si="88"/>
        <v>2.7519999999999998</v>
      </c>
      <c r="AG69" s="17">
        <f t="shared" si="89"/>
        <v>0</v>
      </c>
      <c r="AH69" s="17">
        <f t="shared" si="90"/>
        <v>2.5449999999999999</v>
      </c>
      <c r="AJ69" s="9" t="s">
        <v>192</v>
      </c>
      <c r="AK69" s="9" t="s">
        <v>262</v>
      </c>
      <c r="AL69" s="9">
        <f>VLOOKUP($AJ69,Landcover!$A$3:$K$30,5,FALSE)/1000</f>
        <v>0.56499999999999995</v>
      </c>
      <c r="AM69" s="9">
        <f>VLOOKUP($AJ69,Landcover!$A$3:$K$30,6,FALSE)/1000</f>
        <v>0.90400000000000003</v>
      </c>
      <c r="AN69" s="9">
        <f>VLOOKUP($AJ69,Landcover!$A$3:$K$30,8,FALSE)/1000</f>
        <v>0.85299999999999998</v>
      </c>
      <c r="AO69" s="9">
        <f>VLOOKUP($AJ69,Landcover!$A$3:$K$30,11,FALSE)/1000</f>
        <v>0</v>
      </c>
      <c r="AP69" s="9">
        <f>VLOOKUP($AJ69,Landcover!$A$3:$K$30,7,FALSE)/1000</f>
        <v>5.0999999999999997E-2</v>
      </c>
      <c r="AR69" s="9">
        <f>SUM('GHG data from Eurostat'!CX75,'GHG data from Eurostat'!DC75,'GHG data from Eurostat'!DG75,'GHG data from Eurostat'!DM75,'GHG data from Eurostat'!DP75,'GHG data from Eurostat'!DV75)</f>
        <v>9.2009999999999995E-2</v>
      </c>
      <c r="AS69" s="9">
        <f>'GHG data from Eurostat'!DS75+'GHG data from Eurostat'!DT75</f>
        <v>-0.28131</v>
      </c>
      <c r="AT69" s="9">
        <f>'GHG data from Eurostat'!EA75+'GHG data from Eurostat'!EB75</f>
        <v>0</v>
      </c>
      <c r="AU69" s="9">
        <f>'GHG data from Eurostat'!ED75</f>
        <v>2.33E-3</v>
      </c>
      <c r="AV69" s="9">
        <f>'GHG data from Eurostat'!EL75</f>
        <v>1.8000000000000001E-4</v>
      </c>
      <c r="AW69" s="18">
        <f t="shared" si="21"/>
        <v>-0.18679000000000001</v>
      </c>
      <c r="AX69" s="16">
        <f>AR69/AL69</f>
        <v>0.16284955752212391</v>
      </c>
      <c r="AY69" s="16">
        <f t="shared" ref="AY69" si="299">AS69/AM69</f>
        <v>-0.31118362831858409</v>
      </c>
      <c r="AZ69" s="16">
        <f t="shared" ref="AZ69" si="300">AT69/AN69</f>
        <v>0</v>
      </c>
      <c r="BA69" s="16">
        <v>0</v>
      </c>
      <c r="BB69" s="16">
        <v>0</v>
      </c>
      <c r="BD69" s="16">
        <f t="shared" si="17"/>
        <v>0.1628</v>
      </c>
      <c r="BE69" s="16">
        <f t="shared" si="94"/>
        <v>-0.31119999999999998</v>
      </c>
      <c r="BF69" s="16">
        <f t="shared" si="95"/>
        <v>0</v>
      </c>
      <c r="BG69" s="16">
        <f t="shared" si="96"/>
        <v>0</v>
      </c>
      <c r="BH69" s="16">
        <f t="shared" si="97"/>
        <v>0</v>
      </c>
      <c r="BJ69" s="16" t="str">
        <f t="shared" si="18"/>
        <v>Luxembourg</v>
      </c>
      <c r="BK69" s="16" t="s">
        <v>263</v>
      </c>
      <c r="BL69" s="9">
        <f>'GHG data from Eurostat'!EP75</f>
        <v>6.2599999999999999E-3</v>
      </c>
    </row>
    <row r="70" spans="7:64" x14ac:dyDescent="0.25">
      <c r="G70" s="9" t="s">
        <v>192</v>
      </c>
      <c r="H70" s="9" t="s">
        <v>233</v>
      </c>
      <c r="I70" s="9">
        <f t="shared" ref="I70:I116" si="301">VLOOKUP($G70,$A$5:$E$32,2,FALSE)</f>
        <v>2.4776999999999997E-2</v>
      </c>
      <c r="J70" s="9">
        <f t="shared" ref="J70:J116" si="302">VLOOKUP($G70,$A$5:$E$32,3,FALSE)</f>
        <v>0.19438999999999998</v>
      </c>
      <c r="K70" s="9">
        <f t="shared" ref="K70:K116" si="303">VLOOKUP($G70,$A$5:$E$32,4,FALSE)</f>
        <v>0</v>
      </c>
      <c r="L70" s="9">
        <f t="shared" ref="L70:L116" si="304">VLOOKUP($G70,$A$5:$E$32,5,FALSE)</f>
        <v>1.4030000000000002E-3</v>
      </c>
      <c r="M70" s="9">
        <f>'GHG data from Eurostat'!CP76</f>
        <v>0</v>
      </c>
      <c r="N70" s="9">
        <f>'GHG data from Eurostat'!CN76</f>
        <v>0</v>
      </c>
      <c r="O70" s="9">
        <f>'GHG data from Eurostat'!CQ76</f>
        <v>0</v>
      </c>
      <c r="P70" s="9">
        <f>'GHG data from Eurostat'!CO76</f>
        <v>0</v>
      </c>
      <c r="Q70" s="9">
        <f>'GHG data from Eurostat'!CU76</f>
        <v>0</v>
      </c>
      <c r="R70" s="9">
        <f>IFERROR(('GHG data from Eurostat'!CS76+'GHG data from Eurostat'!CW76),0)</f>
        <v>0</v>
      </c>
      <c r="S70" s="9">
        <f>'GHG data from Eurostat'!CV76</f>
        <v>0</v>
      </c>
      <c r="T70" s="9">
        <f>'GHG data from Eurostat'!CT76</f>
        <v>0</v>
      </c>
      <c r="U70" s="9">
        <f t="shared" ref="U70" si="305">Q70+M70</f>
        <v>0</v>
      </c>
      <c r="V70" s="9">
        <f t="shared" si="296"/>
        <v>0</v>
      </c>
      <c r="W70" s="9">
        <f t="shared" si="297"/>
        <v>0</v>
      </c>
      <c r="X70" s="9">
        <f t="shared" si="298"/>
        <v>0</v>
      </c>
      <c r="Y70" s="9">
        <f t="shared" ref="Y70:Y116" si="306">SUM(U70:X70)</f>
        <v>0</v>
      </c>
      <c r="Z70" s="17">
        <f t="shared" ref="Z70:Z114" si="307">(M70+Q70)/I70</f>
        <v>0</v>
      </c>
      <c r="AA70" s="17">
        <f t="shared" si="85"/>
        <v>0</v>
      </c>
      <c r="AB70" s="17">
        <f t="shared" ref="AB70" si="308">IFERROR((O70+S70)/K70,0)</f>
        <v>0</v>
      </c>
      <c r="AC70" s="17">
        <f t="shared" si="87"/>
        <v>0</v>
      </c>
      <c r="AD70" s="18"/>
      <c r="AE70" s="17">
        <f t="shared" ref="AE70:AE116" si="309">ROUND(Z70,3)</f>
        <v>0</v>
      </c>
      <c r="AF70" s="17">
        <f t="shared" si="88"/>
        <v>0</v>
      </c>
      <c r="AG70" s="17">
        <f t="shared" si="89"/>
        <v>0</v>
      </c>
      <c r="AH70" s="17">
        <f t="shared" si="90"/>
        <v>0</v>
      </c>
      <c r="AJ70" s="9" t="s">
        <v>192</v>
      </c>
      <c r="AK70" s="9" t="s">
        <v>233</v>
      </c>
      <c r="AL70" s="9">
        <f>VLOOKUP($AJ70,Landcover!$A$3:$K$30,5,FALSE)/1000</f>
        <v>0.56499999999999995</v>
      </c>
      <c r="AM70" s="9">
        <f>VLOOKUP($AJ70,Landcover!$A$3:$K$30,6,FALSE)/1000</f>
        <v>0.90400000000000003</v>
      </c>
      <c r="AN70" s="9">
        <f>VLOOKUP($AJ70,Landcover!$A$3:$K$30,8,FALSE)/1000</f>
        <v>0.85299999999999998</v>
      </c>
      <c r="AO70" s="9">
        <f>VLOOKUP($AJ70,Landcover!$A$3:$K$30,11,FALSE)/1000</f>
        <v>0</v>
      </c>
      <c r="AP70" s="9">
        <f>VLOOKUP($AJ70,Landcover!$A$3:$K$30,7,FALSE)/1000</f>
        <v>5.0999999999999997E-2</v>
      </c>
      <c r="AR70" s="9">
        <f>SUM('GHG data from Eurostat'!CX76,'GHG data from Eurostat'!DC76,'GHG data from Eurostat'!DG76,'GHG data from Eurostat'!DM76,'GHG data from Eurostat'!DP76,'GHG data from Eurostat'!DV76)</f>
        <v>-6.3450000000000006E-2</v>
      </c>
      <c r="AS70" s="9">
        <f>'GHG data from Eurostat'!DS76+'GHG data from Eurostat'!DT76</f>
        <v>-0.28131</v>
      </c>
      <c r="AT70" s="9">
        <f>'GHG data from Eurostat'!EA76+'GHG data from Eurostat'!EB76</f>
        <v>0</v>
      </c>
      <c r="AU70" s="9">
        <f>'GHG data from Eurostat'!ED76</f>
        <v>2.1199999999999999E-3</v>
      </c>
      <c r="AV70" s="9">
        <f>'GHG data from Eurostat'!EL76</f>
        <v>1.8000000000000001E-4</v>
      </c>
      <c r="AW70" s="18">
        <f t="shared" ref="AW70:AW116" si="310">SUM(AR70:AV70)</f>
        <v>-0.34245999999999999</v>
      </c>
      <c r="AX70" s="16">
        <f>AR70/AL70</f>
        <v>-0.11230088495575223</v>
      </c>
      <c r="AY70" s="16">
        <f t="shared" ref="AY70" si="311">AS70/AM70</f>
        <v>-0.31118362831858409</v>
      </c>
      <c r="AZ70" s="16">
        <f t="shared" ref="AZ70" si="312">AT70/AN70</f>
        <v>0</v>
      </c>
      <c r="BA70" s="16">
        <v>1</v>
      </c>
      <c r="BB70" s="16">
        <v>1</v>
      </c>
      <c r="BD70" s="16">
        <f t="shared" ref="BD70:BD116" si="313">ROUND(AX70,4)</f>
        <v>-0.1123</v>
      </c>
      <c r="BE70" s="16">
        <f t="shared" si="94"/>
        <v>-0.31119999999999998</v>
      </c>
      <c r="BF70" s="16">
        <f t="shared" si="95"/>
        <v>0</v>
      </c>
      <c r="BG70" s="16">
        <f t="shared" si="96"/>
        <v>1</v>
      </c>
      <c r="BH70" s="16">
        <f t="shared" si="97"/>
        <v>1</v>
      </c>
      <c r="BJ70" s="16" t="str">
        <f t="shared" ref="BJ70:BJ116" si="314">AJ70</f>
        <v>Luxembourg</v>
      </c>
      <c r="BK70" s="16" t="s">
        <v>259</v>
      </c>
      <c r="BL70" s="9">
        <f>'GHG data from Eurostat'!EP76</f>
        <v>6.2599999999999999E-3</v>
      </c>
    </row>
    <row r="71" spans="7:64" x14ac:dyDescent="0.25">
      <c r="G71" s="9" t="s">
        <v>192</v>
      </c>
      <c r="H71" s="9" t="s">
        <v>231</v>
      </c>
      <c r="I71" s="9">
        <f t="shared" si="301"/>
        <v>2.4776999999999997E-2</v>
      </c>
      <c r="J71" s="9">
        <f t="shared" si="302"/>
        <v>0.19438999999999998</v>
      </c>
      <c r="K71" s="9">
        <f t="shared" si="303"/>
        <v>0</v>
      </c>
      <c r="L71" s="9">
        <f t="shared" si="304"/>
        <v>1.4030000000000002E-3</v>
      </c>
      <c r="M71" s="9">
        <f>'GHG data from Eurostat'!CP77</f>
        <v>1.2E-4</v>
      </c>
      <c r="N71" s="9">
        <f>'GHG data from Eurostat'!CN77</f>
        <v>1.5049999999999999E-2</v>
      </c>
      <c r="O71" s="9">
        <f>'GHG data from Eurostat'!CQ77</f>
        <v>2.0000000000000001E-4</v>
      </c>
      <c r="P71" s="9">
        <f>'GHG data from Eurostat'!CO77</f>
        <v>1.2E-4</v>
      </c>
      <c r="Q71" s="9">
        <f>'GHG data from Eurostat'!CU77</f>
        <v>5.1999999999999995E-4</v>
      </c>
      <c r="R71" s="9">
        <f>IFERROR(('GHG data from Eurostat'!CS77+'GHG data from Eurostat'!CW77),0)</f>
        <v>2.8800000000000002E-3</v>
      </c>
      <c r="S71" s="9">
        <f>'GHG data from Eurostat'!CV77</f>
        <v>3.0000000000000001E-5</v>
      </c>
      <c r="T71" s="9">
        <f>'GHG data from Eurostat'!CT77</f>
        <v>0</v>
      </c>
      <c r="U71" s="9">
        <f>(Q71+M71)*1000</f>
        <v>0.6399999999999999</v>
      </c>
      <c r="V71" s="9">
        <f t="shared" ref="V71:V72" si="315">(R71+N71)*1000</f>
        <v>17.93</v>
      </c>
      <c r="W71" s="9">
        <f t="shared" ref="W71:W72" si="316">(S71+O71)*1000</f>
        <v>0.23</v>
      </c>
      <c r="X71" s="9">
        <f t="shared" ref="X71:X72" si="317">(T71+P71)*1000</f>
        <v>0.12000000000000001</v>
      </c>
      <c r="Y71" s="9">
        <f t="shared" si="306"/>
        <v>18.920000000000002</v>
      </c>
      <c r="Z71" s="17">
        <f t="shared" ref="Z71:AC72" si="318">IFERROR((M71+Q71)*1000/I71,0)</f>
        <v>25.830407232514023</v>
      </c>
      <c r="AA71" s="17">
        <f t="shared" si="318"/>
        <v>92.237255002829372</v>
      </c>
      <c r="AB71" s="17">
        <f t="shared" si="318"/>
        <v>0</v>
      </c>
      <c r="AC71" s="17">
        <f t="shared" si="318"/>
        <v>85.531004989308627</v>
      </c>
      <c r="AD71" s="18"/>
      <c r="AE71" s="17">
        <f t="shared" si="309"/>
        <v>25.83</v>
      </c>
      <c r="AF71" s="17">
        <f t="shared" si="88"/>
        <v>92.236999999999995</v>
      </c>
      <c r="AG71" s="17">
        <f t="shared" si="89"/>
        <v>0</v>
      </c>
      <c r="AH71" s="17">
        <f t="shared" si="90"/>
        <v>85.531000000000006</v>
      </c>
      <c r="AJ71" s="9" t="s">
        <v>192</v>
      </c>
      <c r="AK71" s="9" t="s">
        <v>231</v>
      </c>
      <c r="AL71" s="9">
        <f>VLOOKUP($AJ71,Landcover!$A$3:$K$30,5,FALSE)/1000</f>
        <v>0.56499999999999995</v>
      </c>
      <c r="AM71" s="9">
        <f>VLOOKUP($AJ71,Landcover!$A$3:$K$30,6,FALSE)/1000</f>
        <v>0.90400000000000003</v>
      </c>
      <c r="AN71" s="9">
        <f>VLOOKUP($AJ71,Landcover!$A$3:$K$30,8,FALSE)/1000</f>
        <v>0.85299999999999998</v>
      </c>
      <c r="AO71" s="9">
        <f>VLOOKUP($AJ71,Landcover!$A$3:$K$30,11,FALSE)/1000</f>
        <v>0</v>
      </c>
      <c r="AP71" s="9">
        <f>VLOOKUP($AJ71,Landcover!$A$3:$K$30,7,FALSE)/1000</f>
        <v>5.0999999999999997E-2</v>
      </c>
      <c r="AR71" s="9">
        <f>SUM('GHG data from Eurostat'!CX77,'GHG data from Eurostat'!DC77,'GHG data from Eurostat'!DG77,'GHG data from Eurostat'!DM77,'GHG data from Eurostat'!DP77,'GHG data from Eurostat'!DV77)</f>
        <v>0</v>
      </c>
      <c r="AS71" s="9">
        <f>'GHG data from Eurostat'!DS77+'GHG data from Eurostat'!DT77</f>
        <v>0</v>
      </c>
      <c r="AT71" s="9">
        <f>'GHG data from Eurostat'!EA77+'GHG data from Eurostat'!EB77</f>
        <v>0</v>
      </c>
      <c r="AU71" s="9">
        <f>'GHG data from Eurostat'!ED77</f>
        <v>0</v>
      </c>
      <c r="AV71" s="9">
        <f>'GHG data from Eurostat'!EL77</f>
        <v>0</v>
      </c>
      <c r="AW71" s="18">
        <f t="shared" si="310"/>
        <v>0</v>
      </c>
      <c r="AX71" s="16">
        <f>IFERROR(AR71*1000/AL71,0)</f>
        <v>0</v>
      </c>
      <c r="AY71" s="16">
        <f t="shared" ref="AY71:AY72" si="319">IFERROR(AS71*1000/AM71,0)</f>
        <v>0</v>
      </c>
      <c r="AZ71" s="16">
        <f t="shared" ref="AZ71:AZ72" si="320">IFERROR(AT71*1000/AN71,0)</f>
        <v>0</v>
      </c>
      <c r="BA71" s="16">
        <f t="shared" ref="BA71:BB72" si="321">IFERROR(AU71*1000/AO71,0)</f>
        <v>0</v>
      </c>
      <c r="BB71" s="16">
        <f t="shared" si="321"/>
        <v>0</v>
      </c>
      <c r="BD71" s="16">
        <f t="shared" si="313"/>
        <v>0</v>
      </c>
      <c r="BE71" s="16">
        <f t="shared" si="94"/>
        <v>0</v>
      </c>
      <c r="BF71" s="16">
        <f t="shared" si="95"/>
        <v>0</v>
      </c>
      <c r="BG71" s="16">
        <f t="shared" si="96"/>
        <v>0</v>
      </c>
      <c r="BH71" s="16">
        <f t="shared" si="97"/>
        <v>0</v>
      </c>
      <c r="BJ71" s="16" t="str">
        <f t="shared" si="314"/>
        <v>Luxembourg</v>
      </c>
      <c r="BK71" s="16" t="s">
        <v>260</v>
      </c>
      <c r="BL71" s="9">
        <f>'GHG data from Eurostat'!EP77</f>
        <v>0</v>
      </c>
    </row>
    <row r="72" spans="7:64" x14ac:dyDescent="0.25">
      <c r="G72" s="9" t="s">
        <v>192</v>
      </c>
      <c r="H72" s="9" t="s">
        <v>232</v>
      </c>
      <c r="I72" s="9">
        <f t="shared" si="301"/>
        <v>2.4776999999999997E-2</v>
      </c>
      <c r="J72" s="9">
        <f t="shared" si="302"/>
        <v>0.19438999999999998</v>
      </c>
      <c r="K72" s="9">
        <f t="shared" si="303"/>
        <v>0</v>
      </c>
      <c r="L72" s="9">
        <f t="shared" si="304"/>
        <v>1.4030000000000002E-3</v>
      </c>
      <c r="M72" s="9">
        <f>'GHG data from Eurostat'!CP78</f>
        <v>0</v>
      </c>
      <c r="N72" s="9">
        <f>'GHG data from Eurostat'!CN78</f>
        <v>0</v>
      </c>
      <c r="O72" s="9">
        <f>'GHG data from Eurostat'!CQ78</f>
        <v>0</v>
      </c>
      <c r="P72" s="9">
        <f>'GHG data from Eurostat'!CO78</f>
        <v>0</v>
      </c>
      <c r="Q72" s="9">
        <f>'GHG data from Eurostat'!CU78</f>
        <v>0</v>
      </c>
      <c r="R72" s="9">
        <f>IFERROR(('GHG data from Eurostat'!CS78+'GHG data from Eurostat'!CW78),0)</f>
        <v>1.1999999999999999E-4</v>
      </c>
      <c r="S72" s="9">
        <f>'GHG data from Eurostat'!CV78</f>
        <v>0</v>
      </c>
      <c r="T72" s="9">
        <f>'GHG data from Eurostat'!CT78</f>
        <v>0</v>
      </c>
      <c r="U72" s="9">
        <f>(Q72+M72)*1000</f>
        <v>0</v>
      </c>
      <c r="V72" s="9">
        <f t="shared" si="315"/>
        <v>0.12</v>
      </c>
      <c r="W72" s="9">
        <f t="shared" si="316"/>
        <v>0</v>
      </c>
      <c r="X72" s="9">
        <f t="shared" si="317"/>
        <v>0</v>
      </c>
      <c r="Y72" s="9">
        <f t="shared" si="306"/>
        <v>0.12</v>
      </c>
      <c r="Z72" s="17">
        <f t="shared" si="318"/>
        <v>0</v>
      </c>
      <c r="AA72" s="17">
        <f t="shared" si="318"/>
        <v>0.61731570554040849</v>
      </c>
      <c r="AB72" s="17">
        <f t="shared" si="318"/>
        <v>0</v>
      </c>
      <c r="AC72" s="17">
        <f t="shared" si="318"/>
        <v>0</v>
      </c>
      <c r="AD72" s="18"/>
      <c r="AE72" s="17">
        <f t="shared" si="309"/>
        <v>0</v>
      </c>
      <c r="AF72" s="17">
        <f t="shared" si="88"/>
        <v>0.61699999999999999</v>
      </c>
      <c r="AG72" s="17">
        <f t="shared" si="89"/>
        <v>0</v>
      </c>
      <c r="AH72" s="17">
        <f t="shared" si="90"/>
        <v>0</v>
      </c>
      <c r="AJ72" s="9" t="s">
        <v>192</v>
      </c>
      <c r="AK72" s="9" t="s">
        <v>232</v>
      </c>
      <c r="AL72" s="9">
        <f>VLOOKUP($AJ72,Landcover!$A$3:$K$30,5,FALSE)/1000</f>
        <v>0.56499999999999995</v>
      </c>
      <c r="AM72" s="9">
        <f>VLOOKUP($AJ72,Landcover!$A$3:$K$30,6,FALSE)/1000</f>
        <v>0.90400000000000003</v>
      </c>
      <c r="AN72" s="9">
        <f>VLOOKUP($AJ72,Landcover!$A$3:$K$30,8,FALSE)/1000</f>
        <v>0.85299999999999998</v>
      </c>
      <c r="AO72" s="9">
        <f>VLOOKUP($AJ72,Landcover!$A$3:$K$30,11,FALSE)/1000</f>
        <v>0</v>
      </c>
      <c r="AP72" s="9">
        <f>VLOOKUP($AJ72,Landcover!$A$3:$K$30,7,FALSE)/1000</f>
        <v>5.0999999999999997E-2</v>
      </c>
      <c r="AR72" s="9">
        <f>SUM('GHG data from Eurostat'!CX78,'GHG data from Eurostat'!DC78,'GHG data from Eurostat'!DG78,'GHG data from Eurostat'!DM78,'GHG data from Eurostat'!DP78,'GHG data from Eurostat'!DV78)</f>
        <v>5.9000000000000003E-4</v>
      </c>
      <c r="AS72" s="9">
        <f>'GHG data from Eurostat'!DS78+'GHG data from Eurostat'!DT78</f>
        <v>0</v>
      </c>
      <c r="AT72" s="9">
        <f>'GHG data from Eurostat'!EA78+'GHG data from Eurostat'!EB78</f>
        <v>0</v>
      </c>
      <c r="AU72" s="9">
        <f>'GHG data from Eurostat'!ED78</f>
        <v>0</v>
      </c>
      <c r="AV72" s="9">
        <f>'GHG data from Eurostat'!EL78</f>
        <v>0</v>
      </c>
      <c r="AW72" s="18">
        <f t="shared" si="310"/>
        <v>5.9000000000000003E-4</v>
      </c>
      <c r="AX72" s="16">
        <f>IFERROR(AR72*1000/AL72,0)</f>
        <v>1.0442477876106198</v>
      </c>
      <c r="AY72" s="16">
        <f t="shared" si="319"/>
        <v>0</v>
      </c>
      <c r="AZ72" s="16">
        <f t="shared" si="320"/>
        <v>0</v>
      </c>
      <c r="BA72" s="16">
        <f t="shared" si="321"/>
        <v>0</v>
      </c>
      <c r="BB72" s="16">
        <f t="shared" si="321"/>
        <v>0</v>
      </c>
      <c r="BD72" s="16">
        <f t="shared" si="313"/>
        <v>1.0442</v>
      </c>
      <c r="BE72" s="16">
        <f t="shared" si="94"/>
        <v>0</v>
      </c>
      <c r="BF72" s="16">
        <f t="shared" si="95"/>
        <v>0</v>
      </c>
      <c r="BG72" s="16">
        <f t="shared" si="96"/>
        <v>0</v>
      </c>
      <c r="BH72" s="16">
        <f t="shared" si="97"/>
        <v>0</v>
      </c>
      <c r="BJ72" s="16" t="str">
        <f t="shared" si="314"/>
        <v>Luxembourg</v>
      </c>
      <c r="BK72" s="16" t="s">
        <v>261</v>
      </c>
      <c r="BL72" s="9">
        <f>'GHG data from Eurostat'!EP78</f>
        <v>0</v>
      </c>
    </row>
    <row r="73" spans="7:64" x14ac:dyDescent="0.25">
      <c r="G73" s="9" t="s">
        <v>193</v>
      </c>
      <c r="H73" s="9" t="s">
        <v>262</v>
      </c>
      <c r="I73" s="9">
        <f t="shared" si="301"/>
        <v>0.86159999999999992</v>
      </c>
      <c r="J73" s="9">
        <f t="shared" si="302"/>
        <v>0.88500000000000001</v>
      </c>
      <c r="K73" s="9">
        <f t="shared" si="303"/>
        <v>3.0379999999999998</v>
      </c>
      <c r="L73" s="9">
        <f t="shared" si="304"/>
        <v>0.1174</v>
      </c>
      <c r="M73" s="9">
        <f>'GHG data from Eurostat'!CP79</f>
        <v>0.12033000000000001</v>
      </c>
      <c r="N73" s="9">
        <f>'GHG data from Eurostat'!CN79</f>
        <v>1.8666700000000001</v>
      </c>
      <c r="O73" s="9">
        <f>'GHG data from Eurostat'!CQ79</f>
        <v>6.8900000000000003E-2</v>
      </c>
      <c r="P73" s="9">
        <f>'GHG data from Eurostat'!CO79</f>
        <v>0.25662000000000001</v>
      </c>
      <c r="Q73" s="9">
        <f>'GHG data from Eurostat'!CU79</f>
        <v>0.24371999999999999</v>
      </c>
      <c r="R73" s="9">
        <f>IFERROR(('GHG data from Eurostat'!CS79+'GHG data from Eurostat'!CW79),0)</f>
        <v>0.67503000000000002</v>
      </c>
      <c r="S73" s="9">
        <f>'GHG data from Eurostat'!CV79</f>
        <v>8.5620000000000002E-2</v>
      </c>
      <c r="T73" s="9">
        <f>'GHG data from Eurostat'!CT79</f>
        <v>3.1759999999999997E-2</v>
      </c>
      <c r="U73" s="9">
        <f>Q73+M73</f>
        <v>0.36404999999999998</v>
      </c>
      <c r="V73" s="9">
        <f t="shared" ref="V73:V74" si="322">R73+N73</f>
        <v>2.5417000000000001</v>
      </c>
      <c r="W73" s="9">
        <f t="shared" ref="W73:W74" si="323">S73+O73</f>
        <v>0.15451999999999999</v>
      </c>
      <c r="X73" s="9">
        <f t="shared" ref="X73:X74" si="324">T73+P73</f>
        <v>0.28838000000000003</v>
      </c>
      <c r="Y73" s="9">
        <f t="shared" si="306"/>
        <v>3.3486500000000001</v>
      </c>
      <c r="Z73" s="17">
        <f t="shared" si="307"/>
        <v>0.42252785515320335</v>
      </c>
      <c r="AA73" s="17">
        <f t="shared" si="85"/>
        <v>2.8719774011299437</v>
      </c>
      <c r="AB73" s="17">
        <f t="shared" si="86"/>
        <v>5.0862409479921003E-2</v>
      </c>
      <c r="AC73" s="17">
        <f t="shared" si="87"/>
        <v>2.4563884156729134</v>
      </c>
      <c r="AD73" s="18"/>
      <c r="AE73" s="17">
        <f t="shared" si="309"/>
        <v>0.42299999999999999</v>
      </c>
      <c r="AF73" s="17">
        <f t="shared" si="88"/>
        <v>2.8719999999999999</v>
      </c>
      <c r="AG73" s="17">
        <f t="shared" si="89"/>
        <v>5.0999999999999997E-2</v>
      </c>
      <c r="AH73" s="17">
        <f t="shared" si="90"/>
        <v>2.456</v>
      </c>
      <c r="AJ73" s="9" t="s">
        <v>193</v>
      </c>
      <c r="AK73" s="9" t="s">
        <v>262</v>
      </c>
      <c r="AL73" s="9">
        <f>VLOOKUP($AJ73,Landcover!$A$3:$K$30,5,FALSE)/1000</f>
        <v>40.457000000000001</v>
      </c>
      <c r="AM73" s="9">
        <f>VLOOKUP($AJ73,Landcover!$A$3:$K$30,6,FALSE)/1000</f>
        <v>24.847999999999999</v>
      </c>
      <c r="AN73" s="9">
        <f>VLOOKUP($AJ73,Landcover!$A$3:$K$30,8,FALSE)/1000</f>
        <v>16.279</v>
      </c>
      <c r="AO73" s="9">
        <f>VLOOKUP($AJ73,Landcover!$A$3:$K$30,11,FALSE)/1000</f>
        <v>1.3979999999999999</v>
      </c>
      <c r="AP73" s="9">
        <f>VLOOKUP($AJ73,Landcover!$A$3:$K$30,7,FALSE)/1000</f>
        <v>1.3680000000000001</v>
      </c>
      <c r="AR73" s="9">
        <f>SUM('GHG data from Eurostat'!CX79,'GHG data from Eurostat'!DC79,'GHG data from Eurostat'!DG79,'GHG data from Eurostat'!DM79,'GHG data from Eurostat'!DP79,'GHG data from Eurostat'!DV79)</f>
        <v>3.3613999999999997</v>
      </c>
      <c r="AS73" s="9">
        <f>'GHG data from Eurostat'!DS79+'GHG data from Eurostat'!DT79</f>
        <v>-2.8862100000000002</v>
      </c>
      <c r="AT73" s="9">
        <f>'GHG data from Eurostat'!EA79+'GHG data from Eurostat'!EB79</f>
        <v>-0.18814</v>
      </c>
      <c r="AU73" s="9">
        <f>'GHG data from Eurostat'!ED79</f>
        <v>5.3940000000000002E-2</v>
      </c>
      <c r="AV73" s="9">
        <f>'GHG data from Eurostat'!EL79</f>
        <v>0</v>
      </c>
      <c r="AW73" s="18">
        <f t="shared" si="310"/>
        <v>0.34098999999999957</v>
      </c>
      <c r="AX73" s="16">
        <f>AR73/AL73</f>
        <v>8.3085745359270324E-2</v>
      </c>
      <c r="AY73" s="16">
        <f t="shared" ref="AY73" si="325">AS73/AM73</f>
        <v>-0.11615462009014811</v>
      </c>
      <c r="AZ73" s="16">
        <f t="shared" ref="AZ73" si="326">AT73/AN73</f>
        <v>-1.1557220959518399E-2</v>
      </c>
      <c r="BA73" s="16">
        <f t="shared" ref="BA73:BB73" si="327">AU73/AO73</f>
        <v>3.8583690987124469E-2</v>
      </c>
      <c r="BB73" s="16">
        <f t="shared" si="327"/>
        <v>0</v>
      </c>
      <c r="BD73" s="16">
        <f t="shared" si="313"/>
        <v>8.3099999999999993E-2</v>
      </c>
      <c r="BE73" s="16">
        <f t="shared" si="94"/>
        <v>-0.1162</v>
      </c>
      <c r="BF73" s="16">
        <f t="shared" si="95"/>
        <v>-1.1599999999999999E-2</v>
      </c>
      <c r="BG73" s="16">
        <f t="shared" si="96"/>
        <v>3.8600000000000002E-2</v>
      </c>
      <c r="BH73" s="16">
        <f t="shared" si="97"/>
        <v>0</v>
      </c>
      <c r="BJ73" s="16" t="str">
        <f t="shared" si="314"/>
        <v>Hungary</v>
      </c>
      <c r="BK73" s="16" t="s">
        <v>263</v>
      </c>
      <c r="BL73" s="9">
        <f>'GHG data from Eurostat'!EP79</f>
        <v>-0.72038000000000002</v>
      </c>
    </row>
    <row r="74" spans="7:64" x14ac:dyDescent="0.25">
      <c r="G74" s="9" t="s">
        <v>193</v>
      </c>
      <c r="H74" s="9" t="s">
        <v>233</v>
      </c>
      <c r="I74" s="9">
        <f t="shared" si="301"/>
        <v>0.86159999999999992</v>
      </c>
      <c r="J74" s="9">
        <f t="shared" si="302"/>
        <v>0.88500000000000001</v>
      </c>
      <c r="K74" s="9">
        <f t="shared" si="303"/>
        <v>3.0379999999999998</v>
      </c>
      <c r="L74" s="9">
        <f t="shared" si="304"/>
        <v>0.1174</v>
      </c>
      <c r="M74" s="9">
        <f>'GHG data from Eurostat'!CP80</f>
        <v>0</v>
      </c>
      <c r="N74" s="9">
        <f>'GHG data from Eurostat'!CN80</f>
        <v>0</v>
      </c>
      <c r="O74" s="9">
        <f>'GHG data from Eurostat'!CQ80</f>
        <v>0</v>
      </c>
      <c r="P74" s="9">
        <f>'GHG data from Eurostat'!CO80</f>
        <v>0</v>
      </c>
      <c r="Q74" s="9">
        <f>'GHG data from Eurostat'!CU80</f>
        <v>0</v>
      </c>
      <c r="R74" s="9">
        <f>IFERROR(('GHG data from Eurostat'!CS80+'GHG data from Eurostat'!CW80),0)</f>
        <v>0</v>
      </c>
      <c r="S74" s="9">
        <f>'GHG data from Eurostat'!CV80</f>
        <v>0</v>
      </c>
      <c r="T74" s="9">
        <f>'GHG data from Eurostat'!CT80</f>
        <v>0</v>
      </c>
      <c r="U74" s="9">
        <f t="shared" ref="U74" si="328">Q74+M74</f>
        <v>0</v>
      </c>
      <c r="V74" s="9">
        <f t="shared" si="322"/>
        <v>0</v>
      </c>
      <c r="W74" s="9">
        <f t="shared" si="323"/>
        <v>0</v>
      </c>
      <c r="X74" s="9">
        <f t="shared" si="324"/>
        <v>0</v>
      </c>
      <c r="Y74" s="9">
        <f t="shared" si="306"/>
        <v>0</v>
      </c>
      <c r="Z74" s="17">
        <f t="shared" si="307"/>
        <v>0</v>
      </c>
      <c r="AA74" s="17">
        <f t="shared" si="85"/>
        <v>0</v>
      </c>
      <c r="AB74" s="17">
        <f t="shared" si="86"/>
        <v>0</v>
      </c>
      <c r="AC74" s="17">
        <f t="shared" si="87"/>
        <v>0</v>
      </c>
      <c r="AD74" s="18"/>
      <c r="AE74" s="17">
        <f t="shared" si="309"/>
        <v>0</v>
      </c>
      <c r="AF74" s="17">
        <f t="shared" si="88"/>
        <v>0</v>
      </c>
      <c r="AG74" s="17">
        <f t="shared" si="89"/>
        <v>0</v>
      </c>
      <c r="AH74" s="17">
        <f t="shared" si="90"/>
        <v>0</v>
      </c>
      <c r="AJ74" s="9" t="s">
        <v>193</v>
      </c>
      <c r="AK74" s="9" t="s">
        <v>233</v>
      </c>
      <c r="AL74" s="9">
        <f>VLOOKUP($AJ74,Landcover!$A$3:$K$30,5,FALSE)/1000</f>
        <v>40.457000000000001</v>
      </c>
      <c r="AM74" s="9">
        <f>VLOOKUP($AJ74,Landcover!$A$3:$K$30,6,FALSE)/1000</f>
        <v>24.847999999999999</v>
      </c>
      <c r="AN74" s="9">
        <f>VLOOKUP($AJ74,Landcover!$A$3:$K$30,8,FALSE)/1000</f>
        <v>16.279</v>
      </c>
      <c r="AO74" s="9">
        <f>VLOOKUP($AJ74,Landcover!$A$3:$K$30,11,FALSE)/1000</f>
        <v>1.3979999999999999</v>
      </c>
      <c r="AP74" s="9">
        <f>VLOOKUP($AJ74,Landcover!$A$3:$K$30,7,FALSE)/1000</f>
        <v>1.3680000000000001</v>
      </c>
      <c r="AR74" s="9">
        <f>SUM('GHG data from Eurostat'!CX80,'GHG data from Eurostat'!DC80,'GHG data from Eurostat'!DG80,'GHG data from Eurostat'!DM80,'GHG data from Eurostat'!DP80,'GHG data from Eurostat'!DV80)</f>
        <v>1.799999999999996E-4</v>
      </c>
      <c r="AS74" s="9">
        <f>'GHG data from Eurostat'!DS80+'GHG data from Eurostat'!DT80</f>
        <v>-2.9085399999999999</v>
      </c>
      <c r="AT74" s="9">
        <f>'GHG data from Eurostat'!EA80+'GHG data from Eurostat'!EB80</f>
        <v>-0.19378000000000001</v>
      </c>
      <c r="AU74" s="9">
        <f>'GHG data from Eurostat'!ED80</f>
        <v>5.2089999999999997E-2</v>
      </c>
      <c r="AV74" s="9">
        <f>'GHG data from Eurostat'!EL80</f>
        <v>0</v>
      </c>
      <c r="AW74" s="18">
        <f t="shared" si="310"/>
        <v>-3.0500499999999997</v>
      </c>
      <c r="AX74" s="16">
        <f>AR74/AL74</f>
        <v>4.449168252712747E-6</v>
      </c>
      <c r="AY74" s="16">
        <f t="shared" ref="AY74" si="329">AS74/AM74</f>
        <v>-0.11705328396651642</v>
      </c>
      <c r="AZ74" s="16">
        <f t="shared" ref="AZ74" si="330">AT74/AN74</f>
        <v>-1.1903679587198231E-2</v>
      </c>
      <c r="BA74" s="16">
        <f t="shared" ref="BA74:BB74" si="331">AU74/AO74</f>
        <v>3.7260371959942779E-2</v>
      </c>
      <c r="BB74" s="16">
        <f t="shared" si="331"/>
        <v>0</v>
      </c>
      <c r="BD74" s="16">
        <f t="shared" si="313"/>
        <v>0</v>
      </c>
      <c r="BE74" s="16">
        <f t="shared" si="94"/>
        <v>-0.1171</v>
      </c>
      <c r="BF74" s="16">
        <f t="shared" si="95"/>
        <v>-1.1900000000000001E-2</v>
      </c>
      <c r="BG74" s="16">
        <f t="shared" si="96"/>
        <v>3.73E-2</v>
      </c>
      <c r="BH74" s="16">
        <f t="shared" si="97"/>
        <v>0</v>
      </c>
      <c r="BJ74" s="16" t="str">
        <f t="shared" si="314"/>
        <v>Hungary</v>
      </c>
      <c r="BK74" s="16" t="s">
        <v>259</v>
      </c>
      <c r="BL74" s="9">
        <f>'GHG data from Eurostat'!EP80</f>
        <v>-0.72038000000000002</v>
      </c>
    </row>
    <row r="75" spans="7:64" x14ac:dyDescent="0.25">
      <c r="G75" s="9" t="s">
        <v>193</v>
      </c>
      <c r="H75" s="9" t="s">
        <v>231</v>
      </c>
      <c r="I75" s="9">
        <f t="shared" si="301"/>
        <v>0.86159999999999992</v>
      </c>
      <c r="J75" s="9">
        <f t="shared" si="302"/>
        <v>0.88500000000000001</v>
      </c>
      <c r="K75" s="9">
        <f t="shared" si="303"/>
        <v>3.0379999999999998</v>
      </c>
      <c r="L75" s="9">
        <f t="shared" si="304"/>
        <v>0.1174</v>
      </c>
      <c r="M75" s="9">
        <f>'GHG data from Eurostat'!CP81</f>
        <v>4.3E-3</v>
      </c>
      <c r="N75" s="9">
        <f>'GHG data from Eurostat'!CN81</f>
        <v>6.6669999999999993E-2</v>
      </c>
      <c r="O75" s="9">
        <f>'GHG data from Eurostat'!CQ81</f>
        <v>2.4599999999999999E-3</v>
      </c>
      <c r="P75" s="9">
        <f>'GHG data from Eurostat'!CO81</f>
        <v>9.1699999999999993E-3</v>
      </c>
      <c r="Q75" s="9">
        <f>'GHG data from Eurostat'!CU81</f>
        <v>7.1799999999999998E-3</v>
      </c>
      <c r="R75" s="9">
        <f>IFERROR(('GHG data from Eurostat'!CS81+'GHG data from Eurostat'!CW81),0)</f>
        <v>1.4330000000000001E-2</v>
      </c>
      <c r="S75" s="9">
        <f>'GHG data from Eurostat'!CV81</f>
        <v>1.34E-3</v>
      </c>
      <c r="T75" s="9">
        <f>'GHG data from Eurostat'!CT81</f>
        <v>3.4000000000000002E-4</v>
      </c>
      <c r="U75" s="9">
        <f>(Q75+M75)*1000</f>
        <v>11.48</v>
      </c>
      <c r="V75" s="9">
        <f t="shared" ref="V75:V76" si="332">(R75+N75)*1000</f>
        <v>80.999999999999986</v>
      </c>
      <c r="W75" s="9">
        <f t="shared" ref="W75:W76" si="333">(S75+O75)*1000</f>
        <v>3.8</v>
      </c>
      <c r="X75" s="9">
        <f t="shared" ref="X75:X76" si="334">(T75+P75)*1000</f>
        <v>9.51</v>
      </c>
      <c r="Y75" s="9">
        <f t="shared" si="306"/>
        <v>105.78999999999999</v>
      </c>
      <c r="Z75" s="17">
        <f t="shared" ref="Z75:AC76" si="335">IFERROR((M75+Q75)*1000/I75,0)</f>
        <v>13.324048282265554</v>
      </c>
      <c r="AA75" s="17">
        <f t="shared" si="335"/>
        <v>91.525423728813536</v>
      </c>
      <c r="AB75" s="17">
        <f t="shared" si="335"/>
        <v>1.2508229098090848</v>
      </c>
      <c r="AC75" s="17">
        <f t="shared" si="335"/>
        <v>81.005110732538327</v>
      </c>
      <c r="AD75" s="18"/>
      <c r="AE75" s="17">
        <f t="shared" si="309"/>
        <v>13.324</v>
      </c>
      <c r="AF75" s="17">
        <f t="shared" si="88"/>
        <v>91.525000000000006</v>
      </c>
      <c r="AG75" s="17">
        <f t="shared" si="89"/>
        <v>1.2509999999999999</v>
      </c>
      <c r="AH75" s="17">
        <f t="shared" si="90"/>
        <v>81.004999999999995</v>
      </c>
      <c r="AJ75" s="9" t="s">
        <v>193</v>
      </c>
      <c r="AK75" s="9" t="s">
        <v>231</v>
      </c>
      <c r="AL75" s="9">
        <f>VLOOKUP($AJ75,Landcover!$A$3:$K$30,5,FALSE)/1000</f>
        <v>40.457000000000001</v>
      </c>
      <c r="AM75" s="9">
        <f>VLOOKUP($AJ75,Landcover!$A$3:$K$30,6,FALSE)/1000</f>
        <v>24.847999999999999</v>
      </c>
      <c r="AN75" s="9">
        <f>VLOOKUP($AJ75,Landcover!$A$3:$K$30,8,FALSE)/1000</f>
        <v>16.279</v>
      </c>
      <c r="AO75" s="9">
        <f>VLOOKUP($AJ75,Landcover!$A$3:$K$30,11,FALSE)/1000</f>
        <v>1.3979999999999999</v>
      </c>
      <c r="AP75" s="9">
        <f>VLOOKUP($AJ75,Landcover!$A$3:$K$30,7,FALSE)/1000</f>
        <v>1.3680000000000001</v>
      </c>
      <c r="AR75" s="9">
        <f>SUM('GHG data from Eurostat'!CX81,'GHG data from Eurostat'!DC81,'GHG data from Eurostat'!DG81,'GHG data from Eurostat'!DM81,'GHG data from Eurostat'!DP81,'GHG data from Eurostat'!DV81)</f>
        <v>8.2000000000000009E-4</v>
      </c>
      <c r="AS75" s="9">
        <f>'GHG data from Eurostat'!DS81+'GHG data from Eurostat'!DT81</f>
        <v>3.5E-4</v>
      </c>
      <c r="AT75" s="9">
        <f>'GHG data from Eurostat'!EA81+'GHG data from Eurostat'!EB81</f>
        <v>2.0000000000000002E-5</v>
      </c>
      <c r="AU75" s="9">
        <f>'GHG data from Eurostat'!ED81</f>
        <v>0</v>
      </c>
      <c r="AV75" s="9">
        <f>'GHG data from Eurostat'!EL81</f>
        <v>0</v>
      </c>
      <c r="AW75" s="18">
        <f t="shared" si="310"/>
        <v>1.1900000000000001E-3</v>
      </c>
      <c r="AX75" s="16">
        <f>IFERROR(AR75*1000/AL75,0)</f>
        <v>2.0268433151247003E-2</v>
      </c>
      <c r="AY75" s="16">
        <f t="shared" ref="AY75:AY76" si="336">IFERROR(AS75*1000/AM75,0)</f>
        <v>1.4085640695428203E-2</v>
      </c>
      <c r="AZ75" s="16">
        <f t="shared" ref="AZ75:AZ76" si="337">IFERROR(AT75*1000/AN75,0)</f>
        <v>1.2285766939001167E-3</v>
      </c>
      <c r="BA75" s="16">
        <f t="shared" ref="BA75:BB76" si="338">IFERROR(AU75*1000/AO75,0)</f>
        <v>0</v>
      </c>
      <c r="BB75" s="16">
        <f t="shared" si="338"/>
        <v>0</v>
      </c>
      <c r="BD75" s="16">
        <f t="shared" si="313"/>
        <v>2.0299999999999999E-2</v>
      </c>
      <c r="BE75" s="16">
        <f t="shared" si="94"/>
        <v>1.41E-2</v>
      </c>
      <c r="BF75" s="16">
        <f t="shared" si="95"/>
        <v>1.1999999999999999E-3</v>
      </c>
      <c r="BG75" s="16">
        <f t="shared" si="96"/>
        <v>0</v>
      </c>
      <c r="BH75" s="16">
        <f t="shared" si="97"/>
        <v>0</v>
      </c>
      <c r="BJ75" s="16" t="str">
        <f t="shared" si="314"/>
        <v>Hungary</v>
      </c>
      <c r="BK75" s="16" t="s">
        <v>260</v>
      </c>
      <c r="BL75" s="9">
        <f>'GHG data from Eurostat'!EP81</f>
        <v>0</v>
      </c>
    </row>
    <row r="76" spans="7:64" x14ac:dyDescent="0.25">
      <c r="G76" s="9" t="s">
        <v>193</v>
      </c>
      <c r="H76" s="9" t="s">
        <v>232</v>
      </c>
      <c r="I76" s="9">
        <f t="shared" si="301"/>
        <v>0.86159999999999992</v>
      </c>
      <c r="J76" s="9">
        <f t="shared" si="302"/>
        <v>0.88500000000000001</v>
      </c>
      <c r="K76" s="9">
        <f t="shared" si="303"/>
        <v>3.0379999999999998</v>
      </c>
      <c r="L76" s="9">
        <f t="shared" si="304"/>
        <v>0.1174</v>
      </c>
      <c r="M76" s="9">
        <f>'GHG data from Eurostat'!CP82</f>
        <v>0</v>
      </c>
      <c r="N76" s="9">
        <f>'GHG data from Eurostat'!CN82</f>
        <v>0</v>
      </c>
      <c r="O76" s="9">
        <f>'GHG data from Eurostat'!CQ82</f>
        <v>0</v>
      </c>
      <c r="P76" s="9">
        <f>'GHG data from Eurostat'!CO82</f>
        <v>0</v>
      </c>
      <c r="Q76" s="9">
        <f>'GHG data from Eurostat'!CU82</f>
        <v>1.6000000000000001E-4</v>
      </c>
      <c r="R76" s="9">
        <f>IFERROR(('GHG data from Eurostat'!CS82+'GHG data from Eurostat'!CW82),0)</f>
        <v>1.0300000000000001E-3</v>
      </c>
      <c r="S76" s="9">
        <f>'GHG data from Eurostat'!CV82</f>
        <v>1.8000000000000001E-4</v>
      </c>
      <c r="T76" s="9">
        <f>'GHG data from Eurostat'!CT82</f>
        <v>8.0000000000000007E-5</v>
      </c>
      <c r="U76" s="9">
        <f>(Q76+M76)*1000</f>
        <v>0.16</v>
      </c>
      <c r="V76" s="9">
        <f t="shared" si="332"/>
        <v>1.03</v>
      </c>
      <c r="W76" s="9">
        <f t="shared" si="333"/>
        <v>0.18000000000000002</v>
      </c>
      <c r="X76" s="9">
        <f t="shared" si="334"/>
        <v>0.08</v>
      </c>
      <c r="Y76" s="9">
        <f t="shared" si="306"/>
        <v>1.45</v>
      </c>
      <c r="Z76" s="17">
        <f t="shared" si="335"/>
        <v>0.18570102135561747</v>
      </c>
      <c r="AA76" s="17">
        <f t="shared" si="335"/>
        <v>1.1638418079096045</v>
      </c>
      <c r="AB76" s="17">
        <f t="shared" si="335"/>
        <v>5.9249506254114563E-2</v>
      </c>
      <c r="AC76" s="17">
        <f t="shared" si="335"/>
        <v>0.68143100511073251</v>
      </c>
      <c r="AD76" s="18"/>
      <c r="AE76" s="17">
        <f t="shared" si="309"/>
        <v>0.186</v>
      </c>
      <c r="AF76" s="17">
        <f t="shared" si="88"/>
        <v>1.1639999999999999</v>
      </c>
      <c r="AG76" s="17">
        <f t="shared" si="89"/>
        <v>5.8999999999999997E-2</v>
      </c>
      <c r="AH76" s="17">
        <f t="shared" si="90"/>
        <v>0.68100000000000005</v>
      </c>
      <c r="AJ76" s="9" t="s">
        <v>193</v>
      </c>
      <c r="AK76" s="9" t="s">
        <v>232</v>
      </c>
      <c r="AL76" s="9">
        <f>VLOOKUP($AJ76,Landcover!$A$3:$K$30,5,FALSE)/1000</f>
        <v>40.457000000000001</v>
      </c>
      <c r="AM76" s="9">
        <f>VLOOKUP($AJ76,Landcover!$A$3:$K$30,6,FALSE)/1000</f>
        <v>24.847999999999999</v>
      </c>
      <c r="AN76" s="9">
        <f>VLOOKUP($AJ76,Landcover!$A$3:$K$30,8,FALSE)/1000</f>
        <v>16.279</v>
      </c>
      <c r="AO76" s="9">
        <f>VLOOKUP($AJ76,Landcover!$A$3:$K$30,11,FALSE)/1000</f>
        <v>1.3979999999999999</v>
      </c>
      <c r="AP76" s="9">
        <f>VLOOKUP($AJ76,Landcover!$A$3:$K$30,7,FALSE)/1000</f>
        <v>1.3680000000000001</v>
      </c>
      <c r="AR76" s="9">
        <f>SUM('GHG data from Eurostat'!CX82,'GHG data from Eurostat'!DC82,'GHG data from Eurostat'!DG82,'GHG data from Eurostat'!DM82,'GHG data from Eurostat'!DP82,'GHG data from Eurostat'!DV82)</f>
        <v>1.26E-2</v>
      </c>
      <c r="AS76" s="9">
        <f>'GHG data from Eurostat'!DS82+'GHG data from Eurostat'!DT82</f>
        <v>5.0000000000000002E-5</v>
      </c>
      <c r="AT76" s="9">
        <f>'GHG data from Eurostat'!EA82+'GHG data from Eurostat'!EB82</f>
        <v>2.0000000000000002E-5</v>
      </c>
      <c r="AU76" s="9">
        <f>'GHG data from Eurostat'!ED82</f>
        <v>1.0000000000000001E-5</v>
      </c>
      <c r="AV76" s="9">
        <f>'GHG data from Eurostat'!EL82</f>
        <v>0</v>
      </c>
      <c r="AW76" s="18">
        <f t="shared" si="310"/>
        <v>1.2679999999999999E-2</v>
      </c>
      <c r="AX76" s="16">
        <f>IFERROR(AR76*1000/AL76,0)</f>
        <v>0.31144177768989295</v>
      </c>
      <c r="AY76" s="16">
        <f t="shared" si="336"/>
        <v>2.0122343850611721E-3</v>
      </c>
      <c r="AZ76" s="16">
        <f t="shared" si="337"/>
        <v>1.2285766939001167E-3</v>
      </c>
      <c r="BA76" s="16">
        <f t="shared" si="338"/>
        <v>7.1530758226037204E-3</v>
      </c>
      <c r="BB76" s="16">
        <f t="shared" si="338"/>
        <v>0</v>
      </c>
      <c r="BD76" s="16">
        <f t="shared" si="313"/>
        <v>0.31140000000000001</v>
      </c>
      <c r="BE76" s="16">
        <f t="shared" si="94"/>
        <v>2E-3</v>
      </c>
      <c r="BF76" s="16">
        <f t="shared" si="95"/>
        <v>1.1999999999999999E-3</v>
      </c>
      <c r="BG76" s="16">
        <f t="shared" si="96"/>
        <v>7.1999999999999998E-3</v>
      </c>
      <c r="BH76" s="16">
        <f t="shared" si="97"/>
        <v>0</v>
      </c>
      <c r="BJ76" s="16" t="str">
        <f t="shared" si="314"/>
        <v>Hungary</v>
      </c>
      <c r="BK76" s="16" t="s">
        <v>261</v>
      </c>
      <c r="BL76" s="9">
        <f>'GHG data from Eurostat'!EP82</f>
        <v>0</v>
      </c>
    </row>
    <row r="77" spans="7:64" x14ac:dyDescent="0.25">
      <c r="G77" s="9" t="s">
        <v>194</v>
      </c>
      <c r="H77" s="9" t="s">
        <v>262</v>
      </c>
      <c r="I77" s="9">
        <f t="shared" si="301"/>
        <v>1.0886999999999999E-2</v>
      </c>
      <c r="J77" s="9">
        <f t="shared" si="302"/>
        <v>1.4119999999999999E-2</v>
      </c>
      <c r="K77" s="9">
        <f t="shared" si="303"/>
        <v>3.2000000000000001E-2</v>
      </c>
      <c r="L77" s="9">
        <f t="shared" si="304"/>
        <v>1.8900000000000002E-3</v>
      </c>
      <c r="M77" s="9">
        <f>'GHG data from Eurostat'!CP83</f>
        <v>1.5200000000000001E-3</v>
      </c>
      <c r="N77" s="9">
        <f>'GHG data from Eurostat'!CN83</f>
        <v>3.0769999999999999E-2</v>
      </c>
      <c r="O77" s="9">
        <f>'GHG data from Eurostat'!CQ83</f>
        <v>3.3E-3</v>
      </c>
      <c r="P77" s="9">
        <f>'GHG data from Eurostat'!CO83</f>
        <v>3.8300000000000001E-3</v>
      </c>
      <c r="Q77" s="9">
        <f>'GHG data from Eurostat'!CU83</f>
        <v>9.3999999999999997E-4</v>
      </c>
      <c r="R77" s="9">
        <f>IFERROR(('GHG data from Eurostat'!CS83+'GHG data from Eurostat'!CW83),0)</f>
        <v>1.2319999999999999E-2</v>
      </c>
      <c r="S77" s="9">
        <f>'GHG data from Eurostat'!CV83</f>
        <v>4.0099999999999997E-3</v>
      </c>
      <c r="T77" s="9">
        <f>'GHG data from Eurostat'!CT83</f>
        <v>2.5999999999999998E-4</v>
      </c>
      <c r="U77" s="9">
        <f>Q77+M77</f>
        <v>2.4599999999999999E-3</v>
      </c>
      <c r="V77" s="9">
        <f t="shared" ref="V77:V78" si="339">R77+N77</f>
        <v>4.3089999999999996E-2</v>
      </c>
      <c r="W77" s="9">
        <f t="shared" ref="W77:W78" si="340">S77+O77</f>
        <v>7.3099999999999997E-3</v>
      </c>
      <c r="X77" s="9">
        <f t="shared" ref="X77:X78" si="341">T77+P77</f>
        <v>4.0899999999999999E-3</v>
      </c>
      <c r="Y77" s="9">
        <f t="shared" si="306"/>
        <v>5.6949999999999987E-2</v>
      </c>
      <c r="Z77" s="17">
        <f t="shared" si="307"/>
        <v>0.22595756406723616</v>
      </c>
      <c r="AA77" s="17">
        <f t="shared" si="85"/>
        <v>3.0516997167138808</v>
      </c>
      <c r="AB77" s="17">
        <f t="shared" si="86"/>
        <v>0.22843749999999999</v>
      </c>
      <c r="AC77" s="17">
        <f t="shared" si="87"/>
        <v>2.1640211640211637</v>
      </c>
      <c r="AD77" s="18"/>
      <c r="AE77" s="17">
        <f t="shared" si="309"/>
        <v>0.22600000000000001</v>
      </c>
      <c r="AF77" s="17">
        <f t="shared" si="88"/>
        <v>3.052</v>
      </c>
      <c r="AG77" s="17">
        <f t="shared" si="89"/>
        <v>0.22800000000000001</v>
      </c>
      <c r="AH77" s="17">
        <f t="shared" si="90"/>
        <v>2.1640000000000001</v>
      </c>
      <c r="AJ77" s="9" t="s">
        <v>194</v>
      </c>
      <c r="AK77" s="9" t="s">
        <v>262</v>
      </c>
      <c r="AL77" s="9">
        <f>VLOOKUP($AJ77,Landcover!$A$3:$K$30,5,FALSE)/1000</f>
        <v>9.0999999999999998E-2</v>
      </c>
      <c r="AM77" s="9">
        <f>VLOOKUP($AJ77,Landcover!$A$3:$K$30,6,FALSE)/1000</f>
        <v>1.2E-2</v>
      </c>
      <c r="AN77" s="9">
        <f>VLOOKUP($AJ77,Landcover!$A$3:$K$30,8,FALSE)/1000</f>
        <v>5.8999999999999997E-2</v>
      </c>
      <c r="AO77" s="9">
        <f>VLOOKUP($AJ77,Landcover!$A$3:$K$30,11,FALSE)/1000</f>
        <v>0</v>
      </c>
      <c r="AP77" s="9">
        <f>VLOOKUP($AJ77,Landcover!$A$3:$K$30,7,FALSE)/1000</f>
        <v>4.1000000000000002E-2</v>
      </c>
      <c r="AR77" s="9">
        <f>SUM('GHG data from Eurostat'!CX83,'GHG data from Eurostat'!DC83,'GHG data from Eurostat'!DG83,'GHG data from Eurostat'!DM83,'GHG data from Eurostat'!DP83,'GHG data from Eurostat'!DV83)</f>
        <v>2.4119999999999999E-2</v>
      </c>
      <c r="AS77" s="9">
        <f>'GHG data from Eurostat'!DS83+'GHG data from Eurostat'!DT83</f>
        <v>-1.0000000000000001E-5</v>
      </c>
      <c r="AT77" s="9">
        <f>'GHG data from Eurostat'!EA83+'GHG data from Eurostat'!EB83</f>
        <v>-1.0000000000000001E-5</v>
      </c>
      <c r="AU77" s="9">
        <f>'GHG data from Eurostat'!ED83</f>
        <v>-1.0000000000000001E-5</v>
      </c>
      <c r="AV77" s="9">
        <f>'GHG data from Eurostat'!EL83</f>
        <v>6.4000000000000005E-4</v>
      </c>
      <c r="AW77" s="18">
        <f t="shared" si="310"/>
        <v>2.4730000000000002E-2</v>
      </c>
      <c r="AX77" s="16">
        <f>AR77/AL77</f>
        <v>0.26505494505494503</v>
      </c>
      <c r="AY77" s="16">
        <f t="shared" ref="AY77" si="342">AS77/AM77</f>
        <v>-8.3333333333333339E-4</v>
      </c>
      <c r="AZ77" s="16">
        <f t="shared" ref="AZ77" si="343">AT77/AN77</f>
        <v>-1.6949152542372882E-4</v>
      </c>
      <c r="BA77" s="16">
        <v>0</v>
      </c>
      <c r="BB77" s="16">
        <v>0</v>
      </c>
      <c r="BD77" s="16">
        <f t="shared" si="313"/>
        <v>0.2651</v>
      </c>
      <c r="BE77" s="16">
        <f t="shared" si="94"/>
        <v>-8.0000000000000004E-4</v>
      </c>
      <c r="BF77" s="16">
        <f t="shared" si="95"/>
        <v>-2.0000000000000001E-4</v>
      </c>
      <c r="BG77" s="16">
        <f t="shared" si="96"/>
        <v>0</v>
      </c>
      <c r="BH77" s="16">
        <f t="shared" si="97"/>
        <v>0</v>
      </c>
      <c r="BJ77" s="16" t="str">
        <f t="shared" si="314"/>
        <v>Malta</v>
      </c>
      <c r="BK77" s="16" t="s">
        <v>263</v>
      </c>
      <c r="BL77" s="9">
        <f>'GHG data from Eurostat'!EP83</f>
        <v>0</v>
      </c>
    </row>
    <row r="78" spans="7:64" x14ac:dyDescent="0.25">
      <c r="G78" s="9" t="s">
        <v>194</v>
      </c>
      <c r="H78" s="9" t="s">
        <v>233</v>
      </c>
      <c r="I78" s="9">
        <f t="shared" si="301"/>
        <v>1.0886999999999999E-2</v>
      </c>
      <c r="J78" s="9">
        <f t="shared" si="302"/>
        <v>1.4119999999999999E-2</v>
      </c>
      <c r="K78" s="9">
        <f t="shared" si="303"/>
        <v>3.2000000000000001E-2</v>
      </c>
      <c r="L78" s="9">
        <f t="shared" si="304"/>
        <v>1.8900000000000002E-3</v>
      </c>
      <c r="M78" s="9">
        <f>'GHG data from Eurostat'!CP84</f>
        <v>0</v>
      </c>
      <c r="N78" s="9">
        <f>'GHG data from Eurostat'!CN84</f>
        <v>0</v>
      </c>
      <c r="O78" s="9">
        <f>'GHG data from Eurostat'!CQ84</f>
        <v>0</v>
      </c>
      <c r="P78" s="9">
        <f>'GHG data from Eurostat'!CO84</f>
        <v>0</v>
      </c>
      <c r="Q78" s="9">
        <f>'GHG data from Eurostat'!CU84</f>
        <v>0</v>
      </c>
      <c r="R78" s="9">
        <f>IFERROR(('GHG data from Eurostat'!CS84+'GHG data from Eurostat'!CW84),0)</f>
        <v>0</v>
      </c>
      <c r="S78" s="9">
        <f>'GHG data from Eurostat'!CV84</f>
        <v>0</v>
      </c>
      <c r="T78" s="9">
        <f>'GHG data from Eurostat'!CT84</f>
        <v>0</v>
      </c>
      <c r="U78" s="9">
        <f t="shared" ref="U78" si="344">Q78+M78</f>
        <v>0</v>
      </c>
      <c r="V78" s="9">
        <f t="shared" si="339"/>
        <v>0</v>
      </c>
      <c r="W78" s="9">
        <f t="shared" si="340"/>
        <v>0</v>
      </c>
      <c r="X78" s="9">
        <f t="shared" si="341"/>
        <v>0</v>
      </c>
      <c r="Y78" s="9">
        <f t="shared" si="306"/>
        <v>0</v>
      </c>
      <c r="Z78" s="17">
        <f t="shared" si="307"/>
        <v>0</v>
      </c>
      <c r="AA78" s="17">
        <f t="shared" si="85"/>
        <v>0</v>
      </c>
      <c r="AB78" s="17">
        <f t="shared" si="86"/>
        <v>0</v>
      </c>
      <c r="AC78" s="17">
        <f t="shared" si="87"/>
        <v>0</v>
      </c>
      <c r="AD78" s="18"/>
      <c r="AE78" s="17">
        <f t="shared" si="309"/>
        <v>0</v>
      </c>
      <c r="AF78" s="17">
        <f t="shared" si="88"/>
        <v>0</v>
      </c>
      <c r="AG78" s="17">
        <f t="shared" si="89"/>
        <v>0</v>
      </c>
      <c r="AH78" s="17">
        <f t="shared" si="90"/>
        <v>0</v>
      </c>
      <c r="AJ78" s="9" t="s">
        <v>194</v>
      </c>
      <c r="AK78" s="9" t="s">
        <v>233</v>
      </c>
      <c r="AL78" s="9">
        <f>VLOOKUP($AJ78,Landcover!$A$3:$K$30,5,FALSE)/1000</f>
        <v>9.0999999999999998E-2</v>
      </c>
      <c r="AM78" s="9">
        <f>VLOOKUP($AJ78,Landcover!$A$3:$K$30,6,FALSE)/1000</f>
        <v>1.2E-2</v>
      </c>
      <c r="AN78" s="9">
        <f>VLOOKUP($AJ78,Landcover!$A$3:$K$30,8,FALSE)/1000</f>
        <v>5.8999999999999997E-2</v>
      </c>
      <c r="AO78" s="9">
        <f>VLOOKUP($AJ78,Landcover!$A$3:$K$30,11,FALSE)/1000</f>
        <v>0</v>
      </c>
      <c r="AP78" s="9">
        <f>VLOOKUP($AJ78,Landcover!$A$3:$K$30,7,FALSE)/1000</f>
        <v>4.1000000000000002E-2</v>
      </c>
      <c r="AR78" s="9">
        <f>SUM('GHG data from Eurostat'!CX84,'GHG data from Eurostat'!DC84,'GHG data from Eurostat'!DG84,'GHG data from Eurostat'!DM84,'GHG data from Eurostat'!DP84,'GHG data from Eurostat'!DV84)</f>
        <v>-2.2799999999999999E-3</v>
      </c>
      <c r="AS78" s="9">
        <f>'GHG data from Eurostat'!DS84+'GHG data from Eurostat'!DT84</f>
        <v>-1.0000000000000001E-5</v>
      </c>
      <c r="AT78" s="9">
        <f>'GHG data from Eurostat'!EA84+'GHG data from Eurostat'!EB84</f>
        <v>-1.0000000000000001E-5</v>
      </c>
      <c r="AU78" s="9">
        <f>'GHG data from Eurostat'!ED84</f>
        <v>-1.0000000000000001E-5</v>
      </c>
      <c r="AV78" s="9">
        <f>'GHG data from Eurostat'!EL84</f>
        <v>5.9999999999999995E-4</v>
      </c>
      <c r="AW78" s="18">
        <f t="shared" si="310"/>
        <v>-1.7100000000000001E-3</v>
      </c>
      <c r="AX78" s="16">
        <f>AR78/AL78</f>
        <v>-2.5054945054945054E-2</v>
      </c>
      <c r="AY78" s="16">
        <f t="shared" ref="AY78" si="345">AS78/AM78</f>
        <v>-8.3333333333333339E-4</v>
      </c>
      <c r="AZ78" s="16">
        <f t="shared" ref="AZ78" si="346">AT78/AN78</f>
        <v>-1.6949152542372882E-4</v>
      </c>
      <c r="BA78" s="16">
        <v>1</v>
      </c>
      <c r="BB78" s="16">
        <v>1</v>
      </c>
      <c r="BD78" s="16">
        <f t="shared" si="313"/>
        <v>-2.5100000000000001E-2</v>
      </c>
      <c r="BE78" s="16">
        <f t="shared" si="94"/>
        <v>-8.0000000000000004E-4</v>
      </c>
      <c r="BF78" s="16">
        <f t="shared" si="95"/>
        <v>-2.0000000000000001E-4</v>
      </c>
      <c r="BG78" s="16">
        <f t="shared" si="96"/>
        <v>1</v>
      </c>
      <c r="BH78" s="16">
        <f t="shared" si="97"/>
        <v>1</v>
      </c>
      <c r="BJ78" s="16" t="str">
        <f t="shared" si="314"/>
        <v>Malta</v>
      </c>
      <c r="BK78" s="16" t="s">
        <v>259</v>
      </c>
      <c r="BL78" s="9">
        <f>'GHG data from Eurostat'!EP84</f>
        <v>0</v>
      </c>
    </row>
    <row r="79" spans="7:64" x14ac:dyDescent="0.25">
      <c r="G79" s="9" t="s">
        <v>194</v>
      </c>
      <c r="H79" s="9" t="s">
        <v>231</v>
      </c>
      <c r="I79" s="9">
        <f t="shared" si="301"/>
        <v>1.0886999999999999E-2</v>
      </c>
      <c r="J79" s="9">
        <f t="shared" si="302"/>
        <v>1.4119999999999999E-2</v>
      </c>
      <c r="K79" s="9">
        <f t="shared" si="303"/>
        <v>3.2000000000000001E-2</v>
      </c>
      <c r="L79" s="9">
        <f t="shared" si="304"/>
        <v>1.8900000000000002E-3</v>
      </c>
      <c r="M79" s="9">
        <f>'GHG data from Eurostat'!CP85</f>
        <v>5.0000000000000002E-5</v>
      </c>
      <c r="N79" s="9">
        <f>'GHG data from Eurostat'!CN85</f>
        <v>1.1000000000000001E-3</v>
      </c>
      <c r="O79" s="9">
        <f>'GHG data from Eurostat'!CQ85</f>
        <v>1.2E-4</v>
      </c>
      <c r="P79" s="9">
        <f>'GHG data from Eurostat'!CO85</f>
        <v>1.3999999999999999E-4</v>
      </c>
      <c r="Q79" s="9">
        <f>'GHG data from Eurostat'!CU85</f>
        <v>2.0000000000000002E-5</v>
      </c>
      <c r="R79" s="9">
        <f>IFERROR(('GHG data from Eurostat'!CS85+'GHG data from Eurostat'!CW85),0)</f>
        <v>1.1E-4</v>
      </c>
      <c r="S79" s="9">
        <f>'GHG data from Eurostat'!CV85</f>
        <v>9.0000000000000006E-5</v>
      </c>
      <c r="T79" s="9">
        <f>'GHG data from Eurostat'!CT85</f>
        <v>0</v>
      </c>
      <c r="U79" s="9">
        <f>(Q79+M79)*1000</f>
        <v>7.0000000000000007E-2</v>
      </c>
      <c r="V79" s="9">
        <f t="shared" ref="V79:V80" si="347">(R79+N79)*1000</f>
        <v>1.2100000000000002</v>
      </c>
      <c r="W79" s="9">
        <f t="shared" ref="W79:W80" si="348">(S79+O79)*1000</f>
        <v>0.21000000000000002</v>
      </c>
      <c r="X79" s="9">
        <f t="shared" ref="X79:X80" si="349">(T79+P79)*1000</f>
        <v>0.13999999999999999</v>
      </c>
      <c r="Y79" s="9">
        <f t="shared" si="306"/>
        <v>1.6300000000000001</v>
      </c>
      <c r="Z79" s="17">
        <f t="shared" ref="Z79:AC80" si="350">IFERROR((M79+Q79)*1000/I79,0)</f>
        <v>6.4296867824010295</v>
      </c>
      <c r="AA79" s="17">
        <f t="shared" si="350"/>
        <v>85.694050991501442</v>
      </c>
      <c r="AB79" s="17">
        <f t="shared" si="350"/>
        <v>6.5625000000000009</v>
      </c>
      <c r="AC79" s="17">
        <f t="shared" si="350"/>
        <v>74.074074074074062</v>
      </c>
      <c r="AD79" s="18"/>
      <c r="AE79" s="17">
        <f t="shared" si="309"/>
        <v>6.43</v>
      </c>
      <c r="AF79" s="17">
        <f t="shared" si="88"/>
        <v>85.694000000000003</v>
      </c>
      <c r="AG79" s="17">
        <f t="shared" si="89"/>
        <v>6.5629999999999997</v>
      </c>
      <c r="AH79" s="17">
        <f t="shared" si="90"/>
        <v>74.073999999999998</v>
      </c>
      <c r="AJ79" s="9" t="s">
        <v>194</v>
      </c>
      <c r="AK79" s="9" t="s">
        <v>231</v>
      </c>
      <c r="AL79" s="9">
        <f>VLOOKUP($AJ79,Landcover!$A$3:$K$30,5,FALSE)/1000</f>
        <v>9.0999999999999998E-2</v>
      </c>
      <c r="AM79" s="9">
        <f>VLOOKUP($AJ79,Landcover!$A$3:$K$30,6,FALSE)/1000</f>
        <v>1.2E-2</v>
      </c>
      <c r="AN79" s="9">
        <f>VLOOKUP($AJ79,Landcover!$A$3:$K$30,8,FALSE)/1000</f>
        <v>5.8999999999999997E-2</v>
      </c>
      <c r="AO79" s="9">
        <f>VLOOKUP($AJ79,Landcover!$A$3:$K$30,11,FALSE)/1000</f>
        <v>0</v>
      </c>
      <c r="AP79" s="9">
        <f>VLOOKUP($AJ79,Landcover!$A$3:$K$30,7,FALSE)/1000</f>
        <v>4.1000000000000002E-2</v>
      </c>
      <c r="AR79" s="9">
        <f>SUM('GHG data from Eurostat'!CX85,'GHG data from Eurostat'!DC85,'GHG data from Eurostat'!DG85,'GHG data from Eurostat'!DM85,'GHG data from Eurostat'!DP85,'GHG data from Eurostat'!DV85)</f>
        <v>0</v>
      </c>
      <c r="AS79" s="9">
        <f>'GHG data from Eurostat'!DS85+'GHG data from Eurostat'!DT85</f>
        <v>0</v>
      </c>
      <c r="AT79" s="9">
        <f>'GHG data from Eurostat'!EA85+'GHG data from Eurostat'!EB85</f>
        <v>0</v>
      </c>
      <c r="AU79" s="9">
        <f>'GHG data from Eurostat'!ED85</f>
        <v>0</v>
      </c>
      <c r="AV79" s="9">
        <f>'GHG data from Eurostat'!EL85</f>
        <v>0</v>
      </c>
      <c r="AW79" s="18">
        <f t="shared" si="310"/>
        <v>0</v>
      </c>
      <c r="AX79" s="16">
        <f>IFERROR(AR79*1000/AL79,0)</f>
        <v>0</v>
      </c>
      <c r="AY79" s="16">
        <f t="shared" ref="AY79:AY80" si="351">IFERROR(AS79*1000/AM79,0)</f>
        <v>0</v>
      </c>
      <c r="AZ79" s="16">
        <f t="shared" ref="AZ79:AZ80" si="352">IFERROR(AT79*1000/AN79,0)</f>
        <v>0</v>
      </c>
      <c r="BA79" s="16">
        <f t="shared" ref="BA79:BB80" si="353">IFERROR(AU79*1000/AO79,0)</f>
        <v>0</v>
      </c>
      <c r="BB79" s="16">
        <f t="shared" si="353"/>
        <v>0</v>
      </c>
      <c r="BD79" s="16">
        <f t="shared" si="313"/>
        <v>0</v>
      </c>
      <c r="BE79" s="16">
        <f t="shared" si="94"/>
        <v>0</v>
      </c>
      <c r="BF79" s="16">
        <f t="shared" si="95"/>
        <v>0</v>
      </c>
      <c r="BG79" s="16">
        <f t="shared" si="96"/>
        <v>0</v>
      </c>
      <c r="BH79" s="16">
        <f t="shared" si="97"/>
        <v>0</v>
      </c>
      <c r="BJ79" s="16" t="str">
        <f t="shared" si="314"/>
        <v>Malta</v>
      </c>
      <c r="BK79" s="16" t="s">
        <v>260</v>
      </c>
      <c r="BL79" s="9">
        <f>'GHG data from Eurostat'!EP85</f>
        <v>0</v>
      </c>
    </row>
    <row r="80" spans="7:64" x14ac:dyDescent="0.25">
      <c r="G80" s="9" t="s">
        <v>194</v>
      </c>
      <c r="H80" s="9" t="s">
        <v>232</v>
      </c>
      <c r="I80" s="9">
        <f t="shared" si="301"/>
        <v>1.0886999999999999E-2</v>
      </c>
      <c r="J80" s="9">
        <f t="shared" si="302"/>
        <v>1.4119999999999999E-2</v>
      </c>
      <c r="K80" s="9">
        <f t="shared" si="303"/>
        <v>3.2000000000000001E-2</v>
      </c>
      <c r="L80" s="9">
        <f t="shared" si="304"/>
        <v>1.8900000000000002E-3</v>
      </c>
      <c r="M80" s="9">
        <f>'GHG data from Eurostat'!CP86</f>
        <v>0</v>
      </c>
      <c r="N80" s="9">
        <f>'GHG data from Eurostat'!CN86</f>
        <v>0</v>
      </c>
      <c r="O80" s="9">
        <f>'GHG data from Eurostat'!CQ86</f>
        <v>0</v>
      </c>
      <c r="P80" s="9">
        <f>'GHG data from Eurostat'!CO86</f>
        <v>0</v>
      </c>
      <c r="Q80" s="9">
        <f>'GHG data from Eurostat'!CU86</f>
        <v>0</v>
      </c>
      <c r="R80" s="9">
        <f>IFERROR(('GHG data from Eurostat'!CS86+'GHG data from Eurostat'!CW86),0)</f>
        <v>4.0000000000000003E-5</v>
      </c>
      <c r="S80" s="9">
        <f>'GHG data from Eurostat'!CV86</f>
        <v>1.0000000000000001E-5</v>
      </c>
      <c r="T80" s="9">
        <f>'GHG data from Eurostat'!CT86</f>
        <v>0</v>
      </c>
      <c r="U80" s="9">
        <f>(Q80+M80)*1000</f>
        <v>0</v>
      </c>
      <c r="V80" s="9">
        <f t="shared" si="347"/>
        <v>0.04</v>
      </c>
      <c r="W80" s="9">
        <f t="shared" si="348"/>
        <v>0.01</v>
      </c>
      <c r="X80" s="9">
        <f t="shared" si="349"/>
        <v>0</v>
      </c>
      <c r="Y80" s="9">
        <f t="shared" si="306"/>
        <v>0.05</v>
      </c>
      <c r="Z80" s="17">
        <f t="shared" si="350"/>
        <v>0</v>
      </c>
      <c r="AA80" s="17">
        <f t="shared" si="350"/>
        <v>2.8328611898017</v>
      </c>
      <c r="AB80" s="17">
        <f t="shared" si="350"/>
        <v>0.3125</v>
      </c>
      <c r="AC80" s="17">
        <f t="shared" si="350"/>
        <v>0</v>
      </c>
      <c r="AD80" s="18"/>
      <c r="AE80" s="17">
        <f t="shared" si="309"/>
        <v>0</v>
      </c>
      <c r="AF80" s="17">
        <f t="shared" si="88"/>
        <v>2.8330000000000002</v>
      </c>
      <c r="AG80" s="17">
        <f t="shared" si="89"/>
        <v>0.313</v>
      </c>
      <c r="AH80" s="17">
        <f t="shared" si="90"/>
        <v>0</v>
      </c>
      <c r="AJ80" s="9" t="s">
        <v>194</v>
      </c>
      <c r="AK80" s="9" t="s">
        <v>232</v>
      </c>
      <c r="AL80" s="9">
        <f>VLOOKUP($AJ80,Landcover!$A$3:$K$30,5,FALSE)/1000</f>
        <v>9.0999999999999998E-2</v>
      </c>
      <c r="AM80" s="9">
        <f>VLOOKUP($AJ80,Landcover!$A$3:$K$30,6,FALSE)/1000</f>
        <v>1.2E-2</v>
      </c>
      <c r="AN80" s="9">
        <f>VLOOKUP($AJ80,Landcover!$A$3:$K$30,8,FALSE)/1000</f>
        <v>5.8999999999999997E-2</v>
      </c>
      <c r="AO80" s="9">
        <f>VLOOKUP($AJ80,Landcover!$A$3:$K$30,11,FALSE)/1000</f>
        <v>0</v>
      </c>
      <c r="AP80" s="9">
        <f>VLOOKUP($AJ80,Landcover!$A$3:$K$30,7,FALSE)/1000</f>
        <v>4.1000000000000002E-2</v>
      </c>
      <c r="AR80" s="9">
        <f>SUM('GHG data from Eurostat'!CX86,'GHG data from Eurostat'!DC86,'GHG data from Eurostat'!DG86,'GHG data from Eurostat'!DM86,'GHG data from Eurostat'!DP86,'GHG data from Eurostat'!DV86)</f>
        <v>1E-4</v>
      </c>
      <c r="AS80" s="9">
        <f>'GHG data from Eurostat'!DS86+'GHG data from Eurostat'!DT86</f>
        <v>0</v>
      </c>
      <c r="AT80" s="9">
        <f>'GHG data from Eurostat'!EA86+'GHG data from Eurostat'!EB86</f>
        <v>0</v>
      </c>
      <c r="AU80" s="9">
        <f>'GHG data from Eurostat'!ED86</f>
        <v>0</v>
      </c>
      <c r="AV80" s="9">
        <f>'GHG data from Eurostat'!EL86</f>
        <v>0</v>
      </c>
      <c r="AW80" s="18">
        <f t="shared" si="310"/>
        <v>1E-4</v>
      </c>
      <c r="AX80" s="16">
        <f>IFERROR(AR80*1000/AL80,0)</f>
        <v>1.098901098901099</v>
      </c>
      <c r="AY80" s="16">
        <f t="shared" si="351"/>
        <v>0</v>
      </c>
      <c r="AZ80" s="16">
        <f t="shared" si="352"/>
        <v>0</v>
      </c>
      <c r="BA80" s="16">
        <f t="shared" si="353"/>
        <v>0</v>
      </c>
      <c r="BB80" s="16">
        <f t="shared" si="353"/>
        <v>0</v>
      </c>
      <c r="BD80" s="16">
        <f t="shared" si="313"/>
        <v>1.0989</v>
      </c>
      <c r="BE80" s="16">
        <f t="shared" si="94"/>
        <v>0</v>
      </c>
      <c r="BF80" s="16">
        <f t="shared" si="95"/>
        <v>0</v>
      </c>
      <c r="BG80" s="16">
        <f t="shared" si="96"/>
        <v>0</v>
      </c>
      <c r="BH80" s="16">
        <f t="shared" si="97"/>
        <v>0</v>
      </c>
      <c r="BJ80" s="16" t="str">
        <f t="shared" si="314"/>
        <v>Malta</v>
      </c>
      <c r="BK80" s="16" t="s">
        <v>261</v>
      </c>
      <c r="BL80" s="9">
        <f>'GHG data from Eurostat'!EP86</f>
        <v>0</v>
      </c>
    </row>
    <row r="81" spans="7:64" x14ac:dyDescent="0.25">
      <c r="G81" s="9" t="s">
        <v>195</v>
      </c>
      <c r="H81" s="9" t="s">
        <v>262</v>
      </c>
      <c r="I81" s="9">
        <f t="shared" si="301"/>
        <v>3.5727000000000002</v>
      </c>
      <c r="J81" s="9">
        <f t="shared" si="302"/>
        <v>3.69</v>
      </c>
      <c r="K81" s="9">
        <f t="shared" si="303"/>
        <v>3.7109999999999999</v>
      </c>
      <c r="L81" s="9">
        <f t="shared" si="304"/>
        <v>0.12610000000000002</v>
      </c>
      <c r="M81" s="9">
        <f>'GHG data from Eurostat'!CP87</f>
        <v>0.52041000000000004</v>
      </c>
      <c r="N81" s="9">
        <f>'GHG data from Eurostat'!CN87</f>
        <v>8.2225199999999994</v>
      </c>
      <c r="O81" s="9">
        <f>'GHG data from Eurostat'!CQ87</f>
        <v>0.28871000000000002</v>
      </c>
      <c r="P81" s="9">
        <f>'GHG data from Eurostat'!CO87</f>
        <v>0.21240999999999999</v>
      </c>
      <c r="Q81" s="9">
        <f>'GHG data from Eurostat'!CU87</f>
        <v>2.0023900000000001</v>
      </c>
      <c r="R81" s="9">
        <f>IFERROR(('GHG data from Eurostat'!CS87+'GHG data from Eurostat'!CW87),0)</f>
        <v>2.7653600000000003</v>
      </c>
      <c r="S81" s="9">
        <f>'GHG data from Eurostat'!CV87</f>
        <v>0.21165999999999999</v>
      </c>
      <c r="T81" s="9">
        <f>'GHG data from Eurostat'!CT87</f>
        <v>6.6899999999999998E-3</v>
      </c>
      <c r="U81" s="9">
        <f>Q81+M81</f>
        <v>2.5228000000000002</v>
      </c>
      <c r="V81" s="9">
        <f t="shared" ref="V81:V82" si="354">R81+N81</f>
        <v>10.987880000000001</v>
      </c>
      <c r="W81" s="9">
        <f t="shared" ref="W81:W82" si="355">S81+O81</f>
        <v>0.50036999999999998</v>
      </c>
      <c r="X81" s="9">
        <f t="shared" ref="X81:X82" si="356">T81+P81</f>
        <v>0.21909999999999999</v>
      </c>
      <c r="Y81" s="9">
        <f t="shared" si="306"/>
        <v>14.23015</v>
      </c>
      <c r="Z81" s="17">
        <f t="shared" si="307"/>
        <v>0.70613261678842332</v>
      </c>
      <c r="AA81" s="17">
        <f t="shared" si="85"/>
        <v>2.9777452574525749</v>
      </c>
      <c r="AB81" s="17">
        <f t="shared" si="86"/>
        <v>0.13483427647534357</v>
      </c>
      <c r="AC81" s="17">
        <f t="shared" si="87"/>
        <v>1.7375099127676443</v>
      </c>
      <c r="AD81" s="18"/>
      <c r="AE81" s="17">
        <f t="shared" si="309"/>
        <v>0.70599999999999996</v>
      </c>
      <c r="AF81" s="17">
        <f t="shared" si="88"/>
        <v>2.9780000000000002</v>
      </c>
      <c r="AG81" s="17">
        <f t="shared" si="89"/>
        <v>0.13500000000000001</v>
      </c>
      <c r="AH81" s="17">
        <f t="shared" si="90"/>
        <v>1.738</v>
      </c>
      <c r="AJ81" s="9" t="s">
        <v>195</v>
      </c>
      <c r="AK81" s="9" t="s">
        <v>262</v>
      </c>
      <c r="AL81" s="9">
        <f>VLOOKUP($AJ81,Landcover!$A$3:$K$30,5,FALSE)/1000</f>
        <v>8.5</v>
      </c>
      <c r="AM81" s="9">
        <f>VLOOKUP($AJ81,Landcover!$A$3:$K$30,6,FALSE)/1000</f>
        <v>5.6369999999999996</v>
      </c>
      <c r="AN81" s="9">
        <f>VLOOKUP($AJ81,Landcover!$A$3:$K$30,8,FALSE)/1000</f>
        <v>13.031000000000001</v>
      </c>
      <c r="AO81" s="9">
        <f>VLOOKUP($AJ81,Landcover!$A$3:$K$30,11,FALSE)/1000</f>
        <v>0.27100000000000002</v>
      </c>
      <c r="AP81" s="9">
        <f>VLOOKUP($AJ81,Landcover!$A$3:$K$30,7,FALSE)/1000</f>
        <v>0.63700000000000001</v>
      </c>
      <c r="AR81" s="9">
        <f>SUM('GHG data from Eurostat'!CX87,'GHG data from Eurostat'!DC87,'GHG data from Eurostat'!DG87,'GHG data from Eurostat'!DM87,'GHG data from Eurostat'!DP87,'GHG data from Eurostat'!DV87)</f>
        <v>7.2023500000000009</v>
      </c>
      <c r="AS81" s="9">
        <f>'GHG data from Eurostat'!DS87+'GHG data from Eurostat'!DT87</f>
        <v>-1.6104200000000002</v>
      </c>
      <c r="AT81" s="9">
        <f>'GHG data from Eurostat'!EA87+'GHG data from Eurostat'!EB87</f>
        <v>2.7739200000000004</v>
      </c>
      <c r="AU81" s="9">
        <f>'GHG data from Eurostat'!ED87</f>
        <v>0.35188999999999998</v>
      </c>
      <c r="AV81" s="9">
        <f>'GHG data from Eurostat'!EL87</f>
        <v>0.19539000000000001</v>
      </c>
      <c r="AW81" s="18">
        <f t="shared" si="310"/>
        <v>8.9131300000000007</v>
      </c>
      <c r="AX81" s="16">
        <f>AR81/AL81</f>
        <v>0.84733529411764719</v>
      </c>
      <c r="AY81" s="16">
        <f t="shared" ref="AY81" si="357">AS81/AM81</f>
        <v>-0.28568742238779499</v>
      </c>
      <c r="AZ81" s="16">
        <f t="shared" ref="AZ81" si="358">AT81/AN81</f>
        <v>0.21287084644309726</v>
      </c>
      <c r="BA81" s="16">
        <f t="shared" ref="BA81:BB81" si="359">AU81/AO81</f>
        <v>1.2984870848708485</v>
      </c>
      <c r="BB81" s="16">
        <f t="shared" si="359"/>
        <v>0.30673469387755103</v>
      </c>
      <c r="BD81" s="16">
        <f t="shared" si="313"/>
        <v>0.84730000000000005</v>
      </c>
      <c r="BE81" s="16">
        <f t="shared" si="94"/>
        <v>-0.28570000000000001</v>
      </c>
      <c r="BF81" s="16">
        <f t="shared" si="95"/>
        <v>0.21290000000000001</v>
      </c>
      <c r="BG81" s="16">
        <f t="shared" si="96"/>
        <v>1.2985</v>
      </c>
      <c r="BH81" s="16">
        <f t="shared" si="97"/>
        <v>0.30669999999999997</v>
      </c>
      <c r="BJ81" s="16" t="str">
        <f t="shared" si="314"/>
        <v>Netherlands</v>
      </c>
      <c r="BK81" s="16" t="s">
        <v>263</v>
      </c>
      <c r="BL81" s="9">
        <f>'GHG data from Eurostat'!EP87</f>
        <v>0.13655999999999999</v>
      </c>
    </row>
    <row r="82" spans="7:64" x14ac:dyDescent="0.25">
      <c r="G82" s="9" t="s">
        <v>195</v>
      </c>
      <c r="H82" s="9" t="s">
        <v>233</v>
      </c>
      <c r="I82" s="9">
        <f t="shared" si="301"/>
        <v>3.5727000000000002</v>
      </c>
      <c r="J82" s="9">
        <f t="shared" si="302"/>
        <v>3.69</v>
      </c>
      <c r="K82" s="9">
        <f t="shared" si="303"/>
        <v>3.7109999999999999</v>
      </c>
      <c r="L82" s="9">
        <f t="shared" si="304"/>
        <v>0.12610000000000002</v>
      </c>
      <c r="M82" s="9">
        <f>'GHG data from Eurostat'!CP88</f>
        <v>0</v>
      </c>
      <c r="N82" s="9">
        <f>'GHG data from Eurostat'!CN88</f>
        <v>0</v>
      </c>
      <c r="O82" s="9">
        <f>'GHG data from Eurostat'!CQ88</f>
        <v>0</v>
      </c>
      <c r="P82" s="9">
        <f>'GHG data from Eurostat'!CO88</f>
        <v>0</v>
      </c>
      <c r="Q82" s="9">
        <f>'GHG data from Eurostat'!CU88</f>
        <v>0</v>
      </c>
      <c r="R82" s="9">
        <f>IFERROR(('GHG data from Eurostat'!CS88+'GHG data from Eurostat'!CW88),0)</f>
        <v>0</v>
      </c>
      <c r="S82" s="9">
        <f>'GHG data from Eurostat'!CV88</f>
        <v>0</v>
      </c>
      <c r="T82" s="9">
        <f>'GHG data from Eurostat'!CT88</f>
        <v>0</v>
      </c>
      <c r="U82" s="9">
        <f t="shared" ref="U82" si="360">Q82+M82</f>
        <v>0</v>
      </c>
      <c r="V82" s="9">
        <f t="shared" si="354"/>
        <v>0</v>
      </c>
      <c r="W82" s="9">
        <f t="shared" si="355"/>
        <v>0</v>
      </c>
      <c r="X82" s="9">
        <f t="shared" si="356"/>
        <v>0</v>
      </c>
      <c r="Y82" s="9">
        <f t="shared" si="306"/>
        <v>0</v>
      </c>
      <c r="Z82" s="17">
        <f t="shared" si="307"/>
        <v>0</v>
      </c>
      <c r="AA82" s="17">
        <f t="shared" si="85"/>
        <v>0</v>
      </c>
      <c r="AB82" s="17">
        <f t="shared" si="86"/>
        <v>0</v>
      </c>
      <c r="AC82" s="17">
        <f t="shared" si="87"/>
        <v>0</v>
      </c>
      <c r="AD82" s="18"/>
      <c r="AE82" s="17">
        <f t="shared" si="309"/>
        <v>0</v>
      </c>
      <c r="AF82" s="17">
        <f t="shared" si="88"/>
        <v>0</v>
      </c>
      <c r="AG82" s="17">
        <f t="shared" si="89"/>
        <v>0</v>
      </c>
      <c r="AH82" s="17">
        <f t="shared" si="90"/>
        <v>0</v>
      </c>
      <c r="AJ82" s="9" t="s">
        <v>195</v>
      </c>
      <c r="AK82" s="9" t="s">
        <v>233</v>
      </c>
      <c r="AL82" s="9">
        <f>VLOOKUP($AJ82,Landcover!$A$3:$K$30,5,FALSE)/1000</f>
        <v>8.5</v>
      </c>
      <c r="AM82" s="9">
        <f>VLOOKUP($AJ82,Landcover!$A$3:$K$30,6,FALSE)/1000</f>
        <v>5.6369999999999996</v>
      </c>
      <c r="AN82" s="9">
        <f>VLOOKUP($AJ82,Landcover!$A$3:$K$30,8,FALSE)/1000</f>
        <v>13.031000000000001</v>
      </c>
      <c r="AO82" s="9">
        <f>VLOOKUP($AJ82,Landcover!$A$3:$K$30,11,FALSE)/1000</f>
        <v>0.27100000000000002</v>
      </c>
      <c r="AP82" s="9">
        <f>VLOOKUP($AJ82,Landcover!$A$3:$K$30,7,FALSE)/1000</f>
        <v>0.63700000000000001</v>
      </c>
      <c r="AR82" s="9">
        <f>SUM('GHG data from Eurostat'!CX88,'GHG data from Eurostat'!DC88,'GHG data from Eurostat'!DG88,'GHG data from Eurostat'!DM88,'GHG data from Eurostat'!DP88,'GHG data from Eurostat'!DV88)</f>
        <v>2.6344599999999998</v>
      </c>
      <c r="AS82" s="9">
        <f>'GHG data from Eurostat'!DS88+'GHG data from Eurostat'!DT88</f>
        <v>-1.6170599999999999</v>
      </c>
      <c r="AT82" s="9">
        <f>'GHG data from Eurostat'!EA88+'GHG data from Eurostat'!EB88</f>
        <v>2.3199000000000001</v>
      </c>
      <c r="AU82" s="9">
        <f>'GHG data from Eurostat'!ED88</f>
        <v>-6.5700000000000003E-3</v>
      </c>
      <c r="AV82" s="9">
        <f>'GHG data from Eurostat'!EL88</f>
        <v>0.18647</v>
      </c>
      <c r="AW82" s="18">
        <f t="shared" si="310"/>
        <v>3.5171999999999999</v>
      </c>
      <c r="AX82" s="16">
        <f>AR82/AL82</f>
        <v>0.30993647058823526</v>
      </c>
      <c r="AY82" s="16">
        <f t="shared" ref="AY82" si="361">AS82/AM82</f>
        <v>-0.28686535391165513</v>
      </c>
      <c r="AZ82" s="16">
        <f t="shared" ref="AZ82" si="362">AT82/AN82</f>
        <v>0.17802931471107358</v>
      </c>
      <c r="BA82" s="16">
        <f t="shared" ref="BA82:BB82" si="363">AU82/AO82</f>
        <v>-2.4243542435424353E-2</v>
      </c>
      <c r="BB82" s="16">
        <f t="shared" si="363"/>
        <v>0.29273155416012558</v>
      </c>
      <c r="BD82" s="16">
        <f t="shared" si="313"/>
        <v>0.30990000000000001</v>
      </c>
      <c r="BE82" s="16">
        <f t="shared" si="94"/>
        <v>-0.28689999999999999</v>
      </c>
      <c r="BF82" s="16">
        <f t="shared" si="95"/>
        <v>0.17799999999999999</v>
      </c>
      <c r="BG82" s="16">
        <f t="shared" si="96"/>
        <v>-2.4199999999999999E-2</v>
      </c>
      <c r="BH82" s="16">
        <f t="shared" si="97"/>
        <v>0.29270000000000002</v>
      </c>
      <c r="BJ82" s="16" t="str">
        <f t="shared" si="314"/>
        <v>Netherlands</v>
      </c>
      <c r="BK82" s="16" t="s">
        <v>259</v>
      </c>
      <c r="BL82" s="9">
        <f>'GHG data from Eurostat'!EP88</f>
        <v>0.13655999999999999</v>
      </c>
    </row>
    <row r="83" spans="7:64" x14ac:dyDescent="0.25">
      <c r="G83" s="9" t="s">
        <v>195</v>
      </c>
      <c r="H83" s="9" t="s">
        <v>231</v>
      </c>
      <c r="I83" s="9">
        <f t="shared" si="301"/>
        <v>3.5727000000000002</v>
      </c>
      <c r="J83" s="9">
        <f t="shared" si="302"/>
        <v>3.69</v>
      </c>
      <c r="K83" s="9">
        <f t="shared" si="303"/>
        <v>3.7109999999999999</v>
      </c>
      <c r="L83" s="9">
        <f t="shared" si="304"/>
        <v>0.12610000000000002</v>
      </c>
      <c r="M83" s="9">
        <f>'GHG data from Eurostat'!CP89</f>
        <v>1.8589999999999999E-2</v>
      </c>
      <c r="N83" s="9">
        <f>'GHG data from Eurostat'!CN89</f>
        <v>0.29365999999999998</v>
      </c>
      <c r="O83" s="9">
        <f>'GHG data from Eurostat'!CQ89</f>
        <v>1.031E-2</v>
      </c>
      <c r="P83" s="9">
        <f>'GHG data from Eurostat'!CO89</f>
        <v>7.5900000000000004E-3</v>
      </c>
      <c r="Q83" s="9">
        <f>'GHG data from Eurostat'!CU89</f>
        <v>6.8290000000000003E-2</v>
      </c>
      <c r="R83" s="9">
        <f>IFERROR(('GHG data from Eurostat'!CS89+'GHG data from Eurostat'!CW89),0)</f>
        <v>7.9119999999999996E-2</v>
      </c>
      <c r="S83" s="9">
        <f>'GHG data from Eurostat'!CV89</f>
        <v>4.5100000000000001E-3</v>
      </c>
      <c r="T83" s="9">
        <f>'GHG data from Eurostat'!CT89</f>
        <v>1.8000000000000001E-4</v>
      </c>
      <c r="U83" s="9">
        <f>(Q83+M83)*1000</f>
        <v>86.88</v>
      </c>
      <c r="V83" s="9">
        <f t="shared" ref="V83:V84" si="364">(R83+N83)*1000</f>
        <v>372.78</v>
      </c>
      <c r="W83" s="9">
        <f t="shared" ref="W83:W84" si="365">(S83+O83)*1000</f>
        <v>14.82</v>
      </c>
      <c r="X83" s="9">
        <f t="shared" ref="X83:X84" si="366">(T83+P83)*1000</f>
        <v>7.77</v>
      </c>
      <c r="Y83" s="9">
        <f t="shared" si="306"/>
        <v>482.24999999999994</v>
      </c>
      <c r="Z83" s="17">
        <f t="shared" ref="Z83:AC84" si="367">IFERROR((M83+Q83)*1000/I83,0)</f>
        <v>24.317742883533459</v>
      </c>
      <c r="AA83" s="17">
        <f t="shared" si="367"/>
        <v>101.02439024390243</v>
      </c>
      <c r="AB83" s="17">
        <f t="shared" si="367"/>
        <v>3.9935327405012129</v>
      </c>
      <c r="AC83" s="17">
        <f t="shared" si="367"/>
        <v>61.617763679619337</v>
      </c>
      <c r="AD83" s="18"/>
      <c r="AE83" s="17">
        <f t="shared" si="309"/>
        <v>24.318000000000001</v>
      </c>
      <c r="AF83" s="17">
        <f t="shared" si="88"/>
        <v>101.024</v>
      </c>
      <c r="AG83" s="17">
        <f t="shared" si="89"/>
        <v>3.9940000000000002</v>
      </c>
      <c r="AH83" s="17">
        <f t="shared" si="90"/>
        <v>61.618000000000002</v>
      </c>
      <c r="AJ83" s="9" t="s">
        <v>195</v>
      </c>
      <c r="AK83" s="9" t="s">
        <v>231</v>
      </c>
      <c r="AL83" s="9">
        <f>VLOOKUP($AJ83,Landcover!$A$3:$K$30,5,FALSE)/1000</f>
        <v>8.5</v>
      </c>
      <c r="AM83" s="9">
        <f>VLOOKUP($AJ83,Landcover!$A$3:$K$30,6,FALSE)/1000</f>
        <v>5.6369999999999996</v>
      </c>
      <c r="AN83" s="9">
        <f>VLOOKUP($AJ83,Landcover!$A$3:$K$30,8,FALSE)/1000</f>
        <v>13.031000000000001</v>
      </c>
      <c r="AO83" s="9">
        <f>VLOOKUP($AJ83,Landcover!$A$3:$K$30,11,FALSE)/1000</f>
        <v>0.27100000000000002</v>
      </c>
      <c r="AP83" s="9">
        <f>VLOOKUP($AJ83,Landcover!$A$3:$K$30,7,FALSE)/1000</f>
        <v>0.63700000000000001</v>
      </c>
      <c r="AR83" s="9">
        <f>SUM('GHG data from Eurostat'!CX89,'GHG data from Eurostat'!DC89,'GHG data from Eurostat'!DG89,'GHG data from Eurostat'!DM89,'GHG data from Eurostat'!DP89,'GHG data from Eurostat'!DV89)</f>
        <v>4.6999999999999999E-4</v>
      </c>
      <c r="AS83" s="9">
        <f>'GHG data from Eurostat'!DS89+'GHG data from Eurostat'!DT89</f>
        <v>1.5999999999999999E-4</v>
      </c>
      <c r="AT83" s="9">
        <f>'GHG data from Eurostat'!EA89+'GHG data from Eurostat'!EB89</f>
        <v>1.6199999999999999E-2</v>
      </c>
      <c r="AU83" s="9">
        <f>'GHG data from Eurostat'!ED89</f>
        <v>1.274E-2</v>
      </c>
      <c r="AV83" s="9">
        <f>'GHG data from Eurostat'!EL89</f>
        <v>0</v>
      </c>
      <c r="AW83" s="18">
        <f t="shared" si="310"/>
        <v>2.9569999999999999E-2</v>
      </c>
      <c r="AX83" s="16">
        <f>IFERROR(AR83*1000/AL83,0)</f>
        <v>5.529411764705882E-2</v>
      </c>
      <c r="AY83" s="16">
        <f t="shared" ref="AY83:AY84" si="368">IFERROR(AS83*1000/AM83,0)</f>
        <v>2.8383892141209861E-2</v>
      </c>
      <c r="AZ83" s="16">
        <f t="shared" ref="AZ83:AZ84" si="369">IFERROR(AT83*1000/AN83,0)</f>
        <v>1.2431893177806768</v>
      </c>
      <c r="BA83" s="16">
        <f t="shared" ref="BA83:BB84" si="370">IFERROR(AU83*1000/AO83,0)</f>
        <v>47.011070110701105</v>
      </c>
      <c r="BB83" s="16">
        <f t="shared" si="370"/>
        <v>0</v>
      </c>
      <c r="BD83" s="16">
        <f t="shared" si="313"/>
        <v>5.5300000000000002E-2</v>
      </c>
      <c r="BE83" s="16">
        <f t="shared" si="94"/>
        <v>2.8400000000000002E-2</v>
      </c>
      <c r="BF83" s="16">
        <f t="shared" si="95"/>
        <v>1.2432000000000001</v>
      </c>
      <c r="BG83" s="16">
        <f t="shared" si="96"/>
        <v>47.011099999999999</v>
      </c>
      <c r="BH83" s="16">
        <f t="shared" si="97"/>
        <v>0</v>
      </c>
      <c r="BJ83" s="16" t="str">
        <f t="shared" si="314"/>
        <v>Netherlands</v>
      </c>
      <c r="BK83" s="16" t="s">
        <v>260</v>
      </c>
      <c r="BL83" s="9">
        <f>'GHG data from Eurostat'!EP89</f>
        <v>0</v>
      </c>
    </row>
    <row r="84" spans="7:64" x14ac:dyDescent="0.25">
      <c r="G84" s="9" t="s">
        <v>195</v>
      </c>
      <c r="H84" s="9" t="s">
        <v>232</v>
      </c>
      <c r="I84" s="9">
        <f t="shared" si="301"/>
        <v>3.5727000000000002</v>
      </c>
      <c r="J84" s="9">
        <f t="shared" si="302"/>
        <v>3.69</v>
      </c>
      <c r="K84" s="9">
        <f t="shared" si="303"/>
        <v>3.7109999999999999</v>
      </c>
      <c r="L84" s="9">
        <f t="shared" si="304"/>
        <v>0.12610000000000002</v>
      </c>
      <c r="M84" s="9">
        <f>'GHG data from Eurostat'!CP90</f>
        <v>0</v>
      </c>
      <c r="N84" s="9">
        <f>'GHG data from Eurostat'!CN90</f>
        <v>0</v>
      </c>
      <c r="O84" s="9">
        <f>'GHG data from Eurostat'!CQ90</f>
        <v>0</v>
      </c>
      <c r="P84" s="9">
        <f>'GHG data from Eurostat'!CO90</f>
        <v>0</v>
      </c>
      <c r="Q84" s="9">
        <f>'GHG data from Eurostat'!CU90</f>
        <v>3.4000000000000002E-4</v>
      </c>
      <c r="R84" s="9">
        <f>IFERROR(('GHG data from Eurostat'!CS90+'GHG data from Eurostat'!CW90),0)</f>
        <v>2.0799999999999998E-3</v>
      </c>
      <c r="S84" s="9">
        <f>'GHG data from Eurostat'!CV90</f>
        <v>3.2000000000000003E-4</v>
      </c>
      <c r="T84" s="9">
        <f>'GHG data from Eurostat'!CT90</f>
        <v>1.0000000000000001E-5</v>
      </c>
      <c r="U84" s="9">
        <f>(Q84+M84)*1000</f>
        <v>0.34</v>
      </c>
      <c r="V84" s="9">
        <f t="shared" si="364"/>
        <v>2.0799999999999996</v>
      </c>
      <c r="W84" s="9">
        <f t="shared" si="365"/>
        <v>0.32</v>
      </c>
      <c r="X84" s="9">
        <f t="shared" si="366"/>
        <v>0.01</v>
      </c>
      <c r="Y84" s="9">
        <f t="shared" si="306"/>
        <v>2.7499999999999991</v>
      </c>
      <c r="Z84" s="17">
        <f t="shared" si="367"/>
        <v>9.5166120860973494E-2</v>
      </c>
      <c r="AA84" s="17">
        <f t="shared" si="367"/>
        <v>0.56368563685636852</v>
      </c>
      <c r="AB84" s="17">
        <f t="shared" si="367"/>
        <v>8.623012665049852E-2</v>
      </c>
      <c r="AC84" s="17">
        <f t="shared" si="367"/>
        <v>7.9302141157811257E-2</v>
      </c>
      <c r="AD84" s="18"/>
      <c r="AE84" s="17">
        <f t="shared" si="309"/>
        <v>9.5000000000000001E-2</v>
      </c>
      <c r="AF84" s="17">
        <f t="shared" si="88"/>
        <v>0.56399999999999995</v>
      </c>
      <c r="AG84" s="17">
        <f t="shared" si="89"/>
        <v>8.5999999999999993E-2</v>
      </c>
      <c r="AH84" s="17">
        <f t="shared" si="90"/>
        <v>7.9000000000000001E-2</v>
      </c>
      <c r="AJ84" s="9" t="s">
        <v>195</v>
      </c>
      <c r="AK84" s="9" t="s">
        <v>232</v>
      </c>
      <c r="AL84" s="9">
        <f>VLOOKUP($AJ84,Landcover!$A$3:$K$30,5,FALSE)/1000</f>
        <v>8.5</v>
      </c>
      <c r="AM84" s="9">
        <f>VLOOKUP($AJ84,Landcover!$A$3:$K$30,6,FALSE)/1000</f>
        <v>5.6369999999999996</v>
      </c>
      <c r="AN84" s="9">
        <f>VLOOKUP($AJ84,Landcover!$A$3:$K$30,8,FALSE)/1000</f>
        <v>13.031000000000001</v>
      </c>
      <c r="AO84" s="9">
        <f>VLOOKUP($AJ84,Landcover!$A$3:$K$30,11,FALSE)/1000</f>
        <v>0.27100000000000002</v>
      </c>
      <c r="AP84" s="9">
        <f>VLOOKUP($AJ84,Landcover!$A$3:$K$30,7,FALSE)/1000</f>
        <v>0.63700000000000001</v>
      </c>
      <c r="AR84" s="9">
        <f>SUM('GHG data from Eurostat'!CX90,'GHG data from Eurostat'!DC90,'GHG data from Eurostat'!DG90,'GHG data from Eurostat'!DM90,'GHG data from Eurostat'!DP90,'GHG data from Eurostat'!DV90)</f>
        <v>1.719E-2</v>
      </c>
      <c r="AS84" s="9">
        <f>'GHG data from Eurostat'!DS90+'GHG data from Eurostat'!DT90</f>
        <v>0</v>
      </c>
      <c r="AT84" s="9">
        <f>'GHG data from Eurostat'!EA90+'GHG data from Eurostat'!EB90</f>
        <v>0</v>
      </c>
      <c r="AU84" s="9">
        <f>'GHG data from Eurostat'!ED90</f>
        <v>1.0000000000000001E-5</v>
      </c>
      <c r="AV84" s="9">
        <f>'GHG data from Eurostat'!EL90</f>
        <v>3.0000000000000001E-5</v>
      </c>
      <c r="AW84" s="18">
        <f t="shared" si="310"/>
        <v>1.7229999999999999E-2</v>
      </c>
      <c r="AX84" s="16">
        <f>IFERROR(AR84*1000/AL84,0)</f>
        <v>2.0223529411764707</v>
      </c>
      <c r="AY84" s="16">
        <f t="shared" si="368"/>
        <v>0</v>
      </c>
      <c r="AZ84" s="16">
        <f t="shared" si="369"/>
        <v>0</v>
      </c>
      <c r="BA84" s="16">
        <f t="shared" si="370"/>
        <v>3.6900369003690037E-2</v>
      </c>
      <c r="BB84" s="16">
        <f t="shared" si="370"/>
        <v>4.709576138147567E-2</v>
      </c>
      <c r="BD84" s="16">
        <f t="shared" si="313"/>
        <v>2.0224000000000002</v>
      </c>
      <c r="BE84" s="16">
        <f t="shared" si="94"/>
        <v>0</v>
      </c>
      <c r="BF84" s="16">
        <f t="shared" si="95"/>
        <v>0</v>
      </c>
      <c r="BG84" s="16">
        <f t="shared" si="96"/>
        <v>3.6900000000000002E-2</v>
      </c>
      <c r="BH84" s="16">
        <f t="shared" si="97"/>
        <v>4.7100000000000003E-2</v>
      </c>
      <c r="BJ84" s="16" t="str">
        <f t="shared" si="314"/>
        <v>Netherlands</v>
      </c>
      <c r="BK84" s="16" t="s">
        <v>261</v>
      </c>
      <c r="BL84" s="9">
        <f>'GHG data from Eurostat'!EP90</f>
        <v>0</v>
      </c>
    </row>
    <row r="85" spans="7:64" x14ac:dyDescent="0.25">
      <c r="G85" s="9" t="s">
        <v>196</v>
      </c>
      <c r="H85" s="9" t="s">
        <v>262</v>
      </c>
      <c r="I85" s="9">
        <f t="shared" si="301"/>
        <v>0.83297100000000002</v>
      </c>
      <c r="J85" s="9">
        <f t="shared" si="302"/>
        <v>1.9128099999999999</v>
      </c>
      <c r="K85" s="9">
        <f t="shared" si="303"/>
        <v>1.444</v>
      </c>
      <c r="L85" s="9">
        <f t="shared" si="304"/>
        <v>4.9787999999999999E-2</v>
      </c>
      <c r="M85" s="9">
        <f>'GHG data from Eurostat'!CP91</f>
        <v>6.7479999999999998E-2</v>
      </c>
      <c r="N85" s="9">
        <f>'GHG data from Eurostat'!CN91</f>
        <v>4.1168100000000001</v>
      </c>
      <c r="O85" s="9">
        <f>'GHG data from Eurostat'!CQ91</f>
        <v>9.554E-2</v>
      </c>
      <c r="P85" s="9">
        <f>'GHG data from Eurostat'!CO91</f>
        <v>0.10854999999999999</v>
      </c>
      <c r="Q85" s="9">
        <f>'GHG data from Eurostat'!CU91</f>
        <v>0.17566999999999999</v>
      </c>
      <c r="R85" s="9">
        <f>IFERROR(('GHG data from Eurostat'!CS91+'GHG data from Eurostat'!CW91),0)</f>
        <v>1.0123</v>
      </c>
      <c r="S85" s="9">
        <f>'GHG data from Eurostat'!CV91</f>
        <v>4.3299999999999998E-2</v>
      </c>
      <c r="T85" s="9">
        <f>'GHG data from Eurostat'!CT91</f>
        <v>1.328E-2</v>
      </c>
      <c r="U85" s="9">
        <f>Q85+M85</f>
        <v>0.24314999999999998</v>
      </c>
      <c r="V85" s="9">
        <f t="shared" ref="V85:V86" si="371">R85+N85</f>
        <v>5.1291099999999998</v>
      </c>
      <c r="W85" s="9">
        <f t="shared" ref="W85:W86" si="372">S85+O85</f>
        <v>0.13883999999999999</v>
      </c>
      <c r="X85" s="9">
        <f t="shared" ref="X85:X86" si="373">T85+P85</f>
        <v>0.12182999999999999</v>
      </c>
      <c r="Y85" s="9">
        <f t="shared" si="306"/>
        <v>5.63293</v>
      </c>
      <c r="Z85" s="17">
        <f t="shared" si="307"/>
        <v>0.291906921129307</v>
      </c>
      <c r="AA85" s="17">
        <f t="shared" ref="AA85:AA114" si="374">(N85+R85)/J85</f>
        <v>2.6814529409612038</v>
      </c>
      <c r="AB85" s="17">
        <f t="shared" ref="AB85:AB114" si="375">(O85+S85)/K85</f>
        <v>9.614958448753462E-2</v>
      </c>
      <c r="AC85" s="17">
        <f t="shared" ref="AC85:AC114" si="376">(P85+T85)/L85</f>
        <v>2.4469751747409014</v>
      </c>
      <c r="AD85" s="18"/>
      <c r="AE85" s="17">
        <f t="shared" si="309"/>
        <v>0.29199999999999998</v>
      </c>
      <c r="AF85" s="17">
        <f t="shared" ref="AF85:AF116" si="377">ROUND(AA85,3)</f>
        <v>2.681</v>
      </c>
      <c r="AG85" s="17">
        <f t="shared" ref="AG85:AG116" si="378">ROUND(AB85,3)</f>
        <v>9.6000000000000002E-2</v>
      </c>
      <c r="AH85" s="17">
        <f t="shared" ref="AH85:AH116" si="379">ROUND(AC85,3)</f>
        <v>2.4470000000000001</v>
      </c>
      <c r="AJ85" s="9" t="s">
        <v>196</v>
      </c>
      <c r="AK85" s="9" t="s">
        <v>262</v>
      </c>
      <c r="AL85" s="9">
        <f>VLOOKUP($AJ85,Landcover!$A$3:$K$30,5,FALSE)/1000</f>
        <v>13.353999999999999</v>
      </c>
      <c r="AM85" s="9">
        <f>VLOOKUP($AJ85,Landcover!$A$3:$K$30,6,FALSE)/1000</f>
        <v>36.301000000000002</v>
      </c>
      <c r="AN85" s="9">
        <f>VLOOKUP($AJ85,Landcover!$A$3:$K$30,8,FALSE)/1000</f>
        <v>20.265999999999998</v>
      </c>
      <c r="AO85" s="9">
        <f>VLOOKUP($AJ85,Landcover!$A$3:$K$30,11,FALSE)/1000</f>
        <v>0.27400000000000002</v>
      </c>
      <c r="AP85" s="9">
        <f>VLOOKUP($AJ85,Landcover!$A$3:$K$30,7,FALSE)/1000</f>
        <v>4.3520000000000003</v>
      </c>
      <c r="AR85" s="9">
        <f>SUM('GHG data from Eurostat'!CX91,'GHG data from Eurostat'!DC91,'GHG data from Eurostat'!DG91,'GHG data from Eurostat'!DM91,'GHG data from Eurostat'!DP91,'GHG data from Eurostat'!DV91)</f>
        <v>2.30498</v>
      </c>
      <c r="AS85" s="9">
        <f>'GHG data from Eurostat'!DS91+'GHG data from Eurostat'!DT91</f>
        <v>2.8071000000000002</v>
      </c>
      <c r="AT85" s="9">
        <f>'GHG data from Eurostat'!EA91+'GHG data from Eurostat'!EB91</f>
        <v>0.78004000000000007</v>
      </c>
      <c r="AU85" s="9">
        <f>'GHG data from Eurostat'!ED91</f>
        <v>9.5089999999999994E-2</v>
      </c>
      <c r="AV85" s="9">
        <f>'GHG data from Eurostat'!EL91</f>
        <v>0.51524999999999999</v>
      </c>
      <c r="AW85" s="18">
        <f t="shared" si="310"/>
        <v>6.5024600000000001</v>
      </c>
      <c r="AX85" s="16">
        <f>AR85/AL85</f>
        <v>0.17260596076082074</v>
      </c>
      <c r="AY85" s="16">
        <f t="shared" ref="AY85" si="380">AS85/AM85</f>
        <v>7.7328448252114268E-2</v>
      </c>
      <c r="AZ85" s="16">
        <f t="shared" ref="AZ85" si="381">AT85/AN85</f>
        <v>3.8490081910589169E-2</v>
      </c>
      <c r="BA85" s="16">
        <f t="shared" ref="BA85:BB85" si="382">AU85/AO85</f>
        <v>0.34704379562043791</v>
      </c>
      <c r="BB85" s="16">
        <f t="shared" si="382"/>
        <v>0.11839384191176469</v>
      </c>
      <c r="BD85" s="16">
        <f t="shared" si="313"/>
        <v>0.1726</v>
      </c>
      <c r="BE85" s="16">
        <f t="shared" ref="BE85:BE116" si="383">ROUND(AY85,4)</f>
        <v>7.7299999999999994E-2</v>
      </c>
      <c r="BF85" s="16">
        <f t="shared" ref="BF85:BF116" si="384">ROUND(AZ85,4)</f>
        <v>3.85E-2</v>
      </c>
      <c r="BG85" s="16">
        <f t="shared" ref="BG85:BG116" si="385">ROUND(BA85,4)</f>
        <v>0.34699999999999998</v>
      </c>
      <c r="BH85" s="16">
        <f t="shared" ref="BH85:BH116" si="386">ROUND(BB85,4)</f>
        <v>0.11840000000000001</v>
      </c>
      <c r="BJ85" s="16" t="str">
        <f t="shared" si="314"/>
        <v>Austria</v>
      </c>
      <c r="BK85" s="16" t="s">
        <v>263</v>
      </c>
      <c r="BL85" s="9">
        <f>'GHG data from Eurostat'!EP91</f>
        <v>-1.96932</v>
      </c>
    </row>
    <row r="86" spans="7:64" x14ac:dyDescent="0.25">
      <c r="G86" s="9" t="s">
        <v>196</v>
      </c>
      <c r="H86" s="9" t="s">
        <v>233</v>
      </c>
      <c r="I86" s="9">
        <f t="shared" si="301"/>
        <v>0.83297100000000002</v>
      </c>
      <c r="J86" s="9">
        <f t="shared" si="302"/>
        <v>1.9128099999999999</v>
      </c>
      <c r="K86" s="9">
        <f t="shared" si="303"/>
        <v>1.444</v>
      </c>
      <c r="L86" s="9">
        <f t="shared" si="304"/>
        <v>4.9787999999999999E-2</v>
      </c>
      <c r="M86" s="9">
        <f>'GHG data from Eurostat'!CP92</f>
        <v>0</v>
      </c>
      <c r="N86" s="9">
        <f>'GHG data from Eurostat'!CN92</f>
        <v>0</v>
      </c>
      <c r="O86" s="9">
        <f>'GHG data from Eurostat'!CQ92</f>
        <v>0</v>
      </c>
      <c r="P86" s="9">
        <f>'GHG data from Eurostat'!CO92</f>
        <v>0</v>
      </c>
      <c r="Q86" s="9">
        <f>'GHG data from Eurostat'!CU92</f>
        <v>0</v>
      </c>
      <c r="R86" s="9">
        <f>IFERROR(('GHG data from Eurostat'!CS92+'GHG data from Eurostat'!CW92),0)</f>
        <v>0</v>
      </c>
      <c r="S86" s="9">
        <f>'GHG data from Eurostat'!CV92</f>
        <v>0</v>
      </c>
      <c r="T86" s="9">
        <f>'GHG data from Eurostat'!CT92</f>
        <v>0</v>
      </c>
      <c r="U86" s="9">
        <f t="shared" ref="U86" si="387">Q86+M86</f>
        <v>0</v>
      </c>
      <c r="V86" s="9">
        <f t="shared" si="371"/>
        <v>0</v>
      </c>
      <c r="W86" s="9">
        <f t="shared" si="372"/>
        <v>0</v>
      </c>
      <c r="X86" s="9">
        <f t="shared" si="373"/>
        <v>0</v>
      </c>
      <c r="Y86" s="9">
        <f t="shared" si="306"/>
        <v>0</v>
      </c>
      <c r="Z86" s="17">
        <f t="shared" si="307"/>
        <v>0</v>
      </c>
      <c r="AA86" s="17">
        <f t="shared" si="374"/>
        <v>0</v>
      </c>
      <c r="AB86" s="17">
        <f t="shared" si="375"/>
        <v>0</v>
      </c>
      <c r="AC86" s="17">
        <f t="shared" si="376"/>
        <v>0</v>
      </c>
      <c r="AD86" s="18"/>
      <c r="AE86" s="17">
        <f t="shared" si="309"/>
        <v>0</v>
      </c>
      <c r="AF86" s="17">
        <f t="shared" si="377"/>
        <v>0</v>
      </c>
      <c r="AG86" s="17">
        <f t="shared" si="378"/>
        <v>0</v>
      </c>
      <c r="AH86" s="17">
        <f t="shared" si="379"/>
        <v>0</v>
      </c>
      <c r="AJ86" s="9" t="s">
        <v>196</v>
      </c>
      <c r="AK86" s="9" t="s">
        <v>233</v>
      </c>
      <c r="AL86" s="9">
        <f>VLOOKUP($AJ86,Landcover!$A$3:$K$30,5,FALSE)/1000</f>
        <v>13.353999999999999</v>
      </c>
      <c r="AM86" s="9">
        <f>VLOOKUP($AJ86,Landcover!$A$3:$K$30,6,FALSE)/1000</f>
        <v>36.301000000000002</v>
      </c>
      <c r="AN86" s="9">
        <f>VLOOKUP($AJ86,Landcover!$A$3:$K$30,8,FALSE)/1000</f>
        <v>20.265999999999998</v>
      </c>
      <c r="AO86" s="9">
        <f>VLOOKUP($AJ86,Landcover!$A$3:$K$30,11,FALSE)/1000</f>
        <v>0.27400000000000002</v>
      </c>
      <c r="AP86" s="9">
        <f>VLOOKUP($AJ86,Landcover!$A$3:$K$30,7,FALSE)/1000</f>
        <v>4.3520000000000003</v>
      </c>
      <c r="AR86" s="9">
        <f>SUM('GHG data from Eurostat'!CX92,'GHG data from Eurostat'!DC92,'GHG data from Eurostat'!DG92,'GHG data from Eurostat'!DM92,'GHG data from Eurostat'!DP92,'GHG data from Eurostat'!DV92)</f>
        <v>0.38144999999999996</v>
      </c>
      <c r="AS86" s="9">
        <f>'GHG data from Eurostat'!DS92+'GHG data from Eurostat'!DT92</f>
        <v>2.7662100000000001</v>
      </c>
      <c r="AT86" s="9">
        <f>'GHG data from Eurostat'!EA92+'GHG data from Eurostat'!EB92</f>
        <v>0.74212</v>
      </c>
      <c r="AU86" s="9">
        <f>'GHG data from Eurostat'!ED92</f>
        <v>9.3950000000000006E-2</v>
      </c>
      <c r="AV86" s="9">
        <f>'GHG data from Eurostat'!EL92</f>
        <v>0.50353999999999999</v>
      </c>
      <c r="AW86" s="18">
        <f t="shared" si="310"/>
        <v>4.4872699999999996</v>
      </c>
      <c r="AX86" s="16">
        <f>AR86/AL86</f>
        <v>2.856447506365134E-2</v>
      </c>
      <c r="AY86" s="16">
        <f t="shared" ref="AY86" si="388">AS86/AM86</f>
        <v>7.6202033001845679E-2</v>
      </c>
      <c r="AZ86" s="16">
        <f t="shared" ref="AZ86" si="389">AT86/AN86</f>
        <v>3.6618967729201625E-2</v>
      </c>
      <c r="BA86" s="16">
        <f t="shared" ref="BA86:BB86" si="390">AU86/AO86</f>
        <v>0.34288321167883212</v>
      </c>
      <c r="BB86" s="16">
        <f t="shared" si="390"/>
        <v>0.11570312499999999</v>
      </c>
      <c r="BD86" s="16">
        <f t="shared" si="313"/>
        <v>2.86E-2</v>
      </c>
      <c r="BE86" s="16">
        <f t="shared" si="383"/>
        <v>7.6200000000000004E-2</v>
      </c>
      <c r="BF86" s="16">
        <f t="shared" si="384"/>
        <v>3.6600000000000001E-2</v>
      </c>
      <c r="BG86" s="16">
        <f t="shared" si="385"/>
        <v>0.34289999999999998</v>
      </c>
      <c r="BH86" s="16">
        <f t="shared" si="386"/>
        <v>0.1157</v>
      </c>
      <c r="BJ86" s="16" t="str">
        <f t="shared" si="314"/>
        <v>Austria</v>
      </c>
      <c r="BK86" s="16" t="s">
        <v>259</v>
      </c>
      <c r="BL86" s="9">
        <f>'GHG data from Eurostat'!EP92</f>
        <v>-1.96932</v>
      </c>
    </row>
    <row r="87" spans="7:64" x14ac:dyDescent="0.25">
      <c r="G87" s="9" t="s">
        <v>196</v>
      </c>
      <c r="H87" s="9" t="s">
        <v>231</v>
      </c>
      <c r="I87" s="9">
        <f t="shared" si="301"/>
        <v>0.83297100000000002</v>
      </c>
      <c r="J87" s="9">
        <f t="shared" si="302"/>
        <v>1.9128099999999999</v>
      </c>
      <c r="K87" s="9">
        <f t="shared" si="303"/>
        <v>1.444</v>
      </c>
      <c r="L87" s="9">
        <f t="shared" si="304"/>
        <v>4.9787999999999999E-2</v>
      </c>
      <c r="M87" s="9">
        <f>'GHG data from Eurostat'!CP93</f>
        <v>2.4099999999999998E-3</v>
      </c>
      <c r="N87" s="9">
        <f>'GHG data from Eurostat'!CN93</f>
        <v>0.14702999999999999</v>
      </c>
      <c r="O87" s="9">
        <f>'GHG data from Eurostat'!CQ93</f>
        <v>3.4099999999999998E-3</v>
      </c>
      <c r="P87" s="9">
        <f>'GHG data from Eurostat'!CO93</f>
        <v>3.8800000000000002E-3</v>
      </c>
      <c r="Q87" s="9">
        <f>'GHG data from Eurostat'!CU93</f>
        <v>4.1799999999999997E-3</v>
      </c>
      <c r="R87" s="9">
        <f>IFERROR(('GHG data from Eurostat'!CS93+'GHG data from Eurostat'!CW93),0)</f>
        <v>2.0899999999999998E-2</v>
      </c>
      <c r="S87" s="9">
        <f>'GHG data from Eurostat'!CV93</f>
        <v>6.6E-4</v>
      </c>
      <c r="T87" s="9">
        <f>'GHG data from Eurostat'!CT93</f>
        <v>1E-4</v>
      </c>
      <c r="U87" s="9">
        <f>(Q87+M87)*1000</f>
        <v>6.59</v>
      </c>
      <c r="V87" s="9">
        <f t="shared" ref="V87:V88" si="391">(R87+N87)*1000</f>
        <v>167.93</v>
      </c>
      <c r="W87" s="9">
        <f t="shared" ref="W87:W88" si="392">(S87+O87)*1000</f>
        <v>4.0699999999999994</v>
      </c>
      <c r="X87" s="9">
        <f t="shared" ref="X87:X88" si="393">(T87+P87)*1000</f>
        <v>3.98</v>
      </c>
      <c r="Y87" s="9">
        <f t="shared" si="306"/>
        <v>182.57</v>
      </c>
      <c r="Z87" s="17">
        <f t="shared" ref="Z87:AC88" si="394">IFERROR((M87+Q87)*1000/I87,0)</f>
        <v>7.9114398940659392</v>
      </c>
      <c r="AA87" s="17">
        <f t="shared" si="394"/>
        <v>87.792305560928696</v>
      </c>
      <c r="AB87" s="17">
        <f t="shared" si="394"/>
        <v>2.8185595567867034</v>
      </c>
      <c r="AC87" s="17">
        <f t="shared" si="394"/>
        <v>79.938941110307709</v>
      </c>
      <c r="AD87" s="18"/>
      <c r="AE87" s="17">
        <f t="shared" si="309"/>
        <v>7.9109999999999996</v>
      </c>
      <c r="AF87" s="17">
        <f t="shared" si="377"/>
        <v>87.792000000000002</v>
      </c>
      <c r="AG87" s="17">
        <f t="shared" si="378"/>
        <v>2.819</v>
      </c>
      <c r="AH87" s="17">
        <f t="shared" si="379"/>
        <v>79.938999999999993</v>
      </c>
      <c r="AJ87" s="9" t="s">
        <v>196</v>
      </c>
      <c r="AK87" s="9" t="s">
        <v>231</v>
      </c>
      <c r="AL87" s="9">
        <f>VLOOKUP($AJ87,Landcover!$A$3:$K$30,5,FALSE)/1000</f>
        <v>13.353999999999999</v>
      </c>
      <c r="AM87" s="9">
        <f>VLOOKUP($AJ87,Landcover!$A$3:$K$30,6,FALSE)/1000</f>
        <v>36.301000000000002</v>
      </c>
      <c r="AN87" s="9">
        <f>VLOOKUP($AJ87,Landcover!$A$3:$K$30,8,FALSE)/1000</f>
        <v>20.265999999999998</v>
      </c>
      <c r="AO87" s="9">
        <f>VLOOKUP($AJ87,Landcover!$A$3:$K$30,11,FALSE)/1000</f>
        <v>0.27400000000000002</v>
      </c>
      <c r="AP87" s="9">
        <f>VLOOKUP($AJ87,Landcover!$A$3:$K$30,7,FALSE)/1000</f>
        <v>4.3520000000000003</v>
      </c>
      <c r="AR87" s="9">
        <f>SUM('GHG data from Eurostat'!CX93,'GHG data from Eurostat'!DC93,'GHG data from Eurostat'!DG93,'GHG data from Eurostat'!DM93,'GHG data from Eurostat'!DP93,'GHG data from Eurostat'!DV93)</f>
        <v>4.0000000000000002E-4</v>
      </c>
      <c r="AS87" s="9">
        <f>'GHG data from Eurostat'!DS93+'GHG data from Eurostat'!DT93</f>
        <v>2.4000000000000001E-4</v>
      </c>
      <c r="AT87" s="9">
        <f>'GHG data from Eurostat'!EA93+'GHG data from Eurostat'!EB93</f>
        <v>1.3600000000000001E-3</v>
      </c>
      <c r="AU87" s="9">
        <f>'GHG data from Eurostat'!ED93</f>
        <v>1.0000000000000001E-5</v>
      </c>
      <c r="AV87" s="9">
        <f>'GHG data from Eurostat'!EL93</f>
        <v>0</v>
      </c>
      <c r="AW87" s="18">
        <f t="shared" si="310"/>
        <v>2.0100000000000001E-3</v>
      </c>
      <c r="AX87" s="16">
        <f>IFERROR(AR87*1000/AL87,0)</f>
        <v>2.9953571963456646E-2</v>
      </c>
      <c r="AY87" s="16">
        <f t="shared" ref="AY87:AY88" si="395">IFERROR(AS87*1000/AM87,0)</f>
        <v>6.6113881160298612E-3</v>
      </c>
      <c r="AZ87" s="16">
        <f t="shared" ref="AZ87:AZ88" si="396">IFERROR(AT87*1000/AN87,0)</f>
        <v>6.7107470640481601E-2</v>
      </c>
      <c r="BA87" s="16">
        <f t="shared" ref="BA87:BB88" si="397">IFERROR(AU87*1000/AO87,0)</f>
        <v>3.6496350364963501E-2</v>
      </c>
      <c r="BB87" s="16">
        <f t="shared" si="397"/>
        <v>0</v>
      </c>
      <c r="BD87" s="16">
        <f t="shared" si="313"/>
        <v>0.03</v>
      </c>
      <c r="BE87" s="16">
        <f t="shared" si="383"/>
        <v>6.6E-3</v>
      </c>
      <c r="BF87" s="16">
        <f t="shared" si="384"/>
        <v>6.7100000000000007E-2</v>
      </c>
      <c r="BG87" s="16">
        <f t="shared" si="385"/>
        <v>3.6499999999999998E-2</v>
      </c>
      <c r="BH87" s="16">
        <f t="shared" si="386"/>
        <v>0</v>
      </c>
      <c r="BJ87" s="16" t="str">
        <f t="shared" si="314"/>
        <v>Austria</v>
      </c>
      <c r="BK87" s="16" t="s">
        <v>260</v>
      </c>
      <c r="BL87" s="9">
        <f>'GHG data from Eurostat'!EP93</f>
        <v>0</v>
      </c>
    </row>
    <row r="88" spans="7:64" x14ac:dyDescent="0.25">
      <c r="G88" s="9" t="s">
        <v>196</v>
      </c>
      <c r="H88" s="9" t="s">
        <v>232</v>
      </c>
      <c r="I88" s="9">
        <f t="shared" si="301"/>
        <v>0.83297100000000002</v>
      </c>
      <c r="J88" s="9">
        <f t="shared" si="302"/>
        <v>1.9128099999999999</v>
      </c>
      <c r="K88" s="9">
        <f t="shared" si="303"/>
        <v>1.444</v>
      </c>
      <c r="L88" s="9">
        <f t="shared" si="304"/>
        <v>4.9787999999999999E-2</v>
      </c>
      <c r="M88" s="9">
        <f>'GHG data from Eurostat'!CP94</f>
        <v>0</v>
      </c>
      <c r="N88" s="9">
        <f>'GHG data from Eurostat'!CN94</f>
        <v>0</v>
      </c>
      <c r="O88" s="9">
        <f>'GHG data from Eurostat'!CQ94</f>
        <v>0</v>
      </c>
      <c r="P88" s="9">
        <f>'GHG data from Eurostat'!CO94</f>
        <v>0</v>
      </c>
      <c r="Q88" s="9">
        <f>'GHG data from Eurostat'!CU94</f>
        <v>2.2000000000000001E-4</v>
      </c>
      <c r="R88" s="9">
        <f>IFERROR(('GHG data from Eurostat'!CS94+'GHG data from Eurostat'!CW94),0)</f>
        <v>1.6199999999999999E-3</v>
      </c>
      <c r="S88" s="9">
        <f>'GHG data from Eurostat'!CV94</f>
        <v>9.0000000000000006E-5</v>
      </c>
      <c r="T88" s="9">
        <f>'GHG data from Eurostat'!CT94</f>
        <v>4.0000000000000003E-5</v>
      </c>
      <c r="U88" s="9">
        <f>(Q88+M88)*1000</f>
        <v>0.22</v>
      </c>
      <c r="V88" s="9">
        <f t="shared" si="391"/>
        <v>1.6199999999999999</v>
      </c>
      <c r="W88" s="9">
        <f t="shared" si="392"/>
        <v>9.0000000000000011E-2</v>
      </c>
      <c r="X88" s="9">
        <f t="shared" si="393"/>
        <v>0.04</v>
      </c>
      <c r="Y88" s="9">
        <f t="shared" si="306"/>
        <v>1.97</v>
      </c>
      <c r="Z88" s="17">
        <f t="shared" si="394"/>
        <v>0.26411483713118461</v>
      </c>
      <c r="AA88" s="17">
        <f t="shared" si="394"/>
        <v>0.84692154474307435</v>
      </c>
      <c r="AB88" s="17">
        <f t="shared" si="394"/>
        <v>6.2326869806094191E-2</v>
      </c>
      <c r="AC88" s="17">
        <f t="shared" si="394"/>
        <v>0.80340644331967548</v>
      </c>
      <c r="AD88" s="18"/>
      <c r="AE88" s="17">
        <f t="shared" si="309"/>
        <v>0.26400000000000001</v>
      </c>
      <c r="AF88" s="17">
        <f t="shared" si="377"/>
        <v>0.84699999999999998</v>
      </c>
      <c r="AG88" s="17">
        <f t="shared" si="378"/>
        <v>6.2E-2</v>
      </c>
      <c r="AH88" s="17">
        <f t="shared" si="379"/>
        <v>0.80300000000000005</v>
      </c>
      <c r="AJ88" s="9" t="s">
        <v>196</v>
      </c>
      <c r="AK88" s="9" t="s">
        <v>232</v>
      </c>
      <c r="AL88" s="9">
        <f>VLOOKUP($AJ88,Landcover!$A$3:$K$30,5,FALSE)/1000</f>
        <v>13.353999999999999</v>
      </c>
      <c r="AM88" s="9">
        <f>VLOOKUP($AJ88,Landcover!$A$3:$K$30,6,FALSE)/1000</f>
        <v>36.301000000000002</v>
      </c>
      <c r="AN88" s="9">
        <f>VLOOKUP($AJ88,Landcover!$A$3:$K$30,8,FALSE)/1000</f>
        <v>20.265999999999998</v>
      </c>
      <c r="AO88" s="9">
        <f>VLOOKUP($AJ88,Landcover!$A$3:$K$30,11,FALSE)/1000</f>
        <v>0.27400000000000002</v>
      </c>
      <c r="AP88" s="9">
        <f>VLOOKUP($AJ88,Landcover!$A$3:$K$30,7,FALSE)/1000</f>
        <v>4.3520000000000003</v>
      </c>
      <c r="AR88" s="9">
        <f>SUM('GHG data from Eurostat'!CX94,'GHG data from Eurostat'!DC94,'GHG data from Eurostat'!DG94,'GHG data from Eurostat'!DM94,'GHG data from Eurostat'!DP94,'GHG data from Eurostat'!DV94)</f>
        <v>7.2100000000000003E-3</v>
      </c>
      <c r="AS88" s="9">
        <f>'GHG data from Eurostat'!DS94+'GHG data from Eurostat'!DT94</f>
        <v>1.2E-4</v>
      </c>
      <c r="AT88" s="9">
        <f>'GHG data from Eurostat'!EA94+'GHG data from Eurostat'!EB94</f>
        <v>0</v>
      </c>
      <c r="AU88" s="9">
        <f>'GHG data from Eurostat'!ED94</f>
        <v>0</v>
      </c>
      <c r="AV88" s="9">
        <f>'GHG data from Eurostat'!EL94</f>
        <v>4.0000000000000003E-5</v>
      </c>
      <c r="AW88" s="18">
        <f t="shared" si="310"/>
        <v>7.3700000000000007E-3</v>
      </c>
      <c r="AX88" s="16">
        <f>IFERROR(AR88*1000/AL88,0)</f>
        <v>0.53991313464130597</v>
      </c>
      <c r="AY88" s="16">
        <f t="shared" si="395"/>
        <v>3.3056940580149306E-3</v>
      </c>
      <c r="AZ88" s="16">
        <f t="shared" si="396"/>
        <v>0</v>
      </c>
      <c r="BA88" s="16">
        <f t="shared" si="397"/>
        <v>0</v>
      </c>
      <c r="BB88" s="16">
        <f t="shared" si="397"/>
        <v>9.1911764705882356E-3</v>
      </c>
      <c r="BD88" s="16">
        <f t="shared" si="313"/>
        <v>0.53990000000000005</v>
      </c>
      <c r="BE88" s="16">
        <f t="shared" si="383"/>
        <v>3.3E-3</v>
      </c>
      <c r="BF88" s="16">
        <f t="shared" si="384"/>
        <v>0</v>
      </c>
      <c r="BG88" s="16">
        <f t="shared" si="385"/>
        <v>0</v>
      </c>
      <c r="BH88" s="16">
        <f t="shared" si="386"/>
        <v>9.1999999999999998E-3</v>
      </c>
      <c r="BJ88" s="16" t="str">
        <f t="shared" si="314"/>
        <v>Austria</v>
      </c>
      <c r="BK88" s="16" t="s">
        <v>261</v>
      </c>
      <c r="BL88" s="9">
        <f>'GHG data from Eurostat'!EP94</f>
        <v>0</v>
      </c>
    </row>
    <row r="89" spans="7:64" x14ac:dyDescent="0.25">
      <c r="G89" s="9" t="s">
        <v>197</v>
      </c>
      <c r="H89" s="9" t="s">
        <v>262</v>
      </c>
      <c r="I89" s="9">
        <f t="shared" si="301"/>
        <v>3.3083100000000001</v>
      </c>
      <c r="J89" s="9">
        <f t="shared" si="302"/>
        <v>6.1833</v>
      </c>
      <c r="K89" s="9">
        <f t="shared" si="303"/>
        <v>17.117999999999999</v>
      </c>
      <c r="L89" s="9">
        <f t="shared" si="304"/>
        <v>3.1844000000000004E-2</v>
      </c>
      <c r="M89" s="9">
        <f>'GHG data from Eurostat'!CP95</f>
        <v>0.49675999999999998</v>
      </c>
      <c r="N89" s="9">
        <f>'GHG data from Eurostat'!CN95</f>
        <v>13.44027</v>
      </c>
      <c r="O89" s="9">
        <f>'GHG data from Eurostat'!CQ95</f>
        <v>9.5269999999999994E-2</v>
      </c>
      <c r="P89" s="9">
        <f>'GHG data from Eurostat'!CO95</f>
        <v>6.1990000000000003E-2</v>
      </c>
      <c r="Q89" s="9">
        <f>'GHG data from Eurostat'!CU95</f>
        <v>0.96069000000000004</v>
      </c>
      <c r="R89" s="9">
        <f>IFERROR(('GHG data from Eurostat'!CS95+'GHG data from Eurostat'!CW95),0)</f>
        <v>2.83589</v>
      </c>
      <c r="S89" s="9">
        <f>'GHG data from Eurostat'!CV95</f>
        <v>0.29916999999999999</v>
      </c>
      <c r="T89" s="9">
        <f>'GHG data from Eurostat'!CT95</f>
        <v>4.7299999999999998E-3</v>
      </c>
      <c r="U89" s="9">
        <f>Q89+M89</f>
        <v>1.4574500000000001</v>
      </c>
      <c r="V89" s="9">
        <f t="shared" ref="V89:V90" si="398">R89+N89</f>
        <v>16.276160000000001</v>
      </c>
      <c r="W89" s="9">
        <f t="shared" ref="W89:W90" si="399">S89+O89</f>
        <v>0.39444000000000001</v>
      </c>
      <c r="X89" s="9">
        <f t="shared" ref="X89:X90" si="400">T89+P89</f>
        <v>6.6720000000000002E-2</v>
      </c>
      <c r="Y89" s="9">
        <f t="shared" si="306"/>
        <v>18.194770000000002</v>
      </c>
      <c r="Z89" s="17">
        <f t="shared" si="307"/>
        <v>0.44054214991944529</v>
      </c>
      <c r="AA89" s="17">
        <f t="shared" si="374"/>
        <v>2.6322772629502049</v>
      </c>
      <c r="AB89" s="17">
        <f t="shared" si="375"/>
        <v>2.3042411496670176E-2</v>
      </c>
      <c r="AC89" s="17">
        <f t="shared" si="376"/>
        <v>2.0952141690742367</v>
      </c>
      <c r="AD89" s="18"/>
      <c r="AE89" s="17">
        <f t="shared" si="309"/>
        <v>0.441</v>
      </c>
      <c r="AF89" s="17">
        <f t="shared" si="377"/>
        <v>2.6320000000000001</v>
      </c>
      <c r="AG89" s="17">
        <f t="shared" si="378"/>
        <v>2.3E-2</v>
      </c>
      <c r="AH89" s="17">
        <f t="shared" si="379"/>
        <v>2.0950000000000002</v>
      </c>
      <c r="AJ89" s="9" t="s">
        <v>197</v>
      </c>
      <c r="AK89" s="9" t="s">
        <v>262</v>
      </c>
      <c r="AL89" s="9">
        <f>VLOOKUP($AJ89,Landcover!$A$3:$K$30,5,FALSE)/1000</f>
        <v>108.212</v>
      </c>
      <c r="AM89" s="9">
        <f>VLOOKUP($AJ89,Landcover!$A$3:$K$30,6,FALSE)/1000</f>
        <v>114.59</v>
      </c>
      <c r="AN89" s="9">
        <f>VLOOKUP($AJ89,Landcover!$A$3:$K$30,8,FALSE)/1000</f>
        <v>64.510000000000005</v>
      </c>
      <c r="AO89" s="9">
        <f>VLOOKUP($AJ89,Landcover!$A$3:$K$30,11,FALSE)/1000</f>
        <v>2.419</v>
      </c>
      <c r="AP89" s="9">
        <f>VLOOKUP($AJ89,Landcover!$A$3:$K$30,7,FALSE)/1000</f>
        <v>2.9340000000000002</v>
      </c>
      <c r="AR89" s="9">
        <f>SUM('GHG data from Eurostat'!CX95,'GHG data from Eurostat'!DC95,'GHG data from Eurostat'!DG95,'GHG data from Eurostat'!DM95,'GHG data from Eurostat'!DP95,'GHG data from Eurostat'!DV95)</f>
        <v>11.642939999999999</v>
      </c>
      <c r="AS89" s="9">
        <f>'GHG data from Eurostat'!DS95+'GHG data from Eurostat'!DT95</f>
        <v>-36.786709999999999</v>
      </c>
      <c r="AT89" s="9">
        <f>'GHG data from Eurostat'!EA95+'GHG data from Eurostat'!EB95</f>
        <v>0.73545000000000005</v>
      </c>
      <c r="AU89" s="9">
        <f>'GHG data from Eurostat'!ED95</f>
        <v>1.2346699999999999</v>
      </c>
      <c r="AV89" s="9">
        <f>'GHG data from Eurostat'!EL95</f>
        <v>0</v>
      </c>
      <c r="AW89" s="18">
        <f t="shared" si="310"/>
        <v>-23.173649999999999</v>
      </c>
      <c r="AX89" s="16">
        <f>AR89/AL89</f>
        <v>0.10759379736073632</v>
      </c>
      <c r="AY89" s="16">
        <f t="shared" ref="AY89" si="401">AS89/AM89</f>
        <v>-0.3210289728597609</v>
      </c>
      <c r="AZ89" s="16">
        <f t="shared" ref="AZ89" si="402">AT89/AN89</f>
        <v>1.1400558053015037E-2</v>
      </c>
      <c r="BA89" s="16">
        <f t="shared" ref="BA89:BB89" si="403">AU89/AO89</f>
        <v>0.51040512608515909</v>
      </c>
      <c r="BB89" s="16">
        <f t="shared" si="403"/>
        <v>0</v>
      </c>
      <c r="BD89" s="16">
        <f t="shared" si="313"/>
        <v>0.1076</v>
      </c>
      <c r="BE89" s="16">
        <f t="shared" si="383"/>
        <v>-0.32100000000000001</v>
      </c>
      <c r="BF89" s="16">
        <f t="shared" si="384"/>
        <v>1.14E-2</v>
      </c>
      <c r="BG89" s="16">
        <f t="shared" si="385"/>
        <v>0.51039999999999996</v>
      </c>
      <c r="BH89" s="16">
        <f t="shared" si="386"/>
        <v>0</v>
      </c>
      <c r="BJ89" s="16" t="str">
        <f t="shared" si="314"/>
        <v>Poland</v>
      </c>
      <c r="BK89" s="16" t="s">
        <v>263</v>
      </c>
      <c r="BL89" s="9">
        <f>'GHG data from Eurostat'!EP95</f>
        <v>-4.7731500000000002</v>
      </c>
    </row>
    <row r="90" spans="7:64" x14ac:dyDescent="0.25">
      <c r="G90" s="9" t="s">
        <v>197</v>
      </c>
      <c r="H90" s="9" t="s">
        <v>233</v>
      </c>
      <c r="I90" s="9">
        <f t="shared" si="301"/>
        <v>3.3083100000000001</v>
      </c>
      <c r="J90" s="9">
        <f t="shared" si="302"/>
        <v>6.1833</v>
      </c>
      <c r="K90" s="9">
        <f t="shared" si="303"/>
        <v>17.117999999999999</v>
      </c>
      <c r="L90" s="9">
        <f t="shared" si="304"/>
        <v>3.1844000000000004E-2</v>
      </c>
      <c r="M90" s="9">
        <f>'GHG data from Eurostat'!CP96</f>
        <v>0</v>
      </c>
      <c r="N90" s="9">
        <f>'GHG data from Eurostat'!CN96</f>
        <v>0</v>
      </c>
      <c r="O90" s="9">
        <f>'GHG data from Eurostat'!CQ96</f>
        <v>0</v>
      </c>
      <c r="P90" s="9">
        <f>'GHG data from Eurostat'!CO96</f>
        <v>0</v>
      </c>
      <c r="Q90" s="9">
        <f>'GHG data from Eurostat'!CU96</f>
        <v>0</v>
      </c>
      <c r="R90" s="9">
        <f>IFERROR(('GHG data from Eurostat'!CS96+'GHG data from Eurostat'!CW96),0)</f>
        <v>0</v>
      </c>
      <c r="S90" s="9">
        <f>'GHG data from Eurostat'!CV96</f>
        <v>0</v>
      </c>
      <c r="T90" s="9">
        <f>'GHG data from Eurostat'!CT96</f>
        <v>0</v>
      </c>
      <c r="U90" s="9">
        <f t="shared" ref="U90" si="404">Q90+M90</f>
        <v>0</v>
      </c>
      <c r="V90" s="9">
        <f t="shared" si="398"/>
        <v>0</v>
      </c>
      <c r="W90" s="9">
        <f t="shared" si="399"/>
        <v>0</v>
      </c>
      <c r="X90" s="9">
        <f t="shared" si="400"/>
        <v>0</v>
      </c>
      <c r="Y90" s="9">
        <f t="shared" si="306"/>
        <v>0</v>
      </c>
      <c r="Z90" s="17">
        <f t="shared" si="307"/>
        <v>0</v>
      </c>
      <c r="AA90" s="17">
        <f t="shared" si="374"/>
        <v>0</v>
      </c>
      <c r="AB90" s="17">
        <f t="shared" si="375"/>
        <v>0</v>
      </c>
      <c r="AC90" s="17">
        <f t="shared" si="376"/>
        <v>0</v>
      </c>
      <c r="AD90" s="18"/>
      <c r="AE90" s="17">
        <f t="shared" si="309"/>
        <v>0</v>
      </c>
      <c r="AF90" s="17">
        <f t="shared" si="377"/>
        <v>0</v>
      </c>
      <c r="AG90" s="17">
        <f t="shared" si="378"/>
        <v>0</v>
      </c>
      <c r="AH90" s="17">
        <f t="shared" si="379"/>
        <v>0</v>
      </c>
      <c r="AJ90" s="9" t="s">
        <v>197</v>
      </c>
      <c r="AK90" s="9" t="s">
        <v>233</v>
      </c>
      <c r="AL90" s="9">
        <f>VLOOKUP($AJ90,Landcover!$A$3:$K$30,5,FALSE)/1000</f>
        <v>108.212</v>
      </c>
      <c r="AM90" s="9">
        <f>VLOOKUP($AJ90,Landcover!$A$3:$K$30,6,FALSE)/1000</f>
        <v>114.59</v>
      </c>
      <c r="AN90" s="9">
        <f>VLOOKUP($AJ90,Landcover!$A$3:$K$30,8,FALSE)/1000</f>
        <v>64.510000000000005</v>
      </c>
      <c r="AO90" s="9">
        <f>VLOOKUP($AJ90,Landcover!$A$3:$K$30,11,FALSE)/1000</f>
        <v>2.419</v>
      </c>
      <c r="AP90" s="9">
        <f>VLOOKUP($AJ90,Landcover!$A$3:$K$30,7,FALSE)/1000</f>
        <v>2.9340000000000002</v>
      </c>
      <c r="AR90" s="9">
        <f>SUM('GHG data from Eurostat'!CX96,'GHG data from Eurostat'!DC96,'GHG data from Eurostat'!DG96,'GHG data from Eurostat'!DM96,'GHG data from Eurostat'!DP96,'GHG data from Eurostat'!DV96)</f>
        <v>-2.7137499999999997</v>
      </c>
      <c r="AS90" s="9">
        <f>'GHG data from Eurostat'!DS96+'GHG data from Eurostat'!DT96</f>
        <v>-36.812890000000003</v>
      </c>
      <c r="AT90" s="9">
        <f>'GHG data from Eurostat'!EA96+'GHG data from Eurostat'!EB96</f>
        <v>0.73260999999999998</v>
      </c>
      <c r="AU90" s="9">
        <f>'GHG data from Eurostat'!ED96</f>
        <v>1.22848</v>
      </c>
      <c r="AV90" s="9">
        <f>'GHG data from Eurostat'!EL96</f>
        <v>0</v>
      </c>
      <c r="AW90" s="18">
        <f t="shared" si="310"/>
        <v>-37.565550000000002</v>
      </c>
      <c r="AX90" s="16">
        <f>AR90/AL90</f>
        <v>-2.5078087457952904E-2</v>
      </c>
      <c r="AY90" s="16">
        <f t="shared" ref="AY90" si="405">AS90/AM90</f>
        <v>-0.32125743956715247</v>
      </c>
      <c r="AZ90" s="16">
        <f t="shared" ref="AZ90" si="406">AT90/AN90</f>
        <v>1.1356533870717717E-2</v>
      </c>
      <c r="BA90" s="16">
        <f t="shared" ref="BA90:BB90" si="407">AU90/AO90</f>
        <v>0.50784621744522529</v>
      </c>
      <c r="BB90" s="16">
        <f t="shared" si="407"/>
        <v>0</v>
      </c>
      <c r="BD90" s="16">
        <f t="shared" si="313"/>
        <v>-2.5100000000000001E-2</v>
      </c>
      <c r="BE90" s="16">
        <f t="shared" si="383"/>
        <v>-0.32129999999999997</v>
      </c>
      <c r="BF90" s="16">
        <f t="shared" si="384"/>
        <v>1.14E-2</v>
      </c>
      <c r="BG90" s="16">
        <f t="shared" si="385"/>
        <v>0.50780000000000003</v>
      </c>
      <c r="BH90" s="16">
        <f t="shared" si="386"/>
        <v>0</v>
      </c>
      <c r="BJ90" s="16" t="str">
        <f t="shared" si="314"/>
        <v>Poland</v>
      </c>
      <c r="BK90" s="16" t="s">
        <v>259</v>
      </c>
      <c r="BL90" s="9">
        <f>'GHG data from Eurostat'!EP96</f>
        <v>-4.7731500000000002</v>
      </c>
    </row>
    <row r="91" spans="7:64" x14ac:dyDescent="0.25">
      <c r="G91" s="9" t="s">
        <v>197</v>
      </c>
      <c r="H91" s="9" t="s">
        <v>231</v>
      </c>
      <c r="I91" s="9">
        <f t="shared" si="301"/>
        <v>3.3083100000000001</v>
      </c>
      <c r="J91" s="9">
        <f t="shared" si="302"/>
        <v>6.1833</v>
      </c>
      <c r="K91" s="9">
        <f t="shared" si="303"/>
        <v>17.117999999999999</v>
      </c>
      <c r="L91" s="9">
        <f t="shared" si="304"/>
        <v>3.1844000000000004E-2</v>
      </c>
      <c r="M91" s="9">
        <f>'GHG data from Eurostat'!CP97</f>
        <v>1.7739999999999999E-2</v>
      </c>
      <c r="N91" s="9">
        <f>'GHG data from Eurostat'!CN97</f>
        <v>0.48000999999999999</v>
      </c>
      <c r="O91" s="9">
        <f>'GHG data from Eurostat'!CQ97</f>
        <v>3.3999999999999998E-3</v>
      </c>
      <c r="P91" s="9">
        <f>'GHG data from Eurostat'!CO97</f>
        <v>2.2100000000000002E-3</v>
      </c>
      <c r="Q91" s="9">
        <f>'GHG data from Eurostat'!CU97</f>
        <v>2.5340000000000001E-2</v>
      </c>
      <c r="R91" s="9">
        <f>IFERROR(('GHG data from Eurostat'!CS97+'GHG data from Eurostat'!CW97),0)</f>
        <v>2.563E-2</v>
      </c>
      <c r="S91" s="9">
        <f>'GHG data from Eurostat'!CV97</f>
        <v>7.5900000000000004E-3</v>
      </c>
      <c r="T91" s="9">
        <f>'GHG data from Eurostat'!CT97</f>
        <v>5.0000000000000002E-5</v>
      </c>
      <c r="U91" s="9">
        <f>(Q91+M91)*1000</f>
        <v>43.08</v>
      </c>
      <c r="V91" s="9">
        <f t="shared" ref="V91:V92" si="408">(R91+N91)*1000</f>
        <v>505.64</v>
      </c>
      <c r="W91" s="9">
        <f t="shared" ref="W91:W92" si="409">(S91+O91)*1000</f>
        <v>10.99</v>
      </c>
      <c r="X91" s="9">
        <f t="shared" ref="X91:X92" si="410">(T91+P91)*1000</f>
        <v>2.2600000000000002</v>
      </c>
      <c r="Y91" s="9">
        <f t="shared" si="306"/>
        <v>561.97</v>
      </c>
      <c r="Z91" s="17">
        <f t="shared" ref="Z91:AC92" si="411">IFERROR((M91+Q91)*1000/I91,0)</f>
        <v>13.021754309602183</v>
      </c>
      <c r="AA91" s="17">
        <f t="shared" si="411"/>
        <v>81.775103908915952</v>
      </c>
      <c r="AB91" s="17">
        <f t="shared" si="411"/>
        <v>0.64201425400163581</v>
      </c>
      <c r="AC91" s="17">
        <f t="shared" si="411"/>
        <v>70.970983544780808</v>
      </c>
      <c r="AD91" s="18"/>
      <c r="AE91" s="17">
        <f t="shared" si="309"/>
        <v>13.022</v>
      </c>
      <c r="AF91" s="17">
        <f t="shared" si="377"/>
        <v>81.775000000000006</v>
      </c>
      <c r="AG91" s="17">
        <f t="shared" si="378"/>
        <v>0.64200000000000002</v>
      </c>
      <c r="AH91" s="17">
        <f t="shared" si="379"/>
        <v>70.971000000000004</v>
      </c>
      <c r="AJ91" s="9" t="s">
        <v>197</v>
      </c>
      <c r="AK91" s="9" t="s">
        <v>231</v>
      </c>
      <c r="AL91" s="9">
        <f>VLOOKUP($AJ91,Landcover!$A$3:$K$30,5,FALSE)/1000</f>
        <v>108.212</v>
      </c>
      <c r="AM91" s="9">
        <f>VLOOKUP($AJ91,Landcover!$A$3:$K$30,6,FALSE)/1000</f>
        <v>114.59</v>
      </c>
      <c r="AN91" s="9">
        <f>VLOOKUP($AJ91,Landcover!$A$3:$K$30,8,FALSE)/1000</f>
        <v>64.510000000000005</v>
      </c>
      <c r="AO91" s="9">
        <f>VLOOKUP($AJ91,Landcover!$A$3:$K$30,11,FALSE)/1000</f>
        <v>2.419</v>
      </c>
      <c r="AP91" s="9">
        <f>VLOOKUP($AJ91,Landcover!$A$3:$K$30,7,FALSE)/1000</f>
        <v>2.9340000000000002</v>
      </c>
      <c r="AR91" s="9">
        <f>SUM('GHG data from Eurostat'!CX97,'GHG data from Eurostat'!DC97,'GHG data from Eurostat'!DG97,'GHG data from Eurostat'!DM97,'GHG data from Eurostat'!DP97,'GHG data from Eurostat'!DV97)</f>
        <v>9.7999999999999997E-4</v>
      </c>
      <c r="AS91" s="9">
        <f>'GHG data from Eurostat'!DS97+'GHG data from Eurostat'!DT97</f>
        <v>6.0999999999999997E-4</v>
      </c>
      <c r="AT91" s="9">
        <f>'GHG data from Eurostat'!EA97+'GHG data from Eurostat'!EB97</f>
        <v>6.9999999999999994E-5</v>
      </c>
      <c r="AU91" s="9">
        <f>'GHG data from Eurostat'!ED97</f>
        <v>0</v>
      </c>
      <c r="AV91" s="9">
        <f>'GHG data from Eurostat'!EL97</f>
        <v>0</v>
      </c>
      <c r="AW91" s="18">
        <f t="shared" si="310"/>
        <v>1.6599999999999998E-3</v>
      </c>
      <c r="AX91" s="16">
        <f>IFERROR(AR91*1000/AL91,0)</f>
        <v>9.0562968986803681E-3</v>
      </c>
      <c r="AY91" s="16">
        <f t="shared" ref="AY91:AY92" si="412">IFERROR(AS91*1000/AM91,0)</f>
        <v>5.3233266428135088E-3</v>
      </c>
      <c r="AZ91" s="16">
        <f t="shared" ref="AZ91:AZ92" si="413">IFERROR(AT91*1000/AN91,0)</f>
        <v>1.0851030847930552E-3</v>
      </c>
      <c r="BA91" s="16">
        <f t="shared" ref="BA91:BB92" si="414">IFERROR(AU91*1000/AO91,0)</f>
        <v>0</v>
      </c>
      <c r="BB91" s="16">
        <f t="shared" si="414"/>
        <v>0</v>
      </c>
      <c r="BD91" s="16">
        <f t="shared" si="313"/>
        <v>9.1000000000000004E-3</v>
      </c>
      <c r="BE91" s="16">
        <f t="shared" si="383"/>
        <v>5.3E-3</v>
      </c>
      <c r="BF91" s="16">
        <f t="shared" si="384"/>
        <v>1.1000000000000001E-3</v>
      </c>
      <c r="BG91" s="16">
        <f t="shared" si="385"/>
        <v>0</v>
      </c>
      <c r="BH91" s="16">
        <f t="shared" si="386"/>
        <v>0</v>
      </c>
      <c r="BJ91" s="16" t="str">
        <f t="shared" si="314"/>
        <v>Poland</v>
      </c>
      <c r="BK91" s="16" t="s">
        <v>260</v>
      </c>
      <c r="BL91" s="9">
        <f>'GHG data from Eurostat'!EP97</f>
        <v>0</v>
      </c>
    </row>
    <row r="92" spans="7:64" x14ac:dyDescent="0.25">
      <c r="G92" s="9" t="s">
        <v>197</v>
      </c>
      <c r="H92" s="9" t="s">
        <v>232</v>
      </c>
      <c r="I92" s="9">
        <f t="shared" si="301"/>
        <v>3.3083100000000001</v>
      </c>
      <c r="J92" s="9">
        <f t="shared" si="302"/>
        <v>6.1833</v>
      </c>
      <c r="K92" s="9">
        <f t="shared" si="303"/>
        <v>17.117999999999999</v>
      </c>
      <c r="L92" s="9">
        <f t="shared" si="304"/>
        <v>3.1844000000000004E-2</v>
      </c>
      <c r="M92" s="9">
        <f>'GHG data from Eurostat'!CP98</f>
        <v>0</v>
      </c>
      <c r="N92" s="9">
        <f>'GHG data from Eurostat'!CN98</f>
        <v>0</v>
      </c>
      <c r="O92" s="9">
        <f>'GHG data from Eurostat'!CQ98</f>
        <v>0</v>
      </c>
      <c r="P92" s="9">
        <f>'GHG data from Eurostat'!CO98</f>
        <v>0</v>
      </c>
      <c r="Q92" s="9">
        <f>'GHG data from Eurostat'!CU98</f>
        <v>9.5E-4</v>
      </c>
      <c r="R92" s="9">
        <f>IFERROR(('GHG data from Eurostat'!CS98+'GHG data from Eurostat'!CW98),0)</f>
        <v>8.0000000000000002E-3</v>
      </c>
      <c r="S92" s="9">
        <f>'GHG data from Eurostat'!CV98</f>
        <v>3.3E-4</v>
      </c>
      <c r="T92" s="9">
        <f>'GHG data from Eurostat'!CT98</f>
        <v>1.0000000000000001E-5</v>
      </c>
      <c r="U92" s="9">
        <f>(Q92+M92)*1000</f>
        <v>0.95</v>
      </c>
      <c r="V92" s="9">
        <f t="shared" si="408"/>
        <v>8</v>
      </c>
      <c r="W92" s="9">
        <f t="shared" si="409"/>
        <v>0.33</v>
      </c>
      <c r="X92" s="9">
        <f t="shared" si="410"/>
        <v>0.01</v>
      </c>
      <c r="Y92" s="9">
        <f t="shared" si="306"/>
        <v>9.2899999999999991</v>
      </c>
      <c r="Z92" s="17">
        <f t="shared" si="411"/>
        <v>0.28715567767228584</v>
      </c>
      <c r="AA92" s="17">
        <f t="shared" si="411"/>
        <v>1.2938075137871363</v>
      </c>
      <c r="AB92" s="17">
        <f t="shared" si="411"/>
        <v>1.9277953031896253E-2</v>
      </c>
      <c r="AC92" s="17">
        <f t="shared" si="411"/>
        <v>0.314030900640623</v>
      </c>
      <c r="AD92" s="18"/>
      <c r="AE92" s="17">
        <f t="shared" si="309"/>
        <v>0.28699999999999998</v>
      </c>
      <c r="AF92" s="17">
        <f t="shared" si="377"/>
        <v>1.294</v>
      </c>
      <c r="AG92" s="17">
        <f t="shared" si="378"/>
        <v>1.9E-2</v>
      </c>
      <c r="AH92" s="17">
        <f t="shared" si="379"/>
        <v>0.314</v>
      </c>
      <c r="AJ92" s="9" t="s">
        <v>197</v>
      </c>
      <c r="AK92" s="9" t="s">
        <v>232</v>
      </c>
      <c r="AL92" s="9">
        <f>VLOOKUP($AJ92,Landcover!$A$3:$K$30,5,FALSE)/1000</f>
        <v>108.212</v>
      </c>
      <c r="AM92" s="9">
        <f>VLOOKUP($AJ92,Landcover!$A$3:$K$30,6,FALSE)/1000</f>
        <v>114.59</v>
      </c>
      <c r="AN92" s="9">
        <f>VLOOKUP($AJ92,Landcover!$A$3:$K$30,8,FALSE)/1000</f>
        <v>64.510000000000005</v>
      </c>
      <c r="AO92" s="9">
        <f>VLOOKUP($AJ92,Landcover!$A$3:$K$30,11,FALSE)/1000</f>
        <v>2.419</v>
      </c>
      <c r="AP92" s="9">
        <f>VLOOKUP($AJ92,Landcover!$A$3:$K$30,7,FALSE)/1000</f>
        <v>2.9340000000000002</v>
      </c>
      <c r="AR92" s="9">
        <f>SUM('GHG data from Eurostat'!CX98,'GHG data from Eurostat'!DC98,'GHG data from Eurostat'!DG98,'GHG data from Eurostat'!DM98,'GHG data from Eurostat'!DP98,'GHG data from Eurostat'!DV98)</f>
        <v>5.407E-2</v>
      </c>
      <c r="AS92" s="9">
        <f>'GHG data from Eurostat'!DS98+'GHG data from Eurostat'!DT98</f>
        <v>3.0000000000000001E-5</v>
      </c>
      <c r="AT92" s="9">
        <f>'GHG data from Eurostat'!EA98+'GHG data from Eurostat'!EB98</f>
        <v>0</v>
      </c>
      <c r="AU92" s="9">
        <f>'GHG data from Eurostat'!ED98</f>
        <v>2.0000000000000002E-5</v>
      </c>
      <c r="AV92" s="9">
        <f>'GHG data from Eurostat'!EL98</f>
        <v>0</v>
      </c>
      <c r="AW92" s="18">
        <f t="shared" si="310"/>
        <v>5.4120000000000001E-2</v>
      </c>
      <c r="AX92" s="16">
        <f>IFERROR(AR92*1000/AL92,0)</f>
        <v>0.49966731970576272</v>
      </c>
      <c r="AY92" s="16">
        <f t="shared" si="412"/>
        <v>2.6180294964656603E-4</v>
      </c>
      <c r="AZ92" s="16">
        <f t="shared" si="413"/>
        <v>0</v>
      </c>
      <c r="BA92" s="16">
        <f t="shared" si="414"/>
        <v>8.2678792889623806E-3</v>
      </c>
      <c r="BB92" s="16">
        <f t="shared" si="414"/>
        <v>0</v>
      </c>
      <c r="BD92" s="16">
        <f t="shared" si="313"/>
        <v>0.49969999999999998</v>
      </c>
      <c r="BE92" s="16">
        <f t="shared" si="383"/>
        <v>2.9999999999999997E-4</v>
      </c>
      <c r="BF92" s="16">
        <f t="shared" si="384"/>
        <v>0</v>
      </c>
      <c r="BG92" s="16">
        <f t="shared" si="385"/>
        <v>8.3000000000000001E-3</v>
      </c>
      <c r="BH92" s="16">
        <f t="shared" si="386"/>
        <v>0</v>
      </c>
      <c r="BJ92" s="16" t="str">
        <f t="shared" si="314"/>
        <v>Poland</v>
      </c>
      <c r="BK92" s="16" t="s">
        <v>261</v>
      </c>
      <c r="BL92" s="9">
        <f>'GHG data from Eurostat'!EP98</f>
        <v>0</v>
      </c>
    </row>
    <row r="93" spans="7:64" x14ac:dyDescent="0.25">
      <c r="G93" s="9" t="s">
        <v>198</v>
      </c>
      <c r="H93" s="9" t="s">
        <v>262</v>
      </c>
      <c r="I93" s="9">
        <f t="shared" si="301"/>
        <v>0.66151500000000008</v>
      </c>
      <c r="J93" s="9">
        <f t="shared" si="302"/>
        <v>1.63242</v>
      </c>
      <c r="K93" s="9">
        <f t="shared" si="303"/>
        <v>3.0619999999999998</v>
      </c>
      <c r="L93" s="9">
        <f t="shared" si="304"/>
        <v>0.25403800000000004</v>
      </c>
      <c r="M93" s="9">
        <f>'GHG data from Eurostat'!CP99</f>
        <v>7.0699999999999999E-2</v>
      </c>
      <c r="N93" s="9">
        <f>'GHG data from Eurostat'!CN99</f>
        <v>3.1635900000000001</v>
      </c>
      <c r="O93" s="9">
        <f>'GHG data from Eurostat'!CQ99</f>
        <v>0.14030000000000001</v>
      </c>
      <c r="P93" s="9">
        <f>'GHG data from Eurostat'!CO99</f>
        <v>0.61855000000000004</v>
      </c>
      <c r="Q93" s="9">
        <f>'GHG data from Eurostat'!CU99</f>
        <v>0.46988000000000002</v>
      </c>
      <c r="R93" s="9">
        <f>IFERROR(('GHG data from Eurostat'!CS99+'GHG data from Eurostat'!CW99),0)</f>
        <v>0.36765000000000003</v>
      </c>
      <c r="S93" s="9">
        <f>'GHG data from Eurostat'!CV99</f>
        <v>0.13155</v>
      </c>
      <c r="T93" s="9">
        <f>'GHG data from Eurostat'!CT99</f>
        <v>2.384E-2</v>
      </c>
      <c r="U93" s="9">
        <f>Q93+M93</f>
        <v>0.54058000000000006</v>
      </c>
      <c r="V93" s="9">
        <f t="shared" ref="V93:V94" si="415">R93+N93</f>
        <v>3.5312400000000004</v>
      </c>
      <c r="W93" s="9">
        <f t="shared" ref="W93:W94" si="416">S93+O93</f>
        <v>0.27185000000000004</v>
      </c>
      <c r="X93" s="9">
        <f t="shared" ref="X93:X94" si="417">T93+P93</f>
        <v>0.64239000000000002</v>
      </c>
      <c r="Y93" s="9">
        <f t="shared" si="306"/>
        <v>4.9860600000000002</v>
      </c>
      <c r="Z93" s="17">
        <f t="shared" si="307"/>
        <v>0.81718479550728251</v>
      </c>
      <c r="AA93" s="17">
        <f t="shared" si="374"/>
        <v>2.1631932958429818</v>
      </c>
      <c r="AB93" s="17">
        <f t="shared" si="375"/>
        <v>8.878184193337689E-2</v>
      </c>
      <c r="AC93" s="17">
        <f t="shared" si="376"/>
        <v>2.5287161763200778</v>
      </c>
      <c r="AD93" s="18"/>
      <c r="AE93" s="17">
        <f t="shared" si="309"/>
        <v>0.81699999999999995</v>
      </c>
      <c r="AF93" s="17">
        <f t="shared" si="377"/>
        <v>2.1629999999999998</v>
      </c>
      <c r="AG93" s="17">
        <f t="shared" si="378"/>
        <v>8.8999999999999996E-2</v>
      </c>
      <c r="AH93" s="17">
        <f t="shared" si="379"/>
        <v>2.5289999999999999</v>
      </c>
      <c r="AJ93" s="9" t="s">
        <v>198</v>
      </c>
      <c r="AK93" s="9" t="s">
        <v>262</v>
      </c>
      <c r="AL93" s="9">
        <f>VLOOKUP($AJ93,Landcover!$A$3:$K$30,5,FALSE)/1000</f>
        <v>14.512</v>
      </c>
      <c r="AM93" s="9">
        <f>VLOOKUP($AJ93,Landcover!$A$3:$K$30,6,FALSE)/1000</f>
        <v>34.496000000000002</v>
      </c>
      <c r="AN93" s="9">
        <f>VLOOKUP($AJ93,Landcover!$A$3:$K$30,8,FALSE)/1000</f>
        <v>14.092000000000001</v>
      </c>
      <c r="AO93" s="9">
        <f>VLOOKUP($AJ93,Landcover!$A$3:$K$30,11,FALSE)/1000</f>
        <v>0.28799999999999998</v>
      </c>
      <c r="AP93" s="9">
        <f>VLOOKUP($AJ93,Landcover!$A$3:$K$30,7,FALSE)/1000</f>
        <v>15.609</v>
      </c>
      <c r="AR93" s="9">
        <f>SUM('GHG data from Eurostat'!CX99,'GHG data from Eurostat'!DC99,'GHG data from Eurostat'!DG99,'GHG data from Eurostat'!DM99,'GHG data from Eurostat'!DP99,'GHG data from Eurostat'!DV99)</f>
        <v>2.5970599999999999</v>
      </c>
      <c r="AS93" s="9">
        <f>'GHG data from Eurostat'!DS99+'GHG data from Eurostat'!DT99</f>
        <v>0.26798</v>
      </c>
      <c r="AT93" s="9">
        <f>'GHG data from Eurostat'!EA99+'GHG data from Eurostat'!EB99</f>
        <v>-2.6965599999999998</v>
      </c>
      <c r="AU93" s="9">
        <f>'GHG data from Eurostat'!ED99</f>
        <v>0.43209999999999998</v>
      </c>
      <c r="AV93" s="9">
        <f>'GHG data from Eurostat'!EL99</f>
        <v>0</v>
      </c>
      <c r="AW93" s="18">
        <f t="shared" si="310"/>
        <v>0.60058000000000011</v>
      </c>
      <c r="AX93" s="16">
        <f>AR93/AL93</f>
        <v>0.17895948180815877</v>
      </c>
      <c r="AY93" s="16">
        <f t="shared" ref="AY93" si="418">AS93/AM93</f>
        <v>7.7684369202226343E-3</v>
      </c>
      <c r="AZ93" s="16">
        <f t="shared" ref="AZ93" si="419">AT93/AN93</f>
        <v>-0.19135395969344307</v>
      </c>
      <c r="BA93" s="16">
        <f t="shared" ref="BA93:BB93" si="420">AU93/AO93</f>
        <v>1.5003472222222223</v>
      </c>
      <c r="BB93" s="16">
        <f t="shared" si="420"/>
        <v>0</v>
      </c>
      <c r="BD93" s="16">
        <f t="shared" si="313"/>
        <v>0.17899999999999999</v>
      </c>
      <c r="BE93" s="16">
        <f t="shared" si="383"/>
        <v>7.7999999999999996E-3</v>
      </c>
      <c r="BF93" s="16">
        <f t="shared" si="384"/>
        <v>-0.19139999999999999</v>
      </c>
      <c r="BG93" s="16">
        <f t="shared" si="385"/>
        <v>1.5003</v>
      </c>
      <c r="BH93" s="16">
        <f t="shared" si="386"/>
        <v>0</v>
      </c>
      <c r="BJ93" s="16" t="str">
        <f t="shared" si="314"/>
        <v>Portugal</v>
      </c>
      <c r="BK93" s="16" t="s">
        <v>263</v>
      </c>
      <c r="BL93" s="9">
        <f>'GHG data from Eurostat'!EP99</f>
        <v>-0.52576999999999996</v>
      </c>
    </row>
    <row r="94" spans="7:64" x14ac:dyDescent="0.25">
      <c r="G94" s="9" t="s">
        <v>198</v>
      </c>
      <c r="H94" s="9" t="s">
        <v>233</v>
      </c>
      <c r="I94" s="9">
        <f t="shared" si="301"/>
        <v>0.66151500000000008</v>
      </c>
      <c r="J94" s="9">
        <f t="shared" si="302"/>
        <v>1.63242</v>
      </c>
      <c r="K94" s="9">
        <f t="shared" si="303"/>
        <v>3.0619999999999998</v>
      </c>
      <c r="L94" s="9">
        <f t="shared" si="304"/>
        <v>0.25403800000000004</v>
      </c>
      <c r="M94" s="9">
        <f>'GHG data from Eurostat'!CP100</f>
        <v>0</v>
      </c>
      <c r="N94" s="9">
        <f>'GHG data from Eurostat'!CN100</f>
        <v>0</v>
      </c>
      <c r="O94" s="9">
        <f>'GHG data from Eurostat'!CQ100</f>
        <v>0</v>
      </c>
      <c r="P94" s="9">
        <f>'GHG data from Eurostat'!CO100</f>
        <v>0</v>
      </c>
      <c r="Q94" s="9">
        <f>'GHG data from Eurostat'!CU100</f>
        <v>0</v>
      </c>
      <c r="R94" s="9">
        <f>IFERROR(('GHG data from Eurostat'!CS100+'GHG data from Eurostat'!CW100),0)</f>
        <v>0</v>
      </c>
      <c r="S94" s="9">
        <f>'GHG data from Eurostat'!CV100</f>
        <v>0</v>
      </c>
      <c r="T94" s="9">
        <f>'GHG data from Eurostat'!CT100</f>
        <v>0</v>
      </c>
      <c r="U94" s="9">
        <f t="shared" ref="U94" si="421">Q94+M94</f>
        <v>0</v>
      </c>
      <c r="V94" s="9">
        <f t="shared" si="415"/>
        <v>0</v>
      </c>
      <c r="W94" s="9">
        <f t="shared" si="416"/>
        <v>0</v>
      </c>
      <c r="X94" s="9">
        <f t="shared" si="417"/>
        <v>0</v>
      </c>
      <c r="Y94" s="9">
        <f t="shared" si="306"/>
        <v>0</v>
      </c>
      <c r="Z94" s="17">
        <f t="shared" si="307"/>
        <v>0</v>
      </c>
      <c r="AA94" s="17">
        <f t="shared" si="374"/>
        <v>0</v>
      </c>
      <c r="AB94" s="17">
        <f t="shared" si="375"/>
        <v>0</v>
      </c>
      <c r="AC94" s="17">
        <f t="shared" si="376"/>
        <v>0</v>
      </c>
      <c r="AD94" s="18"/>
      <c r="AE94" s="17">
        <f t="shared" si="309"/>
        <v>0</v>
      </c>
      <c r="AF94" s="17">
        <f t="shared" si="377"/>
        <v>0</v>
      </c>
      <c r="AG94" s="17">
        <f t="shared" si="378"/>
        <v>0</v>
      </c>
      <c r="AH94" s="17">
        <f t="shared" si="379"/>
        <v>0</v>
      </c>
      <c r="AJ94" s="9" t="s">
        <v>198</v>
      </c>
      <c r="AK94" s="9" t="s">
        <v>233</v>
      </c>
      <c r="AL94" s="9">
        <f>VLOOKUP($AJ94,Landcover!$A$3:$K$30,5,FALSE)/1000</f>
        <v>14.512</v>
      </c>
      <c r="AM94" s="9">
        <f>VLOOKUP($AJ94,Landcover!$A$3:$K$30,6,FALSE)/1000</f>
        <v>34.496000000000002</v>
      </c>
      <c r="AN94" s="9">
        <f>VLOOKUP($AJ94,Landcover!$A$3:$K$30,8,FALSE)/1000</f>
        <v>14.092000000000001</v>
      </c>
      <c r="AO94" s="9">
        <f>VLOOKUP($AJ94,Landcover!$A$3:$K$30,11,FALSE)/1000</f>
        <v>0.28799999999999998</v>
      </c>
      <c r="AP94" s="9">
        <f>VLOOKUP($AJ94,Landcover!$A$3:$K$30,7,FALSE)/1000</f>
        <v>15.609</v>
      </c>
      <c r="AR94" s="9">
        <f>SUM('GHG data from Eurostat'!CX100,'GHG data from Eurostat'!DC100,'GHG data from Eurostat'!DG100,'GHG data from Eurostat'!DM100,'GHG data from Eurostat'!DP100,'GHG data from Eurostat'!DV100)</f>
        <v>0.42636000000000002</v>
      </c>
      <c r="AS94" s="9">
        <f>'GHG data from Eurostat'!DS100+'GHG data from Eurostat'!DT100</f>
        <v>0.18501999999999999</v>
      </c>
      <c r="AT94" s="9">
        <f>'GHG data from Eurostat'!EA100+'GHG data from Eurostat'!EB100</f>
        <v>-2.7259199999999999</v>
      </c>
      <c r="AU94" s="9">
        <f>'GHG data from Eurostat'!ED100</f>
        <v>0.40215000000000001</v>
      </c>
      <c r="AV94" s="9">
        <f>'GHG data from Eurostat'!EL100</f>
        <v>0</v>
      </c>
      <c r="AW94" s="18">
        <f t="shared" si="310"/>
        <v>-1.7123899999999999</v>
      </c>
      <c r="AX94" s="16">
        <f>AR94/AL94</f>
        <v>2.9379823594266812E-2</v>
      </c>
      <c r="AY94" s="16">
        <f t="shared" ref="AY94" si="422">AS94/AM94</f>
        <v>5.3635204081632646E-3</v>
      </c>
      <c r="AZ94" s="16">
        <f t="shared" ref="AZ94" si="423">AT94/AN94</f>
        <v>-0.19343741129718989</v>
      </c>
      <c r="BA94" s="16">
        <f t="shared" ref="BA94:BB94" si="424">AU94/AO94</f>
        <v>1.3963541666666668</v>
      </c>
      <c r="BB94" s="16">
        <f t="shared" si="424"/>
        <v>0</v>
      </c>
      <c r="BD94" s="16">
        <f t="shared" si="313"/>
        <v>2.9399999999999999E-2</v>
      </c>
      <c r="BE94" s="16">
        <f t="shared" si="383"/>
        <v>5.4000000000000003E-3</v>
      </c>
      <c r="BF94" s="16">
        <f t="shared" si="384"/>
        <v>-0.19339999999999999</v>
      </c>
      <c r="BG94" s="16">
        <f t="shared" si="385"/>
        <v>1.3964000000000001</v>
      </c>
      <c r="BH94" s="16">
        <f t="shared" si="386"/>
        <v>0</v>
      </c>
      <c r="BJ94" s="16" t="str">
        <f t="shared" si="314"/>
        <v>Portugal</v>
      </c>
      <c r="BK94" s="16" t="s">
        <v>259</v>
      </c>
      <c r="BL94" s="9">
        <f>'GHG data from Eurostat'!EP100</f>
        <v>-0.52576999999999996</v>
      </c>
    </row>
    <row r="95" spans="7:64" x14ac:dyDescent="0.25">
      <c r="G95" s="9" t="s">
        <v>198</v>
      </c>
      <c r="H95" s="9" t="s">
        <v>231</v>
      </c>
      <c r="I95" s="9">
        <f t="shared" si="301"/>
        <v>0.66151500000000008</v>
      </c>
      <c r="J95" s="9">
        <f t="shared" si="302"/>
        <v>1.63242</v>
      </c>
      <c r="K95" s="9">
        <f t="shared" si="303"/>
        <v>3.0619999999999998</v>
      </c>
      <c r="L95" s="9">
        <f t="shared" si="304"/>
        <v>0.25403800000000004</v>
      </c>
      <c r="M95" s="9">
        <f>'GHG data from Eurostat'!CP101</f>
        <v>2.5300000000000001E-3</v>
      </c>
      <c r="N95" s="9">
        <f>'GHG data from Eurostat'!CN101</f>
        <v>0.11298999999999999</v>
      </c>
      <c r="O95" s="9">
        <f>'GHG data from Eurostat'!CQ101</f>
        <v>5.0099999999999997E-3</v>
      </c>
      <c r="P95" s="9">
        <f>'GHG data from Eurostat'!CO101</f>
        <v>2.2089999999999999E-2</v>
      </c>
      <c r="Q95" s="9">
        <f>'GHG data from Eurostat'!CU101</f>
        <v>1.6650000000000002E-2</v>
      </c>
      <c r="R95" s="9">
        <f>IFERROR(('GHG data from Eurostat'!CS101+'GHG data from Eurostat'!CW101),0)</f>
        <v>8.8199999999999997E-3</v>
      </c>
      <c r="S95" s="9">
        <f>'GHG data from Eurostat'!CV101</f>
        <v>2.9199999999999999E-3</v>
      </c>
      <c r="T95" s="9">
        <f>'GHG data from Eurostat'!CT101</f>
        <v>7.2999999999999996E-4</v>
      </c>
      <c r="U95" s="9">
        <f>(Q95+M95)*1000</f>
        <v>19.180000000000003</v>
      </c>
      <c r="V95" s="9">
        <f t="shared" ref="V95:V96" si="425">(R95+N95)*1000</f>
        <v>121.80999999999999</v>
      </c>
      <c r="W95" s="9">
        <f t="shared" ref="W95:W96" si="426">(S95+O95)*1000</f>
        <v>7.93</v>
      </c>
      <c r="X95" s="9">
        <f t="shared" ref="X95:X96" si="427">(T95+P95)*1000</f>
        <v>22.82</v>
      </c>
      <c r="Y95" s="9">
        <f t="shared" si="306"/>
        <v>171.73999999999998</v>
      </c>
      <c r="Z95" s="17">
        <f t="shared" ref="Z95:AC96" si="428">IFERROR((M95+Q95)*1000/I95,0)</f>
        <v>28.994051533222983</v>
      </c>
      <c r="AA95" s="17">
        <f t="shared" si="428"/>
        <v>74.619276901777724</v>
      </c>
      <c r="AB95" s="17">
        <f t="shared" si="428"/>
        <v>2.5898105813193992</v>
      </c>
      <c r="AC95" s="17">
        <f t="shared" si="428"/>
        <v>89.829080688715848</v>
      </c>
      <c r="AD95" s="18"/>
      <c r="AE95" s="17">
        <f t="shared" si="309"/>
        <v>28.994</v>
      </c>
      <c r="AF95" s="17">
        <f t="shared" si="377"/>
        <v>74.619</v>
      </c>
      <c r="AG95" s="17">
        <f t="shared" si="378"/>
        <v>2.59</v>
      </c>
      <c r="AH95" s="17">
        <f t="shared" si="379"/>
        <v>89.828999999999994</v>
      </c>
      <c r="AJ95" s="9" t="s">
        <v>198</v>
      </c>
      <c r="AK95" s="9" t="s">
        <v>231</v>
      </c>
      <c r="AL95" s="9">
        <f>VLOOKUP($AJ95,Landcover!$A$3:$K$30,5,FALSE)/1000</f>
        <v>14.512</v>
      </c>
      <c r="AM95" s="9">
        <f>VLOOKUP($AJ95,Landcover!$A$3:$K$30,6,FALSE)/1000</f>
        <v>34.496000000000002</v>
      </c>
      <c r="AN95" s="9">
        <f>VLOOKUP($AJ95,Landcover!$A$3:$K$30,8,FALSE)/1000</f>
        <v>14.092000000000001</v>
      </c>
      <c r="AO95" s="9">
        <f>VLOOKUP($AJ95,Landcover!$A$3:$K$30,11,FALSE)/1000</f>
        <v>0.28799999999999998</v>
      </c>
      <c r="AP95" s="9">
        <f>VLOOKUP($AJ95,Landcover!$A$3:$K$30,7,FALSE)/1000</f>
        <v>15.609</v>
      </c>
      <c r="AR95" s="9">
        <f>SUM('GHG data from Eurostat'!CX101,'GHG data from Eurostat'!DC101,'GHG data from Eurostat'!DG101,'GHG data from Eurostat'!DM101,'GHG data from Eurostat'!DP101,'GHG data from Eurostat'!DV101)</f>
        <v>6.1099999999999991E-3</v>
      </c>
      <c r="AS95" s="9">
        <f>'GHG data from Eurostat'!DS101+'GHG data from Eurostat'!DT101</f>
        <v>1.0200000000000001E-3</v>
      </c>
      <c r="AT95" s="9">
        <f>'GHG data from Eurostat'!EA101+'GHG data from Eurostat'!EB101</f>
        <v>5.0000000000000001E-4</v>
      </c>
      <c r="AU95" s="9">
        <f>'GHG data from Eurostat'!ED101</f>
        <v>0</v>
      </c>
      <c r="AV95" s="9">
        <f>'GHG data from Eurostat'!EL101</f>
        <v>0</v>
      </c>
      <c r="AW95" s="18">
        <f t="shared" si="310"/>
        <v>7.6299999999999996E-3</v>
      </c>
      <c r="AX95" s="16">
        <f>IFERROR(AR95*1000/AL95,0)</f>
        <v>0.42103087100330755</v>
      </c>
      <c r="AY95" s="16">
        <f t="shared" ref="AY95:AY96" si="429">IFERROR(AS95*1000/AM95,0)</f>
        <v>2.956864564007421E-2</v>
      </c>
      <c r="AZ95" s="16">
        <f t="shared" ref="AZ95:AZ96" si="430">IFERROR(AT95*1000/AN95,0)</f>
        <v>3.5481124042009649E-2</v>
      </c>
      <c r="BA95" s="16">
        <f t="shared" ref="BA95:BB96" si="431">IFERROR(AU95*1000/AO95,0)</f>
        <v>0</v>
      </c>
      <c r="BB95" s="16">
        <f t="shared" si="431"/>
        <v>0</v>
      </c>
      <c r="BD95" s="16">
        <f t="shared" si="313"/>
        <v>0.42099999999999999</v>
      </c>
      <c r="BE95" s="16">
        <f t="shared" si="383"/>
        <v>2.9600000000000001E-2</v>
      </c>
      <c r="BF95" s="16">
        <f t="shared" si="384"/>
        <v>3.5499999999999997E-2</v>
      </c>
      <c r="BG95" s="16">
        <f t="shared" si="385"/>
        <v>0</v>
      </c>
      <c r="BH95" s="16">
        <f t="shared" si="386"/>
        <v>0</v>
      </c>
      <c r="BJ95" s="16" t="str">
        <f t="shared" si="314"/>
        <v>Portugal</v>
      </c>
      <c r="BK95" s="16" t="s">
        <v>260</v>
      </c>
      <c r="BL95" s="9">
        <f>'GHG data from Eurostat'!EP101</f>
        <v>0</v>
      </c>
    </row>
    <row r="96" spans="7:64" x14ac:dyDescent="0.25">
      <c r="G96" s="9" t="s">
        <v>198</v>
      </c>
      <c r="H96" s="9" t="s">
        <v>232</v>
      </c>
      <c r="I96" s="9">
        <f t="shared" si="301"/>
        <v>0.66151500000000008</v>
      </c>
      <c r="J96" s="9">
        <f t="shared" si="302"/>
        <v>1.63242</v>
      </c>
      <c r="K96" s="9">
        <f t="shared" si="303"/>
        <v>3.0619999999999998</v>
      </c>
      <c r="L96" s="9">
        <f t="shared" si="304"/>
        <v>0.25403800000000004</v>
      </c>
      <c r="M96" s="9">
        <f>'GHG data from Eurostat'!CP102</f>
        <v>0</v>
      </c>
      <c r="N96" s="9">
        <f>'GHG data from Eurostat'!CN102</f>
        <v>0</v>
      </c>
      <c r="O96" s="9">
        <f>'GHG data from Eurostat'!CQ102</f>
        <v>0</v>
      </c>
      <c r="P96" s="9">
        <f>'GHG data from Eurostat'!CO102</f>
        <v>0</v>
      </c>
      <c r="Q96" s="9">
        <f>'GHG data from Eurostat'!CU102</f>
        <v>1.0000000000000001E-5</v>
      </c>
      <c r="R96" s="9">
        <f>IFERROR(('GHG data from Eurostat'!CS102+'GHG data from Eurostat'!CW102),0)</f>
        <v>4.6000000000000001E-4</v>
      </c>
      <c r="S96" s="9">
        <f>'GHG data from Eurostat'!CV102</f>
        <v>1.9000000000000001E-4</v>
      </c>
      <c r="T96" s="9">
        <f>'GHG data from Eurostat'!CT102</f>
        <v>1.0000000000000001E-5</v>
      </c>
      <c r="U96" s="9">
        <f>(Q96+M96)*1000</f>
        <v>0.01</v>
      </c>
      <c r="V96" s="9">
        <f t="shared" si="425"/>
        <v>0.46</v>
      </c>
      <c r="W96" s="9">
        <f t="shared" si="426"/>
        <v>0.19</v>
      </c>
      <c r="X96" s="9">
        <f t="shared" si="427"/>
        <v>0.01</v>
      </c>
      <c r="Y96" s="9">
        <f t="shared" si="306"/>
        <v>0.67</v>
      </c>
      <c r="Z96" s="17">
        <f t="shared" si="428"/>
        <v>1.5116815189375901E-2</v>
      </c>
      <c r="AA96" s="17">
        <f t="shared" si="428"/>
        <v>0.28179022555469796</v>
      </c>
      <c r="AB96" s="17">
        <f t="shared" si="428"/>
        <v>6.205094709340301E-2</v>
      </c>
      <c r="AC96" s="17">
        <f t="shared" si="428"/>
        <v>3.9364189609428508E-2</v>
      </c>
      <c r="AD96" s="18"/>
      <c r="AE96" s="17">
        <f t="shared" si="309"/>
        <v>1.4999999999999999E-2</v>
      </c>
      <c r="AF96" s="17">
        <f t="shared" si="377"/>
        <v>0.28199999999999997</v>
      </c>
      <c r="AG96" s="17">
        <f t="shared" si="378"/>
        <v>6.2E-2</v>
      </c>
      <c r="AH96" s="17">
        <f t="shared" si="379"/>
        <v>3.9E-2</v>
      </c>
      <c r="AJ96" s="9" t="s">
        <v>198</v>
      </c>
      <c r="AK96" s="9" t="s">
        <v>232</v>
      </c>
      <c r="AL96" s="9">
        <f>VLOOKUP($AJ96,Landcover!$A$3:$K$30,5,FALSE)/1000</f>
        <v>14.512</v>
      </c>
      <c r="AM96" s="9">
        <f>VLOOKUP($AJ96,Landcover!$A$3:$K$30,6,FALSE)/1000</f>
        <v>34.496000000000002</v>
      </c>
      <c r="AN96" s="9">
        <f>VLOOKUP($AJ96,Landcover!$A$3:$K$30,8,FALSE)/1000</f>
        <v>14.092000000000001</v>
      </c>
      <c r="AO96" s="9">
        <f>VLOOKUP($AJ96,Landcover!$A$3:$K$30,11,FALSE)/1000</f>
        <v>0.28799999999999998</v>
      </c>
      <c r="AP96" s="9">
        <f>VLOOKUP($AJ96,Landcover!$A$3:$K$30,7,FALSE)/1000</f>
        <v>15.609</v>
      </c>
      <c r="AR96" s="9">
        <f>SUM('GHG data from Eurostat'!CX102,'GHG data from Eurostat'!DC102,'GHG data from Eurostat'!DG102,'GHG data from Eurostat'!DM102,'GHG data from Eurostat'!DP102,'GHG data from Eurostat'!DV102)</f>
        <v>7.5499999999999994E-3</v>
      </c>
      <c r="AS96" s="9">
        <f>'GHG data from Eurostat'!DS102+'GHG data from Eurostat'!DT102</f>
        <v>2.0000000000000001E-4</v>
      </c>
      <c r="AT96" s="9">
        <f>'GHG data from Eurostat'!EA102+'GHG data from Eurostat'!EB102</f>
        <v>6.0000000000000002E-5</v>
      </c>
      <c r="AU96" s="9">
        <f>'GHG data from Eurostat'!ED102</f>
        <v>1.1E-4</v>
      </c>
      <c r="AV96" s="9">
        <f>'GHG data from Eurostat'!EL102</f>
        <v>0</v>
      </c>
      <c r="AW96" s="18">
        <f t="shared" si="310"/>
        <v>7.92E-3</v>
      </c>
      <c r="AX96" s="16">
        <f>IFERROR(AR96*1000/AL96,0)</f>
        <v>0.52025909592061736</v>
      </c>
      <c r="AY96" s="16">
        <f t="shared" si="429"/>
        <v>5.7977736549165116E-3</v>
      </c>
      <c r="AZ96" s="16">
        <f t="shared" si="430"/>
        <v>4.2577348850411584E-3</v>
      </c>
      <c r="BA96" s="16">
        <f t="shared" si="431"/>
        <v>0.38194444444444448</v>
      </c>
      <c r="BB96" s="16">
        <f t="shared" si="431"/>
        <v>0</v>
      </c>
      <c r="BD96" s="16">
        <f t="shared" si="313"/>
        <v>0.52029999999999998</v>
      </c>
      <c r="BE96" s="16">
        <f t="shared" si="383"/>
        <v>5.7999999999999996E-3</v>
      </c>
      <c r="BF96" s="16">
        <f t="shared" si="384"/>
        <v>4.3E-3</v>
      </c>
      <c r="BG96" s="16">
        <f t="shared" si="385"/>
        <v>0.38190000000000002</v>
      </c>
      <c r="BH96" s="16">
        <f t="shared" si="386"/>
        <v>0</v>
      </c>
      <c r="BJ96" s="16" t="str">
        <f t="shared" si="314"/>
        <v>Portugal</v>
      </c>
      <c r="BK96" s="16" t="s">
        <v>261</v>
      </c>
      <c r="BL96" s="9">
        <f>'GHG data from Eurostat'!EP102</f>
        <v>0</v>
      </c>
    </row>
    <row r="97" spans="7:64" x14ac:dyDescent="0.25">
      <c r="G97" s="9" t="s">
        <v>199</v>
      </c>
      <c r="H97" s="9" t="s">
        <v>262</v>
      </c>
      <c r="I97" s="9">
        <f t="shared" si="301"/>
        <v>1.1775899999999999</v>
      </c>
      <c r="J97" s="9">
        <f t="shared" si="302"/>
        <v>1.9772000000000001</v>
      </c>
      <c r="K97" s="9">
        <f t="shared" si="303"/>
        <v>3.7040000000000002</v>
      </c>
      <c r="L97" s="9">
        <f t="shared" si="304"/>
        <v>1.1715699999999998</v>
      </c>
      <c r="M97" s="9">
        <f>'GHG data from Eurostat'!CP103</f>
        <v>0.16367999999999999</v>
      </c>
      <c r="N97" s="9">
        <f>'GHG data from Eurostat'!CN103</f>
        <v>5.4784300000000004</v>
      </c>
      <c r="O97" s="9">
        <f>'GHG data from Eurostat'!CQ103</f>
        <v>0.47908000000000001</v>
      </c>
      <c r="P97" s="9">
        <f>'GHG data from Eurostat'!CO103</f>
        <v>2.6866500000000002</v>
      </c>
      <c r="Q97" s="9">
        <f>'GHG data from Eurostat'!CU103</f>
        <v>0.40734999999999999</v>
      </c>
      <c r="R97" s="9">
        <f>IFERROR(('GHG data from Eurostat'!CS103+'GHG data from Eurostat'!CW103),0)</f>
        <v>0.79403000000000001</v>
      </c>
      <c r="S97" s="9">
        <f>'GHG data from Eurostat'!CV103</f>
        <v>0.13561000000000001</v>
      </c>
      <c r="T97" s="9">
        <f>'GHG data from Eurostat'!CT103</f>
        <v>0.24679999999999999</v>
      </c>
      <c r="U97" s="9">
        <f>Q97+M97</f>
        <v>0.57102999999999993</v>
      </c>
      <c r="V97" s="9">
        <f t="shared" ref="V97:V98" si="432">R97+N97</f>
        <v>6.2724600000000006</v>
      </c>
      <c r="W97" s="9">
        <f t="shared" ref="W97:W98" si="433">S97+O97</f>
        <v>0.61468999999999996</v>
      </c>
      <c r="X97" s="9">
        <f t="shared" ref="X97:X98" si="434">T97+P97</f>
        <v>2.9334500000000001</v>
      </c>
      <c r="Y97" s="9">
        <f t="shared" si="306"/>
        <v>10.391630000000001</v>
      </c>
      <c r="Z97" s="17">
        <f t="shared" si="307"/>
        <v>0.48491410422982528</v>
      </c>
      <c r="AA97" s="17">
        <f t="shared" si="374"/>
        <v>3.1723953064940322</v>
      </c>
      <c r="AB97" s="17">
        <f t="shared" si="375"/>
        <v>0.16595302375809934</v>
      </c>
      <c r="AC97" s="17">
        <f t="shared" si="376"/>
        <v>2.5038623385713192</v>
      </c>
      <c r="AD97" s="18"/>
      <c r="AE97" s="17">
        <f t="shared" si="309"/>
        <v>0.48499999999999999</v>
      </c>
      <c r="AF97" s="17">
        <f t="shared" si="377"/>
        <v>3.1720000000000002</v>
      </c>
      <c r="AG97" s="17">
        <f t="shared" si="378"/>
        <v>0.16600000000000001</v>
      </c>
      <c r="AH97" s="17">
        <f t="shared" si="379"/>
        <v>2.504</v>
      </c>
      <c r="AJ97" s="9" t="s">
        <v>199</v>
      </c>
      <c r="AK97" s="9" t="s">
        <v>262</v>
      </c>
      <c r="AL97" s="9">
        <f>VLOOKUP($AJ97,Landcover!$A$3:$K$30,5,FALSE)/1000</f>
        <v>77.664000000000001</v>
      </c>
      <c r="AM97" s="9">
        <f>VLOOKUP($AJ97,Landcover!$A$3:$K$30,6,FALSE)/1000</f>
        <v>81.338999999999999</v>
      </c>
      <c r="AN97" s="9">
        <f>VLOOKUP($AJ97,Landcover!$A$3:$K$30,8,FALSE)/1000</f>
        <v>54.597999999999999</v>
      </c>
      <c r="AO97" s="9">
        <f>VLOOKUP($AJ97,Landcover!$A$3:$K$30,11,FALSE)/1000</f>
        <v>3.57</v>
      </c>
      <c r="AP97" s="9">
        <f>VLOOKUP($AJ97,Landcover!$A$3:$K$30,7,FALSE)/1000</f>
        <v>6.8529999999999998</v>
      </c>
      <c r="AR97" s="9">
        <f>SUM('GHG data from Eurostat'!CX103,'GHG data from Eurostat'!DC103,'GHG data from Eurostat'!DG103,'GHG data from Eurostat'!DM103,'GHG data from Eurostat'!DP103,'GHG data from Eurostat'!DV103)</f>
        <v>-4.2694899999999993</v>
      </c>
      <c r="AS97" s="9">
        <f>'GHG data from Eurostat'!DS103+'GHG data from Eurostat'!DT103</f>
        <v>-26.54889</v>
      </c>
      <c r="AT97" s="9">
        <f>'GHG data from Eurostat'!EA103+'GHG data from Eurostat'!EB103</f>
        <v>-2.4618099999999998</v>
      </c>
      <c r="AU97" s="9">
        <f>'GHG data from Eurostat'!ED103</f>
        <v>-0.40094000000000002</v>
      </c>
      <c r="AV97" s="9">
        <f>'GHG data from Eurostat'!EL103</f>
        <v>-4.0629999999999999E-2</v>
      </c>
      <c r="AW97" s="18">
        <f t="shared" si="310"/>
        <v>-33.721759999999996</v>
      </c>
      <c r="AX97" s="16">
        <f>AR97/AL97</f>
        <v>-5.4973861763494017E-2</v>
      </c>
      <c r="AY97" s="16">
        <f t="shared" ref="AY97" si="435">AS97/AM97</f>
        <v>-0.3263980378416258</v>
      </c>
      <c r="AZ97" s="16">
        <f t="shared" ref="AZ97" si="436">AT97/AN97</f>
        <v>-4.5089746877174985E-2</v>
      </c>
      <c r="BA97" s="16">
        <f t="shared" ref="BA97:BB97" si="437">AU97/AO97</f>
        <v>-0.11230812324929973</v>
      </c>
      <c r="BB97" s="16">
        <f t="shared" si="437"/>
        <v>-5.9287903108127833E-3</v>
      </c>
      <c r="BD97" s="16">
        <f t="shared" si="313"/>
        <v>-5.5E-2</v>
      </c>
      <c r="BE97" s="16">
        <f t="shared" si="383"/>
        <v>-0.32640000000000002</v>
      </c>
      <c r="BF97" s="16">
        <f t="shared" si="384"/>
        <v>-4.5100000000000001E-2</v>
      </c>
      <c r="BG97" s="16">
        <f t="shared" si="385"/>
        <v>-0.1123</v>
      </c>
      <c r="BH97" s="16">
        <f t="shared" si="386"/>
        <v>-5.8999999999999999E-3</v>
      </c>
      <c r="BJ97" s="16" t="str">
        <f t="shared" si="314"/>
        <v>Romania</v>
      </c>
      <c r="BK97" s="16" t="s">
        <v>263</v>
      </c>
      <c r="BL97" s="9">
        <f>'GHG data from Eurostat'!EP103</f>
        <v>-3.4100100000000002</v>
      </c>
    </row>
    <row r="98" spans="7:64" x14ac:dyDescent="0.25">
      <c r="G98" s="9" t="s">
        <v>199</v>
      </c>
      <c r="H98" s="9" t="s">
        <v>233</v>
      </c>
      <c r="I98" s="9">
        <f t="shared" si="301"/>
        <v>1.1775899999999999</v>
      </c>
      <c r="J98" s="9">
        <f t="shared" si="302"/>
        <v>1.9772000000000001</v>
      </c>
      <c r="K98" s="9">
        <f t="shared" si="303"/>
        <v>3.7040000000000002</v>
      </c>
      <c r="L98" s="9">
        <f t="shared" si="304"/>
        <v>1.1715699999999998</v>
      </c>
      <c r="M98" s="9">
        <f>'GHG data from Eurostat'!CP104</f>
        <v>0</v>
      </c>
      <c r="N98" s="9">
        <f>'GHG data from Eurostat'!CN104</f>
        <v>0</v>
      </c>
      <c r="O98" s="9">
        <f>'GHG data from Eurostat'!CQ104</f>
        <v>0</v>
      </c>
      <c r="P98" s="9">
        <f>'GHG data from Eurostat'!CO104</f>
        <v>0</v>
      </c>
      <c r="Q98" s="9">
        <f>'GHG data from Eurostat'!CU104</f>
        <v>0</v>
      </c>
      <c r="R98" s="9">
        <f>IFERROR(('GHG data from Eurostat'!CS104+'GHG data from Eurostat'!CW104),0)</f>
        <v>0</v>
      </c>
      <c r="S98" s="9">
        <f>'GHG data from Eurostat'!CV104</f>
        <v>0</v>
      </c>
      <c r="T98" s="9">
        <f>'GHG data from Eurostat'!CT104</f>
        <v>0</v>
      </c>
      <c r="U98" s="9">
        <f t="shared" ref="U98" si="438">Q98+M98</f>
        <v>0</v>
      </c>
      <c r="V98" s="9">
        <f t="shared" si="432"/>
        <v>0</v>
      </c>
      <c r="W98" s="9">
        <f t="shared" si="433"/>
        <v>0</v>
      </c>
      <c r="X98" s="9">
        <f t="shared" si="434"/>
        <v>0</v>
      </c>
      <c r="Y98" s="9">
        <f t="shared" si="306"/>
        <v>0</v>
      </c>
      <c r="Z98" s="17">
        <f t="shared" si="307"/>
        <v>0</v>
      </c>
      <c r="AA98" s="17">
        <f t="shared" si="374"/>
        <v>0</v>
      </c>
      <c r="AB98" s="17">
        <f t="shared" si="375"/>
        <v>0</v>
      </c>
      <c r="AC98" s="17">
        <f t="shared" si="376"/>
        <v>0</v>
      </c>
      <c r="AD98" s="18"/>
      <c r="AE98" s="17">
        <f t="shared" si="309"/>
        <v>0</v>
      </c>
      <c r="AF98" s="17">
        <f t="shared" si="377"/>
        <v>0</v>
      </c>
      <c r="AG98" s="17">
        <f t="shared" si="378"/>
        <v>0</v>
      </c>
      <c r="AH98" s="17">
        <f t="shared" si="379"/>
        <v>0</v>
      </c>
      <c r="AJ98" s="9" t="s">
        <v>199</v>
      </c>
      <c r="AK98" s="9" t="s">
        <v>233</v>
      </c>
      <c r="AL98" s="9">
        <f>VLOOKUP($AJ98,Landcover!$A$3:$K$30,5,FALSE)/1000</f>
        <v>77.664000000000001</v>
      </c>
      <c r="AM98" s="9">
        <f>VLOOKUP($AJ98,Landcover!$A$3:$K$30,6,FALSE)/1000</f>
        <v>81.338999999999999</v>
      </c>
      <c r="AN98" s="9">
        <f>VLOOKUP($AJ98,Landcover!$A$3:$K$30,8,FALSE)/1000</f>
        <v>54.597999999999999</v>
      </c>
      <c r="AO98" s="9">
        <f>VLOOKUP($AJ98,Landcover!$A$3:$K$30,11,FALSE)/1000</f>
        <v>3.57</v>
      </c>
      <c r="AP98" s="9">
        <f>VLOOKUP($AJ98,Landcover!$A$3:$K$30,7,FALSE)/1000</f>
        <v>6.8529999999999998</v>
      </c>
      <c r="AR98" s="9">
        <f>SUM('GHG data from Eurostat'!CX104,'GHG data from Eurostat'!DC104,'GHG data from Eurostat'!DG104,'GHG data from Eurostat'!DM104,'GHG data from Eurostat'!DP104,'GHG data from Eurostat'!DV104)</f>
        <v>-13.11491</v>
      </c>
      <c r="AS98" s="9">
        <f>'GHG data from Eurostat'!DS104+'GHG data from Eurostat'!DT104</f>
        <v>-26.552389999999999</v>
      </c>
      <c r="AT98" s="9">
        <f>'GHG data from Eurostat'!EA104+'GHG data from Eurostat'!EB104</f>
        <v>-2.4634199999999997</v>
      </c>
      <c r="AU98" s="9">
        <f>'GHG data from Eurostat'!ED104</f>
        <v>-0.40166000000000002</v>
      </c>
      <c r="AV98" s="9">
        <f>'GHG data from Eurostat'!EL104</f>
        <v>-4.0629999999999999E-2</v>
      </c>
      <c r="AW98" s="18">
        <f t="shared" si="310"/>
        <v>-42.573009999999996</v>
      </c>
      <c r="AX98" s="16">
        <f>AR98/AL98</f>
        <v>-0.16886730016481252</v>
      </c>
      <c r="AY98" s="16">
        <f t="shared" ref="AY98" si="439">AS98/AM98</f>
        <v>-0.32644106763053393</v>
      </c>
      <c r="AZ98" s="16">
        <f t="shared" ref="AZ98" si="440">AT98/AN98</f>
        <v>-4.5119235136818196E-2</v>
      </c>
      <c r="BA98" s="16">
        <f t="shared" ref="BA98:BB98" si="441">AU98/AO98</f>
        <v>-0.11250980392156863</v>
      </c>
      <c r="BB98" s="16">
        <f t="shared" si="441"/>
        <v>-5.9287903108127833E-3</v>
      </c>
      <c r="BD98" s="16">
        <f t="shared" si="313"/>
        <v>-0.16889999999999999</v>
      </c>
      <c r="BE98" s="16">
        <f t="shared" si="383"/>
        <v>-0.32640000000000002</v>
      </c>
      <c r="BF98" s="16">
        <f t="shared" si="384"/>
        <v>-4.5100000000000001E-2</v>
      </c>
      <c r="BG98" s="16">
        <f t="shared" si="385"/>
        <v>-0.1125</v>
      </c>
      <c r="BH98" s="16">
        <f t="shared" si="386"/>
        <v>-5.8999999999999999E-3</v>
      </c>
      <c r="BJ98" s="16" t="str">
        <f t="shared" si="314"/>
        <v>Romania</v>
      </c>
      <c r="BK98" s="16" t="s">
        <v>259</v>
      </c>
      <c r="BL98" s="9">
        <f>'GHG data from Eurostat'!EP104</f>
        <v>-3.4100100000000002</v>
      </c>
    </row>
    <row r="99" spans="7:64" x14ac:dyDescent="0.25">
      <c r="G99" s="9" t="s">
        <v>199</v>
      </c>
      <c r="H99" s="9" t="s">
        <v>231</v>
      </c>
      <c r="I99" s="9">
        <f t="shared" si="301"/>
        <v>1.1775899999999999</v>
      </c>
      <c r="J99" s="9">
        <f t="shared" si="302"/>
        <v>1.9772000000000001</v>
      </c>
      <c r="K99" s="9">
        <f t="shared" si="303"/>
        <v>3.7040000000000002</v>
      </c>
      <c r="L99" s="9">
        <f t="shared" si="304"/>
        <v>1.1715699999999998</v>
      </c>
      <c r="M99" s="9">
        <f>'GHG data from Eurostat'!CP105</f>
        <v>5.8500000000000002E-3</v>
      </c>
      <c r="N99" s="9">
        <f>'GHG data from Eurostat'!CN105</f>
        <v>0.19566</v>
      </c>
      <c r="O99" s="9">
        <f>'GHG data from Eurostat'!CQ105</f>
        <v>1.711E-2</v>
      </c>
      <c r="P99" s="9">
        <f>'GHG data from Eurostat'!CO105</f>
        <v>9.5949999999999994E-2</v>
      </c>
      <c r="Q99" s="9">
        <f>'GHG data from Eurostat'!CU105</f>
        <v>1.078E-2</v>
      </c>
      <c r="R99" s="9">
        <f>IFERROR(('GHG data from Eurostat'!CS105+'GHG data from Eurostat'!CW105),0)</f>
        <v>9.8300000000000002E-3</v>
      </c>
      <c r="S99" s="9">
        <f>'GHG data from Eurostat'!CV105</f>
        <v>2.8999999999999998E-3</v>
      </c>
      <c r="T99" s="9">
        <f>'GHG data from Eurostat'!CT105</f>
        <v>2.96E-3</v>
      </c>
      <c r="U99" s="9">
        <f>(Q99+M99)*1000</f>
        <v>16.63</v>
      </c>
      <c r="V99" s="9">
        <f t="shared" ref="V99:V100" si="442">(R99+N99)*1000</f>
        <v>205.49</v>
      </c>
      <c r="W99" s="9">
        <f t="shared" ref="W99:W100" si="443">(S99+O99)*1000</f>
        <v>20.010000000000002</v>
      </c>
      <c r="X99" s="9">
        <f t="shared" ref="X99:X100" si="444">(T99+P99)*1000</f>
        <v>98.91</v>
      </c>
      <c r="Y99" s="9">
        <f t="shared" si="306"/>
        <v>341.03999999999996</v>
      </c>
      <c r="Z99" s="17">
        <f t="shared" ref="Z99:AC100" si="445">IFERROR((M99+Q99)*1000/I99,0)</f>
        <v>14.122062857191382</v>
      </c>
      <c r="AA99" s="17">
        <f t="shared" si="445"/>
        <v>103.92979971677119</v>
      </c>
      <c r="AB99" s="17">
        <f t="shared" si="445"/>
        <v>5.4022678185745141</v>
      </c>
      <c r="AC99" s="17">
        <f t="shared" si="445"/>
        <v>84.425173058374668</v>
      </c>
      <c r="AD99" s="18"/>
      <c r="AE99" s="17">
        <f t="shared" si="309"/>
        <v>14.122</v>
      </c>
      <c r="AF99" s="17">
        <f t="shared" si="377"/>
        <v>103.93</v>
      </c>
      <c r="AG99" s="17">
        <f t="shared" si="378"/>
        <v>5.4020000000000001</v>
      </c>
      <c r="AH99" s="17">
        <f t="shared" si="379"/>
        <v>84.424999999999997</v>
      </c>
      <c r="AJ99" s="9" t="s">
        <v>199</v>
      </c>
      <c r="AK99" s="9" t="s">
        <v>231</v>
      </c>
      <c r="AL99" s="9">
        <f>VLOOKUP($AJ99,Landcover!$A$3:$K$30,5,FALSE)/1000</f>
        <v>77.664000000000001</v>
      </c>
      <c r="AM99" s="9">
        <f>VLOOKUP($AJ99,Landcover!$A$3:$K$30,6,FALSE)/1000</f>
        <v>81.338999999999999</v>
      </c>
      <c r="AN99" s="9">
        <f>VLOOKUP($AJ99,Landcover!$A$3:$K$30,8,FALSE)/1000</f>
        <v>54.597999999999999</v>
      </c>
      <c r="AO99" s="9">
        <f>VLOOKUP($AJ99,Landcover!$A$3:$K$30,11,FALSE)/1000</f>
        <v>3.57</v>
      </c>
      <c r="AP99" s="9">
        <f>VLOOKUP($AJ99,Landcover!$A$3:$K$30,7,FALSE)/1000</f>
        <v>6.8529999999999998</v>
      </c>
      <c r="AR99" s="9">
        <f>SUM('GHG data from Eurostat'!CX105,'GHG data from Eurostat'!DC105,'GHG data from Eurostat'!DG105,'GHG data from Eurostat'!DM105,'GHG data from Eurostat'!DP105,'GHG data from Eurostat'!DV105)</f>
        <v>1.2069999999999999E-2</v>
      </c>
      <c r="AS99" s="9">
        <f>'GHG data from Eurostat'!DS105+'GHG data from Eurostat'!DT105</f>
        <v>8.0000000000000007E-5</v>
      </c>
      <c r="AT99" s="9">
        <f>'GHG data from Eurostat'!EA105+'GHG data from Eurostat'!EB105</f>
        <v>0</v>
      </c>
      <c r="AU99" s="9">
        <f>'GHG data from Eurostat'!ED105</f>
        <v>0</v>
      </c>
      <c r="AV99" s="9">
        <f>'GHG data from Eurostat'!EL105</f>
        <v>0</v>
      </c>
      <c r="AW99" s="18">
        <f t="shared" si="310"/>
        <v>1.2149999999999999E-2</v>
      </c>
      <c r="AX99" s="16">
        <f>IFERROR(AR99*1000/AL99,0)</f>
        <v>0.15541306139266581</v>
      </c>
      <c r="AY99" s="16">
        <f t="shared" ref="AY99:AY100" si="446">IFERROR(AS99*1000/AM99,0)</f>
        <v>9.8353803218628223E-4</v>
      </c>
      <c r="AZ99" s="16">
        <f t="shared" ref="AZ99:AZ100" si="447">IFERROR(AT99*1000/AN99,0)</f>
        <v>0</v>
      </c>
      <c r="BA99" s="16">
        <f t="shared" ref="BA99:BB100" si="448">IFERROR(AU99*1000/AO99,0)</f>
        <v>0</v>
      </c>
      <c r="BB99" s="16">
        <f t="shared" si="448"/>
        <v>0</v>
      </c>
      <c r="BD99" s="16">
        <f t="shared" si="313"/>
        <v>0.15540000000000001</v>
      </c>
      <c r="BE99" s="16">
        <f t="shared" si="383"/>
        <v>1E-3</v>
      </c>
      <c r="BF99" s="16">
        <f t="shared" si="384"/>
        <v>0</v>
      </c>
      <c r="BG99" s="16">
        <f t="shared" si="385"/>
        <v>0</v>
      </c>
      <c r="BH99" s="16">
        <f t="shared" si="386"/>
        <v>0</v>
      </c>
      <c r="BJ99" s="16" t="str">
        <f t="shared" si="314"/>
        <v>Romania</v>
      </c>
      <c r="BK99" s="16" t="s">
        <v>260</v>
      </c>
      <c r="BL99" s="9">
        <f>'GHG data from Eurostat'!EP105</f>
        <v>0</v>
      </c>
    </row>
    <row r="100" spans="7:64" x14ac:dyDescent="0.25">
      <c r="G100" s="9" t="s">
        <v>199</v>
      </c>
      <c r="H100" s="9" t="s">
        <v>232</v>
      </c>
      <c r="I100" s="9">
        <f t="shared" si="301"/>
        <v>1.1775899999999999</v>
      </c>
      <c r="J100" s="9">
        <f t="shared" si="302"/>
        <v>1.9772000000000001</v>
      </c>
      <c r="K100" s="9">
        <f t="shared" si="303"/>
        <v>3.7040000000000002</v>
      </c>
      <c r="L100" s="9">
        <f t="shared" si="304"/>
        <v>1.1715699999999998</v>
      </c>
      <c r="M100" s="9">
        <f>'GHG data from Eurostat'!CP106</f>
        <v>0</v>
      </c>
      <c r="N100" s="9">
        <f>'GHG data from Eurostat'!CN106</f>
        <v>0</v>
      </c>
      <c r="O100" s="9">
        <f>'GHG data from Eurostat'!CQ106</f>
        <v>0</v>
      </c>
      <c r="P100" s="9">
        <f>'GHG data from Eurostat'!CO106</f>
        <v>0</v>
      </c>
      <c r="Q100" s="9">
        <f>'GHG data from Eurostat'!CU106</f>
        <v>4.0000000000000002E-4</v>
      </c>
      <c r="R100" s="9">
        <f>IFERROR(('GHG data from Eurostat'!CS106+'GHG data from Eurostat'!CW106),0)</f>
        <v>1.9599999999999999E-3</v>
      </c>
      <c r="S100" s="9">
        <f>'GHG data from Eurostat'!CV106</f>
        <v>2.1000000000000001E-4</v>
      </c>
      <c r="T100" s="9">
        <f>'GHG data from Eurostat'!CT106</f>
        <v>6.2E-4</v>
      </c>
      <c r="U100" s="9">
        <f>(Q100+M100)*1000</f>
        <v>0.4</v>
      </c>
      <c r="V100" s="9">
        <f t="shared" si="442"/>
        <v>1.96</v>
      </c>
      <c r="W100" s="9">
        <f t="shared" si="443"/>
        <v>0.21000000000000002</v>
      </c>
      <c r="X100" s="9">
        <f t="shared" si="444"/>
        <v>0.62</v>
      </c>
      <c r="Y100" s="9">
        <f t="shared" si="306"/>
        <v>3.19</v>
      </c>
      <c r="Z100" s="17">
        <f t="shared" si="445"/>
        <v>0.33967679752715296</v>
      </c>
      <c r="AA100" s="17">
        <f t="shared" si="445"/>
        <v>0.99130082945579601</v>
      </c>
      <c r="AB100" s="17">
        <f t="shared" si="445"/>
        <v>5.6695464362850972E-2</v>
      </c>
      <c r="AC100" s="17">
        <f t="shared" si="445"/>
        <v>0.52920440093208265</v>
      </c>
      <c r="AD100" s="18"/>
      <c r="AE100" s="17">
        <f t="shared" si="309"/>
        <v>0.34</v>
      </c>
      <c r="AF100" s="17">
        <f t="shared" si="377"/>
        <v>0.99099999999999999</v>
      </c>
      <c r="AG100" s="17">
        <f t="shared" si="378"/>
        <v>5.7000000000000002E-2</v>
      </c>
      <c r="AH100" s="17">
        <f t="shared" si="379"/>
        <v>0.52900000000000003</v>
      </c>
      <c r="AJ100" s="9" t="s">
        <v>199</v>
      </c>
      <c r="AK100" s="9" t="s">
        <v>232</v>
      </c>
      <c r="AL100" s="9">
        <f>VLOOKUP($AJ100,Landcover!$A$3:$K$30,5,FALSE)/1000</f>
        <v>77.664000000000001</v>
      </c>
      <c r="AM100" s="9">
        <f>VLOOKUP($AJ100,Landcover!$A$3:$K$30,6,FALSE)/1000</f>
        <v>81.338999999999999</v>
      </c>
      <c r="AN100" s="9">
        <f>VLOOKUP($AJ100,Landcover!$A$3:$K$30,8,FALSE)/1000</f>
        <v>54.597999999999999</v>
      </c>
      <c r="AO100" s="9">
        <f>VLOOKUP($AJ100,Landcover!$A$3:$K$30,11,FALSE)/1000</f>
        <v>3.57</v>
      </c>
      <c r="AP100" s="9">
        <f>VLOOKUP($AJ100,Landcover!$A$3:$K$30,7,FALSE)/1000</f>
        <v>6.8529999999999998</v>
      </c>
      <c r="AR100" s="9">
        <f>SUM('GHG data from Eurostat'!CX106,'GHG data from Eurostat'!DC106,'GHG data from Eurostat'!DG106,'GHG data from Eurostat'!DM106,'GHG data from Eurostat'!DP106,'GHG data from Eurostat'!DV106)</f>
        <v>3.2099999999999997E-2</v>
      </c>
      <c r="AS100" s="9">
        <f>'GHG data from Eurostat'!DS106+'GHG data from Eurostat'!DT106</f>
        <v>0</v>
      </c>
      <c r="AT100" s="9">
        <f>'GHG data from Eurostat'!EA106+'GHG data from Eurostat'!EB106</f>
        <v>1.0000000000000001E-5</v>
      </c>
      <c r="AU100" s="9">
        <f>'GHG data from Eurostat'!ED106</f>
        <v>0</v>
      </c>
      <c r="AV100" s="9">
        <f>'GHG data from Eurostat'!EL106</f>
        <v>0</v>
      </c>
      <c r="AW100" s="18">
        <f t="shared" si="310"/>
        <v>3.211E-2</v>
      </c>
      <c r="AX100" s="16">
        <f>IFERROR(AR100*1000/AL100,0)</f>
        <v>0.41331891223732997</v>
      </c>
      <c r="AY100" s="16">
        <f t="shared" si="446"/>
        <v>0</v>
      </c>
      <c r="AZ100" s="16">
        <f t="shared" si="447"/>
        <v>1.8315689219385327E-4</v>
      </c>
      <c r="BA100" s="16">
        <f t="shared" si="448"/>
        <v>0</v>
      </c>
      <c r="BB100" s="16">
        <f t="shared" si="448"/>
        <v>0</v>
      </c>
      <c r="BD100" s="16">
        <f t="shared" si="313"/>
        <v>0.4133</v>
      </c>
      <c r="BE100" s="16">
        <f t="shared" si="383"/>
        <v>0</v>
      </c>
      <c r="BF100" s="16">
        <f t="shared" si="384"/>
        <v>2.0000000000000001E-4</v>
      </c>
      <c r="BG100" s="16">
        <f t="shared" si="385"/>
        <v>0</v>
      </c>
      <c r="BH100" s="16">
        <f t="shared" si="386"/>
        <v>0</v>
      </c>
      <c r="BJ100" s="16" t="str">
        <f t="shared" si="314"/>
        <v>Romania</v>
      </c>
      <c r="BK100" s="16" t="s">
        <v>261</v>
      </c>
      <c r="BL100" s="9">
        <f>'GHG data from Eurostat'!EP106</f>
        <v>0</v>
      </c>
    </row>
    <row r="101" spans="7:64" x14ac:dyDescent="0.25">
      <c r="G101" s="9" t="s">
        <v>200</v>
      </c>
      <c r="H101" s="9" t="s">
        <v>262</v>
      </c>
      <c r="I101" s="9">
        <f t="shared" si="301"/>
        <v>7.7738999999999989E-2</v>
      </c>
      <c r="J101" s="9">
        <f t="shared" si="302"/>
        <v>0.47681000000000001</v>
      </c>
      <c r="K101" s="9">
        <f t="shared" si="303"/>
        <v>0.53500000000000003</v>
      </c>
      <c r="L101" s="9">
        <f t="shared" si="304"/>
        <v>1.3462000000000002E-2</v>
      </c>
      <c r="M101" s="9">
        <f>'GHG data from Eurostat'!CP107</f>
        <v>1.0880000000000001E-2</v>
      </c>
      <c r="N101" s="9">
        <f>'GHG data from Eurostat'!CN107</f>
        <v>0.96904000000000001</v>
      </c>
      <c r="O101" s="9">
        <f>'GHG data from Eurostat'!CQ107</f>
        <v>1.583E-2</v>
      </c>
      <c r="P101" s="9">
        <f>'GHG data from Eurostat'!CO107</f>
        <v>2.768E-2</v>
      </c>
      <c r="Q101" s="9">
        <f>'GHG data from Eurostat'!CU107</f>
        <v>3.1669999999999997E-2</v>
      </c>
      <c r="R101" s="9">
        <f>IFERROR(('GHG data from Eurostat'!CS107+'GHG data from Eurostat'!CW107),0)</f>
        <v>0.21873999999999999</v>
      </c>
      <c r="S101" s="9">
        <f>'GHG data from Eurostat'!CV107</f>
        <v>2.155E-2</v>
      </c>
      <c r="T101" s="9">
        <f>'GHG data from Eurostat'!CT107</f>
        <v>1.74E-3</v>
      </c>
      <c r="U101" s="9">
        <f>Q101+M101</f>
        <v>4.2549999999999998E-2</v>
      </c>
      <c r="V101" s="9">
        <f t="shared" ref="V101:V102" si="449">R101+N101</f>
        <v>1.1877800000000001</v>
      </c>
      <c r="W101" s="9">
        <f t="shared" ref="W101:W102" si="450">S101+O101</f>
        <v>3.7379999999999997E-2</v>
      </c>
      <c r="X101" s="9">
        <f t="shared" ref="X101:X102" si="451">T101+P101</f>
        <v>2.9419999999999998E-2</v>
      </c>
      <c r="Y101" s="9">
        <f t="shared" si="306"/>
        <v>1.2971300000000001</v>
      </c>
      <c r="Z101" s="17">
        <f t="shared" si="307"/>
        <v>0.54734431881037837</v>
      </c>
      <c r="AA101" s="17">
        <f t="shared" si="374"/>
        <v>2.4910970826954135</v>
      </c>
      <c r="AB101" s="17">
        <f t="shared" si="375"/>
        <v>6.9869158878504659E-2</v>
      </c>
      <c r="AC101" s="17">
        <f t="shared" si="376"/>
        <v>2.1854107859159111</v>
      </c>
      <c r="AD101" s="18"/>
      <c r="AE101" s="17">
        <f t="shared" si="309"/>
        <v>0.54700000000000004</v>
      </c>
      <c r="AF101" s="17">
        <f t="shared" si="377"/>
        <v>2.4910000000000001</v>
      </c>
      <c r="AG101" s="17">
        <f t="shared" si="378"/>
        <v>7.0000000000000007E-2</v>
      </c>
      <c r="AH101" s="17">
        <f t="shared" si="379"/>
        <v>2.1850000000000001</v>
      </c>
      <c r="AJ101" s="9" t="s">
        <v>200</v>
      </c>
      <c r="AK101" s="9" t="s">
        <v>262</v>
      </c>
      <c r="AL101" s="9">
        <f>VLOOKUP($AJ101,Landcover!$A$3:$K$30,5,FALSE)/1000</f>
        <v>2.2229999999999999</v>
      </c>
      <c r="AM101" s="9">
        <f>VLOOKUP($AJ101,Landcover!$A$3:$K$30,6,FALSE)/1000</f>
        <v>12.708</v>
      </c>
      <c r="AN101" s="9">
        <f>VLOOKUP($AJ101,Landcover!$A$3:$K$30,8,FALSE)/1000</f>
        <v>3.601</v>
      </c>
      <c r="AO101" s="9">
        <f>VLOOKUP($AJ101,Landcover!$A$3:$K$30,11,FALSE)/1000</f>
        <v>1.4999999999999999E-2</v>
      </c>
      <c r="AP101" s="9">
        <f>VLOOKUP($AJ101,Landcover!$A$3:$K$30,7,FALSE)/1000</f>
        <v>0.63200000000000001</v>
      </c>
      <c r="AR101" s="9">
        <f>SUM('GHG data from Eurostat'!CX107,'GHG data from Eurostat'!DC107,'GHG data from Eurostat'!DG107,'GHG data from Eurostat'!DM107,'GHG data from Eurostat'!DP107,'GHG data from Eurostat'!DV107)</f>
        <v>0.53205999999999998</v>
      </c>
      <c r="AS101" s="9">
        <f>'GHG data from Eurostat'!DS107+'GHG data from Eurostat'!DT107</f>
        <v>1.4453400000000001</v>
      </c>
      <c r="AT101" s="9">
        <f>'GHG data from Eurostat'!EA107+'GHG data from Eurostat'!EB107</f>
        <v>-0.44296999999999997</v>
      </c>
      <c r="AU101" s="9">
        <f>'GHG data from Eurostat'!ED107</f>
        <v>3.8240000000000003E-2</v>
      </c>
      <c r="AV101" s="9">
        <f>'GHG data from Eurostat'!EL107</f>
        <v>3.9899999999999996E-3</v>
      </c>
      <c r="AW101" s="18">
        <f t="shared" si="310"/>
        <v>1.57666</v>
      </c>
      <c r="AX101" s="16">
        <f>AR101/AL101</f>
        <v>0.23934322986954568</v>
      </c>
      <c r="AY101" s="16">
        <f t="shared" ref="AY101" si="452">AS101/AM101</f>
        <v>0.11373465533522191</v>
      </c>
      <c r="AZ101" s="16">
        <f t="shared" ref="AZ101" si="453">AT101/AN101</f>
        <v>-0.12301305193001943</v>
      </c>
      <c r="BA101" s="16">
        <f t="shared" ref="BA101:BB101" si="454">AU101/AO101</f>
        <v>2.5493333333333337</v>
      </c>
      <c r="BB101" s="16">
        <f t="shared" si="454"/>
        <v>6.3132911392405058E-3</v>
      </c>
      <c r="BD101" s="16">
        <f t="shared" si="313"/>
        <v>0.23930000000000001</v>
      </c>
      <c r="BE101" s="16">
        <f t="shared" si="383"/>
        <v>0.1137</v>
      </c>
      <c r="BF101" s="16">
        <f t="shared" si="384"/>
        <v>-0.123</v>
      </c>
      <c r="BG101" s="16">
        <f t="shared" si="385"/>
        <v>2.5493000000000001</v>
      </c>
      <c r="BH101" s="16">
        <f t="shared" si="386"/>
        <v>6.3E-3</v>
      </c>
      <c r="BJ101" s="16" t="str">
        <f t="shared" si="314"/>
        <v>Slovenia</v>
      </c>
      <c r="BK101" s="16" t="s">
        <v>263</v>
      </c>
      <c r="BL101" s="9">
        <f>'GHG data from Eurostat'!EP107</f>
        <v>-0.12592</v>
      </c>
    </row>
    <row r="102" spans="7:64" x14ac:dyDescent="0.25">
      <c r="G102" s="9" t="s">
        <v>200</v>
      </c>
      <c r="H102" s="9" t="s">
        <v>233</v>
      </c>
      <c r="I102" s="9">
        <f t="shared" si="301"/>
        <v>7.7738999999999989E-2</v>
      </c>
      <c r="J102" s="9">
        <f t="shared" si="302"/>
        <v>0.47681000000000001</v>
      </c>
      <c r="K102" s="9">
        <f t="shared" si="303"/>
        <v>0.53500000000000003</v>
      </c>
      <c r="L102" s="9">
        <f t="shared" si="304"/>
        <v>1.3462000000000002E-2</v>
      </c>
      <c r="M102" s="9">
        <f>'GHG data from Eurostat'!CP108</f>
        <v>0</v>
      </c>
      <c r="N102" s="9">
        <f>'GHG data from Eurostat'!CN108</f>
        <v>0</v>
      </c>
      <c r="O102" s="9">
        <f>'GHG data from Eurostat'!CQ108</f>
        <v>0</v>
      </c>
      <c r="P102" s="9">
        <f>'GHG data from Eurostat'!CO108</f>
        <v>0</v>
      </c>
      <c r="Q102" s="9">
        <f>'GHG data from Eurostat'!CU108</f>
        <v>0</v>
      </c>
      <c r="R102" s="9">
        <f>IFERROR(('GHG data from Eurostat'!CS108+'GHG data from Eurostat'!CW108),0)</f>
        <v>0</v>
      </c>
      <c r="S102" s="9">
        <f>'GHG data from Eurostat'!CV108</f>
        <v>0</v>
      </c>
      <c r="T102" s="9">
        <f>'GHG data from Eurostat'!CT108</f>
        <v>0</v>
      </c>
      <c r="U102" s="9">
        <f t="shared" ref="U102" si="455">Q102+M102</f>
        <v>0</v>
      </c>
      <c r="V102" s="9">
        <f t="shared" si="449"/>
        <v>0</v>
      </c>
      <c r="W102" s="9">
        <f t="shared" si="450"/>
        <v>0</v>
      </c>
      <c r="X102" s="9">
        <f t="shared" si="451"/>
        <v>0</v>
      </c>
      <c r="Y102" s="9">
        <f t="shared" si="306"/>
        <v>0</v>
      </c>
      <c r="Z102" s="17">
        <f t="shared" si="307"/>
        <v>0</v>
      </c>
      <c r="AA102" s="17">
        <f t="shared" si="374"/>
        <v>0</v>
      </c>
      <c r="AB102" s="17">
        <f t="shared" si="375"/>
        <v>0</v>
      </c>
      <c r="AC102" s="17">
        <f t="shared" si="376"/>
        <v>0</v>
      </c>
      <c r="AD102" s="18"/>
      <c r="AE102" s="17">
        <f t="shared" si="309"/>
        <v>0</v>
      </c>
      <c r="AF102" s="17">
        <f t="shared" si="377"/>
        <v>0</v>
      </c>
      <c r="AG102" s="17">
        <f t="shared" si="378"/>
        <v>0</v>
      </c>
      <c r="AH102" s="17">
        <f t="shared" si="379"/>
        <v>0</v>
      </c>
      <c r="AJ102" s="9" t="s">
        <v>200</v>
      </c>
      <c r="AK102" s="9" t="s">
        <v>233</v>
      </c>
      <c r="AL102" s="9">
        <f>VLOOKUP($AJ102,Landcover!$A$3:$K$30,5,FALSE)/1000</f>
        <v>2.2229999999999999</v>
      </c>
      <c r="AM102" s="9">
        <f>VLOOKUP($AJ102,Landcover!$A$3:$K$30,6,FALSE)/1000</f>
        <v>12.708</v>
      </c>
      <c r="AN102" s="9">
        <f>VLOOKUP($AJ102,Landcover!$A$3:$K$30,8,FALSE)/1000</f>
        <v>3.601</v>
      </c>
      <c r="AO102" s="9">
        <f>VLOOKUP($AJ102,Landcover!$A$3:$K$30,11,FALSE)/1000</f>
        <v>1.4999999999999999E-2</v>
      </c>
      <c r="AP102" s="9">
        <f>VLOOKUP($AJ102,Landcover!$A$3:$K$30,7,FALSE)/1000</f>
        <v>0.63200000000000001</v>
      </c>
      <c r="AR102" s="9">
        <f>SUM('GHG data from Eurostat'!CX108,'GHG data from Eurostat'!DC108,'GHG data from Eurostat'!DG108,'GHG data from Eurostat'!DM108,'GHG data from Eurostat'!DP108,'GHG data from Eurostat'!DV108)</f>
        <v>0.14119000000000001</v>
      </c>
      <c r="AS102" s="9">
        <f>'GHG data from Eurostat'!DS108+'GHG data from Eurostat'!DT108</f>
        <v>1.4452700000000001</v>
      </c>
      <c r="AT102" s="9">
        <f>'GHG data from Eurostat'!EA108+'GHG data from Eurostat'!EB108</f>
        <v>-0.4451</v>
      </c>
      <c r="AU102" s="9">
        <f>'GHG data from Eurostat'!ED108</f>
        <v>3.687E-2</v>
      </c>
      <c r="AV102" s="9">
        <f>'GHG data from Eurostat'!EL108</f>
        <v>3.63E-3</v>
      </c>
      <c r="AW102" s="18">
        <f t="shared" si="310"/>
        <v>1.1818599999999999</v>
      </c>
      <c r="AX102" s="16">
        <f>AR102/AL102</f>
        <v>6.3513270355375628E-2</v>
      </c>
      <c r="AY102" s="16">
        <f t="shared" ref="AY102" si="456">AS102/AM102</f>
        <v>0.11372914699401952</v>
      </c>
      <c r="AZ102" s="16">
        <f t="shared" ref="AZ102" si="457">AT102/AN102</f>
        <v>-0.12360455429047487</v>
      </c>
      <c r="BA102" s="16">
        <f t="shared" ref="BA102:BB102" si="458">AU102/AO102</f>
        <v>2.4580000000000002</v>
      </c>
      <c r="BB102" s="16">
        <f t="shared" si="458"/>
        <v>5.7436708860759489E-3</v>
      </c>
      <c r="BD102" s="16">
        <f t="shared" si="313"/>
        <v>6.3500000000000001E-2</v>
      </c>
      <c r="BE102" s="16">
        <f t="shared" si="383"/>
        <v>0.1137</v>
      </c>
      <c r="BF102" s="16">
        <f t="shared" si="384"/>
        <v>-0.1236</v>
      </c>
      <c r="BG102" s="16">
        <f t="shared" si="385"/>
        <v>2.4580000000000002</v>
      </c>
      <c r="BH102" s="16">
        <f t="shared" si="386"/>
        <v>5.7000000000000002E-3</v>
      </c>
      <c r="BJ102" s="16" t="str">
        <f t="shared" si="314"/>
        <v>Slovenia</v>
      </c>
      <c r="BK102" s="16" t="s">
        <v>259</v>
      </c>
      <c r="BL102" s="9">
        <f>'GHG data from Eurostat'!EP108</f>
        <v>-0.12592</v>
      </c>
    </row>
    <row r="103" spans="7:64" x14ac:dyDescent="0.25">
      <c r="G103" s="9" t="s">
        <v>200</v>
      </c>
      <c r="H103" s="9" t="s">
        <v>231</v>
      </c>
      <c r="I103" s="9">
        <f t="shared" si="301"/>
        <v>7.7738999999999989E-2</v>
      </c>
      <c r="J103" s="9">
        <f t="shared" si="302"/>
        <v>0.47681000000000001</v>
      </c>
      <c r="K103" s="9">
        <f t="shared" si="303"/>
        <v>0.53500000000000003</v>
      </c>
      <c r="L103" s="9">
        <f t="shared" si="304"/>
        <v>1.3462000000000002E-2</v>
      </c>
      <c r="M103" s="9">
        <f>'GHG data from Eurostat'!CP109</f>
        <v>3.8999999999999999E-4</v>
      </c>
      <c r="N103" s="9">
        <f>'GHG data from Eurostat'!CN109</f>
        <v>3.4610000000000002E-2</v>
      </c>
      <c r="O103" s="9">
        <f>'GHG data from Eurostat'!CQ109</f>
        <v>5.6999999999999998E-4</v>
      </c>
      <c r="P103" s="9">
        <f>'GHG data from Eurostat'!CO109</f>
        <v>9.8999999999999999E-4</v>
      </c>
      <c r="Q103" s="9">
        <f>'GHG data from Eurostat'!CU109</f>
        <v>1.06E-3</v>
      </c>
      <c r="R103" s="9">
        <f>IFERROR(('GHG data from Eurostat'!CS109+'GHG data from Eurostat'!CW109),0)</f>
        <v>5.8900000000000003E-3</v>
      </c>
      <c r="S103" s="9">
        <f>'GHG data from Eurostat'!CV109</f>
        <v>6.4000000000000005E-4</v>
      </c>
      <c r="T103" s="9">
        <f>'GHG data from Eurostat'!CT109</f>
        <v>2.0000000000000002E-5</v>
      </c>
      <c r="U103" s="9">
        <f>(Q103+M103)*1000</f>
        <v>1.45</v>
      </c>
      <c r="V103" s="9">
        <f t="shared" ref="V103:V104" si="459">(R103+N103)*1000</f>
        <v>40.5</v>
      </c>
      <c r="W103" s="9">
        <f t="shared" ref="W103:W104" si="460">(S103+O103)*1000</f>
        <v>1.2100000000000002</v>
      </c>
      <c r="X103" s="9">
        <f t="shared" ref="X103:X104" si="461">(T103+P103)*1000</f>
        <v>1.01</v>
      </c>
      <c r="Y103" s="9">
        <f t="shared" si="306"/>
        <v>44.17</v>
      </c>
      <c r="Z103" s="17">
        <f t="shared" ref="Z103:AC104" si="462">IFERROR((M103+Q103)*1000/I103,0)</f>
        <v>18.652156575206785</v>
      </c>
      <c r="AA103" s="17">
        <f t="shared" si="462"/>
        <v>84.939493718672011</v>
      </c>
      <c r="AB103" s="17">
        <f t="shared" si="462"/>
        <v>2.2616822429906542</v>
      </c>
      <c r="AC103" s="17">
        <f t="shared" si="462"/>
        <v>75.02599910860198</v>
      </c>
      <c r="AD103" s="18"/>
      <c r="AE103" s="17">
        <f t="shared" si="309"/>
        <v>18.652000000000001</v>
      </c>
      <c r="AF103" s="17">
        <f t="shared" si="377"/>
        <v>84.938999999999993</v>
      </c>
      <c r="AG103" s="17">
        <f t="shared" si="378"/>
        <v>2.262</v>
      </c>
      <c r="AH103" s="17">
        <f t="shared" si="379"/>
        <v>75.025999999999996</v>
      </c>
      <c r="AJ103" s="9" t="s">
        <v>200</v>
      </c>
      <c r="AK103" s="9" t="s">
        <v>231</v>
      </c>
      <c r="AL103" s="9">
        <f>VLOOKUP($AJ103,Landcover!$A$3:$K$30,5,FALSE)/1000</f>
        <v>2.2229999999999999</v>
      </c>
      <c r="AM103" s="9">
        <f>VLOOKUP($AJ103,Landcover!$A$3:$K$30,6,FALSE)/1000</f>
        <v>12.708</v>
      </c>
      <c r="AN103" s="9">
        <f>VLOOKUP($AJ103,Landcover!$A$3:$K$30,8,FALSE)/1000</f>
        <v>3.601</v>
      </c>
      <c r="AO103" s="9">
        <f>VLOOKUP($AJ103,Landcover!$A$3:$K$30,11,FALSE)/1000</f>
        <v>1.4999999999999999E-2</v>
      </c>
      <c r="AP103" s="9">
        <f>VLOOKUP($AJ103,Landcover!$A$3:$K$30,7,FALSE)/1000</f>
        <v>0.63200000000000001</v>
      </c>
      <c r="AR103" s="9">
        <f>SUM('GHG data from Eurostat'!CX109,'GHG data from Eurostat'!DC109,'GHG data from Eurostat'!DG109,'GHG data from Eurostat'!DM109,'GHG data from Eurostat'!DP109,'GHG data from Eurostat'!DV109)</f>
        <v>0</v>
      </c>
      <c r="AS103" s="9">
        <f>'GHG data from Eurostat'!DS109+'GHG data from Eurostat'!DT109</f>
        <v>0</v>
      </c>
      <c r="AT103" s="9">
        <f>'GHG data from Eurostat'!EA109+'GHG data from Eurostat'!EB109</f>
        <v>0</v>
      </c>
      <c r="AU103" s="9">
        <f>'GHG data from Eurostat'!ED109</f>
        <v>0</v>
      </c>
      <c r="AV103" s="9">
        <f>'GHG data from Eurostat'!EL109</f>
        <v>0</v>
      </c>
      <c r="AW103" s="18">
        <f t="shared" si="310"/>
        <v>0</v>
      </c>
      <c r="AX103" s="16">
        <f>IFERROR(AR103*1000/AL103,0)</f>
        <v>0</v>
      </c>
      <c r="AY103" s="16">
        <f t="shared" ref="AY103:AY104" si="463">IFERROR(AS103*1000/AM103,0)</f>
        <v>0</v>
      </c>
      <c r="AZ103" s="16">
        <f t="shared" ref="AZ103:AZ104" si="464">IFERROR(AT103*1000/AN103,0)</f>
        <v>0</v>
      </c>
      <c r="BA103" s="16">
        <f t="shared" ref="BA103:BB104" si="465">IFERROR(AU103*1000/AO103,0)</f>
        <v>0</v>
      </c>
      <c r="BB103" s="16">
        <f t="shared" si="465"/>
        <v>0</v>
      </c>
      <c r="BD103" s="16">
        <f t="shared" si="313"/>
        <v>0</v>
      </c>
      <c r="BE103" s="16">
        <f t="shared" si="383"/>
        <v>0</v>
      </c>
      <c r="BF103" s="16">
        <f t="shared" si="384"/>
        <v>0</v>
      </c>
      <c r="BG103" s="16">
        <f t="shared" si="385"/>
        <v>0</v>
      </c>
      <c r="BH103" s="16">
        <f t="shared" si="386"/>
        <v>0</v>
      </c>
      <c r="BJ103" s="16" t="str">
        <f t="shared" si="314"/>
        <v>Slovenia</v>
      </c>
      <c r="BK103" s="16" t="s">
        <v>260</v>
      </c>
      <c r="BL103" s="9">
        <f>'GHG data from Eurostat'!EP109</f>
        <v>0</v>
      </c>
    </row>
    <row r="104" spans="7:64" x14ac:dyDescent="0.25">
      <c r="G104" s="9" t="s">
        <v>200</v>
      </c>
      <c r="H104" s="9" t="s">
        <v>232</v>
      </c>
      <c r="I104" s="9">
        <f t="shared" si="301"/>
        <v>7.7738999999999989E-2</v>
      </c>
      <c r="J104" s="9">
        <f t="shared" si="302"/>
        <v>0.47681000000000001</v>
      </c>
      <c r="K104" s="9">
        <f t="shared" si="303"/>
        <v>0.53500000000000003</v>
      </c>
      <c r="L104" s="9">
        <f t="shared" si="304"/>
        <v>1.3462000000000002E-2</v>
      </c>
      <c r="M104" s="9">
        <f>'GHG data from Eurostat'!CP110</f>
        <v>0</v>
      </c>
      <c r="N104" s="9">
        <f>'GHG data from Eurostat'!CN110</f>
        <v>0</v>
      </c>
      <c r="O104" s="9">
        <f>'GHG data from Eurostat'!CQ110</f>
        <v>0</v>
      </c>
      <c r="P104" s="9">
        <f>'GHG data from Eurostat'!CO110</f>
        <v>0</v>
      </c>
      <c r="Q104" s="9">
        <f>'GHG data from Eurostat'!CU110</f>
        <v>1.0000000000000001E-5</v>
      </c>
      <c r="R104" s="9">
        <f>IFERROR(('GHG data from Eurostat'!CS110+'GHG data from Eurostat'!CW110),0)</f>
        <v>2.1000000000000001E-4</v>
      </c>
      <c r="S104" s="9">
        <f>'GHG data from Eurostat'!CV110</f>
        <v>1.0000000000000001E-5</v>
      </c>
      <c r="T104" s="9">
        <f>'GHG data from Eurostat'!CT110</f>
        <v>0</v>
      </c>
      <c r="U104" s="9">
        <f>(Q104+M104)*1000</f>
        <v>0.01</v>
      </c>
      <c r="V104" s="9">
        <f t="shared" si="459"/>
        <v>0.21000000000000002</v>
      </c>
      <c r="W104" s="9">
        <f t="shared" si="460"/>
        <v>0.01</v>
      </c>
      <c r="X104" s="9">
        <f t="shared" si="461"/>
        <v>0</v>
      </c>
      <c r="Y104" s="9">
        <f t="shared" si="306"/>
        <v>0.23000000000000004</v>
      </c>
      <c r="Z104" s="17">
        <f t="shared" si="462"/>
        <v>0.12863556258763301</v>
      </c>
      <c r="AA104" s="17">
        <f t="shared" si="462"/>
        <v>0.44042700446718824</v>
      </c>
      <c r="AB104" s="17">
        <f t="shared" si="462"/>
        <v>1.8691588785046728E-2</v>
      </c>
      <c r="AC104" s="17">
        <f t="shared" si="462"/>
        <v>0</v>
      </c>
      <c r="AD104" s="18"/>
      <c r="AE104" s="17">
        <f t="shared" si="309"/>
        <v>0.129</v>
      </c>
      <c r="AF104" s="17">
        <f t="shared" si="377"/>
        <v>0.44</v>
      </c>
      <c r="AG104" s="17">
        <f t="shared" si="378"/>
        <v>1.9E-2</v>
      </c>
      <c r="AH104" s="17">
        <f t="shared" si="379"/>
        <v>0</v>
      </c>
      <c r="AJ104" s="9" t="s">
        <v>200</v>
      </c>
      <c r="AK104" s="9" t="s">
        <v>232</v>
      </c>
      <c r="AL104" s="9">
        <f>VLOOKUP($AJ104,Landcover!$A$3:$K$30,5,FALSE)/1000</f>
        <v>2.2229999999999999</v>
      </c>
      <c r="AM104" s="9">
        <f>VLOOKUP($AJ104,Landcover!$A$3:$K$30,6,FALSE)/1000</f>
        <v>12.708</v>
      </c>
      <c r="AN104" s="9">
        <f>VLOOKUP($AJ104,Landcover!$A$3:$K$30,8,FALSE)/1000</f>
        <v>3.601</v>
      </c>
      <c r="AO104" s="9">
        <f>VLOOKUP($AJ104,Landcover!$A$3:$K$30,11,FALSE)/1000</f>
        <v>1.4999999999999999E-2</v>
      </c>
      <c r="AP104" s="9">
        <f>VLOOKUP($AJ104,Landcover!$A$3:$K$30,7,FALSE)/1000</f>
        <v>0.63200000000000001</v>
      </c>
      <c r="AR104" s="9">
        <f>SUM('GHG data from Eurostat'!CX110,'GHG data from Eurostat'!DC110,'GHG data from Eurostat'!DG110,'GHG data from Eurostat'!DM110,'GHG data from Eurostat'!DP110,'GHG data from Eurostat'!DV110)</f>
        <v>1.47E-3</v>
      </c>
      <c r="AS104" s="9">
        <f>'GHG data from Eurostat'!DS110+'GHG data from Eurostat'!DT110</f>
        <v>0</v>
      </c>
      <c r="AT104" s="9">
        <f>'GHG data from Eurostat'!EA110+'GHG data from Eurostat'!EB110</f>
        <v>1.0000000000000001E-5</v>
      </c>
      <c r="AU104" s="9">
        <f>'GHG data from Eurostat'!ED110</f>
        <v>1.0000000000000001E-5</v>
      </c>
      <c r="AV104" s="9">
        <f>'GHG data from Eurostat'!EL110</f>
        <v>0</v>
      </c>
      <c r="AW104" s="18">
        <f t="shared" si="310"/>
        <v>1.49E-3</v>
      </c>
      <c r="AX104" s="16">
        <f>IFERROR(AR104*1000/AL104,0)</f>
        <v>0.66126855600539813</v>
      </c>
      <c r="AY104" s="16">
        <f t="shared" si="463"/>
        <v>0</v>
      </c>
      <c r="AZ104" s="16">
        <f t="shared" si="464"/>
        <v>2.7770063871146904E-3</v>
      </c>
      <c r="BA104" s="16">
        <f t="shared" si="465"/>
        <v>0.66666666666666674</v>
      </c>
      <c r="BB104" s="16">
        <f t="shared" si="465"/>
        <v>0</v>
      </c>
      <c r="BD104" s="16">
        <f t="shared" si="313"/>
        <v>0.6613</v>
      </c>
      <c r="BE104" s="16">
        <f t="shared" si="383"/>
        <v>0</v>
      </c>
      <c r="BF104" s="16">
        <f t="shared" si="384"/>
        <v>2.8E-3</v>
      </c>
      <c r="BG104" s="16">
        <f t="shared" si="385"/>
        <v>0.66669999999999996</v>
      </c>
      <c r="BH104" s="16">
        <f t="shared" si="386"/>
        <v>0</v>
      </c>
      <c r="BJ104" s="16" t="str">
        <f t="shared" si="314"/>
        <v>Slovenia</v>
      </c>
      <c r="BK104" s="16" t="s">
        <v>261</v>
      </c>
      <c r="BL104" s="9">
        <f>'GHG data from Eurostat'!EP110</f>
        <v>0</v>
      </c>
    </row>
    <row r="105" spans="7:64" x14ac:dyDescent="0.25">
      <c r="G105" s="9" t="s">
        <v>201</v>
      </c>
      <c r="H105" s="9" t="s">
        <v>262</v>
      </c>
      <c r="I105" s="9">
        <f t="shared" si="301"/>
        <v>0.188106</v>
      </c>
      <c r="J105" s="9">
        <f t="shared" si="302"/>
        <v>0.43886000000000003</v>
      </c>
      <c r="K105" s="9">
        <f t="shared" si="303"/>
        <v>0.66200000000000003</v>
      </c>
      <c r="L105" s="9">
        <f t="shared" si="304"/>
        <v>3.8803000000000004E-2</v>
      </c>
      <c r="M105" s="9">
        <f>'GHG data from Eurostat'!CP111</f>
        <v>2.6329999999999999E-2</v>
      </c>
      <c r="N105" s="9">
        <f>'GHG data from Eurostat'!CN111</f>
        <v>0.94859000000000004</v>
      </c>
      <c r="O105" s="9">
        <f>'GHG data from Eurostat'!CQ111</f>
        <v>1.8679999999999999E-2</v>
      </c>
      <c r="P105" s="9">
        <f>'GHG data from Eurostat'!CO111</f>
        <v>0.10922</v>
      </c>
      <c r="Q105" s="9">
        <f>'GHG data from Eurostat'!CU111</f>
        <v>8.8679999999999995E-2</v>
      </c>
      <c r="R105" s="9">
        <f>IFERROR(('GHG data from Eurostat'!CS111+'GHG data from Eurostat'!CW111),0)</f>
        <v>0.22392000000000001</v>
      </c>
      <c r="S105" s="9">
        <f>'GHG data from Eurostat'!CV111</f>
        <v>6.3500000000000001E-2</v>
      </c>
      <c r="T105" s="9">
        <f>'GHG data from Eurostat'!CT111</f>
        <v>8.7500000000000008E-3</v>
      </c>
      <c r="U105" s="9">
        <f>Q105+M105</f>
        <v>0.11501</v>
      </c>
      <c r="V105" s="9">
        <f t="shared" ref="V105:V106" si="466">R105+N105</f>
        <v>1.1725099999999999</v>
      </c>
      <c r="W105" s="9">
        <f t="shared" ref="W105:W106" si="467">S105+O105</f>
        <v>8.2180000000000003E-2</v>
      </c>
      <c r="X105" s="9">
        <f t="shared" ref="X105:X106" si="468">T105+P105</f>
        <v>0.11796999999999999</v>
      </c>
      <c r="Y105" s="9">
        <f t="shared" si="306"/>
        <v>1.4876699999999998</v>
      </c>
      <c r="Z105" s="17">
        <f t="shared" si="307"/>
        <v>0.61141058764739031</v>
      </c>
      <c r="AA105" s="17">
        <f t="shared" si="374"/>
        <v>2.6717176320466662</v>
      </c>
      <c r="AB105" s="17">
        <f t="shared" si="375"/>
        <v>0.12413897280966767</v>
      </c>
      <c r="AC105" s="17">
        <f t="shared" si="376"/>
        <v>3.0402288482849258</v>
      </c>
      <c r="AD105" s="18"/>
      <c r="AE105" s="17">
        <f t="shared" si="309"/>
        <v>0.61099999999999999</v>
      </c>
      <c r="AF105" s="17">
        <f t="shared" si="377"/>
        <v>2.6720000000000002</v>
      </c>
      <c r="AG105" s="17">
        <f t="shared" si="378"/>
        <v>0.124</v>
      </c>
      <c r="AH105" s="17">
        <f t="shared" si="379"/>
        <v>3.04</v>
      </c>
      <c r="AJ105" s="9" t="s">
        <v>201</v>
      </c>
      <c r="AK105" s="9" t="s">
        <v>262</v>
      </c>
      <c r="AL105" s="9">
        <f>VLOOKUP($AJ105,Landcover!$A$3:$K$30,5,FALSE)/1000</f>
        <v>13.494</v>
      </c>
      <c r="AM105" s="9">
        <f>VLOOKUP($AJ105,Landcover!$A$3:$K$30,6,FALSE)/1000</f>
        <v>22.437000000000001</v>
      </c>
      <c r="AN105" s="9">
        <f>VLOOKUP($AJ105,Landcover!$A$3:$K$30,8,FALSE)/1000</f>
        <v>8.6340000000000003</v>
      </c>
      <c r="AO105" s="9">
        <f>VLOOKUP($AJ105,Landcover!$A$3:$K$30,11,FALSE)/1000</f>
        <v>7.2999999999999995E-2</v>
      </c>
      <c r="AP105" s="9">
        <f>VLOOKUP($AJ105,Landcover!$A$3:$K$30,7,FALSE)/1000</f>
        <v>1.7909999999999999</v>
      </c>
      <c r="AR105" s="9">
        <f>SUM('GHG data from Eurostat'!CX111,'GHG data from Eurostat'!DC111,'GHG data from Eurostat'!DG111,'GHG data from Eurostat'!DM111,'GHG data from Eurostat'!DP111,'GHG data from Eurostat'!DV111)</f>
        <v>2.5959999999999983E-2</v>
      </c>
      <c r="AS105" s="9">
        <f>'GHG data from Eurostat'!DS111+'GHG data from Eurostat'!DT111</f>
        <v>-2.4824099999999998</v>
      </c>
      <c r="AT105" s="9">
        <f>'GHG data from Eurostat'!EA111+'GHG data from Eurostat'!EB111</f>
        <v>0</v>
      </c>
      <c r="AU105" s="9">
        <f>'GHG data from Eurostat'!ED111</f>
        <v>0</v>
      </c>
      <c r="AV105" s="9">
        <f>'GHG data from Eurostat'!EL111</f>
        <v>0.14985000000000001</v>
      </c>
      <c r="AW105" s="18">
        <f t="shared" si="310"/>
        <v>-2.3066</v>
      </c>
      <c r="AX105" s="16">
        <f>AR105/AL105</f>
        <v>1.9238179931821539E-3</v>
      </c>
      <c r="AY105" s="16">
        <f t="shared" ref="AY105" si="469">AS105/AM105</f>
        <v>-0.11063912287739001</v>
      </c>
      <c r="AZ105" s="16">
        <f t="shared" ref="AZ105" si="470">AT105/AN105</f>
        <v>0</v>
      </c>
      <c r="BA105" s="16">
        <f t="shared" ref="BA105:BB105" si="471">AU105/AO105</f>
        <v>0</v>
      </c>
      <c r="BB105" s="16">
        <f t="shared" si="471"/>
        <v>8.3668341708542718E-2</v>
      </c>
      <c r="BD105" s="16">
        <f t="shared" si="313"/>
        <v>1.9E-3</v>
      </c>
      <c r="BE105" s="16">
        <f t="shared" si="383"/>
        <v>-0.1106</v>
      </c>
      <c r="BF105" s="16">
        <f t="shared" si="384"/>
        <v>0</v>
      </c>
      <c r="BG105" s="16">
        <f t="shared" si="385"/>
        <v>0</v>
      </c>
      <c r="BH105" s="16">
        <f t="shared" si="386"/>
        <v>8.3699999999999997E-2</v>
      </c>
      <c r="BJ105" s="16" t="str">
        <f t="shared" si="314"/>
        <v>Slovakia</v>
      </c>
      <c r="BK105" s="16" t="s">
        <v>263</v>
      </c>
      <c r="BL105" s="9">
        <f>'GHG data from Eurostat'!EP111</f>
        <v>-0.88919000000000004</v>
      </c>
    </row>
    <row r="106" spans="7:64" x14ac:dyDescent="0.25">
      <c r="G106" s="9" t="s">
        <v>201</v>
      </c>
      <c r="H106" s="9" t="s">
        <v>233</v>
      </c>
      <c r="I106" s="9">
        <f t="shared" si="301"/>
        <v>0.188106</v>
      </c>
      <c r="J106" s="9">
        <f t="shared" si="302"/>
        <v>0.43886000000000003</v>
      </c>
      <c r="K106" s="9">
        <f t="shared" si="303"/>
        <v>0.66200000000000003</v>
      </c>
      <c r="L106" s="9">
        <f t="shared" si="304"/>
        <v>3.8803000000000004E-2</v>
      </c>
      <c r="M106" s="9">
        <f>'GHG data from Eurostat'!CP112</f>
        <v>0</v>
      </c>
      <c r="N106" s="9">
        <f>'GHG data from Eurostat'!CN112</f>
        <v>0</v>
      </c>
      <c r="O106" s="9">
        <f>'GHG data from Eurostat'!CQ112</f>
        <v>0</v>
      </c>
      <c r="P106" s="9">
        <f>'GHG data from Eurostat'!CO112</f>
        <v>0</v>
      </c>
      <c r="Q106" s="9">
        <f>'GHG data from Eurostat'!CU112</f>
        <v>0</v>
      </c>
      <c r="R106" s="9">
        <f>IFERROR(('GHG data from Eurostat'!CS112+'GHG data from Eurostat'!CW112),0)</f>
        <v>0</v>
      </c>
      <c r="S106" s="9">
        <f>'GHG data from Eurostat'!CV112</f>
        <v>0</v>
      </c>
      <c r="T106" s="9">
        <f>'GHG data from Eurostat'!CT112</f>
        <v>0</v>
      </c>
      <c r="U106" s="9">
        <f t="shared" ref="U106" si="472">Q106+M106</f>
        <v>0</v>
      </c>
      <c r="V106" s="9">
        <f t="shared" si="466"/>
        <v>0</v>
      </c>
      <c r="W106" s="9">
        <f t="shared" si="467"/>
        <v>0</v>
      </c>
      <c r="X106" s="9">
        <f t="shared" si="468"/>
        <v>0</v>
      </c>
      <c r="Y106" s="9">
        <f t="shared" si="306"/>
        <v>0</v>
      </c>
      <c r="Z106" s="17">
        <f t="shared" si="307"/>
        <v>0</v>
      </c>
      <c r="AA106" s="17">
        <f t="shared" si="374"/>
        <v>0</v>
      </c>
      <c r="AB106" s="17">
        <f t="shared" si="375"/>
        <v>0</v>
      </c>
      <c r="AC106" s="17">
        <f t="shared" si="376"/>
        <v>0</v>
      </c>
      <c r="AD106" s="18"/>
      <c r="AE106" s="17">
        <f t="shared" si="309"/>
        <v>0</v>
      </c>
      <c r="AF106" s="17">
        <f t="shared" si="377"/>
        <v>0</v>
      </c>
      <c r="AG106" s="17">
        <f t="shared" si="378"/>
        <v>0</v>
      </c>
      <c r="AH106" s="17">
        <f t="shared" si="379"/>
        <v>0</v>
      </c>
      <c r="AJ106" s="9" t="s">
        <v>201</v>
      </c>
      <c r="AK106" s="9" t="s">
        <v>233</v>
      </c>
      <c r="AL106" s="9">
        <f>VLOOKUP($AJ106,Landcover!$A$3:$K$30,5,FALSE)/1000</f>
        <v>13.494</v>
      </c>
      <c r="AM106" s="9">
        <f>VLOOKUP($AJ106,Landcover!$A$3:$K$30,6,FALSE)/1000</f>
        <v>22.437000000000001</v>
      </c>
      <c r="AN106" s="9">
        <f>VLOOKUP($AJ106,Landcover!$A$3:$K$30,8,FALSE)/1000</f>
        <v>8.6340000000000003</v>
      </c>
      <c r="AO106" s="9">
        <f>VLOOKUP($AJ106,Landcover!$A$3:$K$30,11,FALSE)/1000</f>
        <v>7.2999999999999995E-2</v>
      </c>
      <c r="AP106" s="9">
        <f>VLOOKUP($AJ106,Landcover!$A$3:$K$30,7,FALSE)/1000</f>
        <v>1.7909999999999999</v>
      </c>
      <c r="AR106" s="9">
        <f>SUM('GHG data from Eurostat'!CX112,'GHG data from Eurostat'!DC112,'GHG data from Eurostat'!DG112,'GHG data from Eurostat'!DM112,'GHG data from Eurostat'!DP112,'GHG data from Eurostat'!DV112)</f>
        <v>-0.62361999999999995</v>
      </c>
      <c r="AS106" s="9">
        <f>'GHG data from Eurostat'!DS112+'GHG data from Eurostat'!DT112</f>
        <v>-2.5216699999999999</v>
      </c>
      <c r="AT106" s="9">
        <f>'GHG data from Eurostat'!EA112+'GHG data from Eurostat'!EB112</f>
        <v>0</v>
      </c>
      <c r="AU106" s="9">
        <f>'GHG data from Eurostat'!ED112</f>
        <v>0</v>
      </c>
      <c r="AV106" s="9">
        <f>'GHG data from Eurostat'!EL112</f>
        <v>0.14396</v>
      </c>
      <c r="AW106" s="18">
        <f t="shared" si="310"/>
        <v>-3.0013299999999998</v>
      </c>
      <c r="AX106" s="16">
        <f>AR106/AL106</f>
        <v>-4.6214613902475173E-2</v>
      </c>
      <c r="AY106" s="16">
        <f t="shared" ref="AY106" si="473">AS106/AM106</f>
        <v>-0.11238891117350804</v>
      </c>
      <c r="AZ106" s="16">
        <f t="shared" ref="AZ106" si="474">AT106/AN106</f>
        <v>0</v>
      </c>
      <c r="BA106" s="16">
        <f t="shared" ref="BA106:BB106" si="475">AU106/AO106</f>
        <v>0</v>
      </c>
      <c r="BB106" s="16">
        <f t="shared" si="475"/>
        <v>8.037967615857064E-2</v>
      </c>
      <c r="BD106" s="16">
        <f t="shared" si="313"/>
        <v>-4.6199999999999998E-2</v>
      </c>
      <c r="BE106" s="16">
        <f t="shared" si="383"/>
        <v>-0.1124</v>
      </c>
      <c r="BF106" s="16">
        <f t="shared" si="384"/>
        <v>0</v>
      </c>
      <c r="BG106" s="16">
        <f t="shared" si="385"/>
        <v>0</v>
      </c>
      <c r="BH106" s="16">
        <f t="shared" si="386"/>
        <v>8.0399999999999999E-2</v>
      </c>
      <c r="BJ106" s="16" t="str">
        <f t="shared" si="314"/>
        <v>Slovakia</v>
      </c>
      <c r="BK106" s="16" t="s">
        <v>259</v>
      </c>
      <c r="BL106" s="9">
        <f>'GHG data from Eurostat'!EP112</f>
        <v>-0.88919000000000004</v>
      </c>
    </row>
    <row r="107" spans="7:64" x14ac:dyDescent="0.25">
      <c r="G107" s="9" t="s">
        <v>201</v>
      </c>
      <c r="H107" s="9" t="s">
        <v>231</v>
      </c>
      <c r="I107" s="9">
        <f t="shared" si="301"/>
        <v>0.188106</v>
      </c>
      <c r="J107" s="9">
        <f t="shared" si="302"/>
        <v>0.43886000000000003</v>
      </c>
      <c r="K107" s="9">
        <f t="shared" si="303"/>
        <v>0.66200000000000003</v>
      </c>
      <c r="L107" s="9">
        <f t="shared" si="304"/>
        <v>3.8803000000000004E-2</v>
      </c>
      <c r="M107" s="9">
        <f>'GHG data from Eurostat'!CP113</f>
        <v>9.3999999999999997E-4</v>
      </c>
      <c r="N107" s="9">
        <f>'GHG data from Eurostat'!CN113</f>
        <v>3.388E-2</v>
      </c>
      <c r="O107" s="9">
        <f>'GHG data from Eurostat'!CQ113</f>
        <v>6.7000000000000002E-4</v>
      </c>
      <c r="P107" s="9">
        <f>'GHG data from Eurostat'!CO113</f>
        <v>3.8999999999999998E-3</v>
      </c>
      <c r="Q107" s="9">
        <f>'GHG data from Eurostat'!CU113</f>
        <v>2.7499999999999998E-3</v>
      </c>
      <c r="R107" s="9">
        <f>IFERROR(('GHG data from Eurostat'!CS113+'GHG data from Eurostat'!CW113),0)</f>
        <v>2.14E-3</v>
      </c>
      <c r="S107" s="9">
        <f>'GHG data from Eurostat'!CV113</f>
        <v>5.1000000000000004E-4</v>
      </c>
      <c r="T107" s="9">
        <f>'GHG data from Eurostat'!CT113</f>
        <v>1.1E-4</v>
      </c>
      <c r="U107" s="9">
        <f>(Q107+M107)*1000</f>
        <v>3.6899999999999995</v>
      </c>
      <c r="V107" s="9">
        <f t="shared" ref="V107:V108" si="476">(R107+N107)*1000</f>
        <v>36.020000000000003</v>
      </c>
      <c r="W107" s="9">
        <f t="shared" ref="W107:W108" si="477">(S107+O107)*1000</f>
        <v>1.1800000000000002</v>
      </c>
      <c r="X107" s="9">
        <f t="shared" ref="X107:X108" si="478">(T107+P107)*1000</f>
        <v>4.01</v>
      </c>
      <c r="Y107" s="9">
        <f t="shared" si="306"/>
        <v>44.9</v>
      </c>
      <c r="Z107" s="17">
        <f t="shared" ref="Z107:AC108" si="479">IFERROR((M107+Q107)*1000/I107,0)</f>
        <v>19.616599151542214</v>
      </c>
      <c r="AA107" s="17">
        <f t="shared" si="479"/>
        <v>82.076288565829657</v>
      </c>
      <c r="AB107" s="17">
        <f t="shared" si="479"/>
        <v>1.7824773413897284</v>
      </c>
      <c r="AC107" s="17">
        <f t="shared" si="479"/>
        <v>103.34252506249516</v>
      </c>
      <c r="AD107" s="18"/>
      <c r="AE107" s="17">
        <f t="shared" si="309"/>
        <v>19.617000000000001</v>
      </c>
      <c r="AF107" s="17">
        <f t="shared" si="377"/>
        <v>82.075999999999993</v>
      </c>
      <c r="AG107" s="17">
        <f t="shared" si="378"/>
        <v>1.782</v>
      </c>
      <c r="AH107" s="17">
        <f t="shared" si="379"/>
        <v>103.343</v>
      </c>
      <c r="AJ107" s="9" t="s">
        <v>201</v>
      </c>
      <c r="AK107" s="9" t="s">
        <v>231</v>
      </c>
      <c r="AL107" s="9">
        <f>VLOOKUP($AJ107,Landcover!$A$3:$K$30,5,FALSE)/1000</f>
        <v>13.494</v>
      </c>
      <c r="AM107" s="9">
        <f>VLOOKUP($AJ107,Landcover!$A$3:$K$30,6,FALSE)/1000</f>
        <v>22.437000000000001</v>
      </c>
      <c r="AN107" s="9">
        <f>VLOOKUP($AJ107,Landcover!$A$3:$K$30,8,FALSE)/1000</f>
        <v>8.6340000000000003</v>
      </c>
      <c r="AO107" s="9">
        <f>VLOOKUP($AJ107,Landcover!$A$3:$K$30,11,FALSE)/1000</f>
        <v>7.2999999999999995E-2</v>
      </c>
      <c r="AP107" s="9">
        <f>VLOOKUP($AJ107,Landcover!$A$3:$K$30,7,FALSE)/1000</f>
        <v>1.7909999999999999</v>
      </c>
      <c r="AR107" s="9">
        <f>SUM('GHG data from Eurostat'!CX113,'GHG data from Eurostat'!DC113,'GHG data from Eurostat'!DG113,'GHG data from Eurostat'!DM113,'GHG data from Eurostat'!DP113,'GHG data from Eurostat'!DV113)</f>
        <v>0</v>
      </c>
      <c r="AS107" s="9">
        <f>'GHG data from Eurostat'!DS113+'GHG data from Eurostat'!DT113</f>
        <v>9.2000000000000003E-4</v>
      </c>
      <c r="AT107" s="9">
        <f>'GHG data from Eurostat'!EA113+'GHG data from Eurostat'!EB113</f>
        <v>0</v>
      </c>
      <c r="AU107" s="9">
        <f>'GHG data from Eurostat'!ED113</f>
        <v>0</v>
      </c>
      <c r="AV107" s="9">
        <f>'GHG data from Eurostat'!EL113</f>
        <v>0</v>
      </c>
      <c r="AW107" s="18">
        <f t="shared" si="310"/>
        <v>9.2000000000000003E-4</v>
      </c>
      <c r="AX107" s="16">
        <f>IFERROR(AR107*1000/AL107,0)</f>
        <v>0</v>
      </c>
      <c r="AY107" s="16">
        <f t="shared" ref="AY107:AY108" si="480">IFERROR(AS107*1000/AM107,0)</f>
        <v>4.1003699246779872E-2</v>
      </c>
      <c r="AZ107" s="16">
        <f t="shared" ref="AZ107:AZ108" si="481">IFERROR(AT107*1000/AN107,0)</f>
        <v>0</v>
      </c>
      <c r="BA107" s="16">
        <f t="shared" ref="BA107:BB108" si="482">IFERROR(AU107*1000/AO107,0)</f>
        <v>0</v>
      </c>
      <c r="BB107" s="16">
        <f t="shared" si="482"/>
        <v>0</v>
      </c>
      <c r="BD107" s="16">
        <f t="shared" si="313"/>
        <v>0</v>
      </c>
      <c r="BE107" s="16">
        <f t="shared" si="383"/>
        <v>4.1000000000000002E-2</v>
      </c>
      <c r="BF107" s="16">
        <f t="shared" si="384"/>
        <v>0</v>
      </c>
      <c r="BG107" s="16">
        <f t="shared" si="385"/>
        <v>0</v>
      </c>
      <c r="BH107" s="16">
        <f t="shared" si="386"/>
        <v>0</v>
      </c>
      <c r="BJ107" s="16" t="str">
        <f t="shared" si="314"/>
        <v>Slovakia</v>
      </c>
      <c r="BK107" s="16" t="s">
        <v>260</v>
      </c>
      <c r="BL107" s="9">
        <f>'GHG data from Eurostat'!EP113</f>
        <v>0</v>
      </c>
    </row>
    <row r="108" spans="7:64" x14ac:dyDescent="0.25">
      <c r="G108" s="9" t="s">
        <v>201</v>
      </c>
      <c r="H108" s="9" t="s">
        <v>232</v>
      </c>
      <c r="I108" s="9">
        <f t="shared" si="301"/>
        <v>0.188106</v>
      </c>
      <c r="J108" s="9">
        <f t="shared" si="302"/>
        <v>0.43886000000000003</v>
      </c>
      <c r="K108" s="9">
        <f t="shared" si="303"/>
        <v>0.66200000000000003</v>
      </c>
      <c r="L108" s="9">
        <f t="shared" si="304"/>
        <v>3.8803000000000004E-2</v>
      </c>
      <c r="M108" s="9">
        <f>'GHG data from Eurostat'!CP114</f>
        <v>0</v>
      </c>
      <c r="N108" s="9">
        <f>'GHG data from Eurostat'!CN114</f>
        <v>0</v>
      </c>
      <c r="O108" s="9">
        <f>'GHG data from Eurostat'!CQ114</f>
        <v>0</v>
      </c>
      <c r="P108" s="9">
        <f>'GHG data from Eurostat'!CO114</f>
        <v>0</v>
      </c>
      <c r="Q108" s="9">
        <f>'GHG data from Eurostat'!CU114</f>
        <v>4.0000000000000003E-5</v>
      </c>
      <c r="R108" s="9">
        <f>IFERROR(('GHG data from Eurostat'!CS114+'GHG data from Eurostat'!CW114),0)</f>
        <v>6.2E-4</v>
      </c>
      <c r="S108" s="9">
        <f>'GHG data from Eurostat'!CV114</f>
        <v>1.9000000000000001E-4</v>
      </c>
      <c r="T108" s="9">
        <f>'GHG data from Eurostat'!CT114</f>
        <v>2.0000000000000002E-5</v>
      </c>
      <c r="U108" s="9">
        <f>(Q108+M108)*1000</f>
        <v>0.04</v>
      </c>
      <c r="V108" s="9">
        <f t="shared" si="476"/>
        <v>0.62</v>
      </c>
      <c r="W108" s="9">
        <f t="shared" si="477"/>
        <v>0.19</v>
      </c>
      <c r="X108" s="9">
        <f t="shared" si="478"/>
        <v>0.02</v>
      </c>
      <c r="Y108" s="9">
        <f t="shared" si="306"/>
        <v>0.87000000000000011</v>
      </c>
      <c r="Z108" s="17">
        <f t="shared" si="479"/>
        <v>0.21264606126333027</v>
      </c>
      <c r="AA108" s="17">
        <f t="shared" si="479"/>
        <v>1.4127512190675842</v>
      </c>
      <c r="AB108" s="17">
        <f t="shared" si="479"/>
        <v>0.28700906344410876</v>
      </c>
      <c r="AC108" s="17">
        <f t="shared" si="479"/>
        <v>0.51542406514960182</v>
      </c>
      <c r="AD108" s="18"/>
      <c r="AE108" s="17">
        <f t="shared" si="309"/>
        <v>0.21299999999999999</v>
      </c>
      <c r="AF108" s="17">
        <f t="shared" si="377"/>
        <v>1.413</v>
      </c>
      <c r="AG108" s="17">
        <f t="shared" si="378"/>
        <v>0.28699999999999998</v>
      </c>
      <c r="AH108" s="17">
        <f t="shared" si="379"/>
        <v>0.51500000000000001</v>
      </c>
      <c r="AJ108" s="9" t="s">
        <v>201</v>
      </c>
      <c r="AK108" s="9" t="s">
        <v>232</v>
      </c>
      <c r="AL108" s="9">
        <f>VLOOKUP($AJ108,Landcover!$A$3:$K$30,5,FALSE)/1000</f>
        <v>13.494</v>
      </c>
      <c r="AM108" s="9">
        <f>VLOOKUP($AJ108,Landcover!$A$3:$K$30,6,FALSE)/1000</f>
        <v>22.437000000000001</v>
      </c>
      <c r="AN108" s="9">
        <f>VLOOKUP($AJ108,Landcover!$A$3:$K$30,8,FALSE)/1000</f>
        <v>8.6340000000000003</v>
      </c>
      <c r="AO108" s="9">
        <f>VLOOKUP($AJ108,Landcover!$A$3:$K$30,11,FALSE)/1000</f>
        <v>7.2999999999999995E-2</v>
      </c>
      <c r="AP108" s="9">
        <f>VLOOKUP($AJ108,Landcover!$A$3:$K$30,7,FALSE)/1000</f>
        <v>1.7909999999999999</v>
      </c>
      <c r="AR108" s="9">
        <f>SUM('GHG data from Eurostat'!CX114,'GHG data from Eurostat'!DC114,'GHG data from Eurostat'!DG114,'GHG data from Eurostat'!DM114,'GHG data from Eurostat'!DP114,'GHG data from Eurostat'!DV114)</f>
        <v>2.4499999999999999E-3</v>
      </c>
      <c r="AS108" s="9">
        <f>'GHG data from Eurostat'!DS114+'GHG data from Eurostat'!DT114</f>
        <v>5.0000000000000002E-5</v>
      </c>
      <c r="AT108" s="9">
        <f>'GHG data from Eurostat'!EA114+'GHG data from Eurostat'!EB114</f>
        <v>0</v>
      </c>
      <c r="AU108" s="9">
        <f>'GHG data from Eurostat'!ED114</f>
        <v>0</v>
      </c>
      <c r="AV108" s="9">
        <f>'GHG data from Eurostat'!EL114</f>
        <v>2.0000000000000002E-5</v>
      </c>
      <c r="AW108" s="18">
        <f t="shared" si="310"/>
        <v>2.5200000000000001E-3</v>
      </c>
      <c r="AX108" s="16">
        <f>IFERROR(AR108*1000/AL108,0)</f>
        <v>0.18156217578182896</v>
      </c>
      <c r="AY108" s="16">
        <f t="shared" si="480"/>
        <v>2.2284619155858625E-3</v>
      </c>
      <c r="AZ108" s="16">
        <f t="shared" si="481"/>
        <v>0</v>
      </c>
      <c r="BA108" s="16">
        <f t="shared" si="482"/>
        <v>0</v>
      </c>
      <c r="BB108" s="16">
        <f t="shared" si="482"/>
        <v>1.1166945840312675E-2</v>
      </c>
      <c r="BD108" s="16">
        <f t="shared" si="313"/>
        <v>0.18160000000000001</v>
      </c>
      <c r="BE108" s="16">
        <f t="shared" si="383"/>
        <v>2.2000000000000001E-3</v>
      </c>
      <c r="BF108" s="16">
        <f t="shared" si="384"/>
        <v>0</v>
      </c>
      <c r="BG108" s="16">
        <f t="shared" si="385"/>
        <v>0</v>
      </c>
      <c r="BH108" s="16">
        <f t="shared" si="386"/>
        <v>1.12E-2</v>
      </c>
      <c r="BJ108" s="16" t="str">
        <f t="shared" si="314"/>
        <v>Slovakia</v>
      </c>
      <c r="BK108" s="16" t="s">
        <v>261</v>
      </c>
      <c r="BL108" s="9">
        <f>'GHG data from Eurostat'!EP114</f>
        <v>0</v>
      </c>
    </row>
    <row r="109" spans="7:64" x14ac:dyDescent="0.25">
      <c r="G109" s="9" t="s">
        <v>202</v>
      </c>
      <c r="H109" s="9" t="s">
        <v>262</v>
      </c>
      <c r="I109" s="9">
        <f t="shared" si="301"/>
        <v>0.31236000000000003</v>
      </c>
      <c r="J109" s="9">
        <f t="shared" si="302"/>
        <v>0.85938000000000003</v>
      </c>
      <c r="K109" s="9">
        <f t="shared" si="303"/>
        <v>1.0820000000000001</v>
      </c>
      <c r="L109" s="9">
        <f t="shared" si="304"/>
        <v>1.5081000000000001E-2</v>
      </c>
      <c r="M109" s="9">
        <f>'GHG data from Eurostat'!CP115</f>
        <v>2.6839999999999999E-2</v>
      </c>
      <c r="N109" s="9">
        <f>'GHG data from Eurostat'!CN115</f>
        <v>2.0398399999999999</v>
      </c>
      <c r="O109" s="9">
        <f>'GHG data from Eurostat'!CQ115</f>
        <v>0.14810000000000001</v>
      </c>
      <c r="P109" s="9">
        <f>'GHG data from Eurostat'!CO115</f>
        <v>3.7440000000000001E-2</v>
      </c>
      <c r="Q109" s="9">
        <f>'GHG data from Eurostat'!CU115</f>
        <v>0.13894000000000001</v>
      </c>
      <c r="R109" s="9">
        <f>IFERROR(('GHG data from Eurostat'!CS115+'GHG data from Eurostat'!CW115),0)</f>
        <v>0.68528999999999995</v>
      </c>
      <c r="S109" s="9">
        <f>'GHG data from Eurostat'!CV115</f>
        <v>0.13125999999999999</v>
      </c>
      <c r="T109" s="9">
        <f>'GHG data from Eurostat'!CT115</f>
        <v>1.227E-2</v>
      </c>
      <c r="U109" s="9">
        <f>Q109+M109</f>
        <v>0.16578000000000001</v>
      </c>
      <c r="V109" s="9">
        <f t="shared" ref="V109:V110" si="483">R109+N109</f>
        <v>2.7251300000000001</v>
      </c>
      <c r="W109" s="9">
        <f t="shared" ref="W109:W110" si="484">S109+O109</f>
        <v>0.27936</v>
      </c>
      <c r="X109" s="9">
        <f t="shared" ref="X109:X110" si="485">T109+P109</f>
        <v>4.9710000000000004E-2</v>
      </c>
      <c r="Y109" s="9">
        <f t="shared" si="306"/>
        <v>3.2199800000000001</v>
      </c>
      <c r="Z109" s="17">
        <f t="shared" si="307"/>
        <v>0.53073376872839029</v>
      </c>
      <c r="AA109" s="17">
        <f t="shared" si="374"/>
        <v>3.1710419139379553</v>
      </c>
      <c r="AB109" s="17">
        <f t="shared" si="375"/>
        <v>0.25818853974121997</v>
      </c>
      <c r="AC109" s="17">
        <f t="shared" si="376"/>
        <v>3.2962005172070818</v>
      </c>
      <c r="AD109" s="18"/>
      <c r="AE109" s="17">
        <f t="shared" si="309"/>
        <v>0.53100000000000003</v>
      </c>
      <c r="AF109" s="17">
        <f t="shared" si="377"/>
        <v>3.1709999999999998</v>
      </c>
      <c r="AG109" s="17">
        <f t="shared" si="378"/>
        <v>0.25800000000000001</v>
      </c>
      <c r="AH109" s="17">
        <f t="shared" si="379"/>
        <v>3.2959999999999998</v>
      </c>
      <c r="AJ109" s="9" t="s">
        <v>202</v>
      </c>
      <c r="AK109" s="9" t="s">
        <v>262</v>
      </c>
      <c r="AL109" s="9">
        <f>VLOOKUP($AJ109,Landcover!$A$3:$K$30,5,FALSE)/1000</f>
        <v>18.024999999999999</v>
      </c>
      <c r="AM109" s="9">
        <f>VLOOKUP($AJ109,Landcover!$A$3:$K$30,6,FALSE)/1000</f>
        <v>220.637</v>
      </c>
      <c r="AN109" s="9">
        <f>VLOOKUP($AJ109,Landcover!$A$3:$K$30,8,FALSE)/1000</f>
        <v>19.552</v>
      </c>
      <c r="AO109" s="9">
        <f>VLOOKUP($AJ109,Landcover!$A$3:$K$30,11,FALSE)/1000</f>
        <v>20.399000000000001</v>
      </c>
      <c r="AP109" s="9">
        <f>VLOOKUP($AJ109,Landcover!$A$3:$K$30,7,FALSE)/1000</f>
        <v>15.347</v>
      </c>
      <c r="AR109" s="9">
        <f>SUM('GHG data from Eurostat'!CX115,'GHG data from Eurostat'!DC115,'GHG data from Eurostat'!DG115,'GHG data from Eurostat'!DM115,'GHG data from Eurostat'!DP115,'GHG data from Eurostat'!DV115)</f>
        <v>11.33292</v>
      </c>
      <c r="AS109" s="9">
        <f>'GHG data from Eurostat'!DS115+'GHG data from Eurostat'!DT115</f>
        <v>1.70689</v>
      </c>
      <c r="AT109" s="9">
        <f>'GHG data from Eurostat'!EA115+'GHG data from Eurostat'!EB115</f>
        <v>0.50124000000000002</v>
      </c>
      <c r="AU109" s="9">
        <f>'GHG data from Eurostat'!ED115</f>
        <v>2.4655</v>
      </c>
      <c r="AV109" s="9">
        <f>'GHG data from Eurostat'!EL115</f>
        <v>0</v>
      </c>
      <c r="AW109" s="18">
        <f t="shared" si="310"/>
        <v>16.006549999999997</v>
      </c>
      <c r="AX109" s="16">
        <f>AR109/AL109</f>
        <v>0.62873342579750346</v>
      </c>
      <c r="AY109" s="16">
        <f t="shared" ref="AY109" si="486">AS109/AM109</f>
        <v>7.7361911193498823E-3</v>
      </c>
      <c r="AZ109" s="16">
        <f t="shared" ref="AZ109" si="487">AT109/AN109</f>
        <v>2.5636252045826514E-2</v>
      </c>
      <c r="BA109" s="16">
        <f t="shared" ref="BA109:BB109" si="488">AU109/AO109</f>
        <v>0.12086376783175645</v>
      </c>
      <c r="BB109" s="16">
        <f t="shared" si="488"/>
        <v>0</v>
      </c>
      <c r="BD109" s="16">
        <f t="shared" si="313"/>
        <v>0.62870000000000004</v>
      </c>
      <c r="BE109" s="16">
        <f t="shared" si="383"/>
        <v>7.7000000000000002E-3</v>
      </c>
      <c r="BF109" s="16">
        <f t="shared" si="384"/>
        <v>2.5600000000000001E-2</v>
      </c>
      <c r="BG109" s="16">
        <f t="shared" si="385"/>
        <v>0.12089999999999999</v>
      </c>
      <c r="BH109" s="16">
        <f t="shared" si="386"/>
        <v>0</v>
      </c>
      <c r="BJ109" s="16" t="str">
        <f t="shared" si="314"/>
        <v>Finland</v>
      </c>
      <c r="BK109" s="16" t="s">
        <v>263</v>
      </c>
      <c r="BL109" s="9">
        <f>'GHG data from Eurostat'!EP115</f>
        <v>-4.5840899999999998</v>
      </c>
    </row>
    <row r="110" spans="7:64" x14ac:dyDescent="0.25">
      <c r="G110" s="9" t="s">
        <v>202</v>
      </c>
      <c r="H110" s="9" t="s">
        <v>233</v>
      </c>
      <c r="I110" s="9">
        <f t="shared" si="301"/>
        <v>0.31236000000000003</v>
      </c>
      <c r="J110" s="9">
        <f t="shared" si="302"/>
        <v>0.85938000000000003</v>
      </c>
      <c r="K110" s="9">
        <f t="shared" si="303"/>
        <v>1.0820000000000001</v>
      </c>
      <c r="L110" s="9">
        <f t="shared" si="304"/>
        <v>1.5081000000000001E-2</v>
      </c>
      <c r="M110" s="9">
        <f>'GHG data from Eurostat'!CP116</f>
        <v>0</v>
      </c>
      <c r="N110" s="9">
        <f>'GHG data from Eurostat'!CN116</f>
        <v>0</v>
      </c>
      <c r="O110" s="9">
        <f>'GHG data from Eurostat'!CQ116</f>
        <v>0</v>
      </c>
      <c r="P110" s="9">
        <f>'GHG data from Eurostat'!CO116</f>
        <v>0</v>
      </c>
      <c r="Q110" s="9">
        <f>'GHG data from Eurostat'!CU116</f>
        <v>0</v>
      </c>
      <c r="R110" s="9">
        <f>IFERROR(('GHG data from Eurostat'!CS116+'GHG data from Eurostat'!CW116),0)</f>
        <v>0</v>
      </c>
      <c r="S110" s="9">
        <f>'GHG data from Eurostat'!CV116</f>
        <v>0</v>
      </c>
      <c r="T110" s="9">
        <f>'GHG data from Eurostat'!CT116</f>
        <v>0</v>
      </c>
      <c r="U110" s="9">
        <f t="shared" ref="U110" si="489">Q110+M110</f>
        <v>0</v>
      </c>
      <c r="V110" s="9">
        <f t="shared" si="483"/>
        <v>0</v>
      </c>
      <c r="W110" s="9">
        <f t="shared" si="484"/>
        <v>0</v>
      </c>
      <c r="X110" s="9">
        <f t="shared" si="485"/>
        <v>0</v>
      </c>
      <c r="Y110" s="9">
        <f t="shared" si="306"/>
        <v>0</v>
      </c>
      <c r="Z110" s="17">
        <f t="shared" si="307"/>
        <v>0</v>
      </c>
      <c r="AA110" s="17">
        <f t="shared" si="374"/>
        <v>0</v>
      </c>
      <c r="AB110" s="17">
        <f t="shared" si="375"/>
        <v>0</v>
      </c>
      <c r="AC110" s="17">
        <f t="shared" si="376"/>
        <v>0</v>
      </c>
      <c r="AD110" s="18"/>
      <c r="AE110" s="17">
        <f t="shared" si="309"/>
        <v>0</v>
      </c>
      <c r="AF110" s="17">
        <f t="shared" si="377"/>
        <v>0</v>
      </c>
      <c r="AG110" s="17">
        <f t="shared" si="378"/>
        <v>0</v>
      </c>
      <c r="AH110" s="17">
        <f t="shared" si="379"/>
        <v>0</v>
      </c>
      <c r="AJ110" s="9" t="s">
        <v>202</v>
      </c>
      <c r="AK110" s="9" t="s">
        <v>233</v>
      </c>
      <c r="AL110" s="9">
        <f>VLOOKUP($AJ110,Landcover!$A$3:$K$30,5,FALSE)/1000</f>
        <v>18.024999999999999</v>
      </c>
      <c r="AM110" s="9">
        <f>VLOOKUP($AJ110,Landcover!$A$3:$K$30,6,FALSE)/1000</f>
        <v>220.637</v>
      </c>
      <c r="AN110" s="9">
        <f>VLOOKUP($AJ110,Landcover!$A$3:$K$30,8,FALSE)/1000</f>
        <v>19.552</v>
      </c>
      <c r="AO110" s="9">
        <f>VLOOKUP($AJ110,Landcover!$A$3:$K$30,11,FALSE)/1000</f>
        <v>20.399000000000001</v>
      </c>
      <c r="AP110" s="9">
        <f>VLOOKUP($AJ110,Landcover!$A$3:$K$30,7,FALSE)/1000</f>
        <v>15.347</v>
      </c>
      <c r="AR110" s="9">
        <f>SUM('GHG data from Eurostat'!CX116,'GHG data from Eurostat'!DC116,'GHG data from Eurostat'!DG116,'GHG data from Eurostat'!DM116,'GHG data from Eurostat'!DP116,'GHG data from Eurostat'!DV116)</f>
        <v>8.3449899999999992</v>
      </c>
      <c r="AS110" s="9">
        <f>'GHG data from Eurostat'!DS116+'GHG data from Eurostat'!DT116</f>
        <v>-3.1028600000000002</v>
      </c>
      <c r="AT110" s="9">
        <f>'GHG data from Eurostat'!EA116+'GHG data from Eurostat'!EB116</f>
        <v>0.50117999999999996</v>
      </c>
      <c r="AU110" s="9">
        <f>'GHG data from Eurostat'!ED116</f>
        <v>2.12174</v>
      </c>
      <c r="AV110" s="9">
        <f>'GHG data from Eurostat'!EL116</f>
        <v>0</v>
      </c>
      <c r="AW110" s="18">
        <f t="shared" si="310"/>
        <v>7.8650499999999992</v>
      </c>
      <c r="AX110" s="16">
        <f>AR110/AL110</f>
        <v>0.46296754507628296</v>
      </c>
      <c r="AY110" s="16">
        <f t="shared" ref="AY110" si="490">AS110/AM110</f>
        <v>-1.4063189764182799E-2</v>
      </c>
      <c r="AZ110" s="16">
        <f t="shared" ref="AZ110" si="491">AT110/AN110</f>
        <v>2.5633183306055646E-2</v>
      </c>
      <c r="BA110" s="16">
        <f t="shared" ref="BA110:BB110" si="492">AU110/AO110</f>
        <v>0.10401196137065542</v>
      </c>
      <c r="BB110" s="16">
        <f t="shared" si="492"/>
        <v>0</v>
      </c>
      <c r="BD110" s="16">
        <f t="shared" si="313"/>
        <v>0.46300000000000002</v>
      </c>
      <c r="BE110" s="16">
        <f t="shared" si="383"/>
        <v>-1.41E-2</v>
      </c>
      <c r="BF110" s="16">
        <f t="shared" si="384"/>
        <v>2.5600000000000001E-2</v>
      </c>
      <c r="BG110" s="16">
        <f t="shared" si="385"/>
        <v>0.104</v>
      </c>
      <c r="BH110" s="16">
        <f t="shared" si="386"/>
        <v>0</v>
      </c>
      <c r="BJ110" s="16" t="str">
        <f t="shared" si="314"/>
        <v>Finland</v>
      </c>
      <c r="BK110" s="16" t="s">
        <v>259</v>
      </c>
      <c r="BL110" s="9">
        <f>'GHG data from Eurostat'!EP116</f>
        <v>-4.5840899999999998</v>
      </c>
    </row>
    <row r="111" spans="7:64" x14ac:dyDescent="0.25">
      <c r="G111" s="9" t="s">
        <v>202</v>
      </c>
      <c r="H111" s="9" t="s">
        <v>231</v>
      </c>
      <c r="I111" s="9">
        <f t="shared" si="301"/>
        <v>0.31236000000000003</v>
      </c>
      <c r="J111" s="9">
        <f t="shared" si="302"/>
        <v>0.85938000000000003</v>
      </c>
      <c r="K111" s="9">
        <f t="shared" si="303"/>
        <v>1.0820000000000001</v>
      </c>
      <c r="L111" s="9">
        <f t="shared" si="304"/>
        <v>1.5081000000000001E-2</v>
      </c>
      <c r="M111" s="9">
        <f>'GHG data from Eurostat'!CP117</f>
        <v>9.6000000000000002E-4</v>
      </c>
      <c r="N111" s="9">
        <f>'GHG data from Eurostat'!CN117</f>
        <v>7.2849999999999998E-2</v>
      </c>
      <c r="O111" s="9">
        <f>'GHG data from Eurostat'!CQ117</f>
        <v>5.2900000000000004E-3</v>
      </c>
      <c r="P111" s="9">
        <f>'GHG data from Eurostat'!CO117</f>
        <v>1.34E-3</v>
      </c>
      <c r="Q111" s="9">
        <f>'GHG data from Eurostat'!CU117</f>
        <v>4.5100000000000001E-3</v>
      </c>
      <c r="R111" s="9">
        <f>IFERROR(('GHG data from Eurostat'!CS117+'GHG data from Eurostat'!CW117),0)</f>
        <v>1.4930000000000001E-2</v>
      </c>
      <c r="S111" s="9">
        <f>'GHG data from Eurostat'!CV117</f>
        <v>3.0699999999999998E-3</v>
      </c>
      <c r="T111" s="9">
        <f>'GHG data from Eurostat'!CT117</f>
        <v>3.2000000000000003E-4</v>
      </c>
      <c r="U111" s="9">
        <f>(Q111+M111)*1000</f>
        <v>5.47</v>
      </c>
      <c r="V111" s="9">
        <f t="shared" ref="V111:V112" si="493">(R111+N111)*1000</f>
        <v>87.78</v>
      </c>
      <c r="W111" s="9">
        <f t="shared" ref="W111:W112" si="494">(S111+O111)*1000</f>
        <v>8.36</v>
      </c>
      <c r="X111" s="9">
        <f t="shared" ref="X111:X112" si="495">(T111+P111)*1000</f>
        <v>1.66</v>
      </c>
      <c r="Y111" s="9">
        <f t="shared" si="306"/>
        <v>103.27</v>
      </c>
      <c r="Z111" s="17">
        <f t="shared" ref="Z111:AC112" si="496">IFERROR((M111+Q111)*1000/I111,0)</f>
        <v>17.511845306697399</v>
      </c>
      <c r="AA111" s="17">
        <f t="shared" si="496"/>
        <v>102.14340571109405</v>
      </c>
      <c r="AB111" s="17">
        <f t="shared" si="496"/>
        <v>7.7264325323475038</v>
      </c>
      <c r="AC111" s="17">
        <f t="shared" si="496"/>
        <v>110.07227637424573</v>
      </c>
      <c r="AD111" s="18"/>
      <c r="AE111" s="17">
        <f t="shared" si="309"/>
        <v>17.512</v>
      </c>
      <c r="AF111" s="17">
        <f t="shared" si="377"/>
        <v>102.143</v>
      </c>
      <c r="AG111" s="17">
        <f t="shared" si="378"/>
        <v>7.726</v>
      </c>
      <c r="AH111" s="17">
        <f t="shared" si="379"/>
        <v>110.072</v>
      </c>
      <c r="AJ111" s="9" t="s">
        <v>202</v>
      </c>
      <c r="AK111" s="9" t="s">
        <v>231</v>
      </c>
      <c r="AL111" s="9">
        <f>VLOOKUP($AJ111,Landcover!$A$3:$K$30,5,FALSE)/1000</f>
        <v>18.024999999999999</v>
      </c>
      <c r="AM111" s="9">
        <f>VLOOKUP($AJ111,Landcover!$A$3:$K$30,6,FALSE)/1000</f>
        <v>220.637</v>
      </c>
      <c r="AN111" s="9">
        <f>VLOOKUP($AJ111,Landcover!$A$3:$K$30,8,FALSE)/1000</f>
        <v>19.552</v>
      </c>
      <c r="AO111" s="9">
        <f>VLOOKUP($AJ111,Landcover!$A$3:$K$30,11,FALSE)/1000</f>
        <v>20.399000000000001</v>
      </c>
      <c r="AP111" s="9">
        <f>VLOOKUP($AJ111,Landcover!$A$3:$K$30,7,FALSE)/1000</f>
        <v>15.347</v>
      </c>
      <c r="AR111" s="9">
        <f>SUM('GHG data from Eurostat'!CX117,'GHG data from Eurostat'!DC117,'GHG data from Eurostat'!DG117,'GHG data from Eurostat'!DM117,'GHG data from Eurostat'!DP117,'GHG data from Eurostat'!DV117)</f>
        <v>6.0000000000000002E-5</v>
      </c>
      <c r="AS111" s="9">
        <f>'GHG data from Eurostat'!DS117+'GHG data from Eurostat'!DT117</f>
        <v>5.2180000000000004E-2</v>
      </c>
      <c r="AT111" s="9">
        <f>'GHG data from Eurostat'!EA117+'GHG data from Eurostat'!EB117</f>
        <v>0</v>
      </c>
      <c r="AU111" s="9">
        <f>'GHG data from Eurostat'!ED117</f>
        <v>9.1999999999999998E-3</v>
      </c>
      <c r="AV111" s="9">
        <f>'GHG data from Eurostat'!EL117</f>
        <v>0</v>
      </c>
      <c r="AW111" s="18">
        <f t="shared" si="310"/>
        <v>6.1440000000000002E-2</v>
      </c>
      <c r="AX111" s="16">
        <f>IFERROR(AR111*1000/AL111,0)</f>
        <v>3.3287101248266303E-3</v>
      </c>
      <c r="AY111" s="16">
        <f t="shared" ref="AY111:AY112" si="497">IFERROR(AS111*1000/AM111,0)</f>
        <v>0.23649705171843347</v>
      </c>
      <c r="AZ111" s="16">
        <f t="shared" ref="AZ111:AZ112" si="498">IFERROR(AT111*1000/AN111,0)</f>
        <v>0</v>
      </c>
      <c r="BA111" s="16">
        <f t="shared" ref="BA111:BB112" si="499">IFERROR(AU111*1000/AO111,0)</f>
        <v>0.45100250012255499</v>
      </c>
      <c r="BB111" s="16">
        <f t="shared" si="499"/>
        <v>0</v>
      </c>
      <c r="BD111" s="16">
        <f t="shared" si="313"/>
        <v>3.3E-3</v>
      </c>
      <c r="BE111" s="16">
        <f t="shared" si="383"/>
        <v>0.23649999999999999</v>
      </c>
      <c r="BF111" s="16">
        <f t="shared" si="384"/>
        <v>0</v>
      </c>
      <c r="BG111" s="16">
        <f t="shared" si="385"/>
        <v>0.45100000000000001</v>
      </c>
      <c r="BH111" s="16">
        <f t="shared" si="386"/>
        <v>0</v>
      </c>
      <c r="BJ111" s="16" t="str">
        <f t="shared" si="314"/>
        <v>Finland</v>
      </c>
      <c r="BK111" s="16" t="s">
        <v>260</v>
      </c>
      <c r="BL111" s="9">
        <f>'GHG data from Eurostat'!EP117</f>
        <v>0</v>
      </c>
    </row>
    <row r="112" spans="7:64" x14ac:dyDescent="0.25">
      <c r="G112" s="9" t="s">
        <v>202</v>
      </c>
      <c r="H112" s="9" t="s">
        <v>232</v>
      </c>
      <c r="I112" s="9">
        <f t="shared" si="301"/>
        <v>0.31236000000000003</v>
      </c>
      <c r="J112" s="9">
        <f t="shared" si="302"/>
        <v>0.85938000000000003</v>
      </c>
      <c r="K112" s="9">
        <f t="shared" si="303"/>
        <v>1.0820000000000001</v>
      </c>
      <c r="L112" s="9">
        <f t="shared" si="304"/>
        <v>1.5081000000000001E-2</v>
      </c>
      <c r="M112" s="9">
        <f>'GHG data from Eurostat'!CP118</f>
        <v>0</v>
      </c>
      <c r="N112" s="9">
        <f>'GHG data from Eurostat'!CN118</f>
        <v>0</v>
      </c>
      <c r="O112" s="9">
        <f>'GHG data from Eurostat'!CQ118</f>
        <v>0</v>
      </c>
      <c r="P112" s="9">
        <f>'GHG data from Eurostat'!CO118</f>
        <v>0</v>
      </c>
      <c r="Q112" s="9">
        <f>'GHG data from Eurostat'!CU118</f>
        <v>5.0000000000000002E-5</v>
      </c>
      <c r="R112" s="9">
        <f>IFERROR(('GHG data from Eurostat'!CS118+'GHG data from Eurostat'!CW118),0)</f>
        <v>1.01E-3</v>
      </c>
      <c r="S112" s="9">
        <f>'GHG data from Eurostat'!CV118</f>
        <v>1.7000000000000001E-4</v>
      </c>
      <c r="T112" s="9">
        <f>'GHG data from Eurostat'!CT118</f>
        <v>1.0000000000000001E-5</v>
      </c>
      <c r="U112" s="9">
        <f>(Q112+M112)*1000</f>
        <v>0.05</v>
      </c>
      <c r="V112" s="9">
        <f t="shared" si="493"/>
        <v>1.01</v>
      </c>
      <c r="W112" s="9">
        <f t="shared" si="494"/>
        <v>0.17</v>
      </c>
      <c r="X112" s="9">
        <f t="shared" si="495"/>
        <v>0.01</v>
      </c>
      <c r="Y112" s="9">
        <f t="shared" si="306"/>
        <v>1.24</v>
      </c>
      <c r="Z112" s="17">
        <f t="shared" si="496"/>
        <v>0.16007171212703292</v>
      </c>
      <c r="AA112" s="17">
        <f t="shared" si="496"/>
        <v>1.1752658893620982</v>
      </c>
      <c r="AB112" s="17">
        <f t="shared" si="496"/>
        <v>0.15711645101663585</v>
      </c>
      <c r="AC112" s="17">
        <f t="shared" si="496"/>
        <v>0.66308600225449243</v>
      </c>
      <c r="AD112" s="18"/>
      <c r="AE112" s="17">
        <f t="shared" si="309"/>
        <v>0.16</v>
      </c>
      <c r="AF112" s="17">
        <f t="shared" si="377"/>
        <v>1.175</v>
      </c>
      <c r="AG112" s="17">
        <f t="shared" si="378"/>
        <v>0.157</v>
      </c>
      <c r="AH112" s="17">
        <f t="shared" si="379"/>
        <v>0.66300000000000003</v>
      </c>
      <c r="AJ112" s="9" t="s">
        <v>202</v>
      </c>
      <c r="AK112" s="9" t="s">
        <v>232</v>
      </c>
      <c r="AL112" s="9">
        <f>VLOOKUP($AJ112,Landcover!$A$3:$K$30,5,FALSE)/1000</f>
        <v>18.024999999999999</v>
      </c>
      <c r="AM112" s="9">
        <f>VLOOKUP($AJ112,Landcover!$A$3:$K$30,6,FALSE)/1000</f>
        <v>220.637</v>
      </c>
      <c r="AN112" s="9">
        <f>VLOOKUP($AJ112,Landcover!$A$3:$K$30,8,FALSE)/1000</f>
        <v>19.552</v>
      </c>
      <c r="AO112" s="9">
        <f>VLOOKUP($AJ112,Landcover!$A$3:$K$30,11,FALSE)/1000</f>
        <v>20.399000000000001</v>
      </c>
      <c r="AP112" s="9">
        <f>VLOOKUP($AJ112,Landcover!$A$3:$K$30,7,FALSE)/1000</f>
        <v>15.347</v>
      </c>
      <c r="AR112" s="9">
        <f>SUM('GHG data from Eurostat'!CX118,'GHG data from Eurostat'!DC118,'GHG data from Eurostat'!DG118,'GHG data from Eurostat'!DM118,'GHG data from Eurostat'!DP118,'GHG data from Eurostat'!DV118)</f>
        <v>1.1269999999999999E-2</v>
      </c>
      <c r="AS112" s="9">
        <f>'GHG data from Eurostat'!DS118+'GHG data from Eurostat'!DT118</f>
        <v>1.2629999999999999E-2</v>
      </c>
      <c r="AT112" s="9">
        <f>'GHG data from Eurostat'!EA118+'GHG data from Eurostat'!EB118</f>
        <v>0</v>
      </c>
      <c r="AU112" s="9">
        <f>'GHG data from Eurostat'!ED118</f>
        <v>3.3E-4</v>
      </c>
      <c r="AV112" s="9">
        <f>'GHG data from Eurostat'!EL118</f>
        <v>0</v>
      </c>
      <c r="AW112" s="18">
        <f t="shared" si="310"/>
        <v>2.4229999999999998E-2</v>
      </c>
      <c r="AX112" s="16">
        <f>IFERROR(AR112*1000/AL112,0)</f>
        <v>0.62524271844660195</v>
      </c>
      <c r="AY112" s="16">
        <f t="shared" si="497"/>
        <v>5.7243345404442585E-2</v>
      </c>
      <c r="AZ112" s="16">
        <f t="shared" si="498"/>
        <v>0</v>
      </c>
      <c r="BA112" s="16">
        <f t="shared" si="499"/>
        <v>1.6177263591352516E-2</v>
      </c>
      <c r="BB112" s="16">
        <f t="shared" si="499"/>
        <v>0</v>
      </c>
      <c r="BD112" s="16">
        <f t="shared" si="313"/>
        <v>0.62519999999999998</v>
      </c>
      <c r="BE112" s="16">
        <f t="shared" si="383"/>
        <v>5.7200000000000001E-2</v>
      </c>
      <c r="BF112" s="16">
        <f t="shared" si="384"/>
        <v>0</v>
      </c>
      <c r="BG112" s="16">
        <f t="shared" si="385"/>
        <v>1.6199999999999999E-2</v>
      </c>
      <c r="BH112" s="16">
        <f t="shared" si="386"/>
        <v>0</v>
      </c>
      <c r="BJ112" s="16" t="str">
        <f t="shared" si="314"/>
        <v>Finland</v>
      </c>
      <c r="BK112" s="16" t="s">
        <v>261</v>
      </c>
      <c r="BL112" s="9">
        <f>'GHG data from Eurostat'!EP118</f>
        <v>0</v>
      </c>
    </row>
    <row r="113" spans="7:64" x14ac:dyDescent="0.25">
      <c r="G113" s="9" t="s">
        <v>203</v>
      </c>
      <c r="H113" s="9" t="s">
        <v>262</v>
      </c>
      <c r="I113" s="9">
        <f t="shared" si="301"/>
        <v>0.42515999999999998</v>
      </c>
      <c r="J113" s="9">
        <f t="shared" si="302"/>
        <v>1.4354500000000001</v>
      </c>
      <c r="K113" s="9">
        <f t="shared" si="303"/>
        <v>1.4470000000000001</v>
      </c>
      <c r="L113" s="9">
        <f t="shared" si="304"/>
        <v>3.7851999999999997E-2</v>
      </c>
      <c r="M113" s="9">
        <f>'GHG data from Eurostat'!CP119</f>
        <v>6.0789999999999997E-2</v>
      </c>
      <c r="N113" s="9">
        <f>'GHG data from Eurostat'!CN119</f>
        <v>2.90923</v>
      </c>
      <c r="O113" s="9">
        <f>'GHG data from Eurostat'!CQ119</f>
        <v>0.27017000000000002</v>
      </c>
      <c r="P113" s="9">
        <f>'GHG data from Eurostat'!CO119</f>
        <v>0.14796000000000001</v>
      </c>
      <c r="Q113" s="9">
        <f>'GHG data from Eurostat'!CU119</f>
        <v>5.8360000000000002E-2</v>
      </c>
      <c r="R113" s="9">
        <f>IFERROR(('GHG data from Eurostat'!CS119+'GHG data from Eurostat'!CW119),0)</f>
        <v>0.44071000000000005</v>
      </c>
      <c r="S113" s="9">
        <f>'GHG data from Eurostat'!CV119</f>
        <v>9.7089999999999996E-2</v>
      </c>
      <c r="T113" s="9">
        <f>'GHG data from Eurostat'!CT119</f>
        <v>1.172E-2</v>
      </c>
      <c r="U113" s="9">
        <f>Q113+M113</f>
        <v>0.11915000000000001</v>
      </c>
      <c r="V113" s="9">
        <f t="shared" ref="V113:V114" si="500">R113+N113</f>
        <v>3.3499400000000001</v>
      </c>
      <c r="W113" s="9">
        <f t="shared" ref="W113:W114" si="501">S113+O113</f>
        <v>0.36726000000000003</v>
      </c>
      <c r="X113" s="9">
        <f t="shared" ref="X113:X114" si="502">T113+P113</f>
        <v>0.15968000000000002</v>
      </c>
      <c r="Y113" s="9">
        <f t="shared" si="306"/>
        <v>3.9960299999999997</v>
      </c>
      <c r="Z113" s="17">
        <f t="shared" si="307"/>
        <v>0.28024743625929066</v>
      </c>
      <c r="AA113" s="17">
        <f t="shared" si="374"/>
        <v>2.3337211327458287</v>
      </c>
      <c r="AB113" s="17">
        <f t="shared" si="375"/>
        <v>0.2538078783690394</v>
      </c>
      <c r="AC113" s="17">
        <f t="shared" si="376"/>
        <v>4.2185353481982464</v>
      </c>
      <c r="AD113" s="18"/>
      <c r="AE113" s="17">
        <f t="shared" si="309"/>
        <v>0.28000000000000003</v>
      </c>
      <c r="AF113" s="17">
        <f t="shared" si="377"/>
        <v>2.3340000000000001</v>
      </c>
      <c r="AG113" s="17">
        <f t="shared" si="378"/>
        <v>0.254</v>
      </c>
      <c r="AH113" s="17">
        <f t="shared" si="379"/>
        <v>4.2190000000000003</v>
      </c>
      <c r="AJ113" s="9" t="s">
        <v>203</v>
      </c>
      <c r="AK113" s="9" t="s">
        <v>262</v>
      </c>
      <c r="AL113" s="9">
        <f>VLOOKUP($AJ113,Landcover!$A$3:$K$30,5,FALSE)/1000</f>
        <v>17.989000000000001</v>
      </c>
      <c r="AM113" s="9">
        <f>VLOOKUP($AJ113,Landcover!$A$3:$K$30,6,FALSE)/1000</f>
        <v>279.32900000000001</v>
      </c>
      <c r="AN113" s="9">
        <f>VLOOKUP($AJ113,Landcover!$A$3:$K$30,8,FALSE)/1000</f>
        <v>24.821000000000002</v>
      </c>
      <c r="AO113" s="9">
        <f>VLOOKUP($AJ113,Landcover!$A$3:$K$30,11,FALSE)/1000</f>
        <v>27.838999999999999</v>
      </c>
      <c r="AP113" s="9">
        <f>VLOOKUP($AJ113,Landcover!$A$3:$K$30,7,FALSE)/1000</f>
        <v>27.440999999999999</v>
      </c>
      <c r="AR113" s="9">
        <f>SUM('GHG data from Eurostat'!CX119,'GHG data from Eurostat'!DC119,'GHG data from Eurostat'!DG119,'GHG data from Eurostat'!DM119,'GHG data from Eurostat'!DP119,'GHG data from Eurostat'!DV119)</f>
        <v>6.0264800000000003</v>
      </c>
      <c r="AS113" s="9">
        <f>'GHG data from Eurostat'!DS119+'GHG data from Eurostat'!DT119</f>
        <v>-38.270899999999997</v>
      </c>
      <c r="AT113" s="9">
        <f>'GHG data from Eurostat'!EA119+'GHG data from Eurostat'!EB119</f>
        <v>-0.86087999999999998</v>
      </c>
      <c r="AU113" s="9">
        <f>'GHG data from Eurostat'!ED119</f>
        <v>0.49758999999999998</v>
      </c>
      <c r="AV113" s="9">
        <f>'GHG data from Eurostat'!EL119</f>
        <v>-9.2599999999999991E-3</v>
      </c>
      <c r="AW113" s="18">
        <f t="shared" si="310"/>
        <v>-32.616969999999995</v>
      </c>
      <c r="AX113" s="16">
        <f>AR113/AL113</f>
        <v>0.33500917227194399</v>
      </c>
      <c r="AY113" s="16">
        <f t="shared" ref="AY113" si="503">AS113/AM113</f>
        <v>-0.13701012068206309</v>
      </c>
      <c r="AZ113" s="16">
        <f t="shared" ref="AZ113" si="504">AT113/AN113</f>
        <v>-3.4683534104185967E-2</v>
      </c>
      <c r="BA113" s="16">
        <f t="shared" ref="BA113:BB113" si="505">AU113/AO113</f>
        <v>1.7873846043320523E-2</v>
      </c>
      <c r="BB113" s="16">
        <f t="shared" si="505"/>
        <v>-3.3745125906490289E-4</v>
      </c>
      <c r="BD113" s="16">
        <f t="shared" si="313"/>
        <v>0.33500000000000002</v>
      </c>
      <c r="BE113" s="16">
        <f t="shared" si="383"/>
        <v>-0.13700000000000001</v>
      </c>
      <c r="BF113" s="16">
        <f t="shared" si="384"/>
        <v>-3.4700000000000002E-2</v>
      </c>
      <c r="BG113" s="16">
        <f t="shared" si="385"/>
        <v>1.7899999999999999E-2</v>
      </c>
      <c r="BH113" s="16">
        <f t="shared" si="386"/>
        <v>-2.9999999999999997E-4</v>
      </c>
      <c r="BJ113" s="16" t="str">
        <f t="shared" si="314"/>
        <v>Sweden</v>
      </c>
      <c r="BK113" s="16" t="s">
        <v>263</v>
      </c>
      <c r="BL113" s="9">
        <f>'GHG data from Eurostat'!EP119</f>
        <v>-6.2074299999999996</v>
      </c>
    </row>
    <row r="114" spans="7:64" x14ac:dyDescent="0.25">
      <c r="G114" s="9" t="s">
        <v>203</v>
      </c>
      <c r="H114" s="9" t="s">
        <v>233</v>
      </c>
      <c r="I114" s="9">
        <f t="shared" si="301"/>
        <v>0.42515999999999998</v>
      </c>
      <c r="J114" s="9">
        <f t="shared" si="302"/>
        <v>1.4354500000000001</v>
      </c>
      <c r="K114" s="9">
        <f t="shared" si="303"/>
        <v>1.4470000000000001</v>
      </c>
      <c r="L114" s="9">
        <f t="shared" si="304"/>
        <v>3.7851999999999997E-2</v>
      </c>
      <c r="M114" s="9">
        <f>'GHG data from Eurostat'!CP120</f>
        <v>0</v>
      </c>
      <c r="N114" s="9">
        <f>'GHG data from Eurostat'!CN120</f>
        <v>0</v>
      </c>
      <c r="O114" s="9">
        <f>'GHG data from Eurostat'!CQ120</f>
        <v>0</v>
      </c>
      <c r="P114" s="9">
        <f>'GHG data from Eurostat'!CO120</f>
        <v>0</v>
      </c>
      <c r="Q114" s="9">
        <f>'GHG data from Eurostat'!CU120</f>
        <v>0</v>
      </c>
      <c r="R114" s="9">
        <f>IFERROR(('GHG data from Eurostat'!CS120+'GHG data from Eurostat'!CW120),0)</f>
        <v>0</v>
      </c>
      <c r="S114" s="9">
        <f>'GHG data from Eurostat'!CV120</f>
        <v>0</v>
      </c>
      <c r="T114" s="9">
        <f>'GHG data from Eurostat'!CT120</f>
        <v>0</v>
      </c>
      <c r="U114" s="9">
        <f t="shared" ref="U114" si="506">Q114+M114</f>
        <v>0</v>
      </c>
      <c r="V114" s="9">
        <f t="shared" si="500"/>
        <v>0</v>
      </c>
      <c r="W114" s="9">
        <f t="shared" si="501"/>
        <v>0</v>
      </c>
      <c r="X114" s="9">
        <f t="shared" si="502"/>
        <v>0</v>
      </c>
      <c r="Y114" s="9">
        <f t="shared" si="306"/>
        <v>0</v>
      </c>
      <c r="Z114" s="17">
        <f t="shared" si="307"/>
        <v>0</v>
      </c>
      <c r="AA114" s="17">
        <f t="shared" si="374"/>
        <v>0</v>
      </c>
      <c r="AB114" s="17">
        <f t="shared" si="375"/>
        <v>0</v>
      </c>
      <c r="AC114" s="17">
        <f t="shared" si="376"/>
        <v>0</v>
      </c>
      <c r="AD114" s="18"/>
      <c r="AE114" s="17">
        <f t="shared" si="309"/>
        <v>0</v>
      </c>
      <c r="AF114" s="17">
        <f t="shared" si="377"/>
        <v>0</v>
      </c>
      <c r="AG114" s="17">
        <f t="shared" si="378"/>
        <v>0</v>
      </c>
      <c r="AH114" s="17">
        <f t="shared" si="379"/>
        <v>0</v>
      </c>
      <c r="AJ114" s="9" t="s">
        <v>203</v>
      </c>
      <c r="AK114" s="9" t="s">
        <v>233</v>
      </c>
      <c r="AL114" s="9">
        <f>VLOOKUP($AJ114,Landcover!$A$3:$K$30,5,FALSE)/1000</f>
        <v>17.989000000000001</v>
      </c>
      <c r="AM114" s="9">
        <f>VLOOKUP($AJ114,Landcover!$A$3:$K$30,6,FALSE)/1000</f>
        <v>279.32900000000001</v>
      </c>
      <c r="AN114" s="9">
        <f>VLOOKUP($AJ114,Landcover!$A$3:$K$30,8,FALSE)/1000</f>
        <v>24.821000000000002</v>
      </c>
      <c r="AO114" s="9">
        <f>VLOOKUP($AJ114,Landcover!$A$3:$K$30,11,FALSE)/1000</f>
        <v>27.838999999999999</v>
      </c>
      <c r="AP114" s="9">
        <f>VLOOKUP($AJ114,Landcover!$A$3:$K$30,7,FALSE)/1000</f>
        <v>27.440999999999999</v>
      </c>
      <c r="AR114" s="9">
        <f>SUM('GHG data from Eurostat'!CX120,'GHG data from Eurostat'!DC120,'GHG data from Eurostat'!DG120,'GHG data from Eurostat'!DM120,'GHG data from Eurostat'!DP120,'GHG data from Eurostat'!DV120)</f>
        <v>3.5813700000000002</v>
      </c>
      <c r="AS114" s="9">
        <f>'GHG data from Eurostat'!DS120+'GHG data from Eurostat'!DT120</f>
        <v>-40.807569999999998</v>
      </c>
      <c r="AT114" s="9">
        <f>'GHG data from Eurostat'!EA120+'GHG data from Eurostat'!EB120</f>
        <v>-0.87258999999999998</v>
      </c>
      <c r="AU114" s="9">
        <f>'GHG data from Eurostat'!ED120</f>
        <v>0.44085999999999997</v>
      </c>
      <c r="AV114" s="9">
        <f>'GHG data from Eurostat'!EL120</f>
        <v>-9.2599999999999991E-3</v>
      </c>
      <c r="AW114" s="18">
        <f t="shared" si="310"/>
        <v>-37.667189999999998</v>
      </c>
      <c r="AX114" s="16">
        <f>AR114/AL114</f>
        <v>0.19908666407248873</v>
      </c>
      <c r="AY114" s="16">
        <f t="shared" ref="AY114" si="507">AS114/AM114</f>
        <v>-0.14609141907929357</v>
      </c>
      <c r="AZ114" s="16">
        <f t="shared" ref="AZ114" si="508">AT114/AN114</f>
        <v>-3.5155312034164617E-2</v>
      </c>
      <c r="BA114" s="16">
        <f t="shared" ref="BA114:BB114" si="509">AU114/AO114</f>
        <v>1.5836057329645461E-2</v>
      </c>
      <c r="BB114" s="16">
        <f t="shared" si="509"/>
        <v>-3.3745125906490289E-4</v>
      </c>
      <c r="BD114" s="16">
        <f t="shared" si="313"/>
        <v>0.1991</v>
      </c>
      <c r="BE114" s="16">
        <f t="shared" si="383"/>
        <v>-0.14610000000000001</v>
      </c>
      <c r="BF114" s="16">
        <f t="shared" si="384"/>
        <v>-3.5200000000000002E-2</v>
      </c>
      <c r="BG114" s="16">
        <f t="shared" si="385"/>
        <v>1.5800000000000002E-2</v>
      </c>
      <c r="BH114" s="16">
        <f t="shared" si="386"/>
        <v>-2.9999999999999997E-4</v>
      </c>
      <c r="BJ114" s="16" t="str">
        <f t="shared" si="314"/>
        <v>Sweden</v>
      </c>
      <c r="BK114" s="16" t="s">
        <v>259</v>
      </c>
      <c r="BL114" s="9">
        <f>'GHG data from Eurostat'!EP120</f>
        <v>-6.2074299999999996</v>
      </c>
    </row>
    <row r="115" spans="7:64" x14ac:dyDescent="0.25">
      <c r="G115" s="9" t="s">
        <v>203</v>
      </c>
      <c r="H115" s="9" t="s">
        <v>231</v>
      </c>
      <c r="I115" s="9">
        <f t="shared" si="301"/>
        <v>0.42515999999999998</v>
      </c>
      <c r="J115" s="9">
        <f t="shared" si="302"/>
        <v>1.4354500000000001</v>
      </c>
      <c r="K115" s="9">
        <f t="shared" si="303"/>
        <v>1.4470000000000001</v>
      </c>
      <c r="L115" s="9">
        <f t="shared" si="304"/>
        <v>3.7851999999999997E-2</v>
      </c>
      <c r="M115" s="9">
        <f>'GHG data from Eurostat'!CP121</f>
        <v>2.1700000000000001E-3</v>
      </c>
      <c r="N115" s="9">
        <f>'GHG data from Eurostat'!CN121</f>
        <v>0.10390000000000001</v>
      </c>
      <c r="O115" s="9">
        <f>'GHG data from Eurostat'!CQ121</f>
        <v>9.6500000000000006E-3</v>
      </c>
      <c r="P115" s="9">
        <f>'GHG data from Eurostat'!CO121</f>
        <v>5.28E-3</v>
      </c>
      <c r="Q115" s="9">
        <f>'GHG data from Eurostat'!CU121</f>
        <v>1.14E-3</v>
      </c>
      <c r="R115" s="9">
        <f>IFERROR(('GHG data from Eurostat'!CS121+'GHG data from Eurostat'!CW121),0)</f>
        <v>7.43E-3</v>
      </c>
      <c r="S115" s="9">
        <f>'GHG data from Eurostat'!CV121</f>
        <v>2.5100000000000001E-3</v>
      </c>
      <c r="T115" s="9">
        <f>'GHG data from Eurostat'!CT121</f>
        <v>1.1E-4</v>
      </c>
      <c r="U115" s="9">
        <f>(Q115+M115)*1000</f>
        <v>3.31</v>
      </c>
      <c r="V115" s="9">
        <f t="shared" ref="V115:V116" si="510">(R115+N115)*1000</f>
        <v>111.33000000000001</v>
      </c>
      <c r="W115" s="9">
        <f t="shared" ref="W115:W116" si="511">(S115+O115)*1000</f>
        <v>12.16</v>
      </c>
      <c r="X115" s="9">
        <f t="shared" ref="X115:X116" si="512">(T115+P115)*1000</f>
        <v>5.39</v>
      </c>
      <c r="Y115" s="9">
        <f t="shared" si="306"/>
        <v>132.19</v>
      </c>
      <c r="Z115" s="17">
        <f t="shared" ref="Z115:AC116" si="513">IFERROR((M115+Q115)*1000/I115,0)</f>
        <v>7.7853043560071509</v>
      </c>
      <c r="AA115" s="17">
        <f t="shared" si="513"/>
        <v>77.557560346929534</v>
      </c>
      <c r="AB115" s="17">
        <f t="shared" si="513"/>
        <v>8.4035936420179684</v>
      </c>
      <c r="AC115" s="17">
        <f t="shared" si="513"/>
        <v>142.39670294832507</v>
      </c>
      <c r="AD115" s="18"/>
      <c r="AE115" s="17">
        <f t="shared" si="309"/>
        <v>7.7850000000000001</v>
      </c>
      <c r="AF115" s="17">
        <f t="shared" si="377"/>
        <v>77.558000000000007</v>
      </c>
      <c r="AG115" s="17">
        <f t="shared" si="378"/>
        <v>8.4039999999999999</v>
      </c>
      <c r="AH115" s="17">
        <f t="shared" si="379"/>
        <v>142.39699999999999</v>
      </c>
      <c r="AJ115" s="9" t="s">
        <v>203</v>
      </c>
      <c r="AK115" s="9" t="s">
        <v>231</v>
      </c>
      <c r="AL115" s="9">
        <f>VLOOKUP($AJ115,Landcover!$A$3:$K$30,5,FALSE)/1000</f>
        <v>17.989000000000001</v>
      </c>
      <c r="AM115" s="9">
        <f>VLOOKUP($AJ115,Landcover!$A$3:$K$30,6,FALSE)/1000</f>
        <v>279.32900000000001</v>
      </c>
      <c r="AN115" s="9">
        <f>VLOOKUP($AJ115,Landcover!$A$3:$K$30,8,FALSE)/1000</f>
        <v>24.821000000000002</v>
      </c>
      <c r="AO115" s="9">
        <f>VLOOKUP($AJ115,Landcover!$A$3:$K$30,11,FALSE)/1000</f>
        <v>27.838999999999999</v>
      </c>
      <c r="AP115" s="9">
        <f>VLOOKUP($AJ115,Landcover!$A$3:$K$30,7,FALSE)/1000</f>
        <v>27.440999999999999</v>
      </c>
      <c r="AR115" s="9">
        <f>SUM('GHG data from Eurostat'!CX121,'GHG data from Eurostat'!DC121,'GHG data from Eurostat'!DG121,'GHG data from Eurostat'!DM121,'GHG data from Eurostat'!DP121,'GHG data from Eurostat'!DV121)</f>
        <v>8.7200000000000003E-3</v>
      </c>
      <c r="AS115" s="9">
        <f>'GHG data from Eurostat'!DS121+'GHG data from Eurostat'!DT121</f>
        <v>1.9699999999999999E-2</v>
      </c>
      <c r="AT115" s="9">
        <f>'GHG data from Eurostat'!EA121+'GHG data from Eurostat'!EB121</f>
        <v>4.2000000000000002E-4</v>
      </c>
      <c r="AU115" s="9">
        <f>'GHG data from Eurostat'!ED121</f>
        <v>7.3999999999999999E-4</v>
      </c>
      <c r="AV115" s="9">
        <f>'GHG data from Eurostat'!EL121</f>
        <v>0</v>
      </c>
      <c r="AW115" s="18">
        <f t="shared" si="310"/>
        <v>2.9580000000000002E-2</v>
      </c>
      <c r="AX115" s="16">
        <f>IFERROR(AR115*1000/AL115,0)</f>
        <v>0.48474067485685696</v>
      </c>
      <c r="AY115" s="16">
        <f t="shared" ref="AY115:AY116" si="514">IFERROR(AS115*1000/AM115,0)</f>
        <v>7.0526153747015166E-2</v>
      </c>
      <c r="AZ115" s="16">
        <f t="shared" ref="AZ115:AZ116" si="515">IFERROR(AT115*1000/AN115,0)</f>
        <v>1.6921155473188027E-2</v>
      </c>
      <c r="BA115" s="16">
        <f t="shared" ref="BA115:BB116" si="516">IFERROR(AU115*1000/AO115,0)</f>
        <v>2.6581414562304683E-2</v>
      </c>
      <c r="BB115" s="16">
        <f t="shared" si="516"/>
        <v>0</v>
      </c>
      <c r="BD115" s="16">
        <f t="shared" si="313"/>
        <v>0.48470000000000002</v>
      </c>
      <c r="BE115" s="16">
        <f t="shared" si="383"/>
        <v>7.0499999999999993E-2</v>
      </c>
      <c r="BF115" s="16">
        <f t="shared" si="384"/>
        <v>1.6899999999999998E-2</v>
      </c>
      <c r="BG115" s="16">
        <f t="shared" si="385"/>
        <v>2.6599999999999999E-2</v>
      </c>
      <c r="BH115" s="16">
        <f t="shared" si="386"/>
        <v>0</v>
      </c>
      <c r="BJ115" s="16" t="str">
        <f t="shared" si="314"/>
        <v>Sweden</v>
      </c>
      <c r="BK115" s="16" t="s">
        <v>260</v>
      </c>
      <c r="BL115" s="9">
        <f>'GHG data from Eurostat'!EP121</f>
        <v>0</v>
      </c>
    </row>
    <row r="116" spans="7:64" x14ac:dyDescent="0.25">
      <c r="G116" s="9" t="s">
        <v>203</v>
      </c>
      <c r="H116" s="9" t="s">
        <v>232</v>
      </c>
      <c r="I116" s="9">
        <f t="shared" si="301"/>
        <v>0.42515999999999998</v>
      </c>
      <c r="J116" s="9">
        <f t="shared" si="302"/>
        <v>1.4354500000000001</v>
      </c>
      <c r="K116" s="9">
        <f t="shared" si="303"/>
        <v>1.4470000000000001</v>
      </c>
      <c r="L116" s="9">
        <f t="shared" si="304"/>
        <v>3.7851999999999997E-2</v>
      </c>
      <c r="M116" s="9">
        <f>'GHG data from Eurostat'!CP122</f>
        <v>0</v>
      </c>
      <c r="N116" s="9">
        <f>'GHG data from Eurostat'!CN122</f>
        <v>0</v>
      </c>
      <c r="O116" s="9">
        <f>'GHG data from Eurostat'!CQ122</f>
        <v>0</v>
      </c>
      <c r="P116" s="9">
        <f>'GHG data from Eurostat'!CO122</f>
        <v>0</v>
      </c>
      <c r="Q116" s="9">
        <f>'GHG data from Eurostat'!CU122</f>
        <v>1E-4</v>
      </c>
      <c r="R116" s="9">
        <f>IFERROR(('GHG data from Eurostat'!CS122+'GHG data from Eurostat'!CW122),0)</f>
        <v>8.7999999999999992E-4</v>
      </c>
      <c r="S116" s="9">
        <f>'GHG data from Eurostat'!CV122</f>
        <v>1E-4</v>
      </c>
      <c r="T116" s="9">
        <f>'GHG data from Eurostat'!CT122</f>
        <v>3.0000000000000001E-5</v>
      </c>
      <c r="U116" s="9">
        <f>(Q116+M116)*1000</f>
        <v>0.1</v>
      </c>
      <c r="V116" s="9">
        <f t="shared" si="510"/>
        <v>0.87999999999999989</v>
      </c>
      <c r="W116" s="9">
        <f t="shared" si="511"/>
        <v>0.1</v>
      </c>
      <c r="X116" s="9">
        <f t="shared" si="512"/>
        <v>3.0000000000000002E-2</v>
      </c>
      <c r="Y116" s="9">
        <f t="shared" si="306"/>
        <v>1.1099999999999999</v>
      </c>
      <c r="Z116" s="17">
        <f t="shared" si="513"/>
        <v>0.23520556966788975</v>
      </c>
      <c r="AA116" s="17">
        <f t="shared" si="513"/>
        <v>0.61304817304677961</v>
      </c>
      <c r="AB116" s="17">
        <f t="shared" si="513"/>
        <v>6.9108500345542501E-2</v>
      </c>
      <c r="AC116" s="17">
        <f t="shared" si="513"/>
        <v>0.79256049878474066</v>
      </c>
      <c r="AD116" s="18"/>
      <c r="AE116" s="17">
        <f t="shared" si="309"/>
        <v>0.23499999999999999</v>
      </c>
      <c r="AF116" s="17">
        <f t="shared" si="377"/>
        <v>0.61299999999999999</v>
      </c>
      <c r="AG116" s="17">
        <f t="shared" si="378"/>
        <v>6.9000000000000006E-2</v>
      </c>
      <c r="AH116" s="17">
        <f t="shared" si="379"/>
        <v>0.79300000000000004</v>
      </c>
      <c r="AJ116" s="9" t="s">
        <v>203</v>
      </c>
      <c r="AK116" s="9" t="s">
        <v>232</v>
      </c>
      <c r="AL116" s="9">
        <f>VLOOKUP($AJ116,Landcover!$A$3:$K$30,5,FALSE)/1000</f>
        <v>17.989000000000001</v>
      </c>
      <c r="AM116" s="9">
        <f>VLOOKUP($AJ116,Landcover!$A$3:$K$30,6,FALSE)/1000</f>
        <v>279.32900000000001</v>
      </c>
      <c r="AN116" s="9">
        <f>VLOOKUP($AJ116,Landcover!$A$3:$K$30,8,FALSE)/1000</f>
        <v>24.821000000000002</v>
      </c>
      <c r="AO116" s="9">
        <f>VLOOKUP($AJ116,Landcover!$A$3:$K$30,11,FALSE)/1000</f>
        <v>27.838999999999999</v>
      </c>
      <c r="AP116" s="9">
        <f>VLOOKUP($AJ116,Landcover!$A$3:$K$30,7,FALSE)/1000</f>
        <v>27.440999999999999</v>
      </c>
      <c r="AR116" s="9">
        <f>SUM('GHG data from Eurostat'!CX122,'GHG data from Eurostat'!DC122,'GHG data from Eurostat'!DG122,'GHG data from Eurostat'!DM122,'GHG data from Eurostat'!DP122,'GHG data from Eurostat'!DV122)</f>
        <v>8.3099999999999997E-3</v>
      </c>
      <c r="AS116" s="9">
        <f>'GHG data from Eurostat'!DS122+'GHG data from Eurostat'!DT122</f>
        <v>7.4900000000000001E-3</v>
      </c>
      <c r="AT116" s="9">
        <f>'GHG data from Eurostat'!EA122+'GHG data from Eurostat'!EB122</f>
        <v>0</v>
      </c>
      <c r="AU116" s="9">
        <f>'GHG data from Eurostat'!ED122</f>
        <v>1.3999999999999999E-4</v>
      </c>
      <c r="AV116" s="9">
        <f>'GHG data from Eurostat'!EL122</f>
        <v>0</v>
      </c>
      <c r="AW116" s="18">
        <f t="shared" si="310"/>
        <v>1.5940000000000003E-2</v>
      </c>
      <c r="AX116" s="16">
        <f>IFERROR(AR116*1000/AL116,0)</f>
        <v>0.46194896881427538</v>
      </c>
      <c r="AY116" s="16">
        <f t="shared" si="514"/>
        <v>2.6814258455083433E-2</v>
      </c>
      <c r="AZ116" s="16">
        <f t="shared" si="515"/>
        <v>0</v>
      </c>
      <c r="BA116" s="16">
        <f t="shared" si="516"/>
        <v>5.0289162685441284E-3</v>
      </c>
      <c r="BB116" s="16">
        <f t="shared" si="516"/>
        <v>0</v>
      </c>
      <c r="BD116" s="16">
        <f t="shared" si="313"/>
        <v>0.46189999999999998</v>
      </c>
      <c r="BE116" s="16">
        <f t="shared" si="383"/>
        <v>2.6800000000000001E-2</v>
      </c>
      <c r="BF116" s="16">
        <f t="shared" si="384"/>
        <v>0</v>
      </c>
      <c r="BG116" s="16">
        <f t="shared" si="385"/>
        <v>5.0000000000000001E-3</v>
      </c>
      <c r="BH116" s="16">
        <f t="shared" si="386"/>
        <v>0</v>
      </c>
      <c r="BJ116" s="16" t="str">
        <f t="shared" si="314"/>
        <v>Sweden</v>
      </c>
      <c r="BK116" s="16" t="s">
        <v>261</v>
      </c>
      <c r="BL116" s="9">
        <f>'GHG data from Eurostat'!EP122</f>
        <v>0</v>
      </c>
    </row>
  </sheetData>
  <mergeCells count="13">
    <mergeCell ref="BD2:BH3"/>
    <mergeCell ref="BD1:BH1"/>
    <mergeCell ref="AE2:AH3"/>
    <mergeCell ref="AE1:AH1"/>
    <mergeCell ref="B3:E3"/>
    <mergeCell ref="Z2:AC3"/>
    <mergeCell ref="AL3:AP3"/>
    <mergeCell ref="AR3:AV3"/>
    <mergeCell ref="AX2:BB3"/>
    <mergeCell ref="I3:L3"/>
    <mergeCell ref="M3:P3"/>
    <mergeCell ref="Q3:T3"/>
    <mergeCell ref="U2:X3"/>
  </mergeCells>
  <conditionalFormatting sqref="H4">
    <cfRule type="containsText" dxfId="2" priority="1" operator="containsText" text="CO2E">
      <formula>NOT(ISERROR(SEARCH("CO2E",H4)))</formula>
    </cfRule>
  </conditionalFormatting>
  <conditionalFormatting sqref="AK1:AK1048576">
    <cfRule type="containsText" dxfId="1" priority="2" operator="containsText" text="CO2E">
      <formula>NOT(ISERROR(SEARCH("CO2E",AK1)))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9BAD-BF74-43E4-9953-EF683B7EB1F0}">
  <dimension ref="A1:K109"/>
  <sheetViews>
    <sheetView workbookViewId="0">
      <selection activeCell="L15" sqref="L15"/>
    </sheetView>
  </sheetViews>
  <sheetFormatPr defaultRowHeight="15" x14ac:dyDescent="0.25"/>
  <cols>
    <col min="1" max="1" width="11.85546875" bestFit="1" customWidth="1"/>
    <col min="2" max="2" width="9.28515625" bestFit="1" customWidth="1"/>
    <col min="3" max="3" width="14" bestFit="1" customWidth="1"/>
    <col min="4" max="4" width="13.85546875" bestFit="1" customWidth="1"/>
    <col min="5" max="5" width="14" bestFit="1" customWidth="1"/>
    <col min="6" max="6" width="14.140625" bestFit="1" customWidth="1"/>
    <col min="7" max="7" width="14" bestFit="1" customWidth="1"/>
    <col min="8" max="8" width="13.5703125" bestFit="1" customWidth="1"/>
    <col min="9" max="9" width="14.140625" bestFit="1" customWidth="1"/>
    <col min="10" max="10" width="14.28515625" bestFit="1" customWidth="1"/>
    <col min="11" max="11" width="14.140625" bestFit="1" customWidth="1"/>
  </cols>
  <sheetData>
    <row r="1" spans="1:11" x14ac:dyDescent="0.25">
      <c r="A1" s="19" t="s">
        <v>258</v>
      </c>
      <c r="B1" s="19" t="s">
        <v>249</v>
      </c>
      <c r="C1" s="19" t="s">
        <v>253</v>
      </c>
      <c r="D1" s="19" t="s">
        <v>254</v>
      </c>
      <c r="E1" s="19" t="s">
        <v>255</v>
      </c>
      <c r="F1" s="19" t="s">
        <v>256</v>
      </c>
      <c r="G1" s="19" t="s">
        <v>257</v>
      </c>
      <c r="H1" s="19" t="s">
        <v>264</v>
      </c>
      <c r="I1" s="19" t="s">
        <v>265</v>
      </c>
      <c r="J1" s="19" t="s">
        <v>266</v>
      </c>
      <c r="K1" s="19" t="s">
        <v>267</v>
      </c>
    </row>
    <row r="2" spans="1:11" x14ac:dyDescent="0.25">
      <c r="A2" s="9" t="s">
        <v>177</v>
      </c>
      <c r="B2" s="9" t="s">
        <v>263</v>
      </c>
      <c r="C2" s="16">
        <v>0.3886</v>
      </c>
      <c r="D2" s="16">
        <v>-0.1787</v>
      </c>
      <c r="E2" s="16">
        <v>1.32E-2</v>
      </c>
      <c r="F2" s="16">
        <v>6.0100000000000001E-2</v>
      </c>
      <c r="G2" s="16">
        <v>0</v>
      </c>
      <c r="H2" s="9">
        <v>0.48599999999999999</v>
      </c>
      <c r="I2" s="9">
        <v>2.2130000000000001</v>
      </c>
      <c r="J2" s="9">
        <v>2.5999999999999999E-2</v>
      </c>
      <c r="K2" s="9">
        <v>1.502</v>
      </c>
    </row>
    <row r="3" spans="1:11" x14ac:dyDescent="0.25">
      <c r="A3" s="9" t="s">
        <v>177</v>
      </c>
      <c r="B3" s="9" t="s">
        <v>259</v>
      </c>
      <c r="C3" s="16">
        <v>0.1062</v>
      </c>
      <c r="D3" s="16">
        <v>-0.1787</v>
      </c>
      <c r="E3" s="16">
        <v>1.32E-2</v>
      </c>
      <c r="F3" s="16">
        <v>5.8700000000000002E-2</v>
      </c>
      <c r="G3" s="16">
        <v>0</v>
      </c>
      <c r="H3" s="9">
        <v>0</v>
      </c>
      <c r="I3" s="9">
        <v>0</v>
      </c>
      <c r="J3" s="9">
        <v>0</v>
      </c>
      <c r="K3" s="9">
        <v>0</v>
      </c>
    </row>
    <row r="4" spans="1:11" x14ac:dyDescent="0.25">
      <c r="A4" s="9" t="s">
        <v>177</v>
      </c>
      <c r="B4" s="9" t="s">
        <v>260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9">
        <v>16.599</v>
      </c>
      <c r="I4" s="9">
        <v>73.662999999999997</v>
      </c>
      <c r="J4" s="9">
        <v>0.76900000000000002</v>
      </c>
      <c r="K4" s="9">
        <v>51.953000000000003</v>
      </c>
    </row>
    <row r="5" spans="1:11" x14ac:dyDescent="0.25">
      <c r="A5" s="9" t="s">
        <v>177</v>
      </c>
      <c r="B5" s="9" t="s">
        <v>261</v>
      </c>
      <c r="C5" s="16">
        <v>1.0657000000000001</v>
      </c>
      <c r="D5" s="16">
        <v>0</v>
      </c>
      <c r="E5" s="16">
        <v>0</v>
      </c>
      <c r="F5" s="16">
        <v>0</v>
      </c>
      <c r="G5" s="16">
        <v>0</v>
      </c>
      <c r="H5" s="9">
        <v>8.1000000000000003E-2</v>
      </c>
      <c r="I5" s="9">
        <v>0.57099999999999995</v>
      </c>
      <c r="J5" s="9">
        <v>1.6E-2</v>
      </c>
      <c r="K5" s="9">
        <v>0</v>
      </c>
    </row>
    <row r="6" spans="1:11" x14ac:dyDescent="0.25">
      <c r="A6" s="9" t="s">
        <v>178</v>
      </c>
      <c r="B6" s="9" t="s">
        <v>263</v>
      </c>
      <c r="C6" s="16">
        <v>0.1226</v>
      </c>
      <c r="D6" s="16">
        <v>-0.16839999999999999</v>
      </c>
      <c r="E6" s="16">
        <v>6.1999999999999998E-3</v>
      </c>
      <c r="F6" s="16">
        <v>0.439</v>
      </c>
      <c r="G6" s="16">
        <v>0</v>
      </c>
      <c r="H6" s="9">
        <v>0.53100000000000003</v>
      </c>
      <c r="I6" s="9">
        <v>3.1080000000000001</v>
      </c>
      <c r="J6" s="9">
        <v>0.2</v>
      </c>
      <c r="K6" s="9">
        <v>1.8380000000000001</v>
      </c>
    </row>
    <row r="7" spans="1:11" x14ac:dyDescent="0.25">
      <c r="A7" s="9" t="s">
        <v>178</v>
      </c>
      <c r="B7" s="9" t="s">
        <v>259</v>
      </c>
      <c r="C7" s="16">
        <v>2.1899999999999999E-2</v>
      </c>
      <c r="D7" s="16">
        <v>-0.16850000000000001</v>
      </c>
      <c r="E7" s="16">
        <v>5.1999999999999998E-3</v>
      </c>
      <c r="F7" s="16">
        <v>0.38590000000000002</v>
      </c>
      <c r="G7" s="16">
        <v>0</v>
      </c>
      <c r="H7" s="9">
        <v>0</v>
      </c>
      <c r="I7" s="9">
        <v>0</v>
      </c>
      <c r="J7" s="9">
        <v>0</v>
      </c>
      <c r="K7" s="9">
        <v>0</v>
      </c>
    </row>
    <row r="8" spans="1:11" x14ac:dyDescent="0.25">
      <c r="A8" s="9" t="s">
        <v>178</v>
      </c>
      <c r="B8" s="9" t="s">
        <v>260</v>
      </c>
      <c r="C8" s="16">
        <v>0.14099999999999999</v>
      </c>
      <c r="D8" s="16">
        <v>2.7000000000000001E-3</v>
      </c>
      <c r="E8" s="16">
        <v>0</v>
      </c>
      <c r="F8" s="16">
        <v>0</v>
      </c>
      <c r="G8" s="16">
        <v>0</v>
      </c>
      <c r="H8" s="9">
        <v>18.741</v>
      </c>
      <c r="I8" s="9">
        <v>99.369</v>
      </c>
      <c r="J8" s="9">
        <v>4.2539999999999996</v>
      </c>
      <c r="K8" s="9">
        <v>62.648000000000003</v>
      </c>
    </row>
    <row r="9" spans="1:11" x14ac:dyDescent="0.25">
      <c r="A9" s="9" t="s">
        <v>178</v>
      </c>
      <c r="B9" s="9" t="s">
        <v>261</v>
      </c>
      <c r="C9" s="16">
        <v>0.36520000000000002</v>
      </c>
      <c r="D9" s="16">
        <v>2.0000000000000001E-4</v>
      </c>
      <c r="E9" s="16">
        <v>3.7000000000000002E-3</v>
      </c>
      <c r="F9" s="16">
        <v>0.2203</v>
      </c>
      <c r="G9" s="16">
        <v>0</v>
      </c>
      <c r="H9" s="9">
        <v>0</v>
      </c>
      <c r="I9" s="9">
        <v>1.236</v>
      </c>
      <c r="J9" s="9">
        <v>0.308</v>
      </c>
      <c r="K9" s="9">
        <v>0.308</v>
      </c>
    </row>
    <row r="10" spans="1:11" x14ac:dyDescent="0.25">
      <c r="A10" s="9" t="s">
        <v>179</v>
      </c>
      <c r="B10" s="9" t="s">
        <v>263</v>
      </c>
      <c r="C10" s="16">
        <v>8.8999999999999996E-2</v>
      </c>
      <c r="D10" s="16">
        <v>2.9600000000000001E-2</v>
      </c>
      <c r="E10" s="16">
        <v>-1.7500000000000002E-2</v>
      </c>
      <c r="F10" s="16">
        <v>0.1085</v>
      </c>
      <c r="G10" s="16">
        <v>0</v>
      </c>
      <c r="H10" s="9">
        <v>0.38</v>
      </c>
      <c r="I10" s="9">
        <v>2.9009999999999998</v>
      </c>
      <c r="J10" s="9">
        <v>7.3999999999999996E-2</v>
      </c>
      <c r="K10" s="9">
        <v>2.1640000000000001</v>
      </c>
    </row>
    <row r="11" spans="1:11" x14ac:dyDescent="0.25">
      <c r="A11" s="9" t="s">
        <v>179</v>
      </c>
      <c r="B11" s="9" t="s">
        <v>259</v>
      </c>
      <c r="C11" s="16">
        <v>7.4999999999999997E-3</v>
      </c>
      <c r="D11" s="16">
        <v>2.92E-2</v>
      </c>
      <c r="E11" s="16">
        <v>-1.7500000000000002E-2</v>
      </c>
      <c r="F11" s="16">
        <v>0.1085</v>
      </c>
      <c r="G11" s="16">
        <v>0</v>
      </c>
      <c r="H11" s="9">
        <v>0</v>
      </c>
      <c r="I11" s="9">
        <v>0</v>
      </c>
      <c r="J11" s="9">
        <v>0</v>
      </c>
      <c r="K11" s="9">
        <v>0</v>
      </c>
    </row>
    <row r="12" spans="1:11" x14ac:dyDescent="0.25">
      <c r="A12" s="9" t="s">
        <v>179</v>
      </c>
      <c r="B12" s="9" t="s">
        <v>260</v>
      </c>
      <c r="C12" s="16">
        <v>0</v>
      </c>
      <c r="D12" s="16">
        <v>1.03E-2</v>
      </c>
      <c r="E12" s="16">
        <v>0</v>
      </c>
      <c r="F12" s="16">
        <v>0</v>
      </c>
      <c r="G12" s="16">
        <v>0</v>
      </c>
      <c r="H12" s="9">
        <v>12.028</v>
      </c>
      <c r="I12" s="9">
        <v>94.599000000000004</v>
      </c>
      <c r="J12" s="9">
        <v>2.0659999999999998</v>
      </c>
      <c r="K12" s="9">
        <v>73.881</v>
      </c>
    </row>
    <row r="13" spans="1:11" x14ac:dyDescent="0.25">
      <c r="A13" s="9" t="s">
        <v>179</v>
      </c>
      <c r="B13" s="9" t="s">
        <v>261</v>
      </c>
      <c r="C13" s="16">
        <v>0.30740000000000001</v>
      </c>
      <c r="D13" s="16">
        <v>6.9999999999999999E-4</v>
      </c>
      <c r="E13" s="16">
        <v>0</v>
      </c>
      <c r="F13" s="16">
        <v>0</v>
      </c>
      <c r="G13" s="16">
        <v>0</v>
      </c>
      <c r="H13" s="9">
        <v>0.155</v>
      </c>
      <c r="I13" s="9">
        <v>0.95199999999999996</v>
      </c>
      <c r="J13" s="9">
        <v>5.8999999999999997E-2</v>
      </c>
      <c r="K13" s="9">
        <v>0.41299999999999998</v>
      </c>
    </row>
    <row r="14" spans="1:11" x14ac:dyDescent="0.25">
      <c r="A14" s="9" t="s">
        <v>180</v>
      </c>
      <c r="B14" s="9" t="s">
        <v>263</v>
      </c>
      <c r="C14" s="16">
        <v>0.36930000000000002</v>
      </c>
      <c r="D14" s="16">
        <v>-9.5799999999999996E-2</v>
      </c>
      <c r="E14" s="16">
        <v>0.106</v>
      </c>
      <c r="F14" s="16">
        <v>0.27829999999999999</v>
      </c>
      <c r="G14" s="16">
        <v>0</v>
      </c>
      <c r="H14" s="9">
        <v>0.7</v>
      </c>
      <c r="I14" s="9">
        <v>3.8929999999999998</v>
      </c>
      <c r="J14" s="9">
        <v>0.17299999999999999</v>
      </c>
      <c r="K14" s="9">
        <v>2.7240000000000002</v>
      </c>
    </row>
    <row r="15" spans="1:11" x14ac:dyDescent="0.25">
      <c r="A15" s="9" t="s">
        <v>180</v>
      </c>
      <c r="B15" s="9" t="s">
        <v>259</v>
      </c>
      <c r="C15" s="16">
        <v>0.17469999999999999</v>
      </c>
      <c r="D15" s="16">
        <v>-0.111</v>
      </c>
      <c r="E15" s="16">
        <v>8.1699999999999995E-2</v>
      </c>
      <c r="F15" s="16">
        <v>0.13070000000000001</v>
      </c>
      <c r="G15" s="16">
        <v>0</v>
      </c>
      <c r="H15" s="9">
        <v>0</v>
      </c>
      <c r="I15" s="9">
        <v>0</v>
      </c>
      <c r="J15" s="9">
        <v>0</v>
      </c>
      <c r="K15" s="9">
        <v>0</v>
      </c>
    </row>
    <row r="16" spans="1:11" x14ac:dyDescent="0.25">
      <c r="A16" s="9" t="s">
        <v>180</v>
      </c>
      <c r="B16" s="9" t="s">
        <v>260</v>
      </c>
      <c r="C16" s="16">
        <v>0.28889999999999999</v>
      </c>
      <c r="D16" s="16">
        <v>0.36330000000000001</v>
      </c>
      <c r="E16" s="16">
        <v>0.87019999999999997</v>
      </c>
      <c r="F16" s="16">
        <v>5.2567000000000004</v>
      </c>
      <c r="G16" s="16">
        <v>0</v>
      </c>
      <c r="H16" s="9">
        <v>22.881</v>
      </c>
      <c r="I16" s="9">
        <v>128.88900000000001</v>
      </c>
      <c r="J16" s="9">
        <v>4.76</v>
      </c>
      <c r="K16" s="9">
        <v>93.744</v>
      </c>
    </row>
    <row r="17" spans="1:11" x14ac:dyDescent="0.25">
      <c r="A17" s="9" t="s">
        <v>180</v>
      </c>
      <c r="B17" s="9" t="s">
        <v>261</v>
      </c>
      <c r="C17" s="16">
        <v>0.70409999999999995</v>
      </c>
      <c r="D17" s="16">
        <v>1.8599999999999998E-2</v>
      </c>
      <c r="E17" s="16">
        <v>0</v>
      </c>
      <c r="F17" s="16">
        <v>0</v>
      </c>
      <c r="G17" s="16">
        <v>0</v>
      </c>
      <c r="H17" s="9">
        <v>0.221</v>
      </c>
      <c r="I17" s="9">
        <v>1.0720000000000001</v>
      </c>
      <c r="J17" s="9">
        <v>0.151</v>
      </c>
      <c r="K17" s="9">
        <v>0.63800000000000001</v>
      </c>
    </row>
    <row r="18" spans="1:11" s="22" customFormat="1" x14ac:dyDescent="0.25">
      <c r="A18" s="20" t="s">
        <v>181</v>
      </c>
      <c r="B18" s="20" t="s">
        <v>263</v>
      </c>
      <c r="C18" s="21">
        <v>0.38669999999999999</v>
      </c>
      <c r="D18" s="21">
        <v>0.19170000000000001</v>
      </c>
      <c r="E18" s="21">
        <v>0.45860000000000001</v>
      </c>
      <c r="F18" s="21">
        <v>5.3398000000000003</v>
      </c>
      <c r="G18" s="21">
        <v>0</v>
      </c>
      <c r="H18" s="20">
        <v>0.45600000000000002</v>
      </c>
      <c r="I18" s="20">
        <v>2.7469999999999999</v>
      </c>
      <c r="J18" s="20">
        <v>0.13800000000000001</v>
      </c>
      <c r="K18" s="20">
        <v>2.399</v>
      </c>
    </row>
    <row r="19" spans="1:11" s="22" customFormat="1" x14ac:dyDescent="0.25">
      <c r="A19" s="20" t="s">
        <v>181</v>
      </c>
      <c r="B19" s="20" t="s">
        <v>259</v>
      </c>
      <c r="C19" s="21">
        <v>0.2145</v>
      </c>
      <c r="D19" s="21">
        <v>0.18609999999999999</v>
      </c>
      <c r="E19" s="21">
        <v>0.44159999999999999</v>
      </c>
      <c r="F19" s="21">
        <v>2.6459999999999999</v>
      </c>
      <c r="G19" s="21">
        <v>0</v>
      </c>
      <c r="H19" s="20">
        <v>0</v>
      </c>
      <c r="I19" s="20">
        <v>0</v>
      </c>
      <c r="J19" s="20">
        <v>0</v>
      </c>
      <c r="K19" s="20">
        <v>0</v>
      </c>
    </row>
    <row r="20" spans="1:11" s="22" customFormat="1" x14ac:dyDescent="0.25">
      <c r="A20" s="20" t="s">
        <v>181</v>
      </c>
      <c r="B20" s="20" t="s">
        <v>260</v>
      </c>
      <c r="C20" s="21">
        <v>0.48759999999999998</v>
      </c>
      <c r="D20" s="21">
        <v>1.8200000000000001E-2</v>
      </c>
      <c r="E20" s="21">
        <v>0.5635</v>
      </c>
      <c r="F20" s="21">
        <v>95.542900000000003</v>
      </c>
      <c r="G20" s="21">
        <v>0</v>
      </c>
      <c r="H20" s="20">
        <v>14.586</v>
      </c>
      <c r="I20" s="20">
        <v>90.33</v>
      </c>
      <c r="J20" s="20">
        <v>3.7189999999999999</v>
      </c>
      <c r="K20" s="20">
        <v>79.783000000000001</v>
      </c>
    </row>
    <row r="21" spans="1:11" s="22" customFormat="1" x14ac:dyDescent="0.25">
      <c r="A21" s="20" t="s">
        <v>181</v>
      </c>
      <c r="B21" s="20" t="s">
        <v>261</v>
      </c>
      <c r="C21" s="21">
        <v>0.59809999999999997</v>
      </c>
      <c r="D21" s="21">
        <v>1.9300000000000001E-2</v>
      </c>
      <c r="E21" s="21">
        <v>4.4000000000000003E-3</v>
      </c>
      <c r="F21" s="21">
        <v>6.9400000000000003E-2</v>
      </c>
      <c r="G21" s="21">
        <v>0</v>
      </c>
      <c r="H21" s="20">
        <v>0.182</v>
      </c>
      <c r="I21" s="20">
        <v>0.82199999999999995</v>
      </c>
      <c r="J21" s="20">
        <v>0.126</v>
      </c>
      <c r="K21" s="20">
        <v>0.64100000000000001</v>
      </c>
    </row>
    <row r="22" spans="1:11" x14ac:dyDescent="0.25">
      <c r="A22" s="9" t="s">
        <v>182</v>
      </c>
      <c r="B22" s="9" t="s">
        <v>263</v>
      </c>
      <c r="C22" s="16">
        <v>0.2034</v>
      </c>
      <c r="D22" s="16">
        <v>0.1145</v>
      </c>
      <c r="E22" s="16">
        <v>-1.3100000000000001E-2</v>
      </c>
      <c r="F22" s="16">
        <v>0.51160000000000005</v>
      </c>
      <c r="G22" s="16">
        <v>0.2235</v>
      </c>
      <c r="H22" s="9">
        <v>0.65400000000000003</v>
      </c>
      <c r="I22" s="9">
        <v>2.9809999999999999</v>
      </c>
      <c r="J22" s="9">
        <v>0.03</v>
      </c>
      <c r="K22" s="9">
        <v>2.69</v>
      </c>
    </row>
    <row r="23" spans="1:11" x14ac:dyDescent="0.25">
      <c r="A23" s="9" t="s">
        <v>182</v>
      </c>
      <c r="B23" s="9" t="s">
        <v>259</v>
      </c>
      <c r="C23" s="16">
        <v>9.6000000000000002E-2</v>
      </c>
      <c r="D23" s="16">
        <v>0.09</v>
      </c>
      <c r="E23" s="16">
        <v>-1.3100000000000001E-2</v>
      </c>
      <c r="F23" s="16">
        <v>0.51060000000000005</v>
      </c>
      <c r="G23" s="16">
        <v>0.2195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9" t="s">
        <v>182</v>
      </c>
      <c r="B24" s="9" t="s">
        <v>260</v>
      </c>
      <c r="C24" s="16">
        <v>0</v>
      </c>
      <c r="D24" s="16">
        <v>0.21429999999999999</v>
      </c>
      <c r="E24" s="16">
        <v>0</v>
      </c>
      <c r="F24" s="16">
        <v>0</v>
      </c>
      <c r="G24" s="16">
        <v>0</v>
      </c>
      <c r="H24" s="9">
        <v>23.186</v>
      </c>
      <c r="I24" s="9">
        <v>99.007999999999996</v>
      </c>
      <c r="J24" s="9">
        <v>0.70399999999999996</v>
      </c>
      <c r="K24" s="9">
        <v>90.677000000000007</v>
      </c>
    </row>
    <row r="25" spans="1:11" x14ac:dyDescent="0.25">
      <c r="A25" s="9" t="s">
        <v>182</v>
      </c>
      <c r="B25" s="9" t="s">
        <v>261</v>
      </c>
      <c r="C25" s="16">
        <v>0.40560000000000002</v>
      </c>
      <c r="D25" s="16">
        <v>6.93E-2</v>
      </c>
      <c r="E25" s="16">
        <v>0</v>
      </c>
      <c r="F25" s="16">
        <v>4.4999999999999997E-3</v>
      </c>
      <c r="G25" s="16">
        <v>2.87E-2</v>
      </c>
      <c r="H25" s="9">
        <v>0</v>
      </c>
      <c r="I25" s="9">
        <v>0.754</v>
      </c>
      <c r="J25" s="9">
        <v>2.9000000000000001E-2</v>
      </c>
      <c r="K25" s="9">
        <v>1.2769999999999999</v>
      </c>
    </row>
    <row r="26" spans="1:11" x14ac:dyDescent="0.25">
      <c r="A26" s="9" t="s">
        <v>183</v>
      </c>
      <c r="B26" s="9" t="s">
        <v>263</v>
      </c>
      <c r="C26" s="16">
        <v>1.3104</v>
      </c>
      <c r="D26" s="16">
        <v>7.8E-2</v>
      </c>
      <c r="E26" s="16">
        <v>9.8500000000000004E-2</v>
      </c>
      <c r="F26" s="16">
        <v>1.3261000000000001</v>
      </c>
      <c r="G26" s="16">
        <v>2.3999999999999998E-3</v>
      </c>
      <c r="H26" s="9">
        <v>0.91300000000000003</v>
      </c>
      <c r="I26" s="9">
        <v>2.0979999999999999</v>
      </c>
      <c r="J26" s="9">
        <v>0.128</v>
      </c>
      <c r="K26" s="9">
        <v>2.7480000000000002</v>
      </c>
    </row>
    <row r="27" spans="1:11" x14ac:dyDescent="0.25">
      <c r="A27" s="9" t="s">
        <v>183</v>
      </c>
      <c r="B27" s="9" t="s">
        <v>259</v>
      </c>
      <c r="C27" s="16">
        <v>8.0199999999999994E-2</v>
      </c>
      <c r="D27" s="16">
        <v>2.5600000000000001E-2</v>
      </c>
      <c r="E27" s="16">
        <v>3.2800000000000003E-2</v>
      </c>
      <c r="F27" s="16">
        <v>0.69159999999999999</v>
      </c>
      <c r="G27" s="16">
        <v>2.2000000000000001E-3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9" t="s">
        <v>183</v>
      </c>
      <c r="B28" s="9" t="s">
        <v>260</v>
      </c>
      <c r="C28" s="16">
        <v>0</v>
      </c>
      <c r="D28" s="16">
        <v>0.46139999999999998</v>
      </c>
      <c r="E28" s="16">
        <v>2.3422000000000001</v>
      </c>
      <c r="F28" s="16">
        <v>22.340399999999999</v>
      </c>
      <c r="G28" s="16">
        <v>0</v>
      </c>
      <c r="H28" s="9">
        <v>31.760999999999999</v>
      </c>
      <c r="I28" s="9">
        <v>71.965000000000003</v>
      </c>
      <c r="J28" s="9">
        <v>4.1589999999999998</v>
      </c>
      <c r="K28" s="9">
        <v>96.736000000000004</v>
      </c>
    </row>
    <row r="29" spans="1:11" x14ac:dyDescent="0.25">
      <c r="A29" s="9" t="s">
        <v>183</v>
      </c>
      <c r="B29" s="9" t="s">
        <v>261</v>
      </c>
      <c r="C29" s="16">
        <v>4.6412000000000004</v>
      </c>
      <c r="D29" s="16">
        <v>0.14979999999999999</v>
      </c>
      <c r="E29" s="16">
        <v>2.0000000000000001E-4</v>
      </c>
      <c r="F29" s="16">
        <v>3.4500000000000003E-2</v>
      </c>
      <c r="G29" s="16">
        <v>0</v>
      </c>
      <c r="H29" s="9">
        <v>8.5000000000000006E-2</v>
      </c>
      <c r="I29" s="9">
        <v>0.311</v>
      </c>
      <c r="J29" s="9">
        <v>4.2999999999999997E-2</v>
      </c>
      <c r="K29" s="9">
        <v>0.158</v>
      </c>
    </row>
    <row r="30" spans="1:11" x14ac:dyDescent="0.25">
      <c r="A30" s="9" t="s">
        <v>184</v>
      </c>
      <c r="B30" s="9" t="s">
        <v>263</v>
      </c>
      <c r="C30" s="16">
        <v>7.3300000000000004E-2</v>
      </c>
      <c r="D30" s="16">
        <v>-3.9699999999999999E-2</v>
      </c>
      <c r="E30" s="16">
        <v>1E-3</v>
      </c>
      <c r="F30" s="16">
        <v>5.0000000000000001E-4</v>
      </c>
      <c r="G30" s="16">
        <v>3.7000000000000002E-3</v>
      </c>
      <c r="H30" s="9">
        <v>1.85</v>
      </c>
      <c r="I30" s="9">
        <v>2.57</v>
      </c>
      <c r="J30" s="9">
        <v>0.35799999999999998</v>
      </c>
      <c r="K30" s="9">
        <v>2.1949999999999998</v>
      </c>
    </row>
    <row r="31" spans="1:11" x14ac:dyDescent="0.25">
      <c r="A31" s="9" t="s">
        <v>184</v>
      </c>
      <c r="B31" s="9" t="s">
        <v>259</v>
      </c>
      <c r="C31" s="16">
        <v>-3.6799999999999999E-2</v>
      </c>
      <c r="D31" s="16">
        <v>-3.9800000000000002E-2</v>
      </c>
      <c r="E31" s="16">
        <v>0</v>
      </c>
      <c r="F31" s="16">
        <v>5.0000000000000001E-4</v>
      </c>
      <c r="G31" s="16">
        <v>3.5000000000000001E-3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9" t="s">
        <v>184</v>
      </c>
      <c r="B32" s="9" t="s">
        <v>260</v>
      </c>
      <c r="C32" s="16">
        <v>0.23449999999999999</v>
      </c>
      <c r="D32" s="16">
        <v>3.0000000000000001E-3</v>
      </c>
      <c r="E32" s="16">
        <v>3.4000000000000002E-2</v>
      </c>
      <c r="F32" s="16">
        <v>0</v>
      </c>
      <c r="G32" s="16">
        <v>0</v>
      </c>
      <c r="H32" s="9">
        <v>62.737000000000002</v>
      </c>
      <c r="I32" s="9">
        <v>79.575999999999993</v>
      </c>
      <c r="J32" s="9">
        <v>12.099</v>
      </c>
      <c r="K32" s="9">
        <v>77.552999999999997</v>
      </c>
    </row>
    <row r="33" spans="1:11" x14ac:dyDescent="0.25">
      <c r="A33" s="9" t="s">
        <v>184</v>
      </c>
      <c r="B33" s="9" t="s">
        <v>261</v>
      </c>
      <c r="C33" s="16">
        <v>0.39079999999999998</v>
      </c>
      <c r="D33" s="16">
        <v>0</v>
      </c>
      <c r="E33" s="16">
        <v>0</v>
      </c>
      <c r="F33" s="16">
        <v>0</v>
      </c>
      <c r="G33" s="16">
        <v>8.9999999999999998E-4</v>
      </c>
      <c r="H33" s="9">
        <v>0.37</v>
      </c>
      <c r="I33" s="9">
        <v>1.2729999999999999</v>
      </c>
      <c r="J33" s="9">
        <v>7.3999999999999996E-2</v>
      </c>
      <c r="K33" s="9">
        <v>8.3000000000000004E-2</v>
      </c>
    </row>
    <row r="34" spans="1:11" x14ac:dyDescent="0.25">
      <c r="A34" s="9" t="s">
        <v>185</v>
      </c>
      <c r="B34" s="9" t="s">
        <v>263</v>
      </c>
      <c r="C34" s="16">
        <v>2.9000000000000001E-2</v>
      </c>
      <c r="D34" s="16">
        <v>-0.17780000000000001</v>
      </c>
      <c r="E34" s="16">
        <v>4.0000000000000002E-4</v>
      </c>
      <c r="F34" s="16">
        <v>-0.1409</v>
      </c>
      <c r="G34" s="16">
        <v>5.9999999999999995E-4</v>
      </c>
      <c r="H34" s="9">
        <v>0.72099999999999997</v>
      </c>
      <c r="I34" s="9">
        <v>2.1320000000000001</v>
      </c>
      <c r="J34" s="9">
        <v>0.151</v>
      </c>
      <c r="K34" s="9">
        <v>1.996</v>
      </c>
    </row>
    <row r="35" spans="1:11" x14ac:dyDescent="0.25">
      <c r="A35" s="9" t="s">
        <v>185</v>
      </c>
      <c r="B35" s="9" t="s">
        <v>259</v>
      </c>
      <c r="C35" s="16">
        <v>-2.3300000000000001E-2</v>
      </c>
      <c r="D35" s="16">
        <v>-0.17780000000000001</v>
      </c>
      <c r="E35" s="16">
        <v>-5.9999999999999995E-4</v>
      </c>
      <c r="F35" s="16">
        <v>-0.1409</v>
      </c>
      <c r="G35" s="16">
        <v>5.0000000000000001E-4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9" t="s">
        <v>185</v>
      </c>
      <c r="B36" s="9" t="s">
        <v>260</v>
      </c>
      <c r="C36" s="16">
        <v>0.1545</v>
      </c>
      <c r="D36" s="16">
        <v>1.9E-3</v>
      </c>
      <c r="E36" s="16">
        <v>1.8100000000000002E-2</v>
      </c>
      <c r="F36" s="16">
        <v>0</v>
      </c>
      <c r="G36" s="16">
        <v>0</v>
      </c>
      <c r="H36" s="9">
        <v>24.84</v>
      </c>
      <c r="I36" s="9">
        <v>70.200999999999993</v>
      </c>
      <c r="J36" s="9">
        <v>4.4359999999999999</v>
      </c>
      <c r="K36" s="9">
        <v>69.558999999999997</v>
      </c>
    </row>
    <row r="37" spans="1:11" x14ac:dyDescent="0.25">
      <c r="A37" s="9" t="s">
        <v>185</v>
      </c>
      <c r="B37" s="9" t="s">
        <v>261</v>
      </c>
      <c r="C37" s="16">
        <v>0.18090000000000001</v>
      </c>
      <c r="D37" s="16">
        <v>1E-4</v>
      </c>
      <c r="E37" s="16">
        <v>1.9E-3</v>
      </c>
      <c r="F37" s="16">
        <v>0</v>
      </c>
      <c r="G37" s="16">
        <v>1E-4</v>
      </c>
      <c r="H37" s="9">
        <v>9.7000000000000003E-2</v>
      </c>
      <c r="I37" s="9">
        <v>0.627</v>
      </c>
      <c r="J37" s="9">
        <v>0.10199999999999999</v>
      </c>
      <c r="K37" s="9">
        <v>0.183</v>
      </c>
    </row>
    <row r="38" spans="1:11" x14ac:dyDescent="0.25">
      <c r="A38" s="9" t="s">
        <v>186</v>
      </c>
      <c r="B38" s="9" t="s">
        <v>263</v>
      </c>
      <c r="C38" s="16">
        <v>0.21149999999999999</v>
      </c>
      <c r="D38" s="16">
        <v>-0.18260000000000001</v>
      </c>
      <c r="E38" s="16">
        <v>-1.66E-2</v>
      </c>
      <c r="F38" s="16">
        <v>0.46800000000000003</v>
      </c>
      <c r="G38" s="16">
        <v>3.7000000000000002E-3</v>
      </c>
      <c r="H38" s="9">
        <v>0.71399999999999997</v>
      </c>
      <c r="I38" s="9">
        <v>2.363</v>
      </c>
      <c r="J38" s="9">
        <v>8.5999999999999993E-2</v>
      </c>
      <c r="K38" s="9">
        <v>3.2429999999999999</v>
      </c>
    </row>
    <row r="39" spans="1:11" x14ac:dyDescent="0.25">
      <c r="A39" s="9" t="s">
        <v>186</v>
      </c>
      <c r="B39" s="9" t="s">
        <v>259</v>
      </c>
      <c r="C39" s="16">
        <v>8.0699999999999994E-2</v>
      </c>
      <c r="D39" s="16">
        <v>-0.18310000000000001</v>
      </c>
      <c r="E39" s="16">
        <v>-1.7999999999999999E-2</v>
      </c>
      <c r="F39" s="16">
        <v>0.44569999999999999</v>
      </c>
      <c r="G39" s="16">
        <v>3.3999999999999998E-3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9" t="s">
        <v>186</v>
      </c>
      <c r="B40" s="9" t="s">
        <v>260</v>
      </c>
      <c r="C40" s="16">
        <v>5.5399999999999998E-2</v>
      </c>
      <c r="D40" s="16">
        <v>1.2200000000000001E-2</v>
      </c>
      <c r="E40" s="16">
        <v>3.7400000000000003E-2</v>
      </c>
      <c r="F40" s="16">
        <v>0.1736</v>
      </c>
      <c r="G40" s="16">
        <v>5.9999999999999995E-4</v>
      </c>
      <c r="H40" s="9">
        <v>25.244</v>
      </c>
      <c r="I40" s="9">
        <v>78.935000000000002</v>
      </c>
      <c r="J40" s="9">
        <v>2.6930000000000001</v>
      </c>
      <c r="K40" s="9">
        <v>112.176</v>
      </c>
    </row>
    <row r="41" spans="1:11" x14ac:dyDescent="0.25">
      <c r="A41" s="9" t="s">
        <v>186</v>
      </c>
      <c r="B41" s="9" t="s">
        <v>261</v>
      </c>
      <c r="C41" s="16">
        <v>0.4874</v>
      </c>
      <c r="D41" s="16">
        <v>5.9999999999999995E-4</v>
      </c>
      <c r="E41" s="16">
        <v>1.6000000000000001E-3</v>
      </c>
      <c r="F41" s="16">
        <v>6.3700000000000007E-2</v>
      </c>
      <c r="G41" s="16">
        <v>5.9999999999999995E-4</v>
      </c>
      <c r="H41" s="9">
        <v>2.9000000000000001E-2</v>
      </c>
      <c r="I41" s="9">
        <v>0.57799999999999996</v>
      </c>
      <c r="J41" s="9">
        <v>4.2000000000000003E-2</v>
      </c>
      <c r="K41" s="9">
        <v>0.38</v>
      </c>
    </row>
    <row r="42" spans="1:11" x14ac:dyDescent="0.25">
      <c r="A42" s="9" t="s">
        <v>187</v>
      </c>
      <c r="B42" s="9" t="s">
        <v>263</v>
      </c>
      <c r="C42" s="16">
        <v>0.13350000000000001</v>
      </c>
      <c r="D42" s="16">
        <v>-0.19400000000000001</v>
      </c>
      <c r="E42" s="16">
        <v>2.9999999999999997E-4</v>
      </c>
      <c r="F42" s="16">
        <v>6.54E-2</v>
      </c>
      <c r="G42" s="16">
        <v>0</v>
      </c>
      <c r="H42" s="9">
        <v>0.79100000000000004</v>
      </c>
      <c r="I42" s="9">
        <v>2.9780000000000002</v>
      </c>
      <c r="J42" s="9">
        <v>9.4E-2</v>
      </c>
      <c r="K42" s="9">
        <v>2.0950000000000002</v>
      </c>
    </row>
    <row r="43" spans="1:11" x14ac:dyDescent="0.25">
      <c r="A43" s="9" t="s">
        <v>187</v>
      </c>
      <c r="B43" s="9" t="s">
        <v>259</v>
      </c>
      <c r="C43" s="16">
        <v>2.9399999999999999E-2</v>
      </c>
      <c r="D43" s="16">
        <v>-0.19400000000000001</v>
      </c>
      <c r="E43" s="16">
        <v>2.0000000000000001E-4</v>
      </c>
      <c r="F43" s="16">
        <v>5.8299999999999998E-2</v>
      </c>
      <c r="G43" s="16">
        <v>0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9" t="s">
        <v>187</v>
      </c>
      <c r="B44" s="9" t="s">
        <v>260</v>
      </c>
      <c r="C44" s="16">
        <v>0</v>
      </c>
      <c r="D44" s="16">
        <v>1.1000000000000001E-3</v>
      </c>
      <c r="E44" s="16">
        <v>2E-3</v>
      </c>
      <c r="F44" s="16">
        <v>0</v>
      </c>
      <c r="G44" s="16">
        <v>0</v>
      </c>
      <c r="H44" s="9">
        <v>27.867999999999999</v>
      </c>
      <c r="I44" s="9">
        <v>98.453999999999994</v>
      </c>
      <c r="J44" s="9">
        <v>2.5139999999999998</v>
      </c>
      <c r="K44" s="9">
        <v>73.045000000000002</v>
      </c>
    </row>
    <row r="45" spans="1:11" x14ac:dyDescent="0.25">
      <c r="A45" s="9" t="s">
        <v>187</v>
      </c>
      <c r="B45" s="9" t="s">
        <v>261</v>
      </c>
      <c r="C45" s="16">
        <v>0.39300000000000002</v>
      </c>
      <c r="D45" s="16">
        <v>0</v>
      </c>
      <c r="E45" s="16">
        <v>0</v>
      </c>
      <c r="F45" s="16">
        <v>0</v>
      </c>
      <c r="G45" s="16">
        <v>0</v>
      </c>
      <c r="H45" s="9">
        <v>3.2000000000000001E-2</v>
      </c>
      <c r="I45" s="9">
        <v>0.82099999999999995</v>
      </c>
      <c r="J45" s="9">
        <v>9.0999999999999998E-2</v>
      </c>
      <c r="K45" s="9">
        <v>0.14000000000000001</v>
      </c>
    </row>
    <row r="46" spans="1:11" x14ac:dyDescent="0.25">
      <c r="A46" s="9" t="s">
        <v>188</v>
      </c>
      <c r="B46" s="9" t="s">
        <v>263</v>
      </c>
      <c r="C46" s="16">
        <v>0.123</v>
      </c>
      <c r="D46" s="16">
        <v>-0.36020000000000002</v>
      </c>
      <c r="E46" s="16">
        <v>-5.7500000000000002E-2</v>
      </c>
      <c r="F46" s="16">
        <v>6.2300000000000001E-2</v>
      </c>
      <c r="G46" s="16">
        <v>0</v>
      </c>
      <c r="H46" s="9">
        <v>0.98699999999999999</v>
      </c>
      <c r="I46" s="9">
        <v>2.4249999999999998</v>
      </c>
      <c r="J46" s="9">
        <v>0.23</v>
      </c>
      <c r="K46" s="9">
        <v>1.929</v>
      </c>
    </row>
    <row r="47" spans="1:11" x14ac:dyDescent="0.25">
      <c r="A47" s="9" t="s">
        <v>188</v>
      </c>
      <c r="B47" s="9" t="s">
        <v>259</v>
      </c>
      <c r="C47" s="16">
        <v>6.8999999999999999E-3</v>
      </c>
      <c r="D47" s="16">
        <v>-0.36109999999999998</v>
      </c>
      <c r="E47" s="16">
        <v>-5.8000000000000003E-2</v>
      </c>
      <c r="F47" s="16">
        <v>6.2300000000000001E-2</v>
      </c>
      <c r="G47" s="16">
        <v>0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9" t="s">
        <v>188</v>
      </c>
      <c r="B48" s="9" t="s">
        <v>260</v>
      </c>
      <c r="C48" s="16">
        <v>0.67820000000000003</v>
      </c>
      <c r="D48" s="16">
        <v>2.0299999999999999E-2</v>
      </c>
      <c r="E48" s="16">
        <v>1.17E-2</v>
      </c>
      <c r="F48" s="16">
        <v>0</v>
      </c>
      <c r="G48" s="16">
        <v>0</v>
      </c>
      <c r="H48" s="9">
        <v>32.323999999999998</v>
      </c>
      <c r="I48" s="9">
        <v>79.247</v>
      </c>
      <c r="J48" s="9">
        <v>7.1589999999999998</v>
      </c>
      <c r="K48" s="9">
        <v>67.834999999999994</v>
      </c>
    </row>
    <row r="49" spans="1:11" x14ac:dyDescent="0.25">
      <c r="A49" s="9" t="s">
        <v>188</v>
      </c>
      <c r="B49" s="9" t="s">
        <v>261</v>
      </c>
      <c r="C49" s="16">
        <v>0.3664</v>
      </c>
      <c r="D49" s="16">
        <v>1.1000000000000001E-3</v>
      </c>
      <c r="E49" s="16">
        <v>5.9999999999999995E-4</v>
      </c>
      <c r="F49" s="16">
        <v>0</v>
      </c>
      <c r="G49" s="16">
        <v>0</v>
      </c>
      <c r="H49" s="9">
        <v>0.31</v>
      </c>
      <c r="I49" s="9">
        <v>0.77500000000000002</v>
      </c>
      <c r="J49" s="9">
        <v>0.113</v>
      </c>
      <c r="K49" s="9">
        <v>0.11</v>
      </c>
    </row>
    <row r="50" spans="1:11" x14ac:dyDescent="0.25">
      <c r="A50" s="9" t="s">
        <v>189</v>
      </c>
      <c r="B50" s="9" t="s">
        <v>263</v>
      </c>
      <c r="C50" s="16">
        <v>-2.8400000000000002E-2</v>
      </c>
      <c r="D50" s="16">
        <v>-7.4999999999999997E-2</v>
      </c>
      <c r="E50" s="16">
        <v>-2.1600000000000001E-2</v>
      </c>
      <c r="F50" s="16">
        <v>3.9199999999999999E-2</v>
      </c>
      <c r="G50" s="16">
        <v>0</v>
      </c>
      <c r="H50" s="9">
        <v>0.54400000000000004</v>
      </c>
      <c r="I50" s="9">
        <v>3.3029999999999999</v>
      </c>
      <c r="J50" s="9">
        <v>0.30499999999999999</v>
      </c>
      <c r="K50" s="9">
        <v>1.5169999999999999</v>
      </c>
    </row>
    <row r="51" spans="1:11" x14ac:dyDescent="0.25">
      <c r="A51" s="9" t="s">
        <v>189</v>
      </c>
      <c r="B51" s="9" t="s">
        <v>259</v>
      </c>
      <c r="C51" s="16">
        <v>-4.5900000000000003E-2</v>
      </c>
      <c r="D51" s="16">
        <v>-7.5300000000000006E-2</v>
      </c>
      <c r="E51" s="16">
        <v>-2.1600000000000001E-2</v>
      </c>
      <c r="F51" s="16">
        <v>3.9199999999999999E-2</v>
      </c>
      <c r="G51" s="16">
        <v>0</v>
      </c>
      <c r="H51" s="9">
        <v>0</v>
      </c>
      <c r="I51" s="9">
        <v>0</v>
      </c>
      <c r="J51" s="9">
        <v>0</v>
      </c>
      <c r="K51" s="9">
        <v>0</v>
      </c>
    </row>
    <row r="52" spans="1:11" x14ac:dyDescent="0.25">
      <c r="A52" s="9" t="s">
        <v>189</v>
      </c>
      <c r="B52" s="9" t="s">
        <v>260</v>
      </c>
      <c r="C52" s="16">
        <v>3.5000000000000001E-3</v>
      </c>
      <c r="D52" s="16">
        <v>8.9999999999999993E-3</v>
      </c>
      <c r="E52" s="16">
        <v>0</v>
      </c>
      <c r="F52" s="16">
        <v>0</v>
      </c>
      <c r="G52" s="16">
        <v>0</v>
      </c>
      <c r="H52" s="9">
        <v>19.149999999999999</v>
      </c>
      <c r="I52" s="9">
        <v>100.113</v>
      </c>
      <c r="J52" s="9">
        <v>7.8650000000000002</v>
      </c>
      <c r="K52" s="9">
        <v>45.957000000000001</v>
      </c>
    </row>
    <row r="53" spans="1:11" x14ac:dyDescent="0.25">
      <c r="A53" s="9" t="s">
        <v>189</v>
      </c>
      <c r="B53" s="9" t="s">
        <v>261</v>
      </c>
      <c r="C53" s="16">
        <v>6.3899999999999998E-2</v>
      </c>
      <c r="D53" s="16">
        <v>0</v>
      </c>
      <c r="E53" s="16">
        <v>0</v>
      </c>
      <c r="F53" s="16">
        <v>0</v>
      </c>
      <c r="G53" s="16">
        <v>0</v>
      </c>
      <c r="H53" s="9">
        <v>0</v>
      </c>
      <c r="I53" s="9">
        <v>1.8360000000000001</v>
      </c>
      <c r="J53" s="9">
        <v>0.33700000000000002</v>
      </c>
      <c r="K53" s="9">
        <v>0.89100000000000001</v>
      </c>
    </row>
    <row r="54" spans="1:11" x14ac:dyDescent="0.25">
      <c r="A54" s="9" t="s">
        <v>190</v>
      </c>
      <c r="B54" s="9" t="s">
        <v>263</v>
      </c>
      <c r="C54" s="16">
        <v>0.25729999999999997</v>
      </c>
      <c r="D54" s="16">
        <v>-8.0500000000000002E-2</v>
      </c>
      <c r="E54" s="16">
        <v>7.0800000000000002E-2</v>
      </c>
      <c r="F54" s="16">
        <v>1.0690999999999999</v>
      </c>
      <c r="G54" s="16">
        <v>0</v>
      </c>
      <c r="H54" s="9">
        <v>0.41199999999999998</v>
      </c>
      <c r="I54" s="9">
        <v>2.6059999999999999</v>
      </c>
      <c r="J54" s="9">
        <v>9.2999999999999999E-2</v>
      </c>
      <c r="K54" s="9">
        <v>2.254</v>
      </c>
    </row>
    <row r="55" spans="1:11" x14ac:dyDescent="0.25">
      <c r="A55" s="9" t="s">
        <v>190</v>
      </c>
      <c r="B55" s="9" t="s">
        <v>259</v>
      </c>
      <c r="C55" s="16">
        <v>0.15029999999999999</v>
      </c>
      <c r="D55" s="16">
        <v>-0.12590000000000001</v>
      </c>
      <c r="E55" s="16">
        <v>4.1500000000000002E-2</v>
      </c>
      <c r="F55" s="16">
        <v>1.0175000000000001</v>
      </c>
      <c r="G55" s="16">
        <v>0</v>
      </c>
      <c r="H55" s="9">
        <v>0</v>
      </c>
      <c r="I55" s="9">
        <v>0</v>
      </c>
      <c r="J55" s="9">
        <v>0</v>
      </c>
      <c r="K55" s="9">
        <v>0</v>
      </c>
    </row>
    <row r="56" spans="1:11" x14ac:dyDescent="0.25">
      <c r="A56" s="9" t="s">
        <v>190</v>
      </c>
      <c r="B56" s="9" t="s">
        <v>260</v>
      </c>
      <c r="C56" s="16">
        <v>0.48110000000000003</v>
      </c>
      <c r="D56" s="16">
        <v>0.69720000000000004</v>
      </c>
      <c r="E56" s="16">
        <v>1.0475000000000001</v>
      </c>
      <c r="F56" s="16">
        <v>1.7084999999999999</v>
      </c>
      <c r="G56" s="16">
        <v>0</v>
      </c>
      <c r="H56" s="9">
        <v>13.119</v>
      </c>
      <c r="I56" s="9">
        <v>87.951999999999998</v>
      </c>
      <c r="J56" s="9">
        <v>2.633</v>
      </c>
      <c r="K56" s="9">
        <v>73.622</v>
      </c>
    </row>
    <row r="57" spans="1:11" x14ac:dyDescent="0.25">
      <c r="A57" s="9" t="s">
        <v>190</v>
      </c>
      <c r="B57" s="9" t="s">
        <v>261</v>
      </c>
      <c r="C57" s="16">
        <v>0.35249999999999998</v>
      </c>
      <c r="D57" s="16">
        <v>9.7699999999999995E-2</v>
      </c>
      <c r="E57" s="16">
        <v>0</v>
      </c>
      <c r="F57" s="16">
        <v>1.2200000000000001E-2</v>
      </c>
      <c r="G57" s="16">
        <v>0</v>
      </c>
      <c r="H57" s="9">
        <v>0.219</v>
      </c>
      <c r="I57" s="9">
        <v>0.53100000000000003</v>
      </c>
      <c r="J57" s="9">
        <v>7.0999999999999994E-2</v>
      </c>
      <c r="K57" s="9">
        <v>0.83699999999999997</v>
      </c>
    </row>
    <row r="58" spans="1:11" x14ac:dyDescent="0.25">
      <c r="A58" s="9" t="s">
        <v>191</v>
      </c>
      <c r="B58" s="9" t="s">
        <v>263</v>
      </c>
      <c r="C58" s="16">
        <v>9.8199999999999996E-2</v>
      </c>
      <c r="D58" s="16">
        <v>-0.11550000000000001</v>
      </c>
      <c r="E58" s="16">
        <v>0.23769999999999999</v>
      </c>
      <c r="F58" s="16">
        <v>1.0573999999999999</v>
      </c>
      <c r="G58" s="16">
        <v>2.3092000000000001</v>
      </c>
      <c r="H58" s="9">
        <v>0.375</v>
      </c>
      <c r="I58" s="9">
        <v>3.093</v>
      </c>
      <c r="J58" s="9">
        <v>7.2999999999999995E-2</v>
      </c>
      <c r="K58" s="9">
        <v>3.0720000000000001</v>
      </c>
    </row>
    <row r="59" spans="1:11" x14ac:dyDescent="0.25">
      <c r="A59" s="9" t="s">
        <v>191</v>
      </c>
      <c r="B59" s="9" t="s">
        <v>259</v>
      </c>
      <c r="C59" s="16">
        <v>1.44E-2</v>
      </c>
      <c r="D59" s="16">
        <v>-0.14269999999999999</v>
      </c>
      <c r="E59" s="16">
        <v>0.23730000000000001</v>
      </c>
      <c r="F59" s="16">
        <v>1.052</v>
      </c>
      <c r="G59" s="16">
        <v>2.2953999999999999</v>
      </c>
      <c r="H59" s="9">
        <v>0</v>
      </c>
      <c r="I59" s="9">
        <v>0</v>
      </c>
      <c r="J59" s="9">
        <v>0</v>
      </c>
      <c r="K59" s="9">
        <v>0</v>
      </c>
    </row>
    <row r="60" spans="1:11" x14ac:dyDescent="0.25">
      <c r="A60" s="9" t="s">
        <v>191</v>
      </c>
      <c r="B60" s="9" t="s">
        <v>260</v>
      </c>
      <c r="C60" s="16">
        <v>1E-3</v>
      </c>
      <c r="D60" s="16">
        <v>4.0000000000000002E-4</v>
      </c>
      <c r="E60" s="16">
        <v>1.0500000000000001E-2</v>
      </c>
      <c r="F60" s="16">
        <v>0</v>
      </c>
      <c r="G60" s="16">
        <v>0</v>
      </c>
      <c r="H60" s="9">
        <v>12.936999999999999</v>
      </c>
      <c r="I60" s="9">
        <v>102.52500000000001</v>
      </c>
      <c r="J60" s="9">
        <v>2.0270000000000001</v>
      </c>
      <c r="K60" s="9">
        <v>105.26300000000001</v>
      </c>
    </row>
    <row r="61" spans="1:11" x14ac:dyDescent="0.25">
      <c r="A61" s="9" t="s">
        <v>191</v>
      </c>
      <c r="B61" s="9" t="s">
        <v>261</v>
      </c>
      <c r="C61" s="16">
        <v>0.31609999999999999</v>
      </c>
      <c r="D61" s="16">
        <v>0.1027</v>
      </c>
      <c r="E61" s="16">
        <v>0</v>
      </c>
      <c r="F61" s="16">
        <v>2.5999999999999999E-2</v>
      </c>
      <c r="G61" s="16">
        <v>6.3100000000000003E-2</v>
      </c>
      <c r="H61" s="9">
        <v>5.8000000000000003E-2</v>
      </c>
      <c r="I61" s="9">
        <v>0.84199999999999997</v>
      </c>
      <c r="J61" s="9">
        <v>6.2E-2</v>
      </c>
      <c r="K61" s="9">
        <v>0.56000000000000005</v>
      </c>
    </row>
    <row r="62" spans="1:11" x14ac:dyDescent="0.25">
      <c r="A62" s="9" t="s">
        <v>192</v>
      </c>
      <c r="B62" s="9" t="s">
        <v>263</v>
      </c>
      <c r="C62" s="16">
        <v>0.1628</v>
      </c>
      <c r="D62" s="16">
        <v>-0.31119999999999998</v>
      </c>
      <c r="E62" s="16">
        <v>0</v>
      </c>
      <c r="F62" s="16">
        <v>0</v>
      </c>
      <c r="G62" s="16">
        <v>0</v>
      </c>
      <c r="H62" s="9">
        <v>0.75800000000000001</v>
      </c>
      <c r="I62" s="9">
        <v>2.7519999999999998</v>
      </c>
      <c r="J62" s="9">
        <v>0</v>
      </c>
      <c r="K62" s="9">
        <v>2.5449999999999999</v>
      </c>
    </row>
    <row r="63" spans="1:11" x14ac:dyDescent="0.25">
      <c r="A63" s="9" t="s">
        <v>192</v>
      </c>
      <c r="B63" s="9" t="s">
        <v>259</v>
      </c>
      <c r="C63" s="16">
        <v>-0.1123</v>
      </c>
      <c r="D63" s="16">
        <v>-0.31119999999999998</v>
      </c>
      <c r="E63" s="16">
        <v>0</v>
      </c>
      <c r="F63" s="16">
        <v>1</v>
      </c>
      <c r="G63" s="16">
        <v>1</v>
      </c>
      <c r="H63" s="9">
        <v>0</v>
      </c>
      <c r="I63" s="9">
        <v>0</v>
      </c>
      <c r="J63" s="9">
        <v>0</v>
      </c>
      <c r="K63" s="9">
        <v>0</v>
      </c>
    </row>
    <row r="64" spans="1:11" x14ac:dyDescent="0.25">
      <c r="A64" s="9" t="s">
        <v>192</v>
      </c>
      <c r="B64" s="9" t="s">
        <v>260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9">
        <v>25.83</v>
      </c>
      <c r="I64" s="9">
        <v>92.236999999999995</v>
      </c>
      <c r="J64" s="9">
        <v>0</v>
      </c>
      <c r="K64" s="9">
        <v>85.531000000000006</v>
      </c>
    </row>
    <row r="65" spans="1:11" x14ac:dyDescent="0.25">
      <c r="A65" s="9" t="s">
        <v>192</v>
      </c>
      <c r="B65" s="9" t="s">
        <v>261</v>
      </c>
      <c r="C65" s="16">
        <v>1.0442</v>
      </c>
      <c r="D65" s="16">
        <v>0</v>
      </c>
      <c r="E65" s="16">
        <v>0</v>
      </c>
      <c r="F65" s="16">
        <v>0</v>
      </c>
      <c r="G65" s="16">
        <v>0</v>
      </c>
      <c r="H65" s="9">
        <v>0</v>
      </c>
      <c r="I65" s="9">
        <v>0.61699999999999999</v>
      </c>
      <c r="J65" s="9">
        <v>0</v>
      </c>
      <c r="K65" s="9">
        <v>0</v>
      </c>
    </row>
    <row r="66" spans="1:11" x14ac:dyDescent="0.25">
      <c r="A66" s="9" t="s">
        <v>193</v>
      </c>
      <c r="B66" s="9" t="s">
        <v>263</v>
      </c>
      <c r="C66" s="16">
        <v>8.3099999999999993E-2</v>
      </c>
      <c r="D66" s="16">
        <v>-0.1162</v>
      </c>
      <c r="E66" s="16">
        <v>-1.1599999999999999E-2</v>
      </c>
      <c r="F66" s="16">
        <v>3.8600000000000002E-2</v>
      </c>
      <c r="G66" s="16">
        <v>0</v>
      </c>
      <c r="H66" s="9">
        <v>0.42299999999999999</v>
      </c>
      <c r="I66" s="9">
        <v>2.8719999999999999</v>
      </c>
      <c r="J66" s="9">
        <v>5.0999999999999997E-2</v>
      </c>
      <c r="K66" s="9">
        <v>2.456</v>
      </c>
    </row>
    <row r="67" spans="1:11" x14ac:dyDescent="0.25">
      <c r="A67" s="9" t="s">
        <v>193</v>
      </c>
      <c r="B67" s="9" t="s">
        <v>259</v>
      </c>
      <c r="C67" s="16">
        <v>0</v>
      </c>
      <c r="D67" s="16">
        <v>-0.1171</v>
      </c>
      <c r="E67" s="16">
        <v>-1.1900000000000001E-2</v>
      </c>
      <c r="F67" s="16">
        <v>3.73E-2</v>
      </c>
      <c r="G67" s="16">
        <v>0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9" t="s">
        <v>193</v>
      </c>
      <c r="B68" s="9" t="s">
        <v>260</v>
      </c>
      <c r="C68" s="16">
        <v>2.0299999999999999E-2</v>
      </c>
      <c r="D68" s="16">
        <v>1.41E-2</v>
      </c>
      <c r="E68" s="16">
        <v>1.1999999999999999E-3</v>
      </c>
      <c r="F68" s="16">
        <v>0</v>
      </c>
      <c r="G68" s="16">
        <v>0</v>
      </c>
      <c r="H68" s="9">
        <v>13.324</v>
      </c>
      <c r="I68" s="9">
        <v>91.525000000000006</v>
      </c>
      <c r="J68" s="9">
        <v>1.2509999999999999</v>
      </c>
      <c r="K68" s="9">
        <v>81.004999999999995</v>
      </c>
    </row>
    <row r="69" spans="1:11" x14ac:dyDescent="0.25">
      <c r="A69" s="9" t="s">
        <v>193</v>
      </c>
      <c r="B69" s="9" t="s">
        <v>261</v>
      </c>
      <c r="C69" s="16">
        <v>0.31140000000000001</v>
      </c>
      <c r="D69" s="16">
        <v>2E-3</v>
      </c>
      <c r="E69" s="16">
        <v>1.1999999999999999E-3</v>
      </c>
      <c r="F69" s="16">
        <v>7.1999999999999998E-3</v>
      </c>
      <c r="G69" s="16">
        <v>0</v>
      </c>
      <c r="H69" s="9">
        <v>0.186</v>
      </c>
      <c r="I69" s="9">
        <v>1.1639999999999999</v>
      </c>
      <c r="J69" s="9">
        <v>5.8999999999999997E-2</v>
      </c>
      <c r="K69" s="9">
        <v>0.68100000000000005</v>
      </c>
    </row>
    <row r="70" spans="1:11" x14ac:dyDescent="0.25">
      <c r="A70" s="9" t="s">
        <v>194</v>
      </c>
      <c r="B70" s="9" t="s">
        <v>263</v>
      </c>
      <c r="C70" s="16">
        <v>0.2651</v>
      </c>
      <c r="D70" s="16">
        <v>-8.0000000000000004E-4</v>
      </c>
      <c r="E70" s="16">
        <v>-2.0000000000000001E-4</v>
      </c>
      <c r="F70" s="16">
        <v>0</v>
      </c>
      <c r="G70" s="16">
        <v>0</v>
      </c>
      <c r="H70" s="9">
        <v>0.22600000000000001</v>
      </c>
      <c r="I70" s="9">
        <v>3.052</v>
      </c>
      <c r="J70" s="9">
        <v>0.22800000000000001</v>
      </c>
      <c r="K70" s="9">
        <v>2.1640000000000001</v>
      </c>
    </row>
    <row r="71" spans="1:11" x14ac:dyDescent="0.25">
      <c r="A71" s="9" t="s">
        <v>194</v>
      </c>
      <c r="B71" s="9" t="s">
        <v>259</v>
      </c>
      <c r="C71" s="16">
        <v>-2.5100000000000001E-2</v>
      </c>
      <c r="D71" s="16">
        <v>-8.0000000000000004E-4</v>
      </c>
      <c r="E71" s="16">
        <v>-2.0000000000000001E-4</v>
      </c>
      <c r="F71" s="16">
        <v>1</v>
      </c>
      <c r="G71" s="16">
        <v>1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9" t="s">
        <v>194</v>
      </c>
      <c r="B72" s="9" t="s">
        <v>260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9">
        <v>6.43</v>
      </c>
      <c r="I72" s="9">
        <v>85.694000000000003</v>
      </c>
      <c r="J72" s="9">
        <v>6.5629999999999997</v>
      </c>
      <c r="K72" s="9">
        <v>74.073999999999998</v>
      </c>
    </row>
    <row r="73" spans="1:11" x14ac:dyDescent="0.25">
      <c r="A73" s="9" t="s">
        <v>194</v>
      </c>
      <c r="B73" s="9" t="s">
        <v>261</v>
      </c>
      <c r="C73" s="16">
        <v>1.0989</v>
      </c>
      <c r="D73" s="16">
        <v>0</v>
      </c>
      <c r="E73" s="16">
        <v>0</v>
      </c>
      <c r="F73" s="16">
        <v>0</v>
      </c>
      <c r="G73" s="16">
        <v>0</v>
      </c>
      <c r="H73" s="9">
        <v>0</v>
      </c>
      <c r="I73" s="9">
        <v>2.8330000000000002</v>
      </c>
      <c r="J73" s="9">
        <v>0.313</v>
      </c>
      <c r="K73" s="9">
        <v>0</v>
      </c>
    </row>
    <row r="74" spans="1:11" x14ac:dyDescent="0.25">
      <c r="A74" s="9" t="s">
        <v>195</v>
      </c>
      <c r="B74" s="9" t="s">
        <v>263</v>
      </c>
      <c r="C74" s="16">
        <v>0.84730000000000005</v>
      </c>
      <c r="D74" s="16">
        <v>-0.28570000000000001</v>
      </c>
      <c r="E74" s="16">
        <v>0.21290000000000001</v>
      </c>
      <c r="F74" s="16">
        <v>1.2985</v>
      </c>
      <c r="G74" s="16">
        <v>0.30669999999999997</v>
      </c>
      <c r="H74" s="9">
        <v>0.70599999999999996</v>
      </c>
      <c r="I74" s="9">
        <v>2.9780000000000002</v>
      </c>
      <c r="J74" s="9">
        <v>0.13500000000000001</v>
      </c>
      <c r="K74" s="9">
        <v>1.738</v>
      </c>
    </row>
    <row r="75" spans="1:11" x14ac:dyDescent="0.25">
      <c r="A75" s="9" t="s">
        <v>195</v>
      </c>
      <c r="B75" s="9" t="s">
        <v>259</v>
      </c>
      <c r="C75" s="16">
        <v>0.30990000000000001</v>
      </c>
      <c r="D75" s="16">
        <v>-0.28689999999999999</v>
      </c>
      <c r="E75" s="16">
        <v>0.17799999999999999</v>
      </c>
      <c r="F75" s="16">
        <v>-2.4199999999999999E-2</v>
      </c>
      <c r="G75" s="16">
        <v>0.29270000000000002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9" t="s">
        <v>195</v>
      </c>
      <c r="B76" s="9" t="s">
        <v>260</v>
      </c>
      <c r="C76" s="16">
        <v>5.5300000000000002E-2</v>
      </c>
      <c r="D76" s="16">
        <v>2.8400000000000002E-2</v>
      </c>
      <c r="E76" s="16">
        <v>1.2432000000000001</v>
      </c>
      <c r="F76" s="16">
        <v>47.011099999999999</v>
      </c>
      <c r="G76" s="16">
        <v>0</v>
      </c>
      <c r="H76" s="9">
        <v>24.318000000000001</v>
      </c>
      <c r="I76" s="9">
        <v>101.024</v>
      </c>
      <c r="J76" s="9">
        <v>3.9940000000000002</v>
      </c>
      <c r="K76" s="9">
        <v>61.618000000000002</v>
      </c>
    </row>
    <row r="77" spans="1:11" x14ac:dyDescent="0.25">
      <c r="A77" s="9" t="s">
        <v>195</v>
      </c>
      <c r="B77" s="9" t="s">
        <v>261</v>
      </c>
      <c r="C77" s="16">
        <v>2.0224000000000002</v>
      </c>
      <c r="D77" s="16">
        <v>0</v>
      </c>
      <c r="E77" s="16">
        <v>0</v>
      </c>
      <c r="F77" s="16">
        <v>3.6900000000000002E-2</v>
      </c>
      <c r="G77" s="16">
        <v>4.7100000000000003E-2</v>
      </c>
      <c r="H77" s="9">
        <v>9.5000000000000001E-2</v>
      </c>
      <c r="I77" s="9">
        <v>0.56399999999999995</v>
      </c>
      <c r="J77" s="9">
        <v>8.5999999999999993E-2</v>
      </c>
      <c r="K77" s="9">
        <v>7.9000000000000001E-2</v>
      </c>
    </row>
    <row r="78" spans="1:11" x14ac:dyDescent="0.25">
      <c r="A78" s="9" t="s">
        <v>196</v>
      </c>
      <c r="B78" s="9" t="s">
        <v>263</v>
      </c>
      <c r="C78" s="16">
        <v>0.1726</v>
      </c>
      <c r="D78" s="16">
        <v>7.7299999999999994E-2</v>
      </c>
      <c r="E78" s="16">
        <v>3.85E-2</v>
      </c>
      <c r="F78" s="16">
        <v>0.34699999999999998</v>
      </c>
      <c r="G78" s="16">
        <v>0.11840000000000001</v>
      </c>
      <c r="H78" s="9">
        <v>0.29199999999999998</v>
      </c>
      <c r="I78" s="9">
        <v>2.681</v>
      </c>
      <c r="J78" s="9">
        <v>9.6000000000000002E-2</v>
      </c>
      <c r="K78" s="9">
        <v>2.4470000000000001</v>
      </c>
    </row>
    <row r="79" spans="1:11" x14ac:dyDescent="0.25">
      <c r="A79" s="9" t="s">
        <v>196</v>
      </c>
      <c r="B79" s="9" t="s">
        <v>259</v>
      </c>
      <c r="C79" s="16">
        <v>2.86E-2</v>
      </c>
      <c r="D79" s="16">
        <v>7.6200000000000004E-2</v>
      </c>
      <c r="E79" s="16">
        <v>3.6600000000000001E-2</v>
      </c>
      <c r="F79" s="16">
        <v>0.34289999999999998</v>
      </c>
      <c r="G79" s="16">
        <v>0.1157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9" t="s">
        <v>196</v>
      </c>
      <c r="B80" s="9" t="s">
        <v>260</v>
      </c>
      <c r="C80" s="16">
        <v>0.03</v>
      </c>
      <c r="D80" s="16">
        <v>6.6E-3</v>
      </c>
      <c r="E80" s="16">
        <v>6.7100000000000007E-2</v>
      </c>
      <c r="F80" s="16">
        <v>3.6499999999999998E-2</v>
      </c>
      <c r="G80" s="16">
        <v>0</v>
      </c>
      <c r="H80" s="9">
        <v>7.9109999999999996</v>
      </c>
      <c r="I80" s="9">
        <v>87.792000000000002</v>
      </c>
      <c r="J80" s="9">
        <v>2.819</v>
      </c>
      <c r="K80" s="9">
        <v>79.938999999999993</v>
      </c>
    </row>
    <row r="81" spans="1:11" x14ac:dyDescent="0.25">
      <c r="A81" s="9" t="s">
        <v>196</v>
      </c>
      <c r="B81" s="9" t="s">
        <v>261</v>
      </c>
      <c r="C81" s="16">
        <v>0.53990000000000005</v>
      </c>
      <c r="D81" s="16">
        <v>3.3E-3</v>
      </c>
      <c r="E81" s="16">
        <v>0</v>
      </c>
      <c r="F81" s="16">
        <v>0</v>
      </c>
      <c r="G81" s="16">
        <v>9.1999999999999998E-3</v>
      </c>
      <c r="H81" s="9">
        <v>0.26400000000000001</v>
      </c>
      <c r="I81" s="9">
        <v>0.84699999999999998</v>
      </c>
      <c r="J81" s="9">
        <v>6.2E-2</v>
      </c>
      <c r="K81" s="9">
        <v>0.80300000000000005</v>
      </c>
    </row>
    <row r="82" spans="1:11" x14ac:dyDescent="0.25">
      <c r="A82" s="9" t="s">
        <v>197</v>
      </c>
      <c r="B82" s="9" t="s">
        <v>263</v>
      </c>
      <c r="C82" s="16">
        <v>0.1076</v>
      </c>
      <c r="D82" s="16">
        <v>-0.32100000000000001</v>
      </c>
      <c r="E82" s="16">
        <v>1.14E-2</v>
      </c>
      <c r="F82" s="16">
        <v>0.51039999999999996</v>
      </c>
      <c r="G82" s="16">
        <v>0</v>
      </c>
      <c r="H82" s="9">
        <v>0.441</v>
      </c>
      <c r="I82" s="9">
        <v>2.6320000000000001</v>
      </c>
      <c r="J82" s="9">
        <v>2.3E-2</v>
      </c>
      <c r="K82" s="9">
        <v>2.0950000000000002</v>
      </c>
    </row>
    <row r="83" spans="1:11" x14ac:dyDescent="0.25">
      <c r="A83" s="9" t="s">
        <v>197</v>
      </c>
      <c r="B83" s="9" t="s">
        <v>259</v>
      </c>
      <c r="C83" s="16">
        <v>-2.5100000000000001E-2</v>
      </c>
      <c r="D83" s="16">
        <v>-0.32129999999999997</v>
      </c>
      <c r="E83" s="16">
        <v>1.14E-2</v>
      </c>
      <c r="F83" s="16">
        <v>0.50780000000000003</v>
      </c>
      <c r="G83" s="16">
        <v>0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9" t="s">
        <v>197</v>
      </c>
      <c r="B84" s="9" t="s">
        <v>260</v>
      </c>
      <c r="C84" s="16">
        <v>9.1000000000000004E-3</v>
      </c>
      <c r="D84" s="16">
        <v>5.3E-3</v>
      </c>
      <c r="E84" s="16">
        <v>1.1000000000000001E-3</v>
      </c>
      <c r="F84" s="16">
        <v>0</v>
      </c>
      <c r="G84" s="16">
        <v>0</v>
      </c>
      <c r="H84" s="9">
        <v>13.022</v>
      </c>
      <c r="I84" s="9">
        <v>81.775000000000006</v>
      </c>
      <c r="J84" s="9">
        <v>0.64200000000000002</v>
      </c>
      <c r="K84" s="9">
        <v>70.971000000000004</v>
      </c>
    </row>
    <row r="85" spans="1:11" x14ac:dyDescent="0.25">
      <c r="A85" s="9" t="s">
        <v>197</v>
      </c>
      <c r="B85" s="9" t="s">
        <v>261</v>
      </c>
      <c r="C85" s="16">
        <v>0.49969999999999998</v>
      </c>
      <c r="D85" s="16">
        <v>2.9999999999999997E-4</v>
      </c>
      <c r="E85" s="16">
        <v>0</v>
      </c>
      <c r="F85" s="16">
        <v>8.3000000000000001E-3</v>
      </c>
      <c r="G85" s="16">
        <v>0</v>
      </c>
      <c r="H85" s="9">
        <v>0.28699999999999998</v>
      </c>
      <c r="I85" s="9">
        <v>1.294</v>
      </c>
      <c r="J85" s="9">
        <v>1.9E-2</v>
      </c>
      <c r="K85" s="9">
        <v>0.314</v>
      </c>
    </row>
    <row r="86" spans="1:11" x14ac:dyDescent="0.25">
      <c r="A86" s="9" t="s">
        <v>198</v>
      </c>
      <c r="B86" s="9" t="s">
        <v>263</v>
      </c>
      <c r="C86" s="16">
        <v>0.17899999999999999</v>
      </c>
      <c r="D86" s="16">
        <v>7.7999999999999996E-3</v>
      </c>
      <c r="E86" s="16">
        <v>-0.19139999999999999</v>
      </c>
      <c r="F86" s="16">
        <v>1.5003</v>
      </c>
      <c r="G86" s="16">
        <v>0</v>
      </c>
      <c r="H86" s="9">
        <v>0.81699999999999995</v>
      </c>
      <c r="I86" s="9">
        <v>2.1629999999999998</v>
      </c>
      <c r="J86" s="9">
        <v>8.8999999999999996E-2</v>
      </c>
      <c r="K86" s="9">
        <v>2.5289999999999999</v>
      </c>
    </row>
    <row r="87" spans="1:11" x14ac:dyDescent="0.25">
      <c r="A87" s="9" t="s">
        <v>198</v>
      </c>
      <c r="B87" s="9" t="s">
        <v>259</v>
      </c>
      <c r="C87" s="16">
        <v>2.9399999999999999E-2</v>
      </c>
      <c r="D87" s="16">
        <v>5.4000000000000003E-3</v>
      </c>
      <c r="E87" s="16">
        <v>-0.19339999999999999</v>
      </c>
      <c r="F87" s="16">
        <v>1.3964000000000001</v>
      </c>
      <c r="G87" s="16">
        <v>0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9" t="s">
        <v>198</v>
      </c>
      <c r="B88" s="9" t="s">
        <v>260</v>
      </c>
      <c r="C88" s="16">
        <v>0.42099999999999999</v>
      </c>
      <c r="D88" s="16">
        <v>2.9600000000000001E-2</v>
      </c>
      <c r="E88" s="16">
        <v>3.5499999999999997E-2</v>
      </c>
      <c r="F88" s="16">
        <v>0</v>
      </c>
      <c r="G88" s="16">
        <v>0</v>
      </c>
      <c r="H88" s="9">
        <v>28.994</v>
      </c>
      <c r="I88" s="9">
        <v>74.619</v>
      </c>
      <c r="J88" s="9">
        <v>2.59</v>
      </c>
      <c r="K88" s="9">
        <v>89.828999999999994</v>
      </c>
    </row>
    <row r="89" spans="1:11" x14ac:dyDescent="0.25">
      <c r="A89" s="9" t="s">
        <v>198</v>
      </c>
      <c r="B89" s="9" t="s">
        <v>261</v>
      </c>
      <c r="C89" s="16">
        <v>0.52029999999999998</v>
      </c>
      <c r="D89" s="16">
        <v>5.7999999999999996E-3</v>
      </c>
      <c r="E89" s="16">
        <v>4.3E-3</v>
      </c>
      <c r="F89" s="16">
        <v>0.38190000000000002</v>
      </c>
      <c r="G89" s="16">
        <v>0</v>
      </c>
      <c r="H89" s="9">
        <v>1.4999999999999999E-2</v>
      </c>
      <c r="I89" s="9">
        <v>0.28199999999999997</v>
      </c>
      <c r="J89" s="9">
        <v>6.2E-2</v>
      </c>
      <c r="K89" s="9">
        <v>3.9E-2</v>
      </c>
    </row>
    <row r="90" spans="1:11" x14ac:dyDescent="0.25">
      <c r="A90" s="9" t="s">
        <v>199</v>
      </c>
      <c r="B90" s="9" t="s">
        <v>263</v>
      </c>
      <c r="C90" s="16">
        <v>-5.5E-2</v>
      </c>
      <c r="D90" s="16">
        <v>-0.32640000000000002</v>
      </c>
      <c r="E90" s="16">
        <v>-4.5100000000000001E-2</v>
      </c>
      <c r="F90" s="16">
        <v>-0.1123</v>
      </c>
      <c r="G90" s="16">
        <v>-5.8999999999999999E-3</v>
      </c>
      <c r="H90" s="9">
        <v>0.48499999999999999</v>
      </c>
      <c r="I90" s="9">
        <v>3.1720000000000002</v>
      </c>
      <c r="J90" s="9">
        <v>0.16600000000000001</v>
      </c>
      <c r="K90" s="9">
        <v>2.504</v>
      </c>
    </row>
    <row r="91" spans="1:11" x14ac:dyDescent="0.25">
      <c r="A91" s="9" t="s">
        <v>199</v>
      </c>
      <c r="B91" s="9" t="s">
        <v>259</v>
      </c>
      <c r="C91" s="16">
        <v>-0.16889999999999999</v>
      </c>
      <c r="D91" s="16">
        <v>-0.32640000000000002</v>
      </c>
      <c r="E91" s="16">
        <v>-4.5100000000000001E-2</v>
      </c>
      <c r="F91" s="16">
        <v>-0.1125</v>
      </c>
      <c r="G91" s="16">
        <v>-5.8999999999999999E-3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9" t="s">
        <v>199</v>
      </c>
      <c r="B92" s="9" t="s">
        <v>260</v>
      </c>
      <c r="C92" s="16">
        <v>0.15540000000000001</v>
      </c>
      <c r="D92" s="16">
        <v>1E-3</v>
      </c>
      <c r="E92" s="16">
        <v>0</v>
      </c>
      <c r="F92" s="16">
        <v>0</v>
      </c>
      <c r="G92" s="16">
        <v>0</v>
      </c>
      <c r="H92" s="9">
        <v>14.122</v>
      </c>
      <c r="I92" s="9">
        <v>103.93</v>
      </c>
      <c r="J92" s="9">
        <v>5.4020000000000001</v>
      </c>
      <c r="K92" s="9">
        <v>84.424999999999997</v>
      </c>
    </row>
    <row r="93" spans="1:11" x14ac:dyDescent="0.25">
      <c r="A93" s="9" t="s">
        <v>199</v>
      </c>
      <c r="B93" s="9" t="s">
        <v>261</v>
      </c>
      <c r="C93" s="16">
        <v>0.4133</v>
      </c>
      <c r="D93" s="16">
        <v>0</v>
      </c>
      <c r="E93" s="16">
        <v>2.0000000000000001E-4</v>
      </c>
      <c r="F93" s="16">
        <v>0</v>
      </c>
      <c r="G93" s="16">
        <v>0</v>
      </c>
      <c r="H93" s="9">
        <v>0.34</v>
      </c>
      <c r="I93" s="9">
        <v>0.99099999999999999</v>
      </c>
      <c r="J93" s="9">
        <v>5.7000000000000002E-2</v>
      </c>
      <c r="K93" s="9">
        <v>0.52900000000000003</v>
      </c>
    </row>
    <row r="94" spans="1:11" x14ac:dyDescent="0.25">
      <c r="A94" s="9" t="s">
        <v>200</v>
      </c>
      <c r="B94" s="9" t="s">
        <v>263</v>
      </c>
      <c r="C94" s="16">
        <v>0.23930000000000001</v>
      </c>
      <c r="D94" s="16">
        <v>0.1137</v>
      </c>
      <c r="E94" s="16">
        <v>-0.123</v>
      </c>
      <c r="F94" s="16">
        <v>2.5493000000000001</v>
      </c>
      <c r="G94" s="16">
        <v>6.3E-3</v>
      </c>
      <c r="H94" s="9">
        <v>0.54700000000000004</v>
      </c>
      <c r="I94" s="9">
        <v>2.4910000000000001</v>
      </c>
      <c r="J94" s="9">
        <v>7.0000000000000007E-2</v>
      </c>
      <c r="K94" s="9">
        <v>2.1850000000000001</v>
      </c>
    </row>
    <row r="95" spans="1:11" x14ac:dyDescent="0.25">
      <c r="A95" s="9" t="s">
        <v>200</v>
      </c>
      <c r="B95" s="9" t="s">
        <v>259</v>
      </c>
      <c r="C95" s="16">
        <v>6.3500000000000001E-2</v>
      </c>
      <c r="D95" s="16">
        <v>0.1137</v>
      </c>
      <c r="E95" s="16">
        <v>-0.1236</v>
      </c>
      <c r="F95" s="16">
        <v>2.4580000000000002</v>
      </c>
      <c r="G95" s="16">
        <v>5.7000000000000002E-3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9" t="s">
        <v>200</v>
      </c>
      <c r="B96" s="9" t="s">
        <v>260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9">
        <v>18.652000000000001</v>
      </c>
      <c r="I96" s="9">
        <v>84.938999999999993</v>
      </c>
      <c r="J96" s="9">
        <v>2.262</v>
      </c>
      <c r="K96" s="9">
        <v>75.025999999999996</v>
      </c>
    </row>
    <row r="97" spans="1:11" x14ac:dyDescent="0.25">
      <c r="A97" s="9" t="s">
        <v>200</v>
      </c>
      <c r="B97" s="9" t="s">
        <v>261</v>
      </c>
      <c r="C97" s="16">
        <v>0.6613</v>
      </c>
      <c r="D97" s="16">
        <v>0</v>
      </c>
      <c r="E97" s="16">
        <v>2.8E-3</v>
      </c>
      <c r="F97" s="16">
        <v>0.66669999999999996</v>
      </c>
      <c r="G97" s="16">
        <v>0</v>
      </c>
      <c r="H97" s="9">
        <v>0.129</v>
      </c>
      <c r="I97" s="9">
        <v>0.44</v>
      </c>
      <c r="J97" s="9">
        <v>1.9E-2</v>
      </c>
      <c r="K97" s="9">
        <v>0</v>
      </c>
    </row>
    <row r="98" spans="1:11" x14ac:dyDescent="0.25">
      <c r="A98" s="9" t="s">
        <v>201</v>
      </c>
      <c r="B98" s="9" t="s">
        <v>263</v>
      </c>
      <c r="C98" s="16">
        <v>1.9E-3</v>
      </c>
      <c r="D98" s="16">
        <v>-0.1106</v>
      </c>
      <c r="E98" s="16">
        <v>0</v>
      </c>
      <c r="F98" s="16">
        <v>0</v>
      </c>
      <c r="G98" s="16">
        <v>8.3699999999999997E-2</v>
      </c>
      <c r="H98" s="9">
        <v>0.61099999999999999</v>
      </c>
      <c r="I98" s="9">
        <v>2.6720000000000002</v>
      </c>
      <c r="J98" s="9">
        <v>0.124</v>
      </c>
      <c r="K98" s="9">
        <v>3.04</v>
      </c>
    </row>
    <row r="99" spans="1:11" x14ac:dyDescent="0.25">
      <c r="A99" s="9" t="s">
        <v>201</v>
      </c>
      <c r="B99" s="9" t="s">
        <v>259</v>
      </c>
      <c r="C99" s="16">
        <v>-4.6199999999999998E-2</v>
      </c>
      <c r="D99" s="16">
        <v>-0.1124</v>
      </c>
      <c r="E99" s="16">
        <v>0</v>
      </c>
      <c r="F99" s="16">
        <v>0</v>
      </c>
      <c r="G99" s="16">
        <v>8.0399999999999999E-2</v>
      </c>
      <c r="H99" s="9">
        <v>0</v>
      </c>
      <c r="I99" s="9">
        <v>0</v>
      </c>
      <c r="J99" s="9">
        <v>0</v>
      </c>
      <c r="K99" s="9">
        <v>0</v>
      </c>
    </row>
    <row r="100" spans="1:11" x14ac:dyDescent="0.25">
      <c r="A100" s="9" t="s">
        <v>201</v>
      </c>
      <c r="B100" s="9" t="s">
        <v>260</v>
      </c>
      <c r="C100" s="16">
        <v>0</v>
      </c>
      <c r="D100" s="16">
        <v>4.1000000000000002E-2</v>
      </c>
      <c r="E100" s="16">
        <v>0</v>
      </c>
      <c r="F100" s="16">
        <v>0</v>
      </c>
      <c r="G100" s="16">
        <v>0</v>
      </c>
      <c r="H100" s="9">
        <v>19.617000000000001</v>
      </c>
      <c r="I100" s="9">
        <v>82.075999999999993</v>
      </c>
      <c r="J100" s="9">
        <v>1.782</v>
      </c>
      <c r="K100" s="9">
        <v>103.343</v>
      </c>
    </row>
    <row r="101" spans="1:11" x14ac:dyDescent="0.25">
      <c r="A101" s="9" t="s">
        <v>201</v>
      </c>
      <c r="B101" s="9" t="s">
        <v>261</v>
      </c>
      <c r="C101" s="16">
        <v>0.18160000000000001</v>
      </c>
      <c r="D101" s="16">
        <v>2.2000000000000001E-3</v>
      </c>
      <c r="E101" s="16">
        <v>0</v>
      </c>
      <c r="F101" s="16">
        <v>0</v>
      </c>
      <c r="G101" s="16">
        <v>1.12E-2</v>
      </c>
      <c r="H101" s="9">
        <v>0.21299999999999999</v>
      </c>
      <c r="I101" s="9">
        <v>1.413</v>
      </c>
      <c r="J101" s="9">
        <v>0.28699999999999998</v>
      </c>
      <c r="K101" s="9">
        <v>0.51500000000000001</v>
      </c>
    </row>
    <row r="102" spans="1:11" x14ac:dyDescent="0.25">
      <c r="A102" s="9" t="s">
        <v>202</v>
      </c>
      <c r="B102" s="9" t="s">
        <v>263</v>
      </c>
      <c r="C102" s="16">
        <v>0.62870000000000004</v>
      </c>
      <c r="D102" s="16">
        <v>7.7000000000000002E-3</v>
      </c>
      <c r="E102" s="16">
        <v>2.5600000000000001E-2</v>
      </c>
      <c r="F102" s="16">
        <v>0.12089999999999999</v>
      </c>
      <c r="G102" s="16">
        <v>0</v>
      </c>
      <c r="H102" s="9">
        <v>0.53100000000000003</v>
      </c>
      <c r="I102" s="9">
        <v>3.1709999999999998</v>
      </c>
      <c r="J102" s="9">
        <v>0.25800000000000001</v>
      </c>
      <c r="K102" s="9">
        <v>3.2959999999999998</v>
      </c>
    </row>
    <row r="103" spans="1:11" x14ac:dyDescent="0.25">
      <c r="A103" s="9" t="s">
        <v>202</v>
      </c>
      <c r="B103" s="9" t="s">
        <v>259</v>
      </c>
      <c r="C103" s="16">
        <v>0.46300000000000002</v>
      </c>
      <c r="D103" s="16">
        <v>-1.41E-2</v>
      </c>
      <c r="E103" s="16">
        <v>2.5600000000000001E-2</v>
      </c>
      <c r="F103" s="16">
        <v>0.104</v>
      </c>
      <c r="G103" s="16">
        <v>0</v>
      </c>
      <c r="H103" s="9">
        <v>0</v>
      </c>
      <c r="I103" s="9">
        <v>0</v>
      </c>
      <c r="J103" s="9">
        <v>0</v>
      </c>
      <c r="K103" s="9">
        <v>0</v>
      </c>
    </row>
    <row r="104" spans="1:11" x14ac:dyDescent="0.25">
      <c r="A104" s="9" t="s">
        <v>202</v>
      </c>
      <c r="B104" s="9" t="s">
        <v>260</v>
      </c>
      <c r="C104" s="16">
        <v>3.3E-3</v>
      </c>
      <c r="D104" s="16">
        <v>0.23649999999999999</v>
      </c>
      <c r="E104" s="16">
        <v>0</v>
      </c>
      <c r="F104" s="16">
        <v>0.45100000000000001</v>
      </c>
      <c r="G104" s="16">
        <v>0</v>
      </c>
      <c r="H104" s="9">
        <v>17.512</v>
      </c>
      <c r="I104" s="9">
        <v>102.143</v>
      </c>
      <c r="J104" s="9">
        <v>7.726</v>
      </c>
      <c r="K104" s="9">
        <v>110.072</v>
      </c>
    </row>
    <row r="105" spans="1:11" x14ac:dyDescent="0.25">
      <c r="A105" s="9" t="s">
        <v>202</v>
      </c>
      <c r="B105" s="9" t="s">
        <v>261</v>
      </c>
      <c r="C105" s="16">
        <v>0.62519999999999998</v>
      </c>
      <c r="D105" s="16">
        <v>5.7200000000000001E-2</v>
      </c>
      <c r="E105" s="16">
        <v>0</v>
      </c>
      <c r="F105" s="16">
        <v>1.6199999999999999E-2</v>
      </c>
      <c r="G105" s="16">
        <v>0</v>
      </c>
      <c r="H105" s="9">
        <v>0.16</v>
      </c>
      <c r="I105" s="9">
        <v>1.175</v>
      </c>
      <c r="J105" s="9">
        <v>0.157</v>
      </c>
      <c r="K105" s="9">
        <v>0.66300000000000003</v>
      </c>
    </row>
    <row r="106" spans="1:11" x14ac:dyDescent="0.25">
      <c r="A106" s="9" t="s">
        <v>203</v>
      </c>
      <c r="B106" s="9" t="s">
        <v>263</v>
      </c>
      <c r="C106" s="16">
        <v>0.33500000000000002</v>
      </c>
      <c r="D106" s="16">
        <v>-0.13700000000000001</v>
      </c>
      <c r="E106" s="16">
        <v>-3.4700000000000002E-2</v>
      </c>
      <c r="F106" s="16">
        <v>1.7899999999999999E-2</v>
      </c>
      <c r="G106" s="16">
        <v>-2.9999999999999997E-4</v>
      </c>
      <c r="H106" s="9">
        <v>0.28000000000000003</v>
      </c>
      <c r="I106" s="9">
        <v>2.3340000000000001</v>
      </c>
      <c r="J106" s="9">
        <v>0.254</v>
      </c>
      <c r="K106" s="9">
        <v>4.2190000000000003</v>
      </c>
    </row>
    <row r="107" spans="1:11" x14ac:dyDescent="0.25">
      <c r="A107" s="9" t="s">
        <v>203</v>
      </c>
      <c r="B107" s="9" t="s">
        <v>259</v>
      </c>
      <c r="C107" s="16">
        <v>0.1991</v>
      </c>
      <c r="D107" s="16">
        <v>-0.14610000000000001</v>
      </c>
      <c r="E107" s="16">
        <v>-3.5200000000000002E-2</v>
      </c>
      <c r="F107" s="16">
        <v>1.5800000000000002E-2</v>
      </c>
      <c r="G107" s="16">
        <v>-2.9999999999999997E-4</v>
      </c>
      <c r="H107" s="9">
        <v>0</v>
      </c>
      <c r="I107" s="9">
        <v>0</v>
      </c>
      <c r="J107" s="9">
        <v>0</v>
      </c>
      <c r="K107" s="9">
        <v>0</v>
      </c>
    </row>
    <row r="108" spans="1:11" x14ac:dyDescent="0.25">
      <c r="A108" s="9" t="s">
        <v>203</v>
      </c>
      <c r="B108" s="9" t="s">
        <v>260</v>
      </c>
      <c r="C108" s="16">
        <v>0.48470000000000002</v>
      </c>
      <c r="D108" s="16">
        <v>7.0499999999999993E-2</v>
      </c>
      <c r="E108" s="16">
        <v>1.6899999999999998E-2</v>
      </c>
      <c r="F108" s="16">
        <v>2.6599999999999999E-2</v>
      </c>
      <c r="G108" s="16">
        <v>0</v>
      </c>
      <c r="H108" s="9">
        <v>7.7850000000000001</v>
      </c>
      <c r="I108" s="9">
        <v>77.558000000000007</v>
      </c>
      <c r="J108" s="9">
        <v>8.4039999999999999</v>
      </c>
      <c r="K108" s="9">
        <v>142.39699999999999</v>
      </c>
    </row>
    <row r="109" spans="1:11" x14ac:dyDescent="0.25">
      <c r="A109" s="9" t="s">
        <v>203</v>
      </c>
      <c r="B109" s="9" t="s">
        <v>261</v>
      </c>
      <c r="C109" s="16">
        <v>0.46189999999999998</v>
      </c>
      <c r="D109" s="16">
        <v>2.6800000000000001E-2</v>
      </c>
      <c r="E109" s="16">
        <v>0</v>
      </c>
      <c r="F109" s="16">
        <v>5.0000000000000001E-3</v>
      </c>
      <c r="G109" s="16">
        <v>0</v>
      </c>
      <c r="H109" s="9">
        <v>0.23499999999999999</v>
      </c>
      <c r="I109" s="9">
        <v>0.61299999999999999</v>
      </c>
      <c r="J109" s="9">
        <v>6.9000000000000006E-2</v>
      </c>
      <c r="K109" s="9">
        <v>0.79300000000000004</v>
      </c>
    </row>
  </sheetData>
  <conditionalFormatting sqref="B1:B109">
    <cfRule type="containsText" dxfId="0" priority="1" operator="containsText" text="CO2E">
      <formula>NOT(ISERROR(SEARCH("CO2E",B1)))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16EB-4335-463E-9B29-F55BE5FABC76}">
  <dimension ref="A1:C109"/>
  <sheetViews>
    <sheetView workbookViewId="0">
      <selection activeCell="J7" sqref="J7"/>
    </sheetView>
  </sheetViews>
  <sheetFormatPr defaultRowHeight="15" x14ac:dyDescent="0.25"/>
  <cols>
    <col min="1" max="1" width="15.28515625" style="9" customWidth="1"/>
    <col min="2" max="2" width="9.140625" style="9"/>
    <col min="3" max="3" width="20.28515625" style="9" bestFit="1" customWidth="1"/>
  </cols>
  <sheetData>
    <row r="1" spans="1:3" x14ac:dyDescent="0.25">
      <c r="A1" s="19" t="s">
        <v>258</v>
      </c>
      <c r="B1" s="19" t="s">
        <v>249</v>
      </c>
      <c r="C1" s="19" t="s">
        <v>269</v>
      </c>
    </row>
    <row r="2" spans="1:3" x14ac:dyDescent="0.25">
      <c r="A2" s="9" t="s">
        <v>177</v>
      </c>
      <c r="B2" s="9" t="s">
        <v>263</v>
      </c>
      <c r="C2" s="9">
        <v>-8.9639999999999997E-2</v>
      </c>
    </row>
    <row r="3" spans="1:3" x14ac:dyDescent="0.25">
      <c r="A3" s="9" t="s">
        <v>177</v>
      </c>
      <c r="B3" s="9" t="s">
        <v>259</v>
      </c>
      <c r="C3" s="9">
        <v>-8.9639999999999997E-2</v>
      </c>
    </row>
    <row r="4" spans="1:3" x14ac:dyDescent="0.25">
      <c r="A4" s="9" t="s">
        <v>177</v>
      </c>
      <c r="B4" s="9" t="s">
        <v>260</v>
      </c>
      <c r="C4" s="9">
        <v>0</v>
      </c>
    </row>
    <row r="5" spans="1:3" x14ac:dyDescent="0.25">
      <c r="A5" s="9" t="s">
        <v>177</v>
      </c>
      <c r="B5" s="9" t="s">
        <v>261</v>
      </c>
      <c r="C5" s="9">
        <v>0</v>
      </c>
    </row>
    <row r="6" spans="1:3" x14ac:dyDescent="0.25">
      <c r="A6" s="9" t="s">
        <v>178</v>
      </c>
      <c r="B6" s="9" t="s">
        <v>263</v>
      </c>
      <c r="C6" s="9">
        <v>-1.2326900000000001</v>
      </c>
    </row>
    <row r="7" spans="1:3" x14ac:dyDescent="0.25">
      <c r="A7" s="9" t="s">
        <v>178</v>
      </c>
      <c r="B7" s="9" t="s">
        <v>259</v>
      </c>
      <c r="C7" s="9">
        <v>-1.2326900000000001</v>
      </c>
    </row>
    <row r="8" spans="1:3" x14ac:dyDescent="0.25">
      <c r="A8" s="9" t="s">
        <v>178</v>
      </c>
      <c r="B8" s="9" t="s">
        <v>260</v>
      </c>
      <c r="C8" s="9">
        <v>0</v>
      </c>
    </row>
    <row r="9" spans="1:3" x14ac:dyDescent="0.25">
      <c r="A9" s="9" t="s">
        <v>178</v>
      </c>
      <c r="B9" s="9" t="s">
        <v>261</v>
      </c>
      <c r="C9" s="9">
        <v>0</v>
      </c>
    </row>
    <row r="10" spans="1:3" x14ac:dyDescent="0.25">
      <c r="A10" s="9" t="s">
        <v>179</v>
      </c>
      <c r="B10" s="9" t="s">
        <v>263</v>
      </c>
      <c r="C10" s="9">
        <v>-1.4281299999999999</v>
      </c>
    </row>
    <row r="11" spans="1:3" x14ac:dyDescent="0.25">
      <c r="A11" s="9" t="s">
        <v>179</v>
      </c>
      <c r="B11" s="9" t="s">
        <v>259</v>
      </c>
      <c r="C11" s="9">
        <v>-1.4281299999999999</v>
      </c>
    </row>
    <row r="12" spans="1:3" x14ac:dyDescent="0.25">
      <c r="A12" s="9" t="s">
        <v>179</v>
      </c>
      <c r="B12" s="9" t="s">
        <v>260</v>
      </c>
      <c r="C12" s="9">
        <v>0</v>
      </c>
    </row>
    <row r="13" spans="1:3" x14ac:dyDescent="0.25">
      <c r="A13" s="9" t="s">
        <v>179</v>
      </c>
      <c r="B13" s="9" t="s">
        <v>261</v>
      </c>
      <c r="C13" s="9">
        <v>0</v>
      </c>
    </row>
    <row r="14" spans="1:3" x14ac:dyDescent="0.25">
      <c r="A14" s="9" t="s">
        <v>180</v>
      </c>
      <c r="B14" s="9" t="s">
        <v>263</v>
      </c>
      <c r="C14" s="9">
        <v>-4.6190000000000002E-2</v>
      </c>
    </row>
    <row r="15" spans="1:3" x14ac:dyDescent="0.25">
      <c r="A15" s="9" t="s">
        <v>180</v>
      </c>
      <c r="B15" s="9" t="s">
        <v>259</v>
      </c>
      <c r="C15" s="9">
        <v>-4.6190000000000002E-2</v>
      </c>
    </row>
    <row r="16" spans="1:3" x14ac:dyDescent="0.25">
      <c r="A16" s="9" t="s">
        <v>180</v>
      </c>
      <c r="B16" s="9" t="s">
        <v>260</v>
      </c>
      <c r="C16" s="9">
        <v>0</v>
      </c>
    </row>
    <row r="17" spans="1:3" x14ac:dyDescent="0.25">
      <c r="A17" s="9" t="s">
        <v>180</v>
      </c>
      <c r="B17" s="9" t="s">
        <v>261</v>
      </c>
      <c r="C17" s="9">
        <v>0</v>
      </c>
    </row>
    <row r="18" spans="1:3" x14ac:dyDescent="0.25">
      <c r="A18" s="9" t="s">
        <v>181</v>
      </c>
      <c r="B18" s="9" t="s">
        <v>263</v>
      </c>
      <c r="C18" s="9">
        <v>-4.6221899999999998</v>
      </c>
    </row>
    <row r="19" spans="1:3" x14ac:dyDescent="0.25">
      <c r="A19" s="9" t="s">
        <v>181</v>
      </c>
      <c r="B19" s="9" t="s">
        <v>259</v>
      </c>
      <c r="C19" s="9">
        <v>-4.6221899999999998</v>
      </c>
    </row>
    <row r="20" spans="1:3" x14ac:dyDescent="0.25">
      <c r="A20" s="9" t="s">
        <v>181</v>
      </c>
      <c r="B20" s="9" t="s">
        <v>260</v>
      </c>
      <c r="C20" s="9">
        <v>0</v>
      </c>
    </row>
    <row r="21" spans="1:3" x14ac:dyDescent="0.25">
      <c r="A21" s="9" t="s">
        <v>181</v>
      </c>
      <c r="B21" s="9" t="s">
        <v>261</v>
      </c>
      <c r="C21" s="9">
        <v>0</v>
      </c>
    </row>
    <row r="22" spans="1:3" x14ac:dyDescent="0.25">
      <c r="A22" s="9" t="s">
        <v>182</v>
      </c>
      <c r="B22" s="9" t="s">
        <v>263</v>
      </c>
      <c r="C22" s="9">
        <v>-1.0950500000000001</v>
      </c>
    </row>
    <row r="23" spans="1:3" x14ac:dyDescent="0.25">
      <c r="A23" s="9" t="s">
        <v>182</v>
      </c>
      <c r="B23" s="9" t="s">
        <v>259</v>
      </c>
      <c r="C23" s="9">
        <v>-1.0950500000000001</v>
      </c>
    </row>
    <row r="24" spans="1:3" x14ac:dyDescent="0.25">
      <c r="A24" s="9" t="s">
        <v>182</v>
      </c>
      <c r="B24" s="9" t="s">
        <v>260</v>
      </c>
      <c r="C24" s="9">
        <v>0</v>
      </c>
    </row>
    <row r="25" spans="1:3" x14ac:dyDescent="0.25">
      <c r="A25" s="9" t="s">
        <v>182</v>
      </c>
      <c r="B25" s="9" t="s">
        <v>261</v>
      </c>
      <c r="C25" s="9">
        <v>0</v>
      </c>
    </row>
    <row r="26" spans="1:3" x14ac:dyDescent="0.25">
      <c r="A26" s="9" t="s">
        <v>183</v>
      </c>
      <c r="B26" s="9" t="s">
        <v>263</v>
      </c>
      <c r="C26" s="9">
        <v>-0.82565999999999995</v>
      </c>
    </row>
    <row r="27" spans="1:3" x14ac:dyDescent="0.25">
      <c r="A27" s="9" t="s">
        <v>183</v>
      </c>
      <c r="B27" s="9" t="s">
        <v>259</v>
      </c>
      <c r="C27" s="9">
        <v>-0.82565999999999995</v>
      </c>
    </row>
    <row r="28" spans="1:3" x14ac:dyDescent="0.25">
      <c r="A28" s="9" t="s">
        <v>183</v>
      </c>
      <c r="B28" s="9" t="s">
        <v>260</v>
      </c>
      <c r="C28" s="9">
        <v>0</v>
      </c>
    </row>
    <row r="29" spans="1:3" x14ac:dyDescent="0.25">
      <c r="A29" s="9" t="s">
        <v>183</v>
      </c>
      <c r="B29" s="9" t="s">
        <v>261</v>
      </c>
      <c r="C29" s="9">
        <v>0</v>
      </c>
    </row>
    <row r="30" spans="1:3" x14ac:dyDescent="0.25">
      <c r="A30" s="9" t="s">
        <v>184</v>
      </c>
      <c r="B30" s="9" t="s">
        <v>263</v>
      </c>
      <c r="C30" s="9">
        <v>-3.2129999999999999E-2</v>
      </c>
    </row>
    <row r="31" spans="1:3" x14ac:dyDescent="0.25">
      <c r="A31" s="9" t="s">
        <v>184</v>
      </c>
      <c r="B31" s="9" t="s">
        <v>259</v>
      </c>
      <c r="C31" s="9">
        <v>-3.2129999999999999E-2</v>
      </c>
    </row>
    <row r="32" spans="1:3" x14ac:dyDescent="0.25">
      <c r="A32" s="9" t="s">
        <v>184</v>
      </c>
      <c r="B32" s="9" t="s">
        <v>260</v>
      </c>
      <c r="C32" s="9">
        <v>0</v>
      </c>
    </row>
    <row r="33" spans="1:3" x14ac:dyDescent="0.25">
      <c r="A33" s="9" t="s">
        <v>184</v>
      </c>
      <c r="B33" s="9" t="s">
        <v>261</v>
      </c>
      <c r="C33" s="9">
        <v>0</v>
      </c>
    </row>
    <row r="34" spans="1:3" x14ac:dyDescent="0.25">
      <c r="A34" s="9" t="s">
        <v>185</v>
      </c>
      <c r="B34" s="9" t="s">
        <v>263</v>
      </c>
      <c r="C34" s="9">
        <v>-2.74844</v>
      </c>
    </row>
    <row r="35" spans="1:3" x14ac:dyDescent="0.25">
      <c r="A35" s="9" t="s">
        <v>185</v>
      </c>
      <c r="B35" s="9" t="s">
        <v>259</v>
      </c>
      <c r="C35" s="9">
        <v>-2.74844</v>
      </c>
    </row>
    <row r="36" spans="1:3" x14ac:dyDescent="0.25">
      <c r="A36" s="9" t="s">
        <v>185</v>
      </c>
      <c r="B36" s="9" t="s">
        <v>260</v>
      </c>
      <c r="C36" s="9">
        <v>0</v>
      </c>
    </row>
    <row r="37" spans="1:3" x14ac:dyDescent="0.25">
      <c r="A37" s="9" t="s">
        <v>185</v>
      </c>
      <c r="B37" s="9" t="s">
        <v>261</v>
      </c>
      <c r="C37" s="9">
        <v>0</v>
      </c>
    </row>
    <row r="38" spans="1:3" x14ac:dyDescent="0.25">
      <c r="A38" s="9" t="s">
        <v>186</v>
      </c>
      <c r="B38" s="9" t="s">
        <v>263</v>
      </c>
      <c r="C38" s="9">
        <v>-1.0438700000000001</v>
      </c>
    </row>
    <row r="39" spans="1:3" x14ac:dyDescent="0.25">
      <c r="A39" s="9" t="s">
        <v>186</v>
      </c>
      <c r="B39" s="9" t="s">
        <v>259</v>
      </c>
      <c r="C39" s="9">
        <v>-1.0438700000000001</v>
      </c>
    </row>
    <row r="40" spans="1:3" x14ac:dyDescent="0.25">
      <c r="A40" s="9" t="s">
        <v>186</v>
      </c>
      <c r="B40" s="9" t="s">
        <v>260</v>
      </c>
      <c r="C40" s="9">
        <v>0</v>
      </c>
    </row>
    <row r="41" spans="1:3" x14ac:dyDescent="0.25">
      <c r="A41" s="9" t="s">
        <v>186</v>
      </c>
      <c r="B41" s="9" t="s">
        <v>261</v>
      </c>
      <c r="C41" s="9">
        <v>0</v>
      </c>
    </row>
    <row r="42" spans="1:3" x14ac:dyDescent="0.25">
      <c r="A42" s="9" t="s">
        <v>187</v>
      </c>
      <c r="B42" s="9" t="s">
        <v>263</v>
      </c>
      <c r="C42" s="9">
        <v>-0.76166</v>
      </c>
    </row>
    <row r="43" spans="1:3" x14ac:dyDescent="0.25">
      <c r="A43" s="9" t="s">
        <v>187</v>
      </c>
      <c r="B43" s="9" t="s">
        <v>259</v>
      </c>
      <c r="C43" s="9">
        <v>-0.76166</v>
      </c>
    </row>
    <row r="44" spans="1:3" x14ac:dyDescent="0.25">
      <c r="A44" s="9" t="s">
        <v>187</v>
      </c>
      <c r="B44" s="9" t="s">
        <v>260</v>
      </c>
      <c r="C44" s="9">
        <v>0</v>
      </c>
    </row>
    <row r="45" spans="1:3" x14ac:dyDescent="0.25">
      <c r="A45" s="9" t="s">
        <v>187</v>
      </c>
      <c r="B45" s="9" t="s">
        <v>261</v>
      </c>
      <c r="C45" s="9">
        <v>0</v>
      </c>
    </row>
    <row r="46" spans="1:3" x14ac:dyDescent="0.25">
      <c r="A46" s="9" t="s">
        <v>188</v>
      </c>
      <c r="B46" s="9" t="s">
        <v>263</v>
      </c>
      <c r="C46" s="9">
        <v>0.2641</v>
      </c>
    </row>
    <row r="47" spans="1:3" x14ac:dyDescent="0.25">
      <c r="A47" s="9" t="s">
        <v>188</v>
      </c>
      <c r="B47" s="9" t="s">
        <v>259</v>
      </c>
      <c r="C47" s="9">
        <v>0.2641</v>
      </c>
    </row>
    <row r="48" spans="1:3" x14ac:dyDescent="0.25">
      <c r="A48" s="9" t="s">
        <v>188</v>
      </c>
      <c r="B48" s="9" t="s">
        <v>260</v>
      </c>
      <c r="C48" s="9">
        <v>0</v>
      </c>
    </row>
    <row r="49" spans="1:3" x14ac:dyDescent="0.25">
      <c r="A49" s="9" t="s">
        <v>188</v>
      </c>
      <c r="B49" s="9" t="s">
        <v>261</v>
      </c>
      <c r="C49" s="9">
        <v>0</v>
      </c>
    </row>
    <row r="50" spans="1:3" x14ac:dyDescent="0.25">
      <c r="A50" s="9" t="s">
        <v>189</v>
      </c>
      <c r="B50" s="9" t="s">
        <v>263</v>
      </c>
      <c r="C50" s="9">
        <v>2.2239999999999999E-2</v>
      </c>
    </row>
    <row r="51" spans="1:3" x14ac:dyDescent="0.25">
      <c r="A51" s="9" t="s">
        <v>189</v>
      </c>
      <c r="B51" s="9" t="s">
        <v>259</v>
      </c>
      <c r="C51" s="9">
        <v>2.2239999999999999E-2</v>
      </c>
    </row>
    <row r="52" spans="1:3" x14ac:dyDescent="0.25">
      <c r="A52" s="9" t="s">
        <v>189</v>
      </c>
      <c r="B52" s="9" t="s">
        <v>260</v>
      </c>
      <c r="C52" s="9">
        <v>0</v>
      </c>
    </row>
    <row r="53" spans="1:3" x14ac:dyDescent="0.25">
      <c r="A53" s="9" t="s">
        <v>189</v>
      </c>
      <c r="B53" s="9" t="s">
        <v>261</v>
      </c>
      <c r="C53" s="9">
        <v>0</v>
      </c>
    </row>
    <row r="54" spans="1:3" x14ac:dyDescent="0.25">
      <c r="A54" s="9" t="s">
        <v>190</v>
      </c>
      <c r="B54" s="9" t="s">
        <v>263</v>
      </c>
      <c r="C54" s="9">
        <v>-2.2966899999999999</v>
      </c>
    </row>
    <row r="55" spans="1:3" x14ac:dyDescent="0.25">
      <c r="A55" s="9" t="s">
        <v>190</v>
      </c>
      <c r="B55" s="9" t="s">
        <v>259</v>
      </c>
      <c r="C55" s="9">
        <v>-2.2966899999999999</v>
      </c>
    </row>
    <row r="56" spans="1:3" x14ac:dyDescent="0.25">
      <c r="A56" s="9" t="s">
        <v>190</v>
      </c>
      <c r="B56" s="9" t="s">
        <v>260</v>
      </c>
      <c r="C56" s="9">
        <v>0</v>
      </c>
    </row>
    <row r="57" spans="1:3" x14ac:dyDescent="0.25">
      <c r="A57" s="9" t="s">
        <v>190</v>
      </c>
      <c r="B57" s="9" t="s">
        <v>261</v>
      </c>
      <c r="C57" s="9">
        <v>0</v>
      </c>
    </row>
    <row r="58" spans="1:3" x14ac:dyDescent="0.25">
      <c r="A58" s="9" t="s">
        <v>191</v>
      </c>
      <c r="B58" s="9" t="s">
        <v>263</v>
      </c>
      <c r="C58" s="9">
        <v>-1.0685500000000001</v>
      </c>
    </row>
    <row r="59" spans="1:3" x14ac:dyDescent="0.25">
      <c r="A59" s="9" t="s">
        <v>191</v>
      </c>
      <c r="B59" s="9" t="s">
        <v>259</v>
      </c>
      <c r="C59" s="9">
        <v>-1.0685500000000001</v>
      </c>
    </row>
    <row r="60" spans="1:3" x14ac:dyDescent="0.25">
      <c r="A60" s="9" t="s">
        <v>191</v>
      </c>
      <c r="B60" s="9" t="s">
        <v>260</v>
      </c>
      <c r="C60" s="9">
        <v>0</v>
      </c>
    </row>
    <row r="61" spans="1:3" x14ac:dyDescent="0.25">
      <c r="A61" s="9" t="s">
        <v>191</v>
      </c>
      <c r="B61" s="9" t="s">
        <v>261</v>
      </c>
      <c r="C61" s="9">
        <v>0</v>
      </c>
    </row>
    <row r="62" spans="1:3" x14ac:dyDescent="0.25">
      <c r="A62" s="9" t="s">
        <v>192</v>
      </c>
      <c r="B62" s="9" t="s">
        <v>263</v>
      </c>
      <c r="C62" s="9">
        <v>6.2599999999999999E-3</v>
      </c>
    </row>
    <row r="63" spans="1:3" x14ac:dyDescent="0.25">
      <c r="A63" s="9" t="s">
        <v>192</v>
      </c>
      <c r="B63" s="9" t="s">
        <v>259</v>
      </c>
      <c r="C63" s="9">
        <v>6.2599999999999999E-3</v>
      </c>
    </row>
    <row r="64" spans="1:3" x14ac:dyDescent="0.25">
      <c r="A64" s="9" t="s">
        <v>192</v>
      </c>
      <c r="B64" s="9" t="s">
        <v>260</v>
      </c>
      <c r="C64" s="9">
        <v>0</v>
      </c>
    </row>
    <row r="65" spans="1:3" x14ac:dyDescent="0.25">
      <c r="A65" s="9" t="s">
        <v>192</v>
      </c>
      <c r="B65" s="9" t="s">
        <v>261</v>
      </c>
      <c r="C65" s="9">
        <v>0</v>
      </c>
    </row>
    <row r="66" spans="1:3" x14ac:dyDescent="0.25">
      <c r="A66" s="9" t="s">
        <v>193</v>
      </c>
      <c r="B66" s="9" t="s">
        <v>263</v>
      </c>
      <c r="C66" s="9">
        <v>-0.72038000000000002</v>
      </c>
    </row>
    <row r="67" spans="1:3" x14ac:dyDescent="0.25">
      <c r="A67" s="9" t="s">
        <v>193</v>
      </c>
      <c r="B67" s="9" t="s">
        <v>259</v>
      </c>
      <c r="C67" s="9">
        <v>-0.72038000000000002</v>
      </c>
    </row>
    <row r="68" spans="1:3" x14ac:dyDescent="0.25">
      <c r="A68" s="9" t="s">
        <v>193</v>
      </c>
      <c r="B68" s="9" t="s">
        <v>260</v>
      </c>
      <c r="C68" s="9">
        <v>0</v>
      </c>
    </row>
    <row r="69" spans="1:3" x14ac:dyDescent="0.25">
      <c r="A69" s="9" t="s">
        <v>193</v>
      </c>
      <c r="B69" s="9" t="s">
        <v>261</v>
      </c>
      <c r="C69" s="9">
        <v>0</v>
      </c>
    </row>
    <row r="70" spans="1:3" x14ac:dyDescent="0.25">
      <c r="A70" s="9" t="s">
        <v>194</v>
      </c>
      <c r="B70" s="9" t="s">
        <v>263</v>
      </c>
      <c r="C70" s="9">
        <v>0</v>
      </c>
    </row>
    <row r="71" spans="1:3" x14ac:dyDescent="0.25">
      <c r="A71" s="9" t="s">
        <v>194</v>
      </c>
      <c r="B71" s="9" t="s">
        <v>259</v>
      </c>
      <c r="C71" s="9">
        <v>0</v>
      </c>
    </row>
    <row r="72" spans="1:3" x14ac:dyDescent="0.25">
      <c r="A72" s="9" t="s">
        <v>194</v>
      </c>
      <c r="B72" s="9" t="s">
        <v>260</v>
      </c>
      <c r="C72" s="9">
        <v>0</v>
      </c>
    </row>
    <row r="73" spans="1:3" x14ac:dyDescent="0.25">
      <c r="A73" s="9" t="s">
        <v>194</v>
      </c>
      <c r="B73" s="9" t="s">
        <v>261</v>
      </c>
      <c r="C73" s="9">
        <v>0</v>
      </c>
    </row>
    <row r="74" spans="1:3" x14ac:dyDescent="0.25">
      <c r="A74" s="9" t="s">
        <v>195</v>
      </c>
      <c r="B74" s="9" t="s">
        <v>263</v>
      </c>
      <c r="C74" s="9">
        <v>0.13655999999999999</v>
      </c>
    </row>
    <row r="75" spans="1:3" x14ac:dyDescent="0.25">
      <c r="A75" s="9" t="s">
        <v>195</v>
      </c>
      <c r="B75" s="9" t="s">
        <v>259</v>
      </c>
      <c r="C75" s="9">
        <v>0.13655999999999999</v>
      </c>
    </row>
    <row r="76" spans="1:3" x14ac:dyDescent="0.25">
      <c r="A76" s="9" t="s">
        <v>195</v>
      </c>
      <c r="B76" s="9" t="s">
        <v>260</v>
      </c>
      <c r="C76" s="9">
        <v>0</v>
      </c>
    </row>
    <row r="77" spans="1:3" x14ac:dyDescent="0.25">
      <c r="A77" s="9" t="s">
        <v>195</v>
      </c>
      <c r="B77" s="9" t="s">
        <v>261</v>
      </c>
      <c r="C77" s="9">
        <v>0</v>
      </c>
    </row>
    <row r="78" spans="1:3" x14ac:dyDescent="0.25">
      <c r="A78" s="9" t="s">
        <v>196</v>
      </c>
      <c r="B78" s="9" t="s">
        <v>263</v>
      </c>
      <c r="C78" s="9">
        <v>-1.96932</v>
      </c>
    </row>
    <row r="79" spans="1:3" x14ac:dyDescent="0.25">
      <c r="A79" s="9" t="s">
        <v>196</v>
      </c>
      <c r="B79" s="9" t="s">
        <v>259</v>
      </c>
      <c r="C79" s="9">
        <v>-1.96932</v>
      </c>
    </row>
    <row r="80" spans="1:3" x14ac:dyDescent="0.25">
      <c r="A80" s="9" t="s">
        <v>196</v>
      </c>
      <c r="B80" s="9" t="s">
        <v>260</v>
      </c>
      <c r="C80" s="9">
        <v>0</v>
      </c>
    </row>
    <row r="81" spans="1:3" x14ac:dyDescent="0.25">
      <c r="A81" s="9" t="s">
        <v>196</v>
      </c>
      <c r="B81" s="9" t="s">
        <v>261</v>
      </c>
      <c r="C81" s="9">
        <v>0</v>
      </c>
    </row>
    <row r="82" spans="1:3" x14ac:dyDescent="0.25">
      <c r="A82" s="9" t="s">
        <v>197</v>
      </c>
      <c r="B82" s="9" t="s">
        <v>263</v>
      </c>
      <c r="C82" s="9">
        <v>-4.7731500000000002</v>
      </c>
    </row>
    <row r="83" spans="1:3" x14ac:dyDescent="0.25">
      <c r="A83" s="9" t="s">
        <v>197</v>
      </c>
      <c r="B83" s="9" t="s">
        <v>259</v>
      </c>
      <c r="C83" s="9">
        <v>-4.7731500000000002</v>
      </c>
    </row>
    <row r="84" spans="1:3" x14ac:dyDescent="0.25">
      <c r="A84" s="9" t="s">
        <v>197</v>
      </c>
      <c r="B84" s="9" t="s">
        <v>260</v>
      </c>
      <c r="C84" s="9">
        <v>0</v>
      </c>
    </row>
    <row r="85" spans="1:3" x14ac:dyDescent="0.25">
      <c r="A85" s="9" t="s">
        <v>197</v>
      </c>
      <c r="B85" s="9" t="s">
        <v>261</v>
      </c>
      <c r="C85" s="9">
        <v>0</v>
      </c>
    </row>
    <row r="86" spans="1:3" x14ac:dyDescent="0.25">
      <c r="A86" s="9" t="s">
        <v>198</v>
      </c>
      <c r="B86" s="9" t="s">
        <v>263</v>
      </c>
      <c r="C86" s="9">
        <v>-0.52576999999999996</v>
      </c>
    </row>
    <row r="87" spans="1:3" x14ac:dyDescent="0.25">
      <c r="A87" s="9" t="s">
        <v>198</v>
      </c>
      <c r="B87" s="9" t="s">
        <v>259</v>
      </c>
      <c r="C87" s="9">
        <v>-0.52576999999999996</v>
      </c>
    </row>
    <row r="88" spans="1:3" x14ac:dyDescent="0.25">
      <c r="A88" s="9" t="s">
        <v>198</v>
      </c>
      <c r="B88" s="9" t="s">
        <v>260</v>
      </c>
      <c r="C88" s="9">
        <v>0</v>
      </c>
    </row>
    <row r="89" spans="1:3" x14ac:dyDescent="0.25">
      <c r="A89" s="9" t="s">
        <v>198</v>
      </c>
      <c r="B89" s="9" t="s">
        <v>261</v>
      </c>
      <c r="C89" s="9">
        <v>0</v>
      </c>
    </row>
    <row r="90" spans="1:3" x14ac:dyDescent="0.25">
      <c r="A90" s="9" t="s">
        <v>199</v>
      </c>
      <c r="B90" s="9" t="s">
        <v>263</v>
      </c>
      <c r="C90" s="9">
        <v>-3.4100100000000002</v>
      </c>
    </row>
    <row r="91" spans="1:3" x14ac:dyDescent="0.25">
      <c r="A91" s="9" t="s">
        <v>199</v>
      </c>
      <c r="B91" s="9" t="s">
        <v>259</v>
      </c>
      <c r="C91" s="9">
        <v>-3.4100100000000002</v>
      </c>
    </row>
    <row r="92" spans="1:3" x14ac:dyDescent="0.25">
      <c r="A92" s="9" t="s">
        <v>199</v>
      </c>
      <c r="B92" s="9" t="s">
        <v>260</v>
      </c>
      <c r="C92" s="9">
        <v>0</v>
      </c>
    </row>
    <row r="93" spans="1:3" x14ac:dyDescent="0.25">
      <c r="A93" s="9" t="s">
        <v>199</v>
      </c>
      <c r="B93" s="9" t="s">
        <v>261</v>
      </c>
      <c r="C93" s="9">
        <v>0</v>
      </c>
    </row>
    <row r="94" spans="1:3" x14ac:dyDescent="0.25">
      <c r="A94" s="9" t="s">
        <v>200</v>
      </c>
      <c r="B94" s="9" t="s">
        <v>263</v>
      </c>
      <c r="C94" s="9">
        <v>-0.12592</v>
      </c>
    </row>
    <row r="95" spans="1:3" x14ac:dyDescent="0.25">
      <c r="A95" s="9" t="s">
        <v>200</v>
      </c>
      <c r="B95" s="9" t="s">
        <v>259</v>
      </c>
      <c r="C95" s="9">
        <v>-0.12592</v>
      </c>
    </row>
    <row r="96" spans="1:3" x14ac:dyDescent="0.25">
      <c r="A96" s="9" t="s">
        <v>200</v>
      </c>
      <c r="B96" s="9" t="s">
        <v>260</v>
      </c>
      <c r="C96" s="9">
        <v>0</v>
      </c>
    </row>
    <row r="97" spans="1:3" x14ac:dyDescent="0.25">
      <c r="A97" s="9" t="s">
        <v>200</v>
      </c>
      <c r="B97" s="9" t="s">
        <v>261</v>
      </c>
      <c r="C97" s="9">
        <v>0</v>
      </c>
    </row>
    <row r="98" spans="1:3" x14ac:dyDescent="0.25">
      <c r="A98" s="9" t="s">
        <v>201</v>
      </c>
      <c r="B98" s="9" t="s">
        <v>263</v>
      </c>
      <c r="C98" s="9">
        <v>-0.88919000000000004</v>
      </c>
    </row>
    <row r="99" spans="1:3" x14ac:dyDescent="0.25">
      <c r="A99" s="9" t="s">
        <v>201</v>
      </c>
      <c r="B99" s="9" t="s">
        <v>259</v>
      </c>
      <c r="C99" s="9">
        <v>-0.88919000000000004</v>
      </c>
    </row>
    <row r="100" spans="1:3" x14ac:dyDescent="0.25">
      <c r="A100" s="9" t="s">
        <v>201</v>
      </c>
      <c r="B100" s="9" t="s">
        <v>260</v>
      </c>
      <c r="C100" s="9">
        <v>0</v>
      </c>
    </row>
    <row r="101" spans="1:3" x14ac:dyDescent="0.25">
      <c r="A101" s="9" t="s">
        <v>201</v>
      </c>
      <c r="B101" s="9" t="s">
        <v>261</v>
      </c>
      <c r="C101" s="9">
        <v>0</v>
      </c>
    </row>
    <row r="102" spans="1:3" x14ac:dyDescent="0.25">
      <c r="A102" s="9" t="s">
        <v>202</v>
      </c>
      <c r="B102" s="9" t="s">
        <v>263</v>
      </c>
      <c r="C102" s="9">
        <v>-4.5840899999999998</v>
      </c>
    </row>
    <row r="103" spans="1:3" x14ac:dyDescent="0.25">
      <c r="A103" s="9" t="s">
        <v>202</v>
      </c>
      <c r="B103" s="9" t="s">
        <v>259</v>
      </c>
      <c r="C103" s="9">
        <v>-4.5840899999999998</v>
      </c>
    </row>
    <row r="104" spans="1:3" x14ac:dyDescent="0.25">
      <c r="A104" s="9" t="s">
        <v>202</v>
      </c>
      <c r="B104" s="9" t="s">
        <v>260</v>
      </c>
      <c r="C104" s="9">
        <v>0</v>
      </c>
    </row>
    <row r="105" spans="1:3" x14ac:dyDescent="0.25">
      <c r="A105" s="9" t="s">
        <v>202</v>
      </c>
      <c r="B105" s="9" t="s">
        <v>261</v>
      </c>
      <c r="C105" s="9">
        <v>0</v>
      </c>
    </row>
    <row r="106" spans="1:3" x14ac:dyDescent="0.25">
      <c r="A106" s="9" t="s">
        <v>203</v>
      </c>
      <c r="B106" s="9" t="s">
        <v>263</v>
      </c>
      <c r="C106" s="9">
        <v>-6.2074299999999996</v>
      </c>
    </row>
    <row r="107" spans="1:3" x14ac:dyDescent="0.25">
      <c r="A107" s="9" t="s">
        <v>203</v>
      </c>
      <c r="B107" s="9" t="s">
        <v>259</v>
      </c>
      <c r="C107" s="9">
        <v>-6.2074299999999996</v>
      </c>
    </row>
    <row r="108" spans="1:3" x14ac:dyDescent="0.25">
      <c r="A108" s="9" t="s">
        <v>203</v>
      </c>
      <c r="B108" s="9" t="s">
        <v>260</v>
      </c>
      <c r="C108" s="9">
        <v>0</v>
      </c>
    </row>
    <row r="109" spans="1:3" x14ac:dyDescent="0.25">
      <c r="A109" s="9" t="s">
        <v>203</v>
      </c>
      <c r="B109" s="9" t="s">
        <v>261</v>
      </c>
      <c r="C109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4668-AF0C-4BD1-A598-AAC9592522CC}">
  <dimension ref="A1:K30"/>
  <sheetViews>
    <sheetView workbookViewId="0">
      <selection activeCell="G3" sqref="G3"/>
    </sheetView>
  </sheetViews>
  <sheetFormatPr defaultRowHeight="15" x14ac:dyDescent="0.25"/>
  <cols>
    <col min="1" max="1" width="19.42578125" bestFit="1" customWidth="1"/>
    <col min="2" max="2" width="15.140625" bestFit="1" customWidth="1"/>
    <col min="3" max="3" width="15" bestFit="1" customWidth="1"/>
    <col min="4" max="4" width="12.85546875" bestFit="1" customWidth="1"/>
    <col min="6" max="8" width="10.140625" bestFit="1" customWidth="1"/>
    <col min="9" max="9" width="9.42578125" bestFit="1" customWidth="1"/>
    <col min="10" max="10" width="7" bestFit="1" customWidth="1"/>
    <col min="11" max="11" width="8.28515625" bestFit="1" customWidth="1"/>
  </cols>
  <sheetData>
    <row r="1" spans="1:11" x14ac:dyDescent="0.25">
      <c r="A1" t="s">
        <v>236</v>
      </c>
    </row>
    <row r="2" spans="1:11" x14ac:dyDescent="0.25">
      <c r="A2" t="s">
        <v>212</v>
      </c>
      <c r="B2" t="s">
        <v>237</v>
      </c>
      <c r="C2" t="s">
        <v>238</v>
      </c>
      <c r="D2" t="s">
        <v>239</v>
      </c>
      <c r="E2" t="s">
        <v>133</v>
      </c>
      <c r="F2" t="s">
        <v>240</v>
      </c>
      <c r="G2" t="s">
        <v>241</v>
      </c>
      <c r="H2" t="s">
        <v>137</v>
      </c>
      <c r="I2" t="s">
        <v>242</v>
      </c>
      <c r="J2" t="s">
        <v>243</v>
      </c>
      <c r="K2" t="s">
        <v>244</v>
      </c>
    </row>
    <row r="3" spans="1:11" x14ac:dyDescent="0.25">
      <c r="A3" t="s">
        <v>176</v>
      </c>
      <c r="B3">
        <v>4125107</v>
      </c>
      <c r="C3">
        <v>4125112</v>
      </c>
      <c r="D3">
        <v>174792</v>
      </c>
      <c r="E3">
        <v>998508</v>
      </c>
      <c r="F3">
        <v>1695726</v>
      </c>
      <c r="G3">
        <v>235533</v>
      </c>
      <c r="H3">
        <v>717135</v>
      </c>
      <c r="I3">
        <v>100827</v>
      </c>
      <c r="J3">
        <v>130948</v>
      </c>
      <c r="K3">
        <v>71643</v>
      </c>
    </row>
    <row r="4" spans="1:11" x14ac:dyDescent="0.25">
      <c r="A4" t="s">
        <v>177</v>
      </c>
      <c r="B4">
        <v>30666</v>
      </c>
      <c r="C4">
        <v>30667</v>
      </c>
      <c r="D4">
        <v>3601</v>
      </c>
      <c r="E4">
        <v>8914</v>
      </c>
      <c r="F4">
        <v>8113</v>
      </c>
      <c r="G4">
        <v>390</v>
      </c>
      <c r="H4">
        <v>8633</v>
      </c>
      <c r="I4">
        <v>537</v>
      </c>
      <c r="J4">
        <v>340</v>
      </c>
      <c r="K4">
        <v>139</v>
      </c>
    </row>
    <row r="5" spans="1:11" x14ac:dyDescent="0.25">
      <c r="A5" t="s">
        <v>178</v>
      </c>
      <c r="B5">
        <v>110996</v>
      </c>
      <c r="C5">
        <v>110995</v>
      </c>
      <c r="D5">
        <v>2555</v>
      </c>
      <c r="E5">
        <v>35815</v>
      </c>
      <c r="F5">
        <v>48915</v>
      </c>
      <c r="G5">
        <v>5238</v>
      </c>
      <c r="H5">
        <v>16352</v>
      </c>
      <c r="I5">
        <v>622</v>
      </c>
      <c r="J5">
        <v>1271</v>
      </c>
      <c r="K5">
        <v>227</v>
      </c>
    </row>
    <row r="6" spans="1:11" x14ac:dyDescent="0.25">
      <c r="A6" t="s">
        <v>179</v>
      </c>
      <c r="B6">
        <v>78871</v>
      </c>
      <c r="C6">
        <v>78872</v>
      </c>
      <c r="D6">
        <v>3450</v>
      </c>
      <c r="E6">
        <v>26609</v>
      </c>
      <c r="F6">
        <v>30234</v>
      </c>
      <c r="G6">
        <v>789</v>
      </c>
      <c r="H6">
        <v>15879</v>
      </c>
      <c r="I6">
        <v>691</v>
      </c>
      <c r="J6">
        <v>978</v>
      </c>
      <c r="K6">
        <v>242</v>
      </c>
    </row>
    <row r="7" spans="1:11" x14ac:dyDescent="0.25">
      <c r="A7" t="s">
        <v>180</v>
      </c>
      <c r="B7">
        <v>42925</v>
      </c>
      <c r="C7">
        <v>42924</v>
      </c>
      <c r="D7">
        <v>2947</v>
      </c>
      <c r="E7">
        <v>20494</v>
      </c>
      <c r="F7">
        <v>8587</v>
      </c>
      <c r="G7">
        <v>829</v>
      </c>
      <c r="H7">
        <v>8446</v>
      </c>
      <c r="I7">
        <v>616</v>
      </c>
      <c r="J7">
        <v>596</v>
      </c>
      <c r="K7">
        <v>409</v>
      </c>
    </row>
    <row r="8" spans="1:11" x14ac:dyDescent="0.25">
      <c r="A8" t="s">
        <v>181</v>
      </c>
      <c r="B8">
        <v>357569</v>
      </c>
      <c r="C8">
        <v>357569</v>
      </c>
      <c r="D8">
        <v>27016</v>
      </c>
      <c r="E8">
        <v>115399</v>
      </c>
      <c r="F8">
        <v>123766</v>
      </c>
      <c r="G8">
        <v>3836</v>
      </c>
      <c r="H8">
        <v>74218</v>
      </c>
      <c r="I8">
        <v>5177</v>
      </c>
      <c r="J8">
        <v>6140</v>
      </c>
      <c r="K8">
        <v>2017</v>
      </c>
    </row>
    <row r="9" spans="1:11" x14ac:dyDescent="0.25">
      <c r="A9" t="s">
        <v>182</v>
      </c>
      <c r="B9">
        <v>45336</v>
      </c>
      <c r="C9">
        <v>45335</v>
      </c>
      <c r="D9">
        <v>785</v>
      </c>
      <c r="E9">
        <v>5843</v>
      </c>
      <c r="F9">
        <v>26277</v>
      </c>
      <c r="G9">
        <v>349</v>
      </c>
      <c r="H9">
        <v>7339</v>
      </c>
      <c r="I9">
        <v>323</v>
      </c>
      <c r="J9">
        <v>2185</v>
      </c>
      <c r="K9">
        <v>2234</v>
      </c>
    </row>
    <row r="10" spans="1:11" x14ac:dyDescent="0.25">
      <c r="A10" t="s">
        <v>183</v>
      </c>
      <c r="B10">
        <v>69947</v>
      </c>
      <c r="C10">
        <v>69949</v>
      </c>
      <c r="D10">
        <v>2958</v>
      </c>
      <c r="E10">
        <v>3818</v>
      </c>
      <c r="F10">
        <v>9882</v>
      </c>
      <c r="G10">
        <v>7157</v>
      </c>
      <c r="H10">
        <v>40334</v>
      </c>
      <c r="I10">
        <v>842</v>
      </c>
      <c r="J10">
        <v>1480</v>
      </c>
      <c r="K10">
        <v>3478</v>
      </c>
    </row>
    <row r="11" spans="1:11" x14ac:dyDescent="0.25">
      <c r="A11" t="s">
        <v>184</v>
      </c>
      <c r="B11">
        <v>131694</v>
      </c>
      <c r="C11">
        <v>131693</v>
      </c>
      <c r="D11">
        <v>5332</v>
      </c>
      <c r="E11">
        <v>26994</v>
      </c>
      <c r="F11">
        <v>53005</v>
      </c>
      <c r="G11">
        <v>22810</v>
      </c>
      <c r="H11">
        <v>18224</v>
      </c>
      <c r="I11">
        <v>2762</v>
      </c>
      <c r="J11">
        <v>1731</v>
      </c>
      <c r="K11">
        <v>835</v>
      </c>
    </row>
    <row r="12" spans="1:11" x14ac:dyDescent="0.25">
      <c r="A12" t="s">
        <v>185</v>
      </c>
      <c r="B12">
        <v>498502</v>
      </c>
      <c r="C12">
        <v>498502</v>
      </c>
      <c r="D12">
        <v>18440</v>
      </c>
      <c r="E12">
        <v>136476</v>
      </c>
      <c r="F12">
        <v>175161</v>
      </c>
      <c r="G12">
        <v>74074</v>
      </c>
      <c r="H12">
        <v>64021</v>
      </c>
      <c r="I12">
        <v>24441</v>
      </c>
      <c r="J12">
        <v>5209</v>
      </c>
      <c r="K12">
        <v>680</v>
      </c>
    </row>
    <row r="13" spans="1:11" x14ac:dyDescent="0.25">
      <c r="A13" t="s">
        <v>186</v>
      </c>
      <c r="B13">
        <v>549060</v>
      </c>
      <c r="C13">
        <v>549061</v>
      </c>
      <c r="D13">
        <v>30893</v>
      </c>
      <c r="E13">
        <v>164349</v>
      </c>
      <c r="F13">
        <v>181930</v>
      </c>
      <c r="G13">
        <v>15476</v>
      </c>
      <c r="H13">
        <v>135161</v>
      </c>
      <c r="I13">
        <v>12689</v>
      </c>
      <c r="J13">
        <v>6835</v>
      </c>
      <c r="K13">
        <v>1728</v>
      </c>
    </row>
    <row r="14" spans="1:11" x14ac:dyDescent="0.25">
      <c r="A14" t="s">
        <v>187</v>
      </c>
      <c r="B14">
        <v>56594</v>
      </c>
      <c r="C14">
        <v>56594</v>
      </c>
      <c r="D14">
        <v>1785</v>
      </c>
      <c r="E14">
        <v>9414</v>
      </c>
      <c r="F14">
        <v>27226</v>
      </c>
      <c r="G14">
        <v>6258</v>
      </c>
      <c r="H14">
        <v>9834</v>
      </c>
      <c r="I14">
        <v>1421</v>
      </c>
      <c r="J14">
        <v>470</v>
      </c>
      <c r="K14">
        <v>186</v>
      </c>
    </row>
    <row r="15" spans="1:11" x14ac:dyDescent="0.25">
      <c r="A15" t="s">
        <v>188</v>
      </c>
      <c r="B15">
        <v>302073</v>
      </c>
      <c r="C15">
        <v>302072</v>
      </c>
      <c r="D15">
        <v>19809</v>
      </c>
      <c r="E15">
        <v>95612</v>
      </c>
      <c r="F15">
        <v>106337</v>
      </c>
      <c r="G15">
        <v>18004</v>
      </c>
      <c r="H15">
        <v>49568</v>
      </c>
      <c r="I15">
        <v>6853</v>
      </c>
      <c r="J15">
        <v>5382</v>
      </c>
      <c r="K15">
        <v>507</v>
      </c>
    </row>
    <row r="16" spans="1:11" x14ac:dyDescent="0.25">
      <c r="A16" t="s">
        <v>189</v>
      </c>
      <c r="B16">
        <v>9253</v>
      </c>
      <c r="C16">
        <v>9253</v>
      </c>
      <c r="D16">
        <v>573</v>
      </c>
      <c r="E16">
        <v>2817</v>
      </c>
      <c r="F16">
        <v>2224</v>
      </c>
      <c r="G16">
        <v>2078</v>
      </c>
      <c r="H16">
        <v>1012</v>
      </c>
      <c r="I16">
        <v>504</v>
      </c>
      <c r="J16">
        <v>33</v>
      </c>
      <c r="K16">
        <v>12</v>
      </c>
    </row>
    <row r="17" spans="1:11" x14ac:dyDescent="0.25">
      <c r="A17" t="s">
        <v>190</v>
      </c>
      <c r="B17">
        <v>64586</v>
      </c>
      <c r="C17">
        <v>64585</v>
      </c>
      <c r="D17">
        <v>1123</v>
      </c>
      <c r="E17">
        <v>9957</v>
      </c>
      <c r="F17">
        <v>35326</v>
      </c>
      <c r="G17">
        <v>871</v>
      </c>
      <c r="H17">
        <v>13489</v>
      </c>
      <c r="I17">
        <v>226</v>
      </c>
      <c r="J17">
        <v>1960</v>
      </c>
      <c r="K17">
        <v>1633</v>
      </c>
    </row>
    <row r="18" spans="1:11" x14ac:dyDescent="0.25">
      <c r="A18" t="s">
        <v>191</v>
      </c>
      <c r="B18">
        <v>65284</v>
      </c>
      <c r="C18">
        <v>65285</v>
      </c>
      <c r="D18">
        <v>1392</v>
      </c>
      <c r="E18">
        <v>20911</v>
      </c>
      <c r="F18">
        <v>25504</v>
      </c>
      <c r="G18">
        <v>317</v>
      </c>
      <c r="H18">
        <v>14329</v>
      </c>
      <c r="I18">
        <v>405</v>
      </c>
      <c r="J18">
        <v>1657</v>
      </c>
      <c r="K18">
        <v>770</v>
      </c>
    </row>
    <row r="19" spans="1:11" x14ac:dyDescent="0.25">
      <c r="A19" t="s">
        <v>192</v>
      </c>
      <c r="B19">
        <v>2595</v>
      </c>
      <c r="C19">
        <v>2595</v>
      </c>
      <c r="D19">
        <v>193</v>
      </c>
      <c r="E19">
        <v>565</v>
      </c>
      <c r="F19">
        <v>904</v>
      </c>
      <c r="G19">
        <v>51</v>
      </c>
      <c r="H19">
        <v>853</v>
      </c>
      <c r="I19">
        <v>14</v>
      </c>
      <c r="J19">
        <v>15</v>
      </c>
      <c r="K19">
        <v>0</v>
      </c>
    </row>
    <row r="20" spans="1:11" x14ac:dyDescent="0.25">
      <c r="A20" t="s">
        <v>193</v>
      </c>
      <c r="B20">
        <v>93012</v>
      </c>
      <c r="C20">
        <v>93014</v>
      </c>
      <c r="D20">
        <v>3742</v>
      </c>
      <c r="E20">
        <v>40457</v>
      </c>
      <c r="F20">
        <v>24848</v>
      </c>
      <c r="G20">
        <v>1368</v>
      </c>
      <c r="H20">
        <v>16279</v>
      </c>
      <c r="I20">
        <v>3155</v>
      </c>
      <c r="J20">
        <v>1767</v>
      </c>
      <c r="K20">
        <v>1398</v>
      </c>
    </row>
    <row r="21" spans="1:11" x14ac:dyDescent="0.25">
      <c r="A21" t="s">
        <v>194</v>
      </c>
      <c r="B21">
        <v>316</v>
      </c>
      <c r="C21">
        <v>316</v>
      </c>
      <c r="D21">
        <v>87</v>
      </c>
      <c r="E21">
        <v>91</v>
      </c>
      <c r="F21">
        <v>12</v>
      </c>
      <c r="G21">
        <v>41</v>
      </c>
      <c r="H21">
        <v>59</v>
      </c>
      <c r="I21">
        <v>22</v>
      </c>
      <c r="J21">
        <v>4</v>
      </c>
      <c r="K21">
        <v>0</v>
      </c>
    </row>
    <row r="22" spans="1:11" x14ac:dyDescent="0.25">
      <c r="A22" t="s">
        <v>195</v>
      </c>
      <c r="B22">
        <v>37377</v>
      </c>
      <c r="C22">
        <v>37377</v>
      </c>
      <c r="D22">
        <v>4711</v>
      </c>
      <c r="E22">
        <v>8500</v>
      </c>
      <c r="F22">
        <v>5637</v>
      </c>
      <c r="G22">
        <v>637</v>
      </c>
      <c r="H22">
        <v>13031</v>
      </c>
      <c r="I22">
        <v>832</v>
      </c>
      <c r="J22">
        <v>3758</v>
      </c>
      <c r="K22">
        <v>271</v>
      </c>
    </row>
    <row r="23" spans="1:11" x14ac:dyDescent="0.25">
      <c r="A23" t="s">
        <v>196</v>
      </c>
      <c r="B23">
        <v>83878</v>
      </c>
      <c r="C23">
        <v>83878</v>
      </c>
      <c r="D23">
        <v>3495</v>
      </c>
      <c r="E23">
        <v>13354</v>
      </c>
      <c r="F23">
        <v>36301</v>
      </c>
      <c r="G23">
        <v>4352</v>
      </c>
      <c r="H23">
        <v>20266</v>
      </c>
      <c r="I23">
        <v>4331</v>
      </c>
      <c r="J23">
        <v>1505</v>
      </c>
      <c r="K23">
        <v>274</v>
      </c>
    </row>
    <row r="24" spans="1:11" x14ac:dyDescent="0.25">
      <c r="A24" t="s">
        <v>197</v>
      </c>
      <c r="B24">
        <v>311929</v>
      </c>
      <c r="C24">
        <v>311929</v>
      </c>
      <c r="D24">
        <v>11233</v>
      </c>
      <c r="E24">
        <v>108212</v>
      </c>
      <c r="F24">
        <v>114590</v>
      </c>
      <c r="G24">
        <v>2934</v>
      </c>
      <c r="H24">
        <v>64510</v>
      </c>
      <c r="I24">
        <v>2470</v>
      </c>
      <c r="J24">
        <v>5561</v>
      </c>
      <c r="K24">
        <v>2419</v>
      </c>
    </row>
    <row r="25" spans="1:11" x14ac:dyDescent="0.25">
      <c r="A25" t="s">
        <v>198</v>
      </c>
      <c r="B25">
        <v>89103</v>
      </c>
      <c r="C25">
        <v>89104</v>
      </c>
      <c r="D25">
        <v>5707</v>
      </c>
      <c r="E25">
        <v>14512</v>
      </c>
      <c r="F25">
        <v>34496</v>
      </c>
      <c r="G25">
        <v>15609</v>
      </c>
      <c r="H25">
        <v>14092</v>
      </c>
      <c r="I25">
        <v>2774</v>
      </c>
      <c r="J25">
        <v>1626</v>
      </c>
      <c r="K25">
        <v>288</v>
      </c>
    </row>
    <row r="26" spans="1:11" x14ac:dyDescent="0.25">
      <c r="A26" t="s">
        <v>199</v>
      </c>
      <c r="B26">
        <v>238398</v>
      </c>
      <c r="C26">
        <v>238398</v>
      </c>
      <c r="D26">
        <v>6790</v>
      </c>
      <c r="E26">
        <v>77664</v>
      </c>
      <c r="F26">
        <v>81339</v>
      </c>
      <c r="G26">
        <v>6853</v>
      </c>
      <c r="H26">
        <v>54598</v>
      </c>
      <c r="I26">
        <v>3849</v>
      </c>
      <c r="J26">
        <v>3735</v>
      </c>
      <c r="K26">
        <v>3570</v>
      </c>
    </row>
    <row r="27" spans="1:11" x14ac:dyDescent="0.25">
      <c r="A27" t="s">
        <v>200</v>
      </c>
      <c r="B27">
        <v>20273</v>
      </c>
      <c r="C27">
        <v>20273</v>
      </c>
      <c r="D27">
        <v>880</v>
      </c>
      <c r="E27">
        <v>2223</v>
      </c>
      <c r="F27">
        <v>12708</v>
      </c>
      <c r="G27">
        <v>632</v>
      </c>
      <c r="H27">
        <v>3601</v>
      </c>
      <c r="I27">
        <v>106</v>
      </c>
      <c r="J27">
        <v>108</v>
      </c>
      <c r="K27">
        <v>15</v>
      </c>
    </row>
    <row r="28" spans="1:11" x14ac:dyDescent="0.25">
      <c r="A28" t="s">
        <v>201</v>
      </c>
      <c r="B28">
        <v>49035</v>
      </c>
      <c r="C28">
        <v>49035</v>
      </c>
      <c r="D28">
        <v>1679</v>
      </c>
      <c r="E28">
        <v>13494</v>
      </c>
      <c r="F28">
        <v>22437</v>
      </c>
      <c r="G28">
        <v>1791</v>
      </c>
      <c r="H28">
        <v>8634</v>
      </c>
      <c r="I28">
        <v>446</v>
      </c>
      <c r="J28">
        <v>481</v>
      </c>
      <c r="K28">
        <v>73</v>
      </c>
    </row>
    <row r="29" spans="1:11" x14ac:dyDescent="0.25">
      <c r="A29" t="s">
        <v>202</v>
      </c>
      <c r="B29">
        <v>338411</v>
      </c>
      <c r="C29">
        <v>338410</v>
      </c>
      <c r="D29">
        <v>5628</v>
      </c>
      <c r="E29">
        <v>18025</v>
      </c>
      <c r="F29">
        <v>220637</v>
      </c>
      <c r="G29">
        <v>15347</v>
      </c>
      <c r="H29">
        <v>19552</v>
      </c>
      <c r="I29">
        <v>2499</v>
      </c>
      <c r="J29">
        <v>36323</v>
      </c>
      <c r="K29">
        <v>20399</v>
      </c>
    </row>
    <row r="30" spans="1:11" x14ac:dyDescent="0.25">
      <c r="A30" t="s">
        <v>203</v>
      </c>
      <c r="B30">
        <v>447424</v>
      </c>
      <c r="C30">
        <v>447424</v>
      </c>
      <c r="D30">
        <v>7988</v>
      </c>
      <c r="E30">
        <v>17989</v>
      </c>
      <c r="F30">
        <v>279329</v>
      </c>
      <c r="G30">
        <v>27441</v>
      </c>
      <c r="H30">
        <v>24821</v>
      </c>
      <c r="I30">
        <v>22219</v>
      </c>
      <c r="J30">
        <v>39798</v>
      </c>
      <c r="K30">
        <v>27839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L137"/>
  <sheetViews>
    <sheetView workbookViewId="0">
      <pane xSplit="2" ySplit="10" topLeftCell="C3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2" width="29.85546875" customWidth="1"/>
    <col min="3" max="4" width="19.85546875" customWidth="1"/>
    <col min="5" max="5" width="10" customWidth="1"/>
    <col min="6" max="46" width="19.85546875" customWidth="1"/>
    <col min="47" max="47" width="16" customWidth="1"/>
    <col min="48" max="48" width="17" customWidth="1"/>
    <col min="49" max="49" width="15" customWidth="1"/>
    <col min="50" max="50" width="16" customWidth="1"/>
    <col min="51" max="51" width="19.85546875" customWidth="1"/>
    <col min="52" max="52" width="17" customWidth="1"/>
    <col min="53" max="53" width="18" customWidth="1"/>
    <col min="54" max="56" width="19.85546875" customWidth="1"/>
    <col min="57" max="57" width="18" customWidth="1"/>
    <col min="58" max="58" width="19.85546875" customWidth="1"/>
    <col min="59" max="59" width="18.85546875" customWidth="1"/>
    <col min="60" max="62" width="19.85546875" customWidth="1"/>
    <col min="63" max="63" width="14" customWidth="1"/>
    <col min="64" max="67" width="19.85546875" customWidth="1"/>
    <col min="68" max="69" width="15" customWidth="1"/>
    <col min="70" max="71" width="19.85546875" customWidth="1"/>
    <col min="72" max="72" width="13" customWidth="1"/>
    <col min="73" max="73" width="16" customWidth="1"/>
    <col min="74" max="77" width="19.85546875" customWidth="1"/>
    <col min="78" max="78" width="12" customWidth="1"/>
    <col min="79" max="79" width="18.85546875" customWidth="1"/>
    <col min="80" max="83" width="19.85546875" customWidth="1"/>
    <col min="84" max="84" width="15" customWidth="1"/>
    <col min="85" max="86" width="11" customWidth="1"/>
    <col min="87" max="89" width="19.85546875" customWidth="1"/>
    <col min="90" max="90" width="11" customWidth="1"/>
    <col min="91" max="95" width="19.85546875" customWidth="1"/>
    <col min="96" max="96" width="17" customWidth="1"/>
    <col min="97" max="101" width="19.85546875" customWidth="1"/>
    <col min="102" max="102" width="16" customWidth="1"/>
    <col min="103" max="116" width="19.85546875" customWidth="1"/>
    <col min="117" max="117" width="10" customWidth="1"/>
    <col min="118" max="118" width="16" customWidth="1"/>
    <col min="119" max="119" width="19.85546875" customWidth="1"/>
    <col min="120" max="120" width="17" customWidth="1"/>
    <col min="121" max="121" width="19.85546875" customWidth="1"/>
    <col min="122" max="122" width="11" customWidth="1"/>
    <col min="123" max="125" width="19.85546875" customWidth="1"/>
    <col min="126" max="126" width="10" customWidth="1"/>
    <col min="127" max="129" width="19.85546875" customWidth="1"/>
    <col min="130" max="130" width="10" customWidth="1"/>
    <col min="131" max="133" width="19.85546875" customWidth="1"/>
    <col min="134" max="134" width="10" customWidth="1"/>
    <col min="135" max="137" width="19.85546875" customWidth="1"/>
    <col min="138" max="138" width="11" customWidth="1"/>
    <col min="139" max="141" width="19.85546875" customWidth="1"/>
    <col min="142" max="142" width="10" customWidth="1"/>
    <col min="143" max="147" width="19.85546875" customWidth="1"/>
    <col min="148" max="148" width="16" customWidth="1"/>
    <col min="149" max="153" width="19.85546875" customWidth="1"/>
    <col min="154" max="154" width="16" customWidth="1"/>
    <col min="155" max="156" width="19.85546875" customWidth="1"/>
    <col min="157" max="157" width="18" customWidth="1"/>
    <col min="158" max="159" width="19.85546875" customWidth="1"/>
    <col min="160" max="160" width="18.85546875" customWidth="1"/>
    <col min="161" max="161" width="19.85546875" customWidth="1"/>
    <col min="162" max="162" width="16" customWidth="1"/>
    <col min="163" max="163" width="14" customWidth="1"/>
    <col min="164" max="166" width="19.85546875" customWidth="1"/>
    <col min="167" max="167" width="13" customWidth="1"/>
    <col min="168" max="168" width="12" customWidth="1"/>
  </cols>
  <sheetData>
    <row r="1" spans="1:168" ht="11.45" customHeight="1" x14ac:dyDescent="0.25">
      <c r="A1" s="2" t="s">
        <v>207</v>
      </c>
    </row>
    <row r="2" spans="1:168" ht="11.45" customHeight="1" x14ac:dyDescent="0.25">
      <c r="A2" s="2" t="s">
        <v>208</v>
      </c>
      <c r="B2" s="1" t="s">
        <v>0</v>
      </c>
    </row>
    <row r="3" spans="1:168" ht="11.45" customHeight="1" x14ac:dyDescent="0.25">
      <c r="A3" s="2" t="s">
        <v>209</v>
      </c>
      <c r="B3" s="2" t="s">
        <v>1</v>
      </c>
    </row>
    <row r="5" spans="1:168" ht="11.45" customHeight="1" x14ac:dyDescent="0.25">
      <c r="A5" s="1" t="s">
        <v>2</v>
      </c>
      <c r="C5" s="2" t="s">
        <v>4</v>
      </c>
    </row>
    <row r="6" spans="1:168" ht="11.45" customHeight="1" x14ac:dyDescent="0.25">
      <c r="A6" s="1" t="s">
        <v>3</v>
      </c>
      <c r="C6" s="2" t="s">
        <v>5</v>
      </c>
    </row>
    <row r="8" spans="1:168" ht="11.45" customHeight="1" x14ac:dyDescent="0.25">
      <c r="A8" s="34" t="s">
        <v>210</v>
      </c>
      <c r="B8" s="34" t="s">
        <v>210</v>
      </c>
      <c r="C8" s="35" t="s">
        <v>206</v>
      </c>
      <c r="D8" s="35" t="s">
        <v>206</v>
      </c>
      <c r="E8" s="35" t="s">
        <v>206</v>
      </c>
      <c r="F8" s="35" t="s">
        <v>206</v>
      </c>
      <c r="G8" s="35" t="s">
        <v>206</v>
      </c>
      <c r="H8" s="35" t="s">
        <v>206</v>
      </c>
      <c r="I8" s="35" t="s">
        <v>206</v>
      </c>
      <c r="J8" s="35" t="s">
        <v>206</v>
      </c>
      <c r="K8" s="35" t="s">
        <v>206</v>
      </c>
      <c r="L8" s="35" t="s">
        <v>206</v>
      </c>
      <c r="M8" s="35" t="s">
        <v>206</v>
      </c>
      <c r="N8" s="35" t="s">
        <v>206</v>
      </c>
      <c r="O8" s="35" t="s">
        <v>206</v>
      </c>
      <c r="P8" s="35" t="s">
        <v>206</v>
      </c>
      <c r="Q8" s="35" t="s">
        <v>206</v>
      </c>
      <c r="R8" s="35" t="s">
        <v>206</v>
      </c>
      <c r="S8" s="35" t="s">
        <v>206</v>
      </c>
      <c r="T8" s="35" t="s">
        <v>206</v>
      </c>
      <c r="U8" s="35" t="s">
        <v>206</v>
      </c>
      <c r="V8" s="35" t="s">
        <v>206</v>
      </c>
      <c r="W8" s="35" t="s">
        <v>206</v>
      </c>
      <c r="X8" s="35" t="s">
        <v>206</v>
      </c>
      <c r="Y8" s="35" t="s">
        <v>206</v>
      </c>
      <c r="Z8" s="35" t="s">
        <v>206</v>
      </c>
      <c r="AA8" s="35" t="s">
        <v>206</v>
      </c>
      <c r="AB8" s="35" t="s">
        <v>206</v>
      </c>
      <c r="AC8" s="35" t="s">
        <v>206</v>
      </c>
      <c r="AD8" s="35" t="s">
        <v>206</v>
      </c>
      <c r="AE8" s="35" t="s">
        <v>206</v>
      </c>
      <c r="AF8" s="35" t="s">
        <v>206</v>
      </c>
      <c r="AG8" s="35" t="s">
        <v>206</v>
      </c>
      <c r="AH8" s="35" t="s">
        <v>206</v>
      </c>
      <c r="AI8" s="35" t="s">
        <v>206</v>
      </c>
      <c r="AJ8" s="35" t="s">
        <v>206</v>
      </c>
      <c r="AK8" s="35" t="s">
        <v>206</v>
      </c>
      <c r="AL8" s="35" t="s">
        <v>206</v>
      </c>
      <c r="AM8" s="35" t="s">
        <v>206</v>
      </c>
      <c r="AN8" s="35" t="s">
        <v>206</v>
      </c>
      <c r="AO8" s="35" t="s">
        <v>206</v>
      </c>
      <c r="AP8" s="35" t="s">
        <v>206</v>
      </c>
      <c r="AQ8" s="35" t="s">
        <v>206</v>
      </c>
      <c r="AR8" s="35" t="s">
        <v>206</v>
      </c>
      <c r="AS8" s="35" t="s">
        <v>206</v>
      </c>
      <c r="AT8" s="35" t="s">
        <v>206</v>
      </c>
      <c r="AU8" s="35" t="s">
        <v>206</v>
      </c>
      <c r="AV8" s="35" t="s">
        <v>206</v>
      </c>
      <c r="AW8" s="35" t="s">
        <v>206</v>
      </c>
      <c r="AX8" s="35" t="s">
        <v>206</v>
      </c>
      <c r="AY8" s="35" t="s">
        <v>206</v>
      </c>
      <c r="AZ8" s="35" t="s">
        <v>206</v>
      </c>
      <c r="BA8" s="35" t="s">
        <v>206</v>
      </c>
      <c r="BB8" s="35" t="s">
        <v>206</v>
      </c>
      <c r="BC8" s="35" t="s">
        <v>206</v>
      </c>
      <c r="BD8" s="35" t="s">
        <v>206</v>
      </c>
      <c r="BE8" s="35" t="s">
        <v>206</v>
      </c>
      <c r="BF8" s="35" t="s">
        <v>206</v>
      </c>
      <c r="BG8" s="35" t="s">
        <v>206</v>
      </c>
      <c r="BH8" s="35" t="s">
        <v>206</v>
      </c>
      <c r="BI8" s="35" t="s">
        <v>206</v>
      </c>
      <c r="BJ8" s="35" t="s">
        <v>206</v>
      </c>
      <c r="BK8" s="35" t="s">
        <v>206</v>
      </c>
      <c r="BL8" s="35" t="s">
        <v>206</v>
      </c>
      <c r="BM8" s="35" t="s">
        <v>206</v>
      </c>
      <c r="BN8" s="35" t="s">
        <v>206</v>
      </c>
      <c r="BO8" s="35" t="s">
        <v>206</v>
      </c>
      <c r="BP8" s="35" t="s">
        <v>206</v>
      </c>
      <c r="BQ8" s="35" t="s">
        <v>206</v>
      </c>
      <c r="BR8" s="35" t="s">
        <v>206</v>
      </c>
      <c r="BS8" s="35" t="s">
        <v>206</v>
      </c>
      <c r="BT8" s="35" t="s">
        <v>206</v>
      </c>
      <c r="BU8" s="35" t="s">
        <v>206</v>
      </c>
      <c r="BV8" s="35" t="s">
        <v>206</v>
      </c>
      <c r="BW8" s="35" t="s">
        <v>206</v>
      </c>
      <c r="BX8" s="35" t="s">
        <v>206</v>
      </c>
      <c r="BY8" s="35" t="s">
        <v>206</v>
      </c>
      <c r="BZ8" s="35" t="s">
        <v>206</v>
      </c>
      <c r="CA8" s="35" t="s">
        <v>206</v>
      </c>
      <c r="CB8" s="35" t="s">
        <v>206</v>
      </c>
      <c r="CC8" s="35" t="s">
        <v>206</v>
      </c>
      <c r="CD8" s="35" t="s">
        <v>206</v>
      </c>
      <c r="CE8" s="35" t="s">
        <v>206</v>
      </c>
      <c r="CF8" s="35" t="s">
        <v>206</v>
      </c>
      <c r="CG8" s="35" t="s">
        <v>206</v>
      </c>
      <c r="CH8" s="35" t="s">
        <v>206</v>
      </c>
      <c r="CI8" s="35" t="s">
        <v>206</v>
      </c>
      <c r="CJ8" s="35" t="s">
        <v>206</v>
      </c>
      <c r="CK8" s="35" t="s">
        <v>206</v>
      </c>
      <c r="CL8" s="35" t="s">
        <v>206</v>
      </c>
      <c r="CM8" s="35" t="s">
        <v>206</v>
      </c>
      <c r="CN8" s="35" t="s">
        <v>206</v>
      </c>
      <c r="CO8" s="35" t="s">
        <v>206</v>
      </c>
      <c r="CP8" s="35" t="s">
        <v>206</v>
      </c>
      <c r="CQ8" s="35" t="s">
        <v>206</v>
      </c>
      <c r="CR8" s="35" t="s">
        <v>206</v>
      </c>
      <c r="CS8" s="35" t="s">
        <v>206</v>
      </c>
      <c r="CT8" s="35" t="s">
        <v>206</v>
      </c>
      <c r="CU8" s="35" t="s">
        <v>206</v>
      </c>
      <c r="CV8" s="35" t="s">
        <v>206</v>
      </c>
      <c r="CW8" s="35" t="s">
        <v>206</v>
      </c>
      <c r="CX8" s="35" t="s">
        <v>206</v>
      </c>
      <c r="CY8" s="35" t="s">
        <v>206</v>
      </c>
      <c r="CZ8" s="35" t="s">
        <v>206</v>
      </c>
      <c r="DA8" s="35" t="s">
        <v>206</v>
      </c>
      <c r="DB8" s="35" t="s">
        <v>206</v>
      </c>
      <c r="DC8" s="35" t="s">
        <v>206</v>
      </c>
      <c r="DD8" s="35" t="s">
        <v>206</v>
      </c>
      <c r="DE8" s="35" t="s">
        <v>206</v>
      </c>
      <c r="DF8" s="35" t="s">
        <v>206</v>
      </c>
      <c r="DG8" s="35" t="s">
        <v>206</v>
      </c>
      <c r="DH8" s="35" t="s">
        <v>206</v>
      </c>
      <c r="DI8" s="35" t="s">
        <v>206</v>
      </c>
      <c r="DJ8" s="35" t="s">
        <v>206</v>
      </c>
      <c r="DK8" s="35" t="s">
        <v>206</v>
      </c>
      <c r="DL8" s="35" t="s">
        <v>206</v>
      </c>
      <c r="DM8" s="35" t="s">
        <v>206</v>
      </c>
      <c r="DN8" s="35" t="s">
        <v>206</v>
      </c>
      <c r="DO8" s="35" t="s">
        <v>206</v>
      </c>
      <c r="DP8" s="35" t="s">
        <v>206</v>
      </c>
      <c r="DQ8" s="35" t="s">
        <v>206</v>
      </c>
      <c r="DR8" s="35" t="s">
        <v>206</v>
      </c>
      <c r="DS8" s="35" t="s">
        <v>206</v>
      </c>
      <c r="DT8" s="35" t="s">
        <v>206</v>
      </c>
      <c r="DU8" s="35" t="s">
        <v>206</v>
      </c>
      <c r="DV8" s="35" t="s">
        <v>206</v>
      </c>
      <c r="DW8" s="35" t="s">
        <v>206</v>
      </c>
      <c r="DX8" s="35" t="s">
        <v>206</v>
      </c>
      <c r="DY8" s="35" t="s">
        <v>206</v>
      </c>
      <c r="DZ8" s="35" t="s">
        <v>206</v>
      </c>
      <c r="EA8" s="35" t="s">
        <v>206</v>
      </c>
      <c r="EB8" s="35" t="s">
        <v>206</v>
      </c>
      <c r="EC8" s="35" t="s">
        <v>206</v>
      </c>
      <c r="ED8" s="35" t="s">
        <v>206</v>
      </c>
      <c r="EE8" s="35" t="s">
        <v>206</v>
      </c>
      <c r="EF8" s="35" t="s">
        <v>206</v>
      </c>
      <c r="EG8" s="35" t="s">
        <v>206</v>
      </c>
      <c r="EH8" s="35" t="s">
        <v>206</v>
      </c>
      <c r="EI8" s="35" t="s">
        <v>206</v>
      </c>
      <c r="EJ8" s="35" t="s">
        <v>206</v>
      </c>
      <c r="EK8" s="35" t="s">
        <v>206</v>
      </c>
      <c r="EL8" s="35" t="s">
        <v>206</v>
      </c>
      <c r="EM8" s="35" t="s">
        <v>206</v>
      </c>
      <c r="EN8" s="35" t="s">
        <v>206</v>
      </c>
      <c r="EO8" s="35" t="s">
        <v>206</v>
      </c>
      <c r="EP8" s="35" t="s">
        <v>206</v>
      </c>
      <c r="EQ8" s="35" t="s">
        <v>206</v>
      </c>
      <c r="ER8" s="35" t="s">
        <v>206</v>
      </c>
      <c r="ES8" s="35" t="s">
        <v>206</v>
      </c>
      <c r="ET8" s="35" t="s">
        <v>206</v>
      </c>
      <c r="EU8" s="35" t="s">
        <v>206</v>
      </c>
      <c r="EV8" s="35" t="s">
        <v>206</v>
      </c>
      <c r="EW8" s="35" t="s">
        <v>206</v>
      </c>
      <c r="EX8" s="35" t="s">
        <v>206</v>
      </c>
      <c r="EY8" s="35" t="s">
        <v>206</v>
      </c>
      <c r="EZ8" s="35" t="s">
        <v>206</v>
      </c>
      <c r="FA8" s="35" t="s">
        <v>206</v>
      </c>
      <c r="FB8" s="35" t="s">
        <v>206</v>
      </c>
      <c r="FC8" s="35" t="s">
        <v>206</v>
      </c>
      <c r="FD8" s="35" t="s">
        <v>206</v>
      </c>
      <c r="FE8" s="35" t="s">
        <v>206</v>
      </c>
      <c r="FF8" s="35" t="s">
        <v>206</v>
      </c>
      <c r="FG8" s="35" t="s">
        <v>206</v>
      </c>
      <c r="FH8" s="35" t="s">
        <v>206</v>
      </c>
      <c r="FI8" s="35" t="s">
        <v>206</v>
      </c>
      <c r="FJ8" s="35" t="s">
        <v>206</v>
      </c>
      <c r="FK8" s="35" t="s">
        <v>206</v>
      </c>
      <c r="FL8" s="35" t="s">
        <v>206</v>
      </c>
    </row>
    <row r="9" spans="1:168" ht="11.45" customHeight="1" x14ac:dyDescent="0.25">
      <c r="A9" s="34" t="s">
        <v>211</v>
      </c>
      <c r="B9" s="34" t="s">
        <v>211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  <c r="Q9" s="3" t="s">
        <v>24</v>
      </c>
      <c r="R9" s="3" t="s">
        <v>25</v>
      </c>
      <c r="S9" s="3" t="s">
        <v>26</v>
      </c>
      <c r="T9" s="3" t="s">
        <v>27</v>
      </c>
      <c r="U9" s="3" t="s">
        <v>28</v>
      </c>
      <c r="V9" s="3" t="s">
        <v>29</v>
      </c>
      <c r="W9" s="3" t="s">
        <v>30</v>
      </c>
      <c r="X9" s="3" t="s">
        <v>31</v>
      </c>
      <c r="Y9" s="3" t="s">
        <v>32</v>
      </c>
      <c r="Z9" s="3" t="s">
        <v>33</v>
      </c>
      <c r="AA9" s="3" t="s">
        <v>34</v>
      </c>
      <c r="AB9" s="3" t="s">
        <v>35</v>
      </c>
      <c r="AC9" s="3" t="s">
        <v>36</v>
      </c>
      <c r="AD9" s="3" t="s">
        <v>37</v>
      </c>
      <c r="AE9" s="3" t="s">
        <v>38</v>
      </c>
      <c r="AF9" s="3" t="s">
        <v>39</v>
      </c>
      <c r="AG9" s="3" t="s">
        <v>40</v>
      </c>
      <c r="AH9" s="3" t="s">
        <v>41</v>
      </c>
      <c r="AI9" s="3" t="s">
        <v>42</v>
      </c>
      <c r="AJ9" s="3" t="s">
        <v>43</v>
      </c>
      <c r="AK9" s="3" t="s">
        <v>44</v>
      </c>
      <c r="AL9" s="3" t="s">
        <v>45</v>
      </c>
      <c r="AM9" s="3" t="s">
        <v>46</v>
      </c>
      <c r="AN9" s="3" t="s">
        <v>47</v>
      </c>
      <c r="AO9" s="3" t="s">
        <v>48</v>
      </c>
      <c r="AP9" s="3" t="s">
        <v>49</v>
      </c>
      <c r="AQ9" s="3" t="s">
        <v>50</v>
      </c>
      <c r="AR9" s="3" t="s">
        <v>51</v>
      </c>
      <c r="AS9" s="3" t="s">
        <v>52</v>
      </c>
      <c r="AT9" s="3" t="s">
        <v>53</v>
      </c>
      <c r="AU9" s="3" t="s">
        <v>54</v>
      </c>
      <c r="AV9" s="3" t="s">
        <v>55</v>
      </c>
      <c r="AW9" s="3" t="s">
        <v>56</v>
      </c>
      <c r="AX9" s="3" t="s">
        <v>57</v>
      </c>
      <c r="AY9" s="3" t="s">
        <v>58</v>
      </c>
      <c r="AZ9" s="3" t="s">
        <v>59</v>
      </c>
      <c r="BA9" s="3" t="s">
        <v>60</v>
      </c>
      <c r="BB9" s="3" t="s">
        <v>61</v>
      </c>
      <c r="BC9" s="3" t="s">
        <v>62</v>
      </c>
      <c r="BD9" s="3" t="s">
        <v>63</v>
      </c>
      <c r="BE9" s="3" t="s">
        <v>64</v>
      </c>
      <c r="BF9" s="3" t="s">
        <v>65</v>
      </c>
      <c r="BG9" s="3" t="s">
        <v>66</v>
      </c>
      <c r="BH9" s="3" t="s">
        <v>67</v>
      </c>
      <c r="BI9" s="3" t="s">
        <v>68</v>
      </c>
      <c r="BJ9" s="3" t="s">
        <v>69</v>
      </c>
      <c r="BK9" s="3" t="s">
        <v>70</v>
      </c>
      <c r="BL9" s="3" t="s">
        <v>71</v>
      </c>
      <c r="BM9" s="3" t="s">
        <v>72</v>
      </c>
      <c r="BN9" s="3" t="s">
        <v>73</v>
      </c>
      <c r="BO9" s="3" t="s">
        <v>74</v>
      </c>
      <c r="BP9" s="3" t="s">
        <v>75</v>
      </c>
      <c r="BQ9" s="3" t="s">
        <v>76</v>
      </c>
      <c r="BR9" s="3" t="s">
        <v>77</v>
      </c>
      <c r="BS9" s="3" t="s">
        <v>78</v>
      </c>
      <c r="BT9" s="3" t="s">
        <v>79</v>
      </c>
      <c r="BU9" s="3" t="s">
        <v>80</v>
      </c>
      <c r="BV9" s="3" t="s">
        <v>81</v>
      </c>
      <c r="BW9" s="3" t="s">
        <v>82</v>
      </c>
      <c r="BX9" s="3" t="s">
        <v>83</v>
      </c>
      <c r="BY9" s="3" t="s">
        <v>84</v>
      </c>
      <c r="BZ9" s="3" t="s">
        <v>85</v>
      </c>
      <c r="CA9" s="3" t="s">
        <v>86</v>
      </c>
      <c r="CB9" s="3" t="s">
        <v>87</v>
      </c>
      <c r="CC9" s="3" t="s">
        <v>88</v>
      </c>
      <c r="CD9" s="3" t="s">
        <v>89</v>
      </c>
      <c r="CE9" s="3" t="s">
        <v>90</v>
      </c>
      <c r="CF9" s="3" t="s">
        <v>91</v>
      </c>
      <c r="CG9" s="3" t="s">
        <v>92</v>
      </c>
      <c r="CH9" s="3" t="s">
        <v>93</v>
      </c>
      <c r="CI9" s="3" t="s">
        <v>94</v>
      </c>
      <c r="CJ9" s="3" t="s">
        <v>95</v>
      </c>
      <c r="CK9" s="3" t="s">
        <v>96</v>
      </c>
      <c r="CL9" s="3" t="s">
        <v>97</v>
      </c>
      <c r="CM9" s="3" t="s">
        <v>98</v>
      </c>
      <c r="CN9" s="3" t="s">
        <v>99</v>
      </c>
      <c r="CO9" s="3" t="s">
        <v>100</v>
      </c>
      <c r="CP9" s="3" t="s">
        <v>101</v>
      </c>
      <c r="CQ9" s="3" t="s">
        <v>102</v>
      </c>
      <c r="CR9" s="3" t="s">
        <v>103</v>
      </c>
      <c r="CS9" s="3" t="s">
        <v>104</v>
      </c>
      <c r="CT9" s="3" t="s">
        <v>105</v>
      </c>
      <c r="CU9" s="3" t="s">
        <v>106</v>
      </c>
      <c r="CV9" s="3" t="s">
        <v>107</v>
      </c>
      <c r="CW9" s="3" t="s">
        <v>108</v>
      </c>
      <c r="CX9" s="3" t="s">
        <v>109</v>
      </c>
      <c r="CY9" s="3" t="s">
        <v>110</v>
      </c>
      <c r="CZ9" s="3" t="s">
        <v>111</v>
      </c>
      <c r="DA9" s="3" t="s">
        <v>112</v>
      </c>
      <c r="DB9" s="3" t="s">
        <v>113</v>
      </c>
      <c r="DC9" s="3" t="s">
        <v>114</v>
      </c>
      <c r="DD9" s="3" t="s">
        <v>115</v>
      </c>
      <c r="DE9" s="3" t="s">
        <v>116</v>
      </c>
      <c r="DF9" s="3" t="s">
        <v>117</v>
      </c>
      <c r="DG9" s="3" t="s">
        <v>118</v>
      </c>
      <c r="DH9" s="3" t="s">
        <v>119</v>
      </c>
      <c r="DI9" s="3" t="s">
        <v>120</v>
      </c>
      <c r="DJ9" s="3" t="s">
        <v>121</v>
      </c>
      <c r="DK9" s="3" t="s">
        <v>122</v>
      </c>
      <c r="DL9" s="3" t="s">
        <v>123</v>
      </c>
      <c r="DM9" s="3" t="s">
        <v>124</v>
      </c>
      <c r="DN9" s="3" t="s">
        <v>125</v>
      </c>
      <c r="DO9" s="3" t="s">
        <v>126</v>
      </c>
      <c r="DP9" s="3" t="s">
        <v>127</v>
      </c>
      <c r="DQ9" s="3" t="s">
        <v>128</v>
      </c>
      <c r="DR9" s="3" t="s">
        <v>129</v>
      </c>
      <c r="DS9" s="3" t="s">
        <v>130</v>
      </c>
      <c r="DT9" s="3" t="s">
        <v>131</v>
      </c>
      <c r="DU9" s="3" t="s">
        <v>132</v>
      </c>
      <c r="DV9" s="3" t="s">
        <v>133</v>
      </c>
      <c r="DW9" s="3" t="s">
        <v>134</v>
      </c>
      <c r="DX9" s="3" t="s">
        <v>135</v>
      </c>
      <c r="DY9" s="3" t="s">
        <v>136</v>
      </c>
      <c r="DZ9" s="3" t="s">
        <v>137</v>
      </c>
      <c r="EA9" s="3" t="s">
        <v>138</v>
      </c>
      <c r="EB9" s="3" t="s">
        <v>139</v>
      </c>
      <c r="EC9" s="3" t="s">
        <v>140</v>
      </c>
      <c r="ED9" s="3" t="s">
        <v>141</v>
      </c>
      <c r="EE9" s="3" t="s">
        <v>142</v>
      </c>
      <c r="EF9" s="3" t="s">
        <v>143</v>
      </c>
      <c r="EG9" s="3" t="s">
        <v>144</v>
      </c>
      <c r="EH9" s="3" t="s">
        <v>145</v>
      </c>
      <c r="EI9" s="3" t="s">
        <v>146</v>
      </c>
      <c r="EJ9" s="3" t="s">
        <v>147</v>
      </c>
      <c r="EK9" s="3" t="s">
        <v>148</v>
      </c>
      <c r="EL9" s="3" t="s">
        <v>149</v>
      </c>
      <c r="EM9" s="3" t="s">
        <v>150</v>
      </c>
      <c r="EN9" s="3" t="s">
        <v>151</v>
      </c>
      <c r="EO9" s="3" t="s">
        <v>152</v>
      </c>
      <c r="EP9" s="3" t="s">
        <v>153</v>
      </c>
      <c r="EQ9" s="3" t="s">
        <v>154</v>
      </c>
      <c r="ER9" s="3" t="s">
        <v>155</v>
      </c>
      <c r="ES9" s="3" t="s">
        <v>156</v>
      </c>
      <c r="ET9" s="3" t="s">
        <v>157</v>
      </c>
      <c r="EU9" s="3" t="s">
        <v>158</v>
      </c>
      <c r="EV9" s="3" t="s">
        <v>159</v>
      </c>
      <c r="EW9" s="3" t="s">
        <v>160</v>
      </c>
      <c r="EX9" s="3" t="s">
        <v>161</v>
      </c>
      <c r="EY9" s="3" t="s">
        <v>162</v>
      </c>
      <c r="EZ9" s="3" t="s">
        <v>163</v>
      </c>
      <c r="FA9" s="3" t="s">
        <v>164</v>
      </c>
      <c r="FB9" s="3" t="s">
        <v>165</v>
      </c>
      <c r="FC9" s="3" t="s">
        <v>166</v>
      </c>
      <c r="FD9" s="3" t="s">
        <v>167</v>
      </c>
      <c r="FE9" s="3" t="s">
        <v>168</v>
      </c>
      <c r="FF9" s="3" t="s">
        <v>169</v>
      </c>
      <c r="FG9" s="3" t="s">
        <v>170</v>
      </c>
      <c r="FH9" s="3" t="s">
        <v>171</v>
      </c>
      <c r="FI9" s="3" t="s">
        <v>172</v>
      </c>
      <c r="FJ9" s="3" t="s">
        <v>173</v>
      </c>
      <c r="FK9" s="3" t="s">
        <v>174</v>
      </c>
      <c r="FL9" s="3" t="s">
        <v>175</v>
      </c>
    </row>
    <row r="10" spans="1:168" ht="11.45" customHeight="1" x14ac:dyDescent="0.25">
      <c r="A10" s="4" t="s">
        <v>212</v>
      </c>
      <c r="B10" s="4" t="s">
        <v>213</v>
      </c>
      <c r="C10" s="6" t="s">
        <v>214</v>
      </c>
      <c r="D10" s="6" t="s">
        <v>214</v>
      </c>
      <c r="E10" s="6" t="s">
        <v>214</v>
      </c>
      <c r="F10" s="6" t="s">
        <v>214</v>
      </c>
      <c r="G10" s="6" t="s">
        <v>214</v>
      </c>
      <c r="H10" s="6" t="s">
        <v>214</v>
      </c>
      <c r="I10" s="6" t="s">
        <v>214</v>
      </c>
      <c r="J10" s="6" t="s">
        <v>214</v>
      </c>
      <c r="K10" s="6" t="s">
        <v>214</v>
      </c>
      <c r="L10" s="6" t="s">
        <v>214</v>
      </c>
      <c r="M10" s="6" t="s">
        <v>214</v>
      </c>
      <c r="N10" s="6" t="s">
        <v>214</v>
      </c>
      <c r="O10" s="6" t="s">
        <v>214</v>
      </c>
      <c r="P10" s="6" t="s">
        <v>214</v>
      </c>
      <c r="Q10" s="6" t="s">
        <v>214</v>
      </c>
      <c r="R10" s="6" t="s">
        <v>214</v>
      </c>
      <c r="S10" s="6" t="s">
        <v>214</v>
      </c>
      <c r="T10" s="6" t="s">
        <v>214</v>
      </c>
      <c r="U10" s="6" t="s">
        <v>214</v>
      </c>
      <c r="V10" s="6" t="s">
        <v>214</v>
      </c>
      <c r="W10" s="6" t="s">
        <v>214</v>
      </c>
      <c r="X10" s="6" t="s">
        <v>214</v>
      </c>
      <c r="Y10" s="6" t="s">
        <v>214</v>
      </c>
      <c r="Z10" s="6" t="s">
        <v>214</v>
      </c>
      <c r="AA10" s="6" t="s">
        <v>214</v>
      </c>
      <c r="AB10" s="6" t="s">
        <v>214</v>
      </c>
      <c r="AC10" s="6" t="s">
        <v>214</v>
      </c>
      <c r="AD10" s="6" t="s">
        <v>214</v>
      </c>
      <c r="AE10" s="6" t="s">
        <v>214</v>
      </c>
      <c r="AF10" s="6" t="s">
        <v>214</v>
      </c>
      <c r="AG10" s="6" t="s">
        <v>214</v>
      </c>
      <c r="AH10" s="6" t="s">
        <v>214</v>
      </c>
      <c r="AI10" s="6" t="s">
        <v>214</v>
      </c>
      <c r="AJ10" s="6" t="s">
        <v>214</v>
      </c>
      <c r="AK10" s="6" t="s">
        <v>214</v>
      </c>
      <c r="AL10" s="6" t="s">
        <v>214</v>
      </c>
      <c r="AM10" s="6" t="s">
        <v>214</v>
      </c>
      <c r="AN10" s="6" t="s">
        <v>214</v>
      </c>
      <c r="AO10" s="6" t="s">
        <v>214</v>
      </c>
      <c r="AP10" s="6" t="s">
        <v>214</v>
      </c>
      <c r="AQ10" s="6" t="s">
        <v>214</v>
      </c>
      <c r="AR10" s="6" t="s">
        <v>214</v>
      </c>
      <c r="AS10" s="6" t="s">
        <v>214</v>
      </c>
      <c r="AT10" s="6" t="s">
        <v>214</v>
      </c>
      <c r="AU10" s="6" t="s">
        <v>214</v>
      </c>
      <c r="AV10" s="6" t="s">
        <v>214</v>
      </c>
      <c r="AW10" s="6" t="s">
        <v>214</v>
      </c>
      <c r="AX10" s="6" t="s">
        <v>214</v>
      </c>
      <c r="AY10" s="6" t="s">
        <v>214</v>
      </c>
      <c r="AZ10" s="6" t="s">
        <v>214</v>
      </c>
      <c r="BA10" s="6" t="s">
        <v>214</v>
      </c>
      <c r="BB10" s="6" t="s">
        <v>214</v>
      </c>
      <c r="BC10" s="6" t="s">
        <v>214</v>
      </c>
      <c r="BD10" s="6" t="s">
        <v>214</v>
      </c>
      <c r="BE10" s="6" t="s">
        <v>214</v>
      </c>
      <c r="BF10" s="6" t="s">
        <v>214</v>
      </c>
      <c r="BG10" s="6" t="s">
        <v>214</v>
      </c>
      <c r="BH10" s="6" t="s">
        <v>214</v>
      </c>
      <c r="BI10" s="6" t="s">
        <v>214</v>
      </c>
      <c r="BJ10" s="6" t="s">
        <v>214</v>
      </c>
      <c r="BK10" s="6" t="s">
        <v>214</v>
      </c>
      <c r="BL10" s="6" t="s">
        <v>214</v>
      </c>
      <c r="BM10" s="6" t="s">
        <v>214</v>
      </c>
      <c r="BN10" s="6" t="s">
        <v>214</v>
      </c>
      <c r="BO10" s="6" t="s">
        <v>214</v>
      </c>
      <c r="BP10" s="6" t="s">
        <v>214</v>
      </c>
      <c r="BQ10" s="6" t="s">
        <v>214</v>
      </c>
      <c r="BR10" s="6" t="s">
        <v>214</v>
      </c>
      <c r="BS10" s="6" t="s">
        <v>214</v>
      </c>
      <c r="BT10" s="6" t="s">
        <v>214</v>
      </c>
      <c r="BU10" s="6" t="s">
        <v>214</v>
      </c>
      <c r="BV10" s="6" t="s">
        <v>214</v>
      </c>
      <c r="BW10" s="6" t="s">
        <v>214</v>
      </c>
      <c r="BX10" s="6" t="s">
        <v>214</v>
      </c>
      <c r="BY10" s="6" t="s">
        <v>214</v>
      </c>
      <c r="BZ10" s="6" t="s">
        <v>214</v>
      </c>
      <c r="CA10" s="6" t="s">
        <v>214</v>
      </c>
      <c r="CB10" s="6" t="s">
        <v>214</v>
      </c>
      <c r="CC10" s="6" t="s">
        <v>214</v>
      </c>
      <c r="CD10" s="6" t="s">
        <v>214</v>
      </c>
      <c r="CE10" s="6" t="s">
        <v>214</v>
      </c>
      <c r="CF10" s="6" t="s">
        <v>214</v>
      </c>
      <c r="CG10" s="6" t="s">
        <v>214</v>
      </c>
      <c r="CH10" s="6" t="s">
        <v>214</v>
      </c>
      <c r="CI10" s="6" t="s">
        <v>214</v>
      </c>
      <c r="CJ10" s="6" t="s">
        <v>214</v>
      </c>
      <c r="CK10" s="6" t="s">
        <v>214</v>
      </c>
      <c r="CL10" s="6" t="s">
        <v>214</v>
      </c>
      <c r="CM10" s="6" t="s">
        <v>214</v>
      </c>
      <c r="CN10" s="6" t="s">
        <v>214</v>
      </c>
      <c r="CO10" s="6" t="s">
        <v>214</v>
      </c>
      <c r="CP10" s="6" t="s">
        <v>214</v>
      </c>
      <c r="CQ10" s="6" t="s">
        <v>214</v>
      </c>
      <c r="CR10" s="6" t="s">
        <v>214</v>
      </c>
      <c r="CS10" s="6" t="s">
        <v>214</v>
      </c>
      <c r="CT10" s="6" t="s">
        <v>214</v>
      </c>
      <c r="CU10" s="6" t="s">
        <v>214</v>
      </c>
      <c r="CV10" s="6" t="s">
        <v>214</v>
      </c>
      <c r="CW10" s="6" t="s">
        <v>214</v>
      </c>
      <c r="CX10" s="6" t="s">
        <v>214</v>
      </c>
      <c r="CY10" s="6" t="s">
        <v>214</v>
      </c>
      <c r="CZ10" s="6" t="s">
        <v>214</v>
      </c>
      <c r="DA10" s="6" t="s">
        <v>214</v>
      </c>
      <c r="DB10" s="6" t="s">
        <v>214</v>
      </c>
      <c r="DC10" s="6" t="s">
        <v>214</v>
      </c>
      <c r="DD10" s="6" t="s">
        <v>214</v>
      </c>
      <c r="DE10" s="6" t="s">
        <v>214</v>
      </c>
      <c r="DF10" s="6" t="s">
        <v>214</v>
      </c>
      <c r="DG10" s="6" t="s">
        <v>214</v>
      </c>
      <c r="DH10" s="6" t="s">
        <v>214</v>
      </c>
      <c r="DI10" s="6" t="s">
        <v>214</v>
      </c>
      <c r="DJ10" s="6" t="s">
        <v>214</v>
      </c>
      <c r="DK10" s="6" t="s">
        <v>214</v>
      </c>
      <c r="DL10" s="6" t="s">
        <v>214</v>
      </c>
      <c r="DM10" s="6" t="s">
        <v>214</v>
      </c>
      <c r="DN10" s="6" t="s">
        <v>214</v>
      </c>
      <c r="DO10" s="6" t="s">
        <v>214</v>
      </c>
      <c r="DP10" s="6" t="s">
        <v>214</v>
      </c>
      <c r="DQ10" s="6" t="s">
        <v>214</v>
      </c>
      <c r="DR10" s="6" t="s">
        <v>214</v>
      </c>
      <c r="DS10" s="6" t="s">
        <v>214</v>
      </c>
      <c r="DT10" s="6" t="s">
        <v>214</v>
      </c>
      <c r="DU10" s="6" t="s">
        <v>214</v>
      </c>
      <c r="DV10" s="6" t="s">
        <v>214</v>
      </c>
      <c r="DW10" s="6" t="s">
        <v>214</v>
      </c>
      <c r="DX10" s="6" t="s">
        <v>214</v>
      </c>
      <c r="DY10" s="6" t="s">
        <v>214</v>
      </c>
      <c r="DZ10" s="6" t="s">
        <v>214</v>
      </c>
      <c r="EA10" s="6" t="s">
        <v>214</v>
      </c>
      <c r="EB10" s="6" t="s">
        <v>214</v>
      </c>
      <c r="EC10" s="6" t="s">
        <v>214</v>
      </c>
      <c r="ED10" s="6" t="s">
        <v>214</v>
      </c>
      <c r="EE10" s="6" t="s">
        <v>214</v>
      </c>
      <c r="EF10" s="6" t="s">
        <v>214</v>
      </c>
      <c r="EG10" s="6" t="s">
        <v>214</v>
      </c>
      <c r="EH10" s="6" t="s">
        <v>214</v>
      </c>
      <c r="EI10" s="6" t="s">
        <v>214</v>
      </c>
      <c r="EJ10" s="6" t="s">
        <v>214</v>
      </c>
      <c r="EK10" s="6" t="s">
        <v>214</v>
      </c>
      <c r="EL10" s="6" t="s">
        <v>214</v>
      </c>
      <c r="EM10" s="6" t="s">
        <v>214</v>
      </c>
      <c r="EN10" s="6" t="s">
        <v>214</v>
      </c>
      <c r="EO10" s="6" t="s">
        <v>214</v>
      </c>
      <c r="EP10" s="6" t="s">
        <v>214</v>
      </c>
      <c r="EQ10" s="6" t="s">
        <v>214</v>
      </c>
      <c r="ER10" s="6" t="s">
        <v>214</v>
      </c>
      <c r="ES10" s="6" t="s">
        <v>214</v>
      </c>
      <c r="ET10" s="6" t="s">
        <v>214</v>
      </c>
      <c r="EU10" s="6" t="s">
        <v>214</v>
      </c>
      <c r="EV10" s="6" t="s">
        <v>214</v>
      </c>
      <c r="EW10" s="6" t="s">
        <v>214</v>
      </c>
      <c r="EX10" s="6" t="s">
        <v>214</v>
      </c>
      <c r="EY10" s="6" t="s">
        <v>214</v>
      </c>
      <c r="EZ10" s="6" t="s">
        <v>214</v>
      </c>
      <c r="FA10" s="6" t="s">
        <v>214</v>
      </c>
      <c r="FB10" s="6" t="s">
        <v>214</v>
      </c>
      <c r="FC10" s="6" t="s">
        <v>214</v>
      </c>
      <c r="FD10" s="6" t="s">
        <v>214</v>
      </c>
      <c r="FE10" s="6" t="s">
        <v>214</v>
      </c>
      <c r="FF10" s="6" t="s">
        <v>214</v>
      </c>
      <c r="FG10" s="6" t="s">
        <v>214</v>
      </c>
      <c r="FH10" s="6" t="s">
        <v>214</v>
      </c>
      <c r="FI10" s="6" t="s">
        <v>214</v>
      </c>
      <c r="FJ10" s="6" t="s">
        <v>214</v>
      </c>
      <c r="FK10" s="6" t="s">
        <v>214</v>
      </c>
      <c r="FL10" s="6" t="s">
        <v>214</v>
      </c>
    </row>
    <row r="11" spans="1:168" ht="11.45" customHeight="1" x14ac:dyDescent="0.25">
      <c r="A11" s="5" t="s">
        <v>176</v>
      </c>
      <c r="B11" s="5" t="s">
        <v>6</v>
      </c>
      <c r="C11" s="7" t="s">
        <v>214</v>
      </c>
      <c r="D11" s="7" t="s">
        <v>214</v>
      </c>
      <c r="E11" s="7" t="s">
        <v>214</v>
      </c>
      <c r="F11" s="7" t="s">
        <v>214</v>
      </c>
      <c r="G11" s="7" t="s">
        <v>214</v>
      </c>
      <c r="H11" s="7" t="s">
        <v>214</v>
      </c>
      <c r="I11" s="7" t="s">
        <v>214</v>
      </c>
      <c r="J11" s="7" t="s">
        <v>214</v>
      </c>
      <c r="K11" s="7" t="s">
        <v>214</v>
      </c>
      <c r="L11" s="7" t="s">
        <v>214</v>
      </c>
      <c r="M11" s="7" t="s">
        <v>214</v>
      </c>
      <c r="N11" s="7" t="s">
        <v>214</v>
      </c>
      <c r="O11" s="7" t="s">
        <v>214</v>
      </c>
      <c r="P11" s="7" t="s">
        <v>214</v>
      </c>
      <c r="Q11" s="7" t="s">
        <v>214</v>
      </c>
      <c r="R11" s="7" t="s">
        <v>214</v>
      </c>
      <c r="S11" s="7" t="s">
        <v>214</v>
      </c>
      <c r="T11" s="7" t="s">
        <v>214</v>
      </c>
      <c r="U11" s="7" t="s">
        <v>214</v>
      </c>
      <c r="V11" s="7" t="s">
        <v>214</v>
      </c>
      <c r="W11" s="7" t="s">
        <v>214</v>
      </c>
      <c r="X11" s="7" t="s">
        <v>214</v>
      </c>
      <c r="Y11" s="7" t="s">
        <v>214</v>
      </c>
      <c r="Z11" s="7" t="s">
        <v>214</v>
      </c>
      <c r="AA11" s="7" t="s">
        <v>214</v>
      </c>
      <c r="AB11" s="7" t="s">
        <v>214</v>
      </c>
      <c r="AC11" s="7" t="s">
        <v>214</v>
      </c>
      <c r="AD11" s="7" t="s">
        <v>214</v>
      </c>
      <c r="AE11" s="7" t="s">
        <v>214</v>
      </c>
      <c r="AF11" s="7" t="s">
        <v>214</v>
      </c>
      <c r="AG11" s="7" t="s">
        <v>214</v>
      </c>
      <c r="AH11" s="7" t="s">
        <v>214</v>
      </c>
      <c r="AI11" s="7" t="s">
        <v>214</v>
      </c>
      <c r="AJ11" s="7" t="s">
        <v>214</v>
      </c>
      <c r="AK11" s="7" t="s">
        <v>214</v>
      </c>
      <c r="AL11" s="7" t="s">
        <v>214</v>
      </c>
      <c r="AM11" s="7" t="s">
        <v>214</v>
      </c>
      <c r="AN11" s="7" t="s">
        <v>214</v>
      </c>
      <c r="AO11" s="7" t="s">
        <v>214</v>
      </c>
      <c r="AP11" s="7" t="s">
        <v>214</v>
      </c>
      <c r="AQ11" s="7" t="s">
        <v>214</v>
      </c>
      <c r="AR11" s="7" t="s">
        <v>214</v>
      </c>
      <c r="AS11" s="7" t="s">
        <v>214</v>
      </c>
      <c r="AT11" s="7" t="s">
        <v>214</v>
      </c>
      <c r="AU11" s="7" t="s">
        <v>214</v>
      </c>
      <c r="AV11" s="7" t="s">
        <v>214</v>
      </c>
      <c r="AW11" s="7" t="s">
        <v>214</v>
      </c>
      <c r="AX11" s="7" t="s">
        <v>214</v>
      </c>
      <c r="AY11" s="7" t="s">
        <v>214</v>
      </c>
      <c r="AZ11" s="7" t="s">
        <v>214</v>
      </c>
      <c r="BA11" s="7" t="s">
        <v>214</v>
      </c>
      <c r="BB11" s="7" t="s">
        <v>214</v>
      </c>
      <c r="BC11" s="7" t="s">
        <v>214</v>
      </c>
      <c r="BD11" s="7" t="s">
        <v>214</v>
      </c>
      <c r="BE11" s="7" t="s">
        <v>214</v>
      </c>
      <c r="BF11" s="7" t="s">
        <v>214</v>
      </c>
      <c r="BG11" s="7" t="s">
        <v>214</v>
      </c>
      <c r="BH11" s="7" t="s">
        <v>214</v>
      </c>
      <c r="BI11" s="7" t="s">
        <v>214</v>
      </c>
      <c r="BJ11" s="7" t="s">
        <v>214</v>
      </c>
      <c r="BK11" s="7" t="s">
        <v>214</v>
      </c>
      <c r="BL11" s="7" t="s">
        <v>214</v>
      </c>
      <c r="BM11" s="7" t="s">
        <v>214</v>
      </c>
      <c r="BN11" s="7" t="s">
        <v>214</v>
      </c>
      <c r="BO11" s="7" t="s">
        <v>214</v>
      </c>
      <c r="BP11" s="7" t="s">
        <v>214</v>
      </c>
      <c r="BQ11" s="7" t="s">
        <v>214</v>
      </c>
      <c r="BR11" s="7" t="s">
        <v>214</v>
      </c>
      <c r="BS11" s="7" t="s">
        <v>214</v>
      </c>
      <c r="BT11" s="7" t="s">
        <v>214</v>
      </c>
      <c r="BU11" s="7" t="s">
        <v>214</v>
      </c>
      <c r="BV11" s="7" t="s">
        <v>214</v>
      </c>
      <c r="BW11" s="7" t="s">
        <v>214</v>
      </c>
      <c r="BX11" s="7" t="s">
        <v>214</v>
      </c>
      <c r="BY11" s="7" t="s">
        <v>214</v>
      </c>
      <c r="BZ11" s="7" t="s">
        <v>214</v>
      </c>
      <c r="CA11" s="7" t="s">
        <v>214</v>
      </c>
      <c r="CB11" s="7" t="s">
        <v>214</v>
      </c>
      <c r="CC11" s="7" t="s">
        <v>214</v>
      </c>
      <c r="CD11" s="7" t="s">
        <v>214</v>
      </c>
      <c r="CE11" s="7" t="s">
        <v>214</v>
      </c>
      <c r="CF11" s="7" t="s">
        <v>214</v>
      </c>
      <c r="CG11" s="7" t="s">
        <v>214</v>
      </c>
      <c r="CH11" s="7" t="s">
        <v>214</v>
      </c>
      <c r="CI11" s="7" t="s">
        <v>214</v>
      </c>
      <c r="CJ11" s="7" t="s">
        <v>214</v>
      </c>
      <c r="CK11" s="7" t="s">
        <v>214</v>
      </c>
      <c r="CL11" s="7" t="s">
        <v>214</v>
      </c>
      <c r="CM11" s="7" t="s">
        <v>214</v>
      </c>
      <c r="CN11" s="7" t="s">
        <v>214</v>
      </c>
      <c r="CO11" s="7" t="s">
        <v>214</v>
      </c>
      <c r="CP11" s="7" t="s">
        <v>214</v>
      </c>
      <c r="CQ11" s="7" t="s">
        <v>214</v>
      </c>
      <c r="CR11" s="7" t="s">
        <v>214</v>
      </c>
      <c r="CS11" s="7" t="s">
        <v>214</v>
      </c>
      <c r="CT11" s="7" t="s">
        <v>214</v>
      </c>
      <c r="CU11" s="7" t="s">
        <v>214</v>
      </c>
      <c r="CV11" s="7" t="s">
        <v>214</v>
      </c>
      <c r="CW11" s="7" t="s">
        <v>214</v>
      </c>
      <c r="CX11" s="7" t="s">
        <v>214</v>
      </c>
      <c r="CY11" s="7" t="s">
        <v>214</v>
      </c>
      <c r="CZ11" s="7" t="s">
        <v>214</v>
      </c>
      <c r="DA11" s="7" t="s">
        <v>214</v>
      </c>
      <c r="DB11" s="7" t="s">
        <v>214</v>
      </c>
      <c r="DC11" s="7" t="s">
        <v>214</v>
      </c>
      <c r="DD11" s="7" t="s">
        <v>214</v>
      </c>
      <c r="DE11" s="7" t="s">
        <v>214</v>
      </c>
      <c r="DF11" s="7" t="s">
        <v>214</v>
      </c>
      <c r="DG11" s="7" t="s">
        <v>214</v>
      </c>
      <c r="DH11" s="7" t="s">
        <v>214</v>
      </c>
      <c r="DI11" s="7" t="s">
        <v>214</v>
      </c>
      <c r="DJ11" s="7" t="s">
        <v>214</v>
      </c>
      <c r="DK11" s="7" t="s">
        <v>214</v>
      </c>
      <c r="DL11" s="7" t="s">
        <v>214</v>
      </c>
      <c r="DM11" s="7" t="s">
        <v>214</v>
      </c>
      <c r="DN11" s="7" t="s">
        <v>214</v>
      </c>
      <c r="DO11" s="7" t="s">
        <v>214</v>
      </c>
      <c r="DP11" s="7" t="s">
        <v>214</v>
      </c>
      <c r="DQ11" s="7" t="s">
        <v>214</v>
      </c>
      <c r="DR11" s="7" t="s">
        <v>214</v>
      </c>
      <c r="DS11" s="7" t="s">
        <v>214</v>
      </c>
      <c r="DT11" s="7" t="s">
        <v>214</v>
      </c>
      <c r="DU11" s="7" t="s">
        <v>214</v>
      </c>
      <c r="DV11" s="7" t="s">
        <v>214</v>
      </c>
      <c r="DW11" s="7" t="s">
        <v>214</v>
      </c>
      <c r="DX11" s="7" t="s">
        <v>214</v>
      </c>
      <c r="DY11" s="7" t="s">
        <v>214</v>
      </c>
      <c r="DZ11" s="7" t="s">
        <v>214</v>
      </c>
      <c r="EA11" s="7" t="s">
        <v>214</v>
      </c>
      <c r="EB11" s="7" t="s">
        <v>214</v>
      </c>
      <c r="EC11" s="7" t="s">
        <v>214</v>
      </c>
      <c r="ED11" s="7" t="s">
        <v>214</v>
      </c>
      <c r="EE11" s="7" t="s">
        <v>214</v>
      </c>
      <c r="EF11" s="7" t="s">
        <v>214</v>
      </c>
      <c r="EG11" s="7" t="s">
        <v>214</v>
      </c>
      <c r="EH11" s="7" t="s">
        <v>214</v>
      </c>
      <c r="EI11" s="7" t="s">
        <v>214</v>
      </c>
      <c r="EJ11" s="7" t="s">
        <v>214</v>
      </c>
      <c r="EK11" s="7" t="s">
        <v>214</v>
      </c>
      <c r="EL11" s="7" t="s">
        <v>214</v>
      </c>
      <c r="EM11" s="7" t="s">
        <v>214</v>
      </c>
      <c r="EN11" s="7" t="s">
        <v>214</v>
      </c>
      <c r="EO11" s="7" t="s">
        <v>214</v>
      </c>
      <c r="EP11" s="7" t="s">
        <v>214</v>
      </c>
      <c r="EQ11" s="7" t="s">
        <v>214</v>
      </c>
      <c r="ER11" s="7" t="s">
        <v>214</v>
      </c>
      <c r="ES11" s="7" t="s">
        <v>214</v>
      </c>
      <c r="ET11" s="7" t="s">
        <v>214</v>
      </c>
      <c r="EU11" s="7" t="s">
        <v>214</v>
      </c>
      <c r="EV11" s="7" t="s">
        <v>214</v>
      </c>
      <c r="EW11" s="7" t="s">
        <v>214</v>
      </c>
      <c r="EX11" s="7" t="s">
        <v>214</v>
      </c>
      <c r="EY11" s="7" t="s">
        <v>214</v>
      </c>
      <c r="EZ11" s="7" t="s">
        <v>214</v>
      </c>
      <c r="FA11" s="7" t="s">
        <v>214</v>
      </c>
      <c r="FB11" s="7" t="s">
        <v>214</v>
      </c>
      <c r="FC11" s="7" t="s">
        <v>214</v>
      </c>
      <c r="FD11" s="7" t="s">
        <v>214</v>
      </c>
      <c r="FE11" s="7" t="s">
        <v>214</v>
      </c>
      <c r="FF11" s="7" t="s">
        <v>214</v>
      </c>
      <c r="FG11" s="7" t="s">
        <v>214</v>
      </c>
      <c r="FH11" s="7" t="s">
        <v>214</v>
      </c>
      <c r="FI11" s="7" t="s">
        <v>214</v>
      </c>
      <c r="FJ11" s="7" t="s">
        <v>214</v>
      </c>
      <c r="FK11" s="7" t="s">
        <v>214</v>
      </c>
      <c r="FL11" s="7" t="s">
        <v>214</v>
      </c>
    </row>
    <row r="12" spans="1:168" ht="11.45" customHeight="1" x14ac:dyDescent="0.25">
      <c r="A12" s="5" t="s">
        <v>176</v>
      </c>
      <c r="B12" s="5" t="s">
        <v>7</v>
      </c>
      <c r="C12" s="8" t="s">
        <v>214</v>
      </c>
      <c r="D12" s="8" t="s">
        <v>214</v>
      </c>
      <c r="E12" s="8" t="s">
        <v>214</v>
      </c>
      <c r="F12" s="8" t="s">
        <v>214</v>
      </c>
      <c r="G12" s="8" t="s">
        <v>214</v>
      </c>
      <c r="H12" s="8" t="s">
        <v>214</v>
      </c>
      <c r="I12" s="8" t="s">
        <v>214</v>
      </c>
      <c r="J12" s="8" t="s">
        <v>214</v>
      </c>
      <c r="K12" s="8" t="s">
        <v>214</v>
      </c>
      <c r="L12" s="8" t="s">
        <v>214</v>
      </c>
      <c r="M12" s="8" t="s">
        <v>214</v>
      </c>
      <c r="N12" s="8" t="s">
        <v>214</v>
      </c>
      <c r="O12" s="8" t="s">
        <v>214</v>
      </c>
      <c r="P12" s="8" t="s">
        <v>214</v>
      </c>
      <c r="Q12" s="8" t="s">
        <v>214</v>
      </c>
      <c r="R12" s="8" t="s">
        <v>214</v>
      </c>
      <c r="S12" s="8" t="s">
        <v>214</v>
      </c>
      <c r="T12" s="8" t="s">
        <v>214</v>
      </c>
      <c r="U12" s="8" t="s">
        <v>214</v>
      </c>
      <c r="V12" s="8" t="s">
        <v>214</v>
      </c>
      <c r="W12" s="8" t="s">
        <v>214</v>
      </c>
      <c r="X12" s="8" t="s">
        <v>214</v>
      </c>
      <c r="Y12" s="8" t="s">
        <v>214</v>
      </c>
      <c r="Z12" s="8" t="s">
        <v>214</v>
      </c>
      <c r="AA12" s="8" t="s">
        <v>214</v>
      </c>
      <c r="AB12" s="8" t="s">
        <v>214</v>
      </c>
      <c r="AC12" s="8" t="s">
        <v>214</v>
      </c>
      <c r="AD12" s="8" t="s">
        <v>214</v>
      </c>
      <c r="AE12" s="8" t="s">
        <v>214</v>
      </c>
      <c r="AF12" s="8" t="s">
        <v>214</v>
      </c>
      <c r="AG12" s="8" t="s">
        <v>214</v>
      </c>
      <c r="AH12" s="8" t="s">
        <v>214</v>
      </c>
      <c r="AI12" s="8" t="s">
        <v>214</v>
      </c>
      <c r="AJ12" s="8" t="s">
        <v>214</v>
      </c>
      <c r="AK12" s="8" t="s">
        <v>214</v>
      </c>
      <c r="AL12" s="8" t="s">
        <v>214</v>
      </c>
      <c r="AM12" s="8" t="s">
        <v>214</v>
      </c>
      <c r="AN12" s="8" t="s">
        <v>217</v>
      </c>
      <c r="AO12" s="8" t="s">
        <v>214</v>
      </c>
      <c r="AP12" s="8" t="s">
        <v>214</v>
      </c>
      <c r="AQ12" s="8" t="s">
        <v>214</v>
      </c>
      <c r="AR12" s="8" t="s">
        <v>214</v>
      </c>
      <c r="AS12" s="8" t="s">
        <v>214</v>
      </c>
      <c r="AT12" s="8" t="s">
        <v>214</v>
      </c>
      <c r="AU12" s="8" t="s">
        <v>214</v>
      </c>
      <c r="AV12" s="8" t="s">
        <v>214</v>
      </c>
      <c r="AW12" s="8" t="s">
        <v>214</v>
      </c>
      <c r="AX12" s="8" t="s">
        <v>214</v>
      </c>
      <c r="AY12" s="8" t="s">
        <v>214</v>
      </c>
      <c r="AZ12" s="8" t="s">
        <v>214</v>
      </c>
      <c r="BA12" s="8" t="s">
        <v>214</v>
      </c>
      <c r="BB12" s="8" t="s">
        <v>214</v>
      </c>
      <c r="BC12" s="8" t="s">
        <v>214</v>
      </c>
      <c r="BD12" s="8" t="s">
        <v>214</v>
      </c>
      <c r="BE12" s="8" t="s">
        <v>214</v>
      </c>
      <c r="BF12" s="8" t="s">
        <v>214</v>
      </c>
      <c r="BG12" s="8" t="s">
        <v>214</v>
      </c>
      <c r="BH12" s="8" t="s">
        <v>214</v>
      </c>
      <c r="BI12" s="8" t="s">
        <v>214</v>
      </c>
      <c r="BJ12" s="8" t="s">
        <v>214</v>
      </c>
      <c r="BK12" s="8" t="s">
        <v>214</v>
      </c>
      <c r="BL12" s="8" t="s">
        <v>214</v>
      </c>
      <c r="BM12" s="8" t="s">
        <v>214</v>
      </c>
      <c r="BN12" s="8" t="s">
        <v>214</v>
      </c>
      <c r="BO12" s="8" t="s">
        <v>217</v>
      </c>
      <c r="BP12" s="8" t="s">
        <v>214</v>
      </c>
      <c r="BQ12" s="8" t="s">
        <v>214</v>
      </c>
      <c r="BR12" s="8" t="s">
        <v>214</v>
      </c>
      <c r="BS12" s="8" t="s">
        <v>214</v>
      </c>
      <c r="BT12" s="8" t="s">
        <v>214</v>
      </c>
      <c r="BU12" s="8" t="s">
        <v>214</v>
      </c>
      <c r="BV12" s="8" t="s">
        <v>214</v>
      </c>
      <c r="BW12" s="8" t="s">
        <v>214</v>
      </c>
      <c r="BX12" s="8" t="s">
        <v>214</v>
      </c>
      <c r="BY12" s="8" t="s">
        <v>214</v>
      </c>
      <c r="BZ12" s="8" t="s">
        <v>214</v>
      </c>
      <c r="CA12" s="8" t="s">
        <v>214</v>
      </c>
      <c r="CB12" s="8" t="s">
        <v>214</v>
      </c>
      <c r="CC12" s="8" t="s">
        <v>214</v>
      </c>
      <c r="CD12" s="8" t="s">
        <v>214</v>
      </c>
      <c r="CE12" s="8" t="s">
        <v>214</v>
      </c>
      <c r="CF12" s="8" t="s">
        <v>214</v>
      </c>
      <c r="CG12" s="8" t="s">
        <v>214</v>
      </c>
      <c r="CH12" s="8" t="s">
        <v>214</v>
      </c>
      <c r="CI12" s="8" t="s">
        <v>214</v>
      </c>
      <c r="CJ12" s="8" t="s">
        <v>214</v>
      </c>
      <c r="CK12" s="8" t="s">
        <v>214</v>
      </c>
      <c r="CL12" s="8" t="s">
        <v>214</v>
      </c>
      <c r="CM12" s="8" t="s">
        <v>214</v>
      </c>
      <c r="CN12" s="8" t="s">
        <v>214</v>
      </c>
      <c r="CO12" s="8" t="s">
        <v>214</v>
      </c>
      <c r="CP12" s="8" t="s">
        <v>214</v>
      </c>
      <c r="CQ12" s="8" t="s">
        <v>214</v>
      </c>
      <c r="CR12" s="8" t="s">
        <v>214</v>
      </c>
      <c r="CS12" s="8" t="s">
        <v>214</v>
      </c>
      <c r="CT12" s="8" t="s">
        <v>214</v>
      </c>
      <c r="CU12" s="8" t="s">
        <v>214</v>
      </c>
      <c r="CV12" s="8" t="s">
        <v>214</v>
      </c>
      <c r="CW12" s="8" t="s">
        <v>214</v>
      </c>
      <c r="CX12" s="8" t="s">
        <v>214</v>
      </c>
      <c r="CY12" s="8" t="s">
        <v>214</v>
      </c>
      <c r="CZ12" s="8" t="s">
        <v>214</v>
      </c>
      <c r="DA12" s="8" t="s">
        <v>214</v>
      </c>
      <c r="DB12" s="8" t="s">
        <v>214</v>
      </c>
      <c r="DC12" s="8" t="s">
        <v>214</v>
      </c>
      <c r="DD12" s="8" t="s">
        <v>214</v>
      </c>
      <c r="DE12" s="8" t="s">
        <v>214</v>
      </c>
      <c r="DF12" s="8" t="s">
        <v>214</v>
      </c>
      <c r="DG12" s="8" t="s">
        <v>214</v>
      </c>
      <c r="DH12" s="8" t="s">
        <v>214</v>
      </c>
      <c r="DI12" s="8" t="s">
        <v>214</v>
      </c>
      <c r="DJ12" s="8" t="s">
        <v>214</v>
      </c>
      <c r="DK12" s="8" t="s">
        <v>214</v>
      </c>
      <c r="DL12" s="8" t="s">
        <v>214</v>
      </c>
      <c r="DM12" s="8" t="s">
        <v>214</v>
      </c>
      <c r="DN12" s="8" t="s">
        <v>214</v>
      </c>
      <c r="DO12" s="8" t="s">
        <v>214</v>
      </c>
      <c r="DP12" s="8" t="s">
        <v>214</v>
      </c>
      <c r="DQ12" s="8" t="s">
        <v>214</v>
      </c>
      <c r="DR12" s="8" t="s">
        <v>214</v>
      </c>
      <c r="DS12" s="8" t="s">
        <v>214</v>
      </c>
      <c r="DT12" s="8" t="s">
        <v>214</v>
      </c>
      <c r="DU12" s="8" t="s">
        <v>214</v>
      </c>
      <c r="DV12" s="8" t="s">
        <v>214</v>
      </c>
      <c r="DW12" s="8" t="s">
        <v>214</v>
      </c>
      <c r="DX12" s="8" t="s">
        <v>214</v>
      </c>
      <c r="DY12" s="8" t="s">
        <v>214</v>
      </c>
      <c r="DZ12" s="8" t="s">
        <v>214</v>
      </c>
      <c r="EA12" s="8" t="s">
        <v>214</v>
      </c>
      <c r="EB12" s="8" t="s">
        <v>214</v>
      </c>
      <c r="EC12" s="8" t="s">
        <v>214</v>
      </c>
      <c r="ED12" s="8" t="s">
        <v>214</v>
      </c>
      <c r="EE12" s="8" t="s">
        <v>214</v>
      </c>
      <c r="EF12" s="8" t="s">
        <v>214</v>
      </c>
      <c r="EG12" s="8" t="s">
        <v>214</v>
      </c>
      <c r="EH12" s="8" t="s">
        <v>214</v>
      </c>
      <c r="EI12" s="8" t="s">
        <v>214</v>
      </c>
      <c r="EJ12" s="8" t="s">
        <v>214</v>
      </c>
      <c r="EK12" s="8" t="s">
        <v>214</v>
      </c>
      <c r="EL12" s="8" t="s">
        <v>214</v>
      </c>
      <c r="EM12" s="8" t="s">
        <v>214</v>
      </c>
      <c r="EN12" s="8" t="s">
        <v>214</v>
      </c>
      <c r="EO12" s="8" t="s">
        <v>214</v>
      </c>
      <c r="EP12" s="8" t="s">
        <v>214</v>
      </c>
      <c r="EQ12" s="8" t="s">
        <v>214</v>
      </c>
      <c r="ER12" s="8" t="s">
        <v>214</v>
      </c>
      <c r="ES12" s="8" t="s">
        <v>214</v>
      </c>
      <c r="ET12" s="8" t="s">
        <v>214</v>
      </c>
      <c r="EU12" s="8" t="s">
        <v>214</v>
      </c>
      <c r="EV12" s="8" t="s">
        <v>214</v>
      </c>
      <c r="EW12" s="8" t="s">
        <v>214</v>
      </c>
      <c r="EX12" s="8" t="s">
        <v>214</v>
      </c>
      <c r="EY12" s="8" t="s">
        <v>214</v>
      </c>
      <c r="EZ12" s="8" t="s">
        <v>214</v>
      </c>
      <c r="FA12" s="8" t="s">
        <v>214</v>
      </c>
      <c r="FB12" s="8" t="s">
        <v>214</v>
      </c>
      <c r="FC12" s="8" t="s">
        <v>214</v>
      </c>
      <c r="FD12" s="8" t="s">
        <v>214</v>
      </c>
      <c r="FE12" s="8" t="s">
        <v>214</v>
      </c>
      <c r="FF12" s="8" t="s">
        <v>214</v>
      </c>
      <c r="FG12" s="8" t="s">
        <v>214</v>
      </c>
      <c r="FH12" s="8" t="s">
        <v>214</v>
      </c>
      <c r="FI12" s="8" t="s">
        <v>214</v>
      </c>
      <c r="FJ12" s="8" t="s">
        <v>214</v>
      </c>
      <c r="FK12" s="8" t="s">
        <v>214</v>
      </c>
      <c r="FL12" s="8" t="s">
        <v>214</v>
      </c>
    </row>
    <row r="13" spans="1:168" ht="11.45" customHeight="1" x14ac:dyDescent="0.25">
      <c r="A13" s="5" t="s">
        <v>176</v>
      </c>
      <c r="B13" s="5" t="s">
        <v>8</v>
      </c>
      <c r="C13" s="7" t="s">
        <v>214</v>
      </c>
      <c r="D13" s="7" t="s">
        <v>214</v>
      </c>
      <c r="E13" s="7" t="s">
        <v>214</v>
      </c>
      <c r="F13" s="7" t="s">
        <v>214</v>
      </c>
      <c r="G13" s="7" t="s">
        <v>214</v>
      </c>
      <c r="H13" s="7" t="s">
        <v>214</v>
      </c>
      <c r="I13" s="7" t="s">
        <v>214</v>
      </c>
      <c r="J13" s="7" t="s">
        <v>214</v>
      </c>
      <c r="K13" s="7" t="s">
        <v>214</v>
      </c>
      <c r="L13" s="7" t="s">
        <v>214</v>
      </c>
      <c r="M13" s="7" t="s">
        <v>214</v>
      </c>
      <c r="N13" s="7" t="s">
        <v>214</v>
      </c>
      <c r="O13" s="7" t="s">
        <v>214</v>
      </c>
      <c r="P13" s="7" t="s">
        <v>214</v>
      </c>
      <c r="Q13" s="7" t="s">
        <v>214</v>
      </c>
      <c r="R13" s="7" t="s">
        <v>214</v>
      </c>
      <c r="S13" s="7" t="s">
        <v>214</v>
      </c>
      <c r="T13" s="7" t="s">
        <v>214</v>
      </c>
      <c r="U13" s="7" t="s">
        <v>214</v>
      </c>
      <c r="V13" s="7" t="s">
        <v>214</v>
      </c>
      <c r="W13" s="7" t="s">
        <v>214</v>
      </c>
      <c r="X13" s="7" t="s">
        <v>214</v>
      </c>
      <c r="Y13" s="7" t="s">
        <v>214</v>
      </c>
      <c r="Z13" s="7" t="s">
        <v>214</v>
      </c>
      <c r="AA13" s="7" t="s">
        <v>214</v>
      </c>
      <c r="AB13" s="7" t="s">
        <v>214</v>
      </c>
      <c r="AC13" s="7" t="s">
        <v>214</v>
      </c>
      <c r="AD13" s="7" t="s">
        <v>214</v>
      </c>
      <c r="AE13" s="7" t="s">
        <v>214</v>
      </c>
      <c r="AF13" s="7" t="s">
        <v>214</v>
      </c>
      <c r="AG13" s="7" t="s">
        <v>214</v>
      </c>
      <c r="AH13" s="7" t="s">
        <v>214</v>
      </c>
      <c r="AI13" s="7" t="s">
        <v>214</v>
      </c>
      <c r="AJ13" s="7" t="s">
        <v>214</v>
      </c>
      <c r="AK13" s="7" t="s">
        <v>214</v>
      </c>
      <c r="AL13" s="7" t="s">
        <v>214</v>
      </c>
      <c r="AM13" s="7" t="s">
        <v>214</v>
      </c>
      <c r="AN13" s="7" t="s">
        <v>214</v>
      </c>
      <c r="AO13" s="7" t="s">
        <v>214</v>
      </c>
      <c r="AP13" s="7" t="s">
        <v>214</v>
      </c>
      <c r="AQ13" s="7" t="s">
        <v>214</v>
      </c>
      <c r="AR13" s="7" t="s">
        <v>214</v>
      </c>
      <c r="AS13" s="7" t="s">
        <v>214</v>
      </c>
      <c r="AT13" s="7" t="s">
        <v>214</v>
      </c>
      <c r="AU13" s="7" t="s">
        <v>214</v>
      </c>
      <c r="AV13" s="7" t="s">
        <v>214</v>
      </c>
      <c r="AW13" s="7" t="s">
        <v>214</v>
      </c>
      <c r="AX13" s="7" t="s">
        <v>214</v>
      </c>
      <c r="AY13" s="7" t="s">
        <v>214</v>
      </c>
      <c r="AZ13" s="7" t="s">
        <v>214</v>
      </c>
      <c r="BA13" s="7" t="s">
        <v>214</v>
      </c>
      <c r="BB13" s="7" t="s">
        <v>214</v>
      </c>
      <c r="BC13" s="7" t="s">
        <v>214</v>
      </c>
      <c r="BD13" s="7" t="s">
        <v>214</v>
      </c>
      <c r="BE13" s="7" t="s">
        <v>214</v>
      </c>
      <c r="BF13" s="7" t="s">
        <v>214</v>
      </c>
      <c r="BG13" s="7" t="s">
        <v>214</v>
      </c>
      <c r="BH13" s="7" t="s">
        <v>214</v>
      </c>
      <c r="BI13" s="7" t="s">
        <v>214</v>
      </c>
      <c r="BJ13" s="7" t="s">
        <v>214</v>
      </c>
      <c r="BK13" s="7" t="s">
        <v>214</v>
      </c>
      <c r="BL13" s="7" t="s">
        <v>214</v>
      </c>
      <c r="BM13" s="7" t="s">
        <v>214</v>
      </c>
      <c r="BN13" s="7" t="s">
        <v>214</v>
      </c>
      <c r="BO13" s="7" t="s">
        <v>214</v>
      </c>
      <c r="BP13" s="7" t="s">
        <v>214</v>
      </c>
      <c r="BQ13" s="7" t="s">
        <v>214</v>
      </c>
      <c r="BR13" s="7" t="s">
        <v>217</v>
      </c>
      <c r="BS13" s="7" t="s">
        <v>214</v>
      </c>
      <c r="BT13" s="7" t="s">
        <v>214</v>
      </c>
      <c r="BU13" s="7" t="s">
        <v>214</v>
      </c>
      <c r="BV13" s="7" t="s">
        <v>214</v>
      </c>
      <c r="BW13" s="7" t="s">
        <v>214</v>
      </c>
      <c r="BX13" s="7" t="s">
        <v>214</v>
      </c>
      <c r="BY13" s="7" t="s">
        <v>214</v>
      </c>
      <c r="BZ13" s="7" t="s">
        <v>214</v>
      </c>
      <c r="CA13" s="7" t="s">
        <v>214</v>
      </c>
      <c r="CB13" s="7" t="s">
        <v>214</v>
      </c>
      <c r="CC13" s="7" t="s">
        <v>214</v>
      </c>
      <c r="CD13" s="7" t="s">
        <v>214</v>
      </c>
      <c r="CE13" s="7" t="s">
        <v>214</v>
      </c>
      <c r="CF13" s="7" t="s">
        <v>214</v>
      </c>
      <c r="CG13" s="7" t="s">
        <v>214</v>
      </c>
      <c r="CH13" s="7" t="s">
        <v>214</v>
      </c>
      <c r="CI13" s="7" t="s">
        <v>214</v>
      </c>
      <c r="CJ13" s="7" t="s">
        <v>214</v>
      </c>
      <c r="CK13" s="7" t="s">
        <v>214</v>
      </c>
      <c r="CL13" s="7" t="s">
        <v>214</v>
      </c>
      <c r="CM13" s="7" t="s">
        <v>214</v>
      </c>
      <c r="CN13" s="7" t="s">
        <v>214</v>
      </c>
      <c r="CO13" s="7" t="s">
        <v>214</v>
      </c>
      <c r="CP13" s="7" t="s">
        <v>214</v>
      </c>
      <c r="CQ13" s="7" t="s">
        <v>214</v>
      </c>
      <c r="CR13" s="7" t="s">
        <v>214</v>
      </c>
      <c r="CS13" s="7" t="s">
        <v>214</v>
      </c>
      <c r="CT13" s="7" t="s">
        <v>214</v>
      </c>
      <c r="CU13" s="7" t="s">
        <v>214</v>
      </c>
      <c r="CV13" s="7" t="s">
        <v>214</v>
      </c>
      <c r="CW13" s="7" t="s">
        <v>214</v>
      </c>
      <c r="CX13" s="7" t="s">
        <v>214</v>
      </c>
      <c r="CY13" s="7" t="s">
        <v>214</v>
      </c>
      <c r="CZ13" s="7" t="s">
        <v>214</v>
      </c>
      <c r="DA13" s="7" t="s">
        <v>214</v>
      </c>
      <c r="DB13" s="7" t="s">
        <v>214</v>
      </c>
      <c r="DC13" s="7" t="s">
        <v>217</v>
      </c>
      <c r="DD13" s="7" t="s">
        <v>214</v>
      </c>
      <c r="DE13" s="7" t="s">
        <v>214</v>
      </c>
      <c r="DF13" s="7" t="s">
        <v>214</v>
      </c>
      <c r="DG13" s="7" t="s">
        <v>214</v>
      </c>
      <c r="DH13" s="7" t="s">
        <v>214</v>
      </c>
      <c r="DI13" s="7" t="s">
        <v>214</v>
      </c>
      <c r="DJ13" s="7" t="s">
        <v>214</v>
      </c>
      <c r="DK13" s="7" t="s">
        <v>214</v>
      </c>
      <c r="DL13" s="7" t="s">
        <v>214</v>
      </c>
      <c r="DM13" s="7" t="s">
        <v>214</v>
      </c>
      <c r="DN13" s="7" t="s">
        <v>214</v>
      </c>
      <c r="DO13" s="7" t="s">
        <v>214</v>
      </c>
      <c r="DP13" s="7" t="s">
        <v>214</v>
      </c>
      <c r="DQ13" s="7" t="s">
        <v>214</v>
      </c>
      <c r="DR13" s="7" t="s">
        <v>214</v>
      </c>
      <c r="DS13" s="7" t="s">
        <v>214</v>
      </c>
      <c r="DT13" s="7" t="s">
        <v>214</v>
      </c>
      <c r="DU13" s="7" t="s">
        <v>214</v>
      </c>
      <c r="DV13" s="7" t="s">
        <v>214</v>
      </c>
      <c r="DW13" s="7" t="s">
        <v>214</v>
      </c>
      <c r="DX13" s="7" t="s">
        <v>214</v>
      </c>
      <c r="DY13" s="7" t="s">
        <v>214</v>
      </c>
      <c r="DZ13" s="7" t="s">
        <v>214</v>
      </c>
      <c r="EA13" s="7" t="s">
        <v>214</v>
      </c>
      <c r="EB13" s="7" t="s">
        <v>214</v>
      </c>
      <c r="EC13" s="7" t="s">
        <v>214</v>
      </c>
      <c r="ED13" s="7" t="s">
        <v>214</v>
      </c>
      <c r="EE13" s="7" t="s">
        <v>214</v>
      </c>
      <c r="EF13" s="7" t="s">
        <v>214</v>
      </c>
      <c r="EG13" s="7" t="s">
        <v>214</v>
      </c>
      <c r="EH13" s="7" t="s">
        <v>214</v>
      </c>
      <c r="EI13" s="7" t="s">
        <v>214</v>
      </c>
      <c r="EJ13" s="7" t="s">
        <v>214</v>
      </c>
      <c r="EK13" s="7" t="s">
        <v>214</v>
      </c>
      <c r="EL13" s="7" t="s">
        <v>214</v>
      </c>
      <c r="EM13" s="7" t="s">
        <v>214</v>
      </c>
      <c r="EN13" s="7" t="s">
        <v>214</v>
      </c>
      <c r="EO13" s="7" t="s">
        <v>214</v>
      </c>
      <c r="EP13" s="7" t="s">
        <v>214</v>
      </c>
      <c r="EQ13" s="7" t="s">
        <v>214</v>
      </c>
      <c r="ER13" s="7" t="s">
        <v>214</v>
      </c>
      <c r="ES13" s="7" t="s">
        <v>214</v>
      </c>
      <c r="ET13" s="7" t="s">
        <v>214</v>
      </c>
      <c r="EU13" s="7" t="s">
        <v>214</v>
      </c>
      <c r="EV13" s="7" t="s">
        <v>214</v>
      </c>
      <c r="EW13" s="7" t="s">
        <v>214</v>
      </c>
      <c r="EX13" s="7" t="s">
        <v>214</v>
      </c>
      <c r="EY13" s="7" t="s">
        <v>214</v>
      </c>
      <c r="EZ13" s="7" t="s">
        <v>214</v>
      </c>
      <c r="FA13" s="7" t="s">
        <v>214</v>
      </c>
      <c r="FB13" s="7" t="s">
        <v>214</v>
      </c>
      <c r="FC13" s="7" t="s">
        <v>214</v>
      </c>
      <c r="FD13" s="7" t="s">
        <v>214</v>
      </c>
      <c r="FE13" s="7" t="s">
        <v>214</v>
      </c>
      <c r="FF13" s="7" t="s">
        <v>214</v>
      </c>
      <c r="FG13" s="7" t="s">
        <v>214</v>
      </c>
      <c r="FH13" s="7" t="s">
        <v>214</v>
      </c>
      <c r="FI13" s="7" t="s">
        <v>214</v>
      </c>
      <c r="FJ13" s="7" t="s">
        <v>214</v>
      </c>
      <c r="FK13" s="7" t="s">
        <v>214</v>
      </c>
      <c r="FL13" s="7" t="s">
        <v>214</v>
      </c>
    </row>
    <row r="14" spans="1:168" ht="11.45" customHeight="1" x14ac:dyDescent="0.25">
      <c r="A14" s="5" t="s">
        <v>176</v>
      </c>
      <c r="B14" s="5" t="s">
        <v>9</v>
      </c>
      <c r="C14" s="8" t="s">
        <v>214</v>
      </c>
      <c r="D14" s="8" t="s">
        <v>214</v>
      </c>
      <c r="E14" s="8" t="s">
        <v>214</v>
      </c>
      <c r="F14" s="8" t="s">
        <v>214</v>
      </c>
      <c r="G14" s="8" t="s">
        <v>214</v>
      </c>
      <c r="H14" s="8" t="s">
        <v>214</v>
      </c>
      <c r="I14" s="8" t="s">
        <v>214</v>
      </c>
      <c r="J14" s="8" t="s">
        <v>214</v>
      </c>
      <c r="K14" s="8" t="s">
        <v>214</v>
      </c>
      <c r="L14" s="8" t="s">
        <v>214</v>
      </c>
      <c r="M14" s="8" t="s">
        <v>214</v>
      </c>
      <c r="N14" s="8" t="s">
        <v>214</v>
      </c>
      <c r="O14" s="8" t="s">
        <v>214</v>
      </c>
      <c r="P14" s="8" t="s">
        <v>214</v>
      </c>
      <c r="Q14" s="8" t="s">
        <v>214</v>
      </c>
      <c r="R14" s="8" t="s">
        <v>214</v>
      </c>
      <c r="S14" s="8" t="s">
        <v>214</v>
      </c>
      <c r="T14" s="8" t="s">
        <v>214</v>
      </c>
      <c r="U14" s="8" t="s">
        <v>214</v>
      </c>
      <c r="V14" s="8" t="s">
        <v>214</v>
      </c>
      <c r="W14" s="8" t="s">
        <v>214</v>
      </c>
      <c r="X14" s="8" t="s">
        <v>214</v>
      </c>
      <c r="Y14" s="8" t="s">
        <v>214</v>
      </c>
      <c r="Z14" s="8" t="s">
        <v>214</v>
      </c>
      <c r="AA14" s="8" t="s">
        <v>214</v>
      </c>
      <c r="AB14" s="8" t="s">
        <v>214</v>
      </c>
      <c r="AC14" s="8" t="s">
        <v>214</v>
      </c>
      <c r="AD14" s="8" t="s">
        <v>214</v>
      </c>
      <c r="AE14" s="8" t="s">
        <v>214</v>
      </c>
      <c r="AF14" s="8" t="s">
        <v>214</v>
      </c>
      <c r="AG14" s="8" t="s">
        <v>214</v>
      </c>
      <c r="AH14" s="8" t="s">
        <v>214</v>
      </c>
      <c r="AI14" s="8" t="s">
        <v>214</v>
      </c>
      <c r="AJ14" s="8" t="s">
        <v>214</v>
      </c>
      <c r="AK14" s="8" t="s">
        <v>214</v>
      </c>
      <c r="AL14" s="8" t="s">
        <v>214</v>
      </c>
      <c r="AM14" s="8" t="s">
        <v>214</v>
      </c>
      <c r="AN14" s="8" t="s">
        <v>214</v>
      </c>
      <c r="AO14" s="8" t="s">
        <v>214</v>
      </c>
      <c r="AP14" s="8" t="s">
        <v>214</v>
      </c>
      <c r="AQ14" s="8" t="s">
        <v>214</v>
      </c>
      <c r="AR14" s="8" t="s">
        <v>214</v>
      </c>
      <c r="AS14" s="8" t="s">
        <v>214</v>
      </c>
      <c r="AT14" s="8" t="s">
        <v>214</v>
      </c>
      <c r="AU14" s="8" t="s">
        <v>214</v>
      </c>
      <c r="AV14" s="8" t="s">
        <v>214</v>
      </c>
      <c r="AW14" s="8" t="s">
        <v>214</v>
      </c>
      <c r="AX14" s="8" t="s">
        <v>214</v>
      </c>
      <c r="AY14" s="8" t="s">
        <v>214</v>
      </c>
      <c r="AZ14" s="8" t="s">
        <v>214</v>
      </c>
      <c r="BA14" s="8" t="s">
        <v>214</v>
      </c>
      <c r="BB14" s="8" t="s">
        <v>214</v>
      </c>
      <c r="BC14" s="8" t="s">
        <v>214</v>
      </c>
      <c r="BD14" s="8" t="s">
        <v>214</v>
      </c>
      <c r="BE14" s="8" t="s">
        <v>214</v>
      </c>
      <c r="BF14" s="8" t="s">
        <v>214</v>
      </c>
      <c r="BG14" s="8" t="s">
        <v>214</v>
      </c>
      <c r="BH14" s="8" t="s">
        <v>214</v>
      </c>
      <c r="BI14" s="8" t="s">
        <v>214</v>
      </c>
      <c r="BJ14" s="8" t="s">
        <v>214</v>
      </c>
      <c r="BK14" s="8" t="s">
        <v>214</v>
      </c>
      <c r="BL14" s="8" t="s">
        <v>214</v>
      </c>
      <c r="BM14" s="8" t="s">
        <v>214</v>
      </c>
      <c r="BN14" s="8" t="s">
        <v>214</v>
      </c>
      <c r="BO14" s="8" t="s">
        <v>214</v>
      </c>
      <c r="BP14" s="8" t="s">
        <v>214</v>
      </c>
      <c r="BQ14" s="8" t="s">
        <v>214</v>
      </c>
      <c r="BR14" s="8" t="s">
        <v>214</v>
      </c>
      <c r="BS14" s="8" t="s">
        <v>214</v>
      </c>
      <c r="BT14" s="8" t="s">
        <v>214</v>
      </c>
      <c r="BU14" s="8" t="s">
        <v>214</v>
      </c>
      <c r="BV14" s="8" t="s">
        <v>214</v>
      </c>
      <c r="BW14" s="8" t="s">
        <v>214</v>
      </c>
      <c r="BX14" s="8" t="s">
        <v>214</v>
      </c>
      <c r="BY14" s="8" t="s">
        <v>214</v>
      </c>
      <c r="BZ14" s="8" t="s">
        <v>214</v>
      </c>
      <c r="CA14" s="8" t="s">
        <v>214</v>
      </c>
      <c r="CB14" s="8" t="s">
        <v>214</v>
      </c>
      <c r="CC14" s="8" t="s">
        <v>214</v>
      </c>
      <c r="CD14" s="8" t="s">
        <v>214</v>
      </c>
      <c r="CE14" s="8" t="s">
        <v>214</v>
      </c>
      <c r="CF14" s="8" t="s">
        <v>214</v>
      </c>
      <c r="CG14" s="8" t="s">
        <v>214</v>
      </c>
      <c r="CH14" s="8" t="s">
        <v>214</v>
      </c>
      <c r="CI14" s="8" t="s">
        <v>214</v>
      </c>
      <c r="CJ14" s="8" t="s">
        <v>214</v>
      </c>
      <c r="CK14" s="8" t="s">
        <v>214</v>
      </c>
      <c r="CL14" s="8" t="s">
        <v>214</v>
      </c>
      <c r="CM14" s="8" t="s">
        <v>214</v>
      </c>
      <c r="CN14" s="8" t="s">
        <v>214</v>
      </c>
      <c r="CO14" s="8" t="s">
        <v>214</v>
      </c>
      <c r="CP14" s="8" t="s">
        <v>214</v>
      </c>
      <c r="CQ14" s="8" t="s">
        <v>214</v>
      </c>
      <c r="CR14" s="8" t="s">
        <v>214</v>
      </c>
      <c r="CS14" s="8" t="s">
        <v>214</v>
      </c>
      <c r="CT14" s="8" t="s">
        <v>214</v>
      </c>
      <c r="CU14" s="8" t="s">
        <v>214</v>
      </c>
      <c r="CV14" s="8" t="s">
        <v>214</v>
      </c>
      <c r="CW14" s="8" t="s">
        <v>214</v>
      </c>
      <c r="CX14" s="8" t="s">
        <v>214</v>
      </c>
      <c r="CY14" s="8" t="s">
        <v>214</v>
      </c>
      <c r="CZ14" s="8" t="s">
        <v>214</v>
      </c>
      <c r="DA14" s="8" t="s">
        <v>214</v>
      </c>
      <c r="DB14" s="8" t="s">
        <v>214</v>
      </c>
      <c r="DC14" s="8" t="s">
        <v>214</v>
      </c>
      <c r="DD14" s="8" t="s">
        <v>214</v>
      </c>
      <c r="DE14" s="8" t="s">
        <v>214</v>
      </c>
      <c r="DF14" s="8" t="s">
        <v>214</v>
      </c>
      <c r="DG14" s="8" t="s">
        <v>214</v>
      </c>
      <c r="DH14" s="8" t="s">
        <v>214</v>
      </c>
      <c r="DI14" s="8" t="s">
        <v>214</v>
      </c>
      <c r="DJ14" s="8" t="s">
        <v>214</v>
      </c>
      <c r="DK14" s="8" t="s">
        <v>214</v>
      </c>
      <c r="DL14" s="8" t="s">
        <v>214</v>
      </c>
      <c r="DM14" s="8" t="s">
        <v>214</v>
      </c>
      <c r="DN14" s="8" t="s">
        <v>214</v>
      </c>
      <c r="DO14" s="8" t="s">
        <v>214</v>
      </c>
      <c r="DP14" s="8" t="s">
        <v>214</v>
      </c>
      <c r="DQ14" s="8" t="s">
        <v>214</v>
      </c>
      <c r="DR14" s="8" t="s">
        <v>214</v>
      </c>
      <c r="DS14" s="8" t="s">
        <v>214</v>
      </c>
      <c r="DT14" s="8" t="s">
        <v>214</v>
      </c>
      <c r="DU14" s="8" t="s">
        <v>214</v>
      </c>
      <c r="DV14" s="8" t="s">
        <v>214</v>
      </c>
      <c r="DW14" s="8" t="s">
        <v>217</v>
      </c>
      <c r="DX14" s="8" t="s">
        <v>214</v>
      </c>
      <c r="DY14" s="8" t="s">
        <v>214</v>
      </c>
      <c r="DZ14" s="8" t="s">
        <v>214</v>
      </c>
      <c r="EA14" s="8" t="s">
        <v>214</v>
      </c>
      <c r="EB14" s="8" t="s">
        <v>214</v>
      </c>
      <c r="EC14" s="8" t="s">
        <v>214</v>
      </c>
      <c r="ED14" s="8" t="s">
        <v>214</v>
      </c>
      <c r="EE14" s="8" t="s">
        <v>214</v>
      </c>
      <c r="EF14" s="8" t="s">
        <v>214</v>
      </c>
      <c r="EG14" s="8" t="s">
        <v>214</v>
      </c>
      <c r="EH14" s="8" t="s">
        <v>214</v>
      </c>
      <c r="EI14" s="8" t="s">
        <v>214</v>
      </c>
      <c r="EJ14" s="8" t="s">
        <v>214</v>
      </c>
      <c r="EK14" s="8" t="s">
        <v>214</v>
      </c>
      <c r="EL14" s="8" t="s">
        <v>214</v>
      </c>
      <c r="EM14" s="8" t="s">
        <v>214</v>
      </c>
      <c r="EN14" s="8" t="s">
        <v>214</v>
      </c>
      <c r="EO14" s="8" t="s">
        <v>214</v>
      </c>
      <c r="EP14" s="8" t="s">
        <v>214</v>
      </c>
      <c r="EQ14" s="8" t="s">
        <v>214</v>
      </c>
      <c r="ER14" s="8" t="s">
        <v>214</v>
      </c>
      <c r="ES14" s="8" t="s">
        <v>214</v>
      </c>
      <c r="ET14" s="8" t="s">
        <v>214</v>
      </c>
      <c r="EU14" s="8" t="s">
        <v>214</v>
      </c>
      <c r="EV14" s="8" t="s">
        <v>214</v>
      </c>
      <c r="EW14" s="8" t="s">
        <v>214</v>
      </c>
      <c r="EX14" s="8" t="s">
        <v>214</v>
      </c>
      <c r="EY14" s="8" t="s">
        <v>214</v>
      </c>
      <c r="EZ14" s="8" t="s">
        <v>214</v>
      </c>
      <c r="FA14" s="8" t="s">
        <v>214</v>
      </c>
      <c r="FB14" s="8" t="s">
        <v>214</v>
      </c>
      <c r="FC14" s="8" t="s">
        <v>214</v>
      </c>
      <c r="FD14" s="8" t="s">
        <v>214</v>
      </c>
      <c r="FE14" s="8" t="s">
        <v>214</v>
      </c>
      <c r="FF14" s="8" t="s">
        <v>214</v>
      </c>
      <c r="FG14" s="8" t="s">
        <v>214</v>
      </c>
      <c r="FH14" s="8" t="s">
        <v>214</v>
      </c>
      <c r="FI14" s="8" t="s">
        <v>214</v>
      </c>
      <c r="FJ14" s="8" t="s">
        <v>214</v>
      </c>
      <c r="FK14" s="8" t="s">
        <v>214</v>
      </c>
      <c r="FL14" s="8" t="s">
        <v>214</v>
      </c>
    </row>
    <row r="15" spans="1:168" ht="11.45" customHeight="1" x14ac:dyDescent="0.25">
      <c r="A15" s="5" t="s">
        <v>177</v>
      </c>
      <c r="B15" s="5" t="s">
        <v>6</v>
      </c>
      <c r="C15" s="7" t="s">
        <v>214</v>
      </c>
      <c r="D15" s="7" t="s">
        <v>214</v>
      </c>
      <c r="E15" s="7" t="s">
        <v>214</v>
      </c>
      <c r="F15" s="7" t="s">
        <v>214</v>
      </c>
      <c r="G15" s="7" t="s">
        <v>214</v>
      </c>
      <c r="H15" s="7" t="s">
        <v>214</v>
      </c>
      <c r="I15" s="7" t="s">
        <v>214</v>
      </c>
      <c r="J15" s="7" t="s">
        <v>214</v>
      </c>
      <c r="K15" s="7" t="s">
        <v>214</v>
      </c>
      <c r="L15" s="7" t="s">
        <v>214</v>
      </c>
      <c r="M15" s="7" t="s">
        <v>214</v>
      </c>
      <c r="N15" s="7" t="s">
        <v>214</v>
      </c>
      <c r="O15" s="7" t="s">
        <v>214</v>
      </c>
      <c r="P15" s="7" t="s">
        <v>214</v>
      </c>
      <c r="Q15" s="7" t="s">
        <v>214</v>
      </c>
      <c r="R15" s="7" t="s">
        <v>214</v>
      </c>
      <c r="S15" s="7" t="s">
        <v>214</v>
      </c>
      <c r="T15" s="7" t="s">
        <v>214</v>
      </c>
      <c r="U15" s="7" t="s">
        <v>214</v>
      </c>
      <c r="V15" s="7" t="s">
        <v>214</v>
      </c>
      <c r="W15" s="7" t="s">
        <v>214</v>
      </c>
      <c r="X15" s="7" t="s">
        <v>214</v>
      </c>
      <c r="Y15" s="7" t="s">
        <v>214</v>
      </c>
      <c r="Z15" s="7" t="s">
        <v>214</v>
      </c>
      <c r="AA15" s="7" t="s">
        <v>214</v>
      </c>
      <c r="AB15" s="7" t="s">
        <v>214</v>
      </c>
      <c r="AC15" s="7" t="s">
        <v>214</v>
      </c>
      <c r="AD15" s="7" t="s">
        <v>214</v>
      </c>
      <c r="AE15" s="7" t="s">
        <v>214</v>
      </c>
      <c r="AF15" s="7" t="s">
        <v>214</v>
      </c>
      <c r="AG15" s="7" t="s">
        <v>214</v>
      </c>
      <c r="AH15" s="7" t="s">
        <v>214</v>
      </c>
      <c r="AI15" s="7" t="s">
        <v>214</v>
      </c>
      <c r="AJ15" s="7" t="s">
        <v>214</v>
      </c>
      <c r="AK15" s="7" t="s">
        <v>214</v>
      </c>
      <c r="AL15" s="7" t="s">
        <v>214</v>
      </c>
      <c r="AM15" s="7" t="s">
        <v>214</v>
      </c>
      <c r="AN15" s="7" t="s">
        <v>214</v>
      </c>
      <c r="AO15" s="7" t="s">
        <v>214</v>
      </c>
      <c r="AP15" s="7" t="s">
        <v>214</v>
      </c>
      <c r="AQ15" s="7" t="s">
        <v>214</v>
      </c>
      <c r="AR15" s="7" t="s">
        <v>214</v>
      </c>
      <c r="AS15" s="7" t="s">
        <v>214</v>
      </c>
      <c r="AT15" s="7" t="s">
        <v>214</v>
      </c>
      <c r="AU15" s="7" t="s">
        <v>214</v>
      </c>
      <c r="AV15" s="7" t="s">
        <v>214</v>
      </c>
      <c r="AW15" s="7" t="s">
        <v>214</v>
      </c>
      <c r="AX15" s="7" t="s">
        <v>214</v>
      </c>
      <c r="AY15" s="7" t="s">
        <v>214</v>
      </c>
      <c r="AZ15" s="7" t="s">
        <v>214</v>
      </c>
      <c r="BA15" s="7" t="s">
        <v>214</v>
      </c>
      <c r="BB15" s="7" t="s">
        <v>214</v>
      </c>
      <c r="BC15" s="7" t="s">
        <v>214</v>
      </c>
      <c r="BD15" s="7" t="s">
        <v>214</v>
      </c>
      <c r="BE15" s="7" t="s">
        <v>214</v>
      </c>
      <c r="BF15" s="7" t="s">
        <v>214</v>
      </c>
      <c r="BG15" s="7" t="s">
        <v>214</v>
      </c>
      <c r="BH15" s="7" t="s">
        <v>214</v>
      </c>
      <c r="BI15" s="7" t="s">
        <v>214</v>
      </c>
      <c r="BJ15" s="7" t="s">
        <v>214</v>
      </c>
      <c r="BK15" s="7" t="s">
        <v>214</v>
      </c>
      <c r="BL15" s="7" t="s">
        <v>214</v>
      </c>
      <c r="BM15" s="7" t="s">
        <v>214</v>
      </c>
      <c r="BN15" s="7" t="s">
        <v>214</v>
      </c>
      <c r="BO15" s="7" t="s">
        <v>214</v>
      </c>
      <c r="BP15" s="7" t="s">
        <v>214</v>
      </c>
      <c r="BQ15" s="7" t="s">
        <v>214</v>
      </c>
      <c r="BR15" s="7" t="s">
        <v>214</v>
      </c>
      <c r="BS15" s="7" t="s">
        <v>214</v>
      </c>
      <c r="BT15" s="7" t="s">
        <v>214</v>
      </c>
      <c r="BU15" s="7" t="s">
        <v>214</v>
      </c>
      <c r="BV15" s="7" t="s">
        <v>214</v>
      </c>
      <c r="BW15" s="7" t="s">
        <v>214</v>
      </c>
      <c r="BX15" s="7" t="s">
        <v>214</v>
      </c>
      <c r="BY15" s="7" t="s">
        <v>214</v>
      </c>
      <c r="BZ15" s="7" t="s">
        <v>214</v>
      </c>
      <c r="CA15" s="7" t="s">
        <v>214</v>
      </c>
      <c r="CB15" s="7" t="s">
        <v>214</v>
      </c>
      <c r="CC15" s="7" t="s">
        <v>214</v>
      </c>
      <c r="CD15" s="7" t="s">
        <v>214</v>
      </c>
      <c r="CE15" s="7" t="s">
        <v>214</v>
      </c>
      <c r="CF15" s="7" t="s">
        <v>214</v>
      </c>
      <c r="CG15" s="7" t="s">
        <v>214</v>
      </c>
      <c r="CH15" s="7" t="s">
        <v>214</v>
      </c>
      <c r="CI15" s="7" t="s">
        <v>214</v>
      </c>
      <c r="CJ15" s="7" t="s">
        <v>214</v>
      </c>
      <c r="CK15" s="7" t="s">
        <v>214</v>
      </c>
      <c r="CL15" s="7" t="s">
        <v>214</v>
      </c>
      <c r="CM15" s="7" t="s">
        <v>214</v>
      </c>
      <c r="CN15" s="7" t="s">
        <v>214</v>
      </c>
      <c r="CO15" s="7" t="s">
        <v>214</v>
      </c>
      <c r="CP15" s="7" t="s">
        <v>214</v>
      </c>
      <c r="CQ15" s="7" t="s">
        <v>214</v>
      </c>
      <c r="CR15" s="7" t="s">
        <v>214</v>
      </c>
      <c r="CS15" s="7" t="s">
        <v>214</v>
      </c>
      <c r="CT15" s="7" t="s">
        <v>214</v>
      </c>
      <c r="CU15" s="7" t="s">
        <v>214</v>
      </c>
      <c r="CV15" s="7" t="s">
        <v>214</v>
      </c>
      <c r="CW15" s="7" t="s">
        <v>214</v>
      </c>
      <c r="CX15" s="7" t="s">
        <v>214</v>
      </c>
      <c r="CY15" s="7" t="s">
        <v>214</v>
      </c>
      <c r="CZ15" s="7" t="s">
        <v>214</v>
      </c>
      <c r="DA15" s="7" t="s">
        <v>214</v>
      </c>
      <c r="DB15" s="7" t="s">
        <v>214</v>
      </c>
      <c r="DC15" s="7" t="s">
        <v>214</v>
      </c>
      <c r="DD15" s="7" t="s">
        <v>214</v>
      </c>
      <c r="DE15" s="7" t="s">
        <v>214</v>
      </c>
      <c r="DF15" s="7" t="s">
        <v>214</v>
      </c>
      <c r="DG15" s="7" t="s">
        <v>214</v>
      </c>
      <c r="DH15" s="7" t="s">
        <v>214</v>
      </c>
      <c r="DI15" s="7" t="s">
        <v>214</v>
      </c>
      <c r="DJ15" s="7" t="s">
        <v>214</v>
      </c>
      <c r="DK15" s="7" t="s">
        <v>214</v>
      </c>
      <c r="DL15" s="7" t="s">
        <v>214</v>
      </c>
      <c r="DM15" s="7" t="s">
        <v>214</v>
      </c>
      <c r="DN15" s="7" t="s">
        <v>214</v>
      </c>
      <c r="DO15" s="7" t="s">
        <v>214</v>
      </c>
      <c r="DP15" s="7" t="s">
        <v>214</v>
      </c>
      <c r="DQ15" s="7" t="s">
        <v>214</v>
      </c>
      <c r="DR15" s="7" t="s">
        <v>214</v>
      </c>
      <c r="DS15" s="7" t="s">
        <v>214</v>
      </c>
      <c r="DT15" s="7" t="s">
        <v>214</v>
      </c>
      <c r="DU15" s="7" t="s">
        <v>214</v>
      </c>
      <c r="DV15" s="7" t="s">
        <v>214</v>
      </c>
      <c r="DW15" s="7" t="s">
        <v>214</v>
      </c>
      <c r="DX15" s="7" t="s">
        <v>214</v>
      </c>
      <c r="DY15" s="7" t="s">
        <v>214</v>
      </c>
      <c r="DZ15" s="7" t="s">
        <v>214</v>
      </c>
      <c r="EA15" s="7" t="s">
        <v>214</v>
      </c>
      <c r="EB15" s="7" t="s">
        <v>214</v>
      </c>
      <c r="EC15" s="7" t="s">
        <v>214</v>
      </c>
      <c r="ED15" s="7" t="s">
        <v>214</v>
      </c>
      <c r="EE15" s="7" t="s">
        <v>214</v>
      </c>
      <c r="EF15" s="7" t="s">
        <v>214</v>
      </c>
      <c r="EG15" s="7" t="s">
        <v>214</v>
      </c>
      <c r="EH15" s="7" t="s">
        <v>214</v>
      </c>
      <c r="EI15" s="7" t="s">
        <v>214</v>
      </c>
      <c r="EJ15" s="7" t="s">
        <v>214</v>
      </c>
      <c r="EK15" s="7" t="s">
        <v>214</v>
      </c>
      <c r="EL15" s="7" t="s">
        <v>214</v>
      </c>
      <c r="EM15" s="7" t="s">
        <v>214</v>
      </c>
      <c r="EN15" s="7" t="s">
        <v>214</v>
      </c>
      <c r="EO15" s="7" t="s">
        <v>214</v>
      </c>
      <c r="EP15" s="7" t="s">
        <v>214</v>
      </c>
      <c r="EQ15" s="7" t="s">
        <v>214</v>
      </c>
      <c r="ER15" s="7" t="s">
        <v>214</v>
      </c>
      <c r="ES15" s="7" t="s">
        <v>214</v>
      </c>
      <c r="ET15" s="7" t="s">
        <v>214</v>
      </c>
      <c r="EU15" s="7" t="s">
        <v>214</v>
      </c>
      <c r="EV15" s="7" t="s">
        <v>214</v>
      </c>
      <c r="EW15" s="7" t="s">
        <v>214</v>
      </c>
      <c r="EX15" s="7" t="s">
        <v>214</v>
      </c>
      <c r="EY15" s="7" t="s">
        <v>214</v>
      </c>
      <c r="EZ15" s="7" t="s">
        <v>214</v>
      </c>
      <c r="FA15" s="7" t="s">
        <v>214</v>
      </c>
      <c r="FB15" s="7" t="s">
        <v>214</v>
      </c>
      <c r="FC15" s="7" t="s">
        <v>214</v>
      </c>
      <c r="FD15" s="7" t="s">
        <v>214</v>
      </c>
      <c r="FE15" s="7" t="s">
        <v>214</v>
      </c>
      <c r="FF15" s="7" t="s">
        <v>214</v>
      </c>
      <c r="FG15" s="7" t="s">
        <v>214</v>
      </c>
      <c r="FH15" s="7" t="s">
        <v>214</v>
      </c>
      <c r="FI15" s="7" t="s">
        <v>214</v>
      </c>
      <c r="FJ15" s="7" t="s">
        <v>214</v>
      </c>
      <c r="FK15" s="7" t="s">
        <v>214</v>
      </c>
      <c r="FL15" s="7" t="s">
        <v>214</v>
      </c>
    </row>
    <row r="16" spans="1:168" ht="11.45" customHeight="1" x14ac:dyDescent="0.25">
      <c r="A16" s="5" t="s">
        <v>177</v>
      </c>
      <c r="B16" s="5" t="s">
        <v>7</v>
      </c>
      <c r="C16" s="8" t="s">
        <v>217</v>
      </c>
      <c r="D16" s="8" t="s">
        <v>217</v>
      </c>
      <c r="E16" s="8" t="s">
        <v>214</v>
      </c>
      <c r="F16" s="8" t="s">
        <v>214</v>
      </c>
      <c r="G16" s="8" t="s">
        <v>214</v>
      </c>
      <c r="H16" s="8" t="s">
        <v>214</v>
      </c>
      <c r="I16" s="8" t="s">
        <v>214</v>
      </c>
      <c r="J16" s="8" t="s">
        <v>214</v>
      </c>
      <c r="K16" s="8" t="s">
        <v>214</v>
      </c>
      <c r="L16" s="8" t="s">
        <v>214</v>
      </c>
      <c r="M16" s="8" t="s">
        <v>214</v>
      </c>
      <c r="N16" s="8" t="s">
        <v>214</v>
      </c>
      <c r="O16" s="8" t="s">
        <v>214</v>
      </c>
      <c r="P16" s="8" t="s">
        <v>214</v>
      </c>
      <c r="Q16" s="8" t="s">
        <v>214</v>
      </c>
      <c r="R16" s="8" t="s">
        <v>214</v>
      </c>
      <c r="S16" s="8" t="s">
        <v>214</v>
      </c>
      <c r="T16" s="8" t="s">
        <v>214</v>
      </c>
      <c r="U16" s="8" t="s">
        <v>214</v>
      </c>
      <c r="V16" s="8" t="s">
        <v>214</v>
      </c>
      <c r="W16" s="8" t="s">
        <v>214</v>
      </c>
      <c r="X16" s="8" t="s">
        <v>214</v>
      </c>
      <c r="Y16" s="8" t="s">
        <v>214</v>
      </c>
      <c r="Z16" s="8" t="s">
        <v>214</v>
      </c>
      <c r="AA16" s="8" t="s">
        <v>214</v>
      </c>
      <c r="AB16" s="8" t="s">
        <v>214</v>
      </c>
      <c r="AC16" s="8" t="s">
        <v>214</v>
      </c>
      <c r="AD16" s="8" t="s">
        <v>214</v>
      </c>
      <c r="AE16" s="8" t="s">
        <v>214</v>
      </c>
      <c r="AF16" s="8" t="s">
        <v>214</v>
      </c>
      <c r="AG16" s="8" t="s">
        <v>214</v>
      </c>
      <c r="AH16" s="8" t="s">
        <v>214</v>
      </c>
      <c r="AI16" s="8" t="s">
        <v>214</v>
      </c>
      <c r="AJ16" s="8" t="s">
        <v>214</v>
      </c>
      <c r="AK16" s="8" t="s">
        <v>214</v>
      </c>
      <c r="AL16" s="8" t="s">
        <v>214</v>
      </c>
      <c r="AM16" s="8" t="s">
        <v>214</v>
      </c>
      <c r="AN16" s="8" t="s">
        <v>214</v>
      </c>
      <c r="AO16" s="8" t="s">
        <v>214</v>
      </c>
      <c r="AP16" s="8" t="s">
        <v>214</v>
      </c>
      <c r="AQ16" s="8" t="s">
        <v>214</v>
      </c>
      <c r="AR16" s="8" t="s">
        <v>214</v>
      </c>
      <c r="AS16" s="8" t="s">
        <v>214</v>
      </c>
      <c r="AT16" s="8" t="s">
        <v>214</v>
      </c>
      <c r="AU16" s="8" t="s">
        <v>214</v>
      </c>
      <c r="AV16" s="8" t="s">
        <v>214</v>
      </c>
      <c r="AW16" s="8" t="s">
        <v>214</v>
      </c>
      <c r="AX16" s="8" t="s">
        <v>214</v>
      </c>
      <c r="AY16" s="8" t="s">
        <v>214</v>
      </c>
      <c r="AZ16" s="8" t="s">
        <v>214</v>
      </c>
      <c r="BA16" s="8" t="s">
        <v>214</v>
      </c>
      <c r="BB16" s="8" t="s">
        <v>214</v>
      </c>
      <c r="BC16" s="8" t="s">
        <v>214</v>
      </c>
      <c r="BD16" s="8" t="s">
        <v>214</v>
      </c>
      <c r="BE16" s="8" t="s">
        <v>214</v>
      </c>
      <c r="BF16" s="8" t="s">
        <v>214</v>
      </c>
      <c r="BG16" s="8" t="s">
        <v>217</v>
      </c>
      <c r="BH16" s="8" t="s">
        <v>214</v>
      </c>
      <c r="BI16" s="8" t="s">
        <v>214</v>
      </c>
      <c r="BJ16" s="8" t="s">
        <v>214</v>
      </c>
      <c r="BK16" s="8" t="s">
        <v>214</v>
      </c>
      <c r="BL16" s="8" t="s">
        <v>214</v>
      </c>
      <c r="BM16" s="8" t="s">
        <v>214</v>
      </c>
      <c r="BN16" s="8" t="s">
        <v>214</v>
      </c>
      <c r="BO16" s="8" t="s">
        <v>214</v>
      </c>
      <c r="BP16" s="8" t="s">
        <v>217</v>
      </c>
      <c r="BQ16" s="8" t="s">
        <v>214</v>
      </c>
      <c r="BR16" s="8" t="s">
        <v>214</v>
      </c>
      <c r="BS16" s="8" t="s">
        <v>214</v>
      </c>
      <c r="BT16" s="8" t="s">
        <v>214</v>
      </c>
      <c r="BU16" s="8" t="s">
        <v>214</v>
      </c>
      <c r="BV16" s="8" t="s">
        <v>214</v>
      </c>
      <c r="BW16" s="8" t="s">
        <v>214</v>
      </c>
      <c r="BX16" s="8" t="s">
        <v>214</v>
      </c>
      <c r="BY16" s="8" t="s">
        <v>214</v>
      </c>
      <c r="BZ16" s="8" t="s">
        <v>214</v>
      </c>
      <c r="CA16" s="8" t="s">
        <v>214</v>
      </c>
      <c r="CB16" s="8" t="s">
        <v>214</v>
      </c>
      <c r="CC16" s="8" t="s">
        <v>214</v>
      </c>
      <c r="CD16" s="8" t="s">
        <v>214</v>
      </c>
      <c r="CE16" s="8" t="s">
        <v>214</v>
      </c>
      <c r="CF16" s="8" t="s">
        <v>214</v>
      </c>
      <c r="CG16" s="8" t="s">
        <v>214</v>
      </c>
      <c r="CH16" s="8" t="s">
        <v>214</v>
      </c>
      <c r="CI16" s="8" t="s">
        <v>214</v>
      </c>
      <c r="CJ16" s="8" t="s">
        <v>214</v>
      </c>
      <c r="CK16" s="8" t="s">
        <v>214</v>
      </c>
      <c r="CL16" s="8" t="s">
        <v>214</v>
      </c>
      <c r="CM16" s="8" t="s">
        <v>214</v>
      </c>
      <c r="CN16" s="8" t="s">
        <v>214</v>
      </c>
      <c r="CO16" s="8" t="s">
        <v>214</v>
      </c>
      <c r="CP16" s="8" t="s">
        <v>214</v>
      </c>
      <c r="CQ16" s="8" t="s">
        <v>214</v>
      </c>
      <c r="CR16" s="8" t="s">
        <v>214</v>
      </c>
      <c r="CS16" s="8" t="s">
        <v>214</v>
      </c>
      <c r="CT16" s="8" t="s">
        <v>214</v>
      </c>
      <c r="CU16" s="8" t="s">
        <v>214</v>
      </c>
      <c r="CV16" s="8" t="s">
        <v>214</v>
      </c>
      <c r="CW16" s="8" t="s">
        <v>214</v>
      </c>
      <c r="CX16" s="8" t="s">
        <v>214</v>
      </c>
      <c r="CY16" s="8" t="s">
        <v>214</v>
      </c>
      <c r="CZ16" s="8" t="s">
        <v>214</v>
      </c>
      <c r="DA16" s="8" t="s">
        <v>214</v>
      </c>
      <c r="DB16" s="8" t="s">
        <v>214</v>
      </c>
      <c r="DC16" s="8" t="s">
        <v>214</v>
      </c>
      <c r="DD16" s="8" t="s">
        <v>214</v>
      </c>
      <c r="DE16" s="8" t="s">
        <v>214</v>
      </c>
      <c r="DF16" s="8" t="s">
        <v>214</v>
      </c>
      <c r="DG16" s="8" t="s">
        <v>214</v>
      </c>
      <c r="DH16" s="8" t="s">
        <v>214</v>
      </c>
      <c r="DI16" s="8" t="s">
        <v>214</v>
      </c>
      <c r="DJ16" s="8" t="s">
        <v>214</v>
      </c>
      <c r="DK16" s="8" t="s">
        <v>214</v>
      </c>
      <c r="DL16" s="8" t="s">
        <v>214</v>
      </c>
      <c r="DM16" s="8" t="s">
        <v>214</v>
      </c>
      <c r="DN16" s="8" t="s">
        <v>214</v>
      </c>
      <c r="DO16" s="8" t="s">
        <v>214</v>
      </c>
      <c r="DP16" s="8" t="s">
        <v>214</v>
      </c>
      <c r="DQ16" s="8" t="s">
        <v>214</v>
      </c>
      <c r="DR16" s="8" t="s">
        <v>214</v>
      </c>
      <c r="DS16" s="8" t="s">
        <v>214</v>
      </c>
      <c r="DT16" s="8" t="s">
        <v>214</v>
      </c>
      <c r="DU16" s="8" t="s">
        <v>214</v>
      </c>
      <c r="DV16" s="8" t="s">
        <v>214</v>
      </c>
      <c r="DW16" s="8" t="s">
        <v>214</v>
      </c>
      <c r="DX16" s="8" t="s">
        <v>214</v>
      </c>
      <c r="DY16" s="8" t="s">
        <v>214</v>
      </c>
      <c r="DZ16" s="8" t="s">
        <v>214</v>
      </c>
      <c r="EA16" s="8" t="s">
        <v>214</v>
      </c>
      <c r="EB16" s="8" t="s">
        <v>214</v>
      </c>
      <c r="EC16" s="8" t="s">
        <v>214</v>
      </c>
      <c r="ED16" s="8" t="s">
        <v>214</v>
      </c>
      <c r="EE16" s="8" t="s">
        <v>214</v>
      </c>
      <c r="EF16" s="8" t="s">
        <v>214</v>
      </c>
      <c r="EG16" s="8" t="s">
        <v>214</v>
      </c>
      <c r="EH16" s="8" t="s">
        <v>214</v>
      </c>
      <c r="EI16" s="8" t="s">
        <v>214</v>
      </c>
      <c r="EJ16" s="8" t="s">
        <v>214</v>
      </c>
      <c r="EK16" s="8" t="s">
        <v>214</v>
      </c>
      <c r="EL16" s="8" t="s">
        <v>214</v>
      </c>
      <c r="EM16" s="8" t="s">
        <v>214</v>
      </c>
      <c r="EN16" s="8" t="s">
        <v>214</v>
      </c>
      <c r="EO16" s="8" t="s">
        <v>214</v>
      </c>
      <c r="EP16" s="8" t="s">
        <v>214</v>
      </c>
      <c r="EQ16" s="8" t="s">
        <v>214</v>
      </c>
      <c r="ER16" s="8" t="s">
        <v>214</v>
      </c>
      <c r="ES16" s="8" t="s">
        <v>214</v>
      </c>
      <c r="ET16" s="8" t="s">
        <v>214</v>
      </c>
      <c r="EU16" s="8" t="s">
        <v>214</v>
      </c>
      <c r="EV16" s="8" t="s">
        <v>214</v>
      </c>
      <c r="EW16" s="8" t="s">
        <v>214</v>
      </c>
      <c r="EX16" s="8" t="s">
        <v>214</v>
      </c>
      <c r="EY16" s="8" t="s">
        <v>214</v>
      </c>
      <c r="EZ16" s="8" t="s">
        <v>214</v>
      </c>
      <c r="FA16" s="8" t="s">
        <v>214</v>
      </c>
      <c r="FB16" s="8" t="s">
        <v>214</v>
      </c>
      <c r="FC16" s="8" t="s">
        <v>214</v>
      </c>
      <c r="FD16" s="8" t="s">
        <v>214</v>
      </c>
      <c r="FE16" s="8" t="s">
        <v>214</v>
      </c>
      <c r="FF16" s="8" t="s">
        <v>214</v>
      </c>
      <c r="FG16" s="8" t="s">
        <v>214</v>
      </c>
      <c r="FH16" s="8" t="s">
        <v>218</v>
      </c>
      <c r="FI16" s="8" t="s">
        <v>218</v>
      </c>
      <c r="FJ16" s="8" t="s">
        <v>218</v>
      </c>
      <c r="FK16" s="8" t="s">
        <v>214</v>
      </c>
      <c r="FL16" s="8" t="s">
        <v>217</v>
      </c>
    </row>
    <row r="17" spans="1:168" ht="11.45" customHeight="1" x14ac:dyDescent="0.25">
      <c r="A17" s="5" t="s">
        <v>177</v>
      </c>
      <c r="B17" s="5" t="s">
        <v>8</v>
      </c>
      <c r="C17" s="7" t="s">
        <v>217</v>
      </c>
      <c r="D17" s="7" t="s">
        <v>217</v>
      </c>
      <c r="E17" s="7" t="s">
        <v>214</v>
      </c>
      <c r="F17" s="7" t="s">
        <v>214</v>
      </c>
      <c r="G17" s="7" t="s">
        <v>214</v>
      </c>
      <c r="H17" s="7" t="s">
        <v>214</v>
      </c>
      <c r="I17" s="7" t="s">
        <v>217</v>
      </c>
      <c r="J17" s="7" t="s">
        <v>214</v>
      </c>
      <c r="K17" s="7" t="s">
        <v>214</v>
      </c>
      <c r="L17" s="7" t="s">
        <v>214</v>
      </c>
      <c r="M17" s="7" t="s">
        <v>214</v>
      </c>
      <c r="N17" s="7" t="s">
        <v>214</v>
      </c>
      <c r="O17" s="7" t="s">
        <v>214</v>
      </c>
      <c r="P17" s="7" t="s">
        <v>214</v>
      </c>
      <c r="Q17" s="7" t="s">
        <v>214</v>
      </c>
      <c r="R17" s="7" t="s">
        <v>214</v>
      </c>
      <c r="S17" s="7" t="s">
        <v>214</v>
      </c>
      <c r="T17" s="7" t="s">
        <v>214</v>
      </c>
      <c r="U17" s="7" t="s">
        <v>214</v>
      </c>
      <c r="V17" s="7" t="s">
        <v>214</v>
      </c>
      <c r="W17" s="7" t="s">
        <v>214</v>
      </c>
      <c r="X17" s="7" t="s">
        <v>214</v>
      </c>
      <c r="Y17" s="7" t="s">
        <v>214</v>
      </c>
      <c r="Z17" s="7" t="s">
        <v>217</v>
      </c>
      <c r="AA17" s="7" t="s">
        <v>214</v>
      </c>
      <c r="AB17" s="7" t="s">
        <v>214</v>
      </c>
      <c r="AC17" s="7" t="s">
        <v>214</v>
      </c>
      <c r="AD17" s="7" t="s">
        <v>214</v>
      </c>
      <c r="AE17" s="7" t="s">
        <v>214</v>
      </c>
      <c r="AF17" s="7" t="s">
        <v>214</v>
      </c>
      <c r="AG17" s="7" t="s">
        <v>214</v>
      </c>
      <c r="AH17" s="7" t="s">
        <v>214</v>
      </c>
      <c r="AI17" s="7" t="s">
        <v>214</v>
      </c>
      <c r="AJ17" s="7" t="s">
        <v>214</v>
      </c>
      <c r="AK17" s="7" t="s">
        <v>214</v>
      </c>
      <c r="AL17" s="7" t="s">
        <v>214</v>
      </c>
      <c r="AM17" s="7" t="s">
        <v>214</v>
      </c>
      <c r="AN17" s="7" t="s">
        <v>214</v>
      </c>
      <c r="AO17" s="7" t="s">
        <v>214</v>
      </c>
      <c r="AP17" s="7" t="s">
        <v>214</v>
      </c>
      <c r="AQ17" s="7" t="s">
        <v>214</v>
      </c>
      <c r="AR17" s="7" t="s">
        <v>214</v>
      </c>
      <c r="AS17" s="7" t="s">
        <v>214</v>
      </c>
      <c r="AT17" s="7" t="s">
        <v>214</v>
      </c>
      <c r="AU17" s="7" t="s">
        <v>214</v>
      </c>
      <c r="AV17" s="7" t="s">
        <v>214</v>
      </c>
      <c r="AW17" s="7" t="s">
        <v>214</v>
      </c>
      <c r="AX17" s="7" t="s">
        <v>214</v>
      </c>
      <c r="AY17" s="7" t="s">
        <v>214</v>
      </c>
      <c r="AZ17" s="7" t="s">
        <v>214</v>
      </c>
      <c r="BA17" s="7" t="s">
        <v>214</v>
      </c>
      <c r="BB17" s="7" t="s">
        <v>214</v>
      </c>
      <c r="BC17" s="7" t="s">
        <v>214</v>
      </c>
      <c r="BD17" s="7" t="s">
        <v>214</v>
      </c>
      <c r="BE17" s="7" t="s">
        <v>214</v>
      </c>
      <c r="BF17" s="7" t="s">
        <v>214</v>
      </c>
      <c r="BG17" s="7" t="s">
        <v>214</v>
      </c>
      <c r="BH17" s="7" t="s">
        <v>217</v>
      </c>
      <c r="BI17" s="7" t="s">
        <v>214</v>
      </c>
      <c r="BJ17" s="7" t="s">
        <v>214</v>
      </c>
      <c r="BK17" s="7" t="s">
        <v>214</v>
      </c>
      <c r="BL17" s="7" t="s">
        <v>214</v>
      </c>
      <c r="BM17" s="7" t="s">
        <v>214</v>
      </c>
      <c r="BN17" s="7" t="s">
        <v>214</v>
      </c>
      <c r="BO17" s="7" t="s">
        <v>214</v>
      </c>
      <c r="BP17" s="7" t="s">
        <v>214</v>
      </c>
      <c r="BQ17" s="7" t="s">
        <v>214</v>
      </c>
      <c r="BR17" s="7" t="s">
        <v>214</v>
      </c>
      <c r="BS17" s="7" t="s">
        <v>218</v>
      </c>
      <c r="BT17" s="7" t="s">
        <v>218</v>
      </c>
      <c r="BU17" s="7" t="s">
        <v>218</v>
      </c>
      <c r="BV17" s="7" t="s">
        <v>218</v>
      </c>
      <c r="BW17" s="7" t="s">
        <v>214</v>
      </c>
      <c r="BX17" s="7" t="s">
        <v>214</v>
      </c>
      <c r="BY17" s="7" t="s">
        <v>214</v>
      </c>
      <c r="BZ17" s="7" t="s">
        <v>214</v>
      </c>
      <c r="CA17" s="7" t="s">
        <v>214</v>
      </c>
      <c r="CB17" s="7" t="s">
        <v>214</v>
      </c>
      <c r="CC17" s="7" t="s">
        <v>214</v>
      </c>
      <c r="CD17" s="7" t="s">
        <v>214</v>
      </c>
      <c r="CE17" s="7" t="s">
        <v>214</v>
      </c>
      <c r="CF17" s="7" t="s">
        <v>214</v>
      </c>
      <c r="CG17" s="7" t="s">
        <v>214</v>
      </c>
      <c r="CH17" s="7" t="s">
        <v>214</v>
      </c>
      <c r="CI17" s="7" t="s">
        <v>214</v>
      </c>
      <c r="CJ17" s="7" t="s">
        <v>214</v>
      </c>
      <c r="CK17" s="7" t="s">
        <v>214</v>
      </c>
      <c r="CL17" s="7" t="s">
        <v>214</v>
      </c>
      <c r="CM17" s="7" t="s">
        <v>214</v>
      </c>
      <c r="CN17" s="7" t="s">
        <v>214</v>
      </c>
      <c r="CO17" s="7" t="s">
        <v>214</v>
      </c>
      <c r="CP17" s="7" t="s">
        <v>214</v>
      </c>
      <c r="CQ17" s="7" t="s">
        <v>214</v>
      </c>
      <c r="CR17" s="7" t="s">
        <v>214</v>
      </c>
      <c r="CS17" s="7" t="s">
        <v>214</v>
      </c>
      <c r="CT17" s="7" t="s">
        <v>214</v>
      </c>
      <c r="CU17" s="7" t="s">
        <v>214</v>
      </c>
      <c r="CV17" s="7" t="s">
        <v>214</v>
      </c>
      <c r="CW17" s="7" t="s">
        <v>214</v>
      </c>
      <c r="CX17" s="7" t="s">
        <v>214</v>
      </c>
      <c r="CY17" s="7" t="s">
        <v>214</v>
      </c>
      <c r="CZ17" s="7" t="s">
        <v>214</v>
      </c>
      <c r="DA17" s="7" t="s">
        <v>214</v>
      </c>
      <c r="DB17" s="7" t="s">
        <v>214</v>
      </c>
      <c r="DC17" s="7" t="s">
        <v>218</v>
      </c>
      <c r="DD17" s="7" t="s">
        <v>214</v>
      </c>
      <c r="DE17" s="7" t="s">
        <v>214</v>
      </c>
      <c r="DF17" s="7" t="s">
        <v>214</v>
      </c>
      <c r="DG17" s="7" t="s">
        <v>214</v>
      </c>
      <c r="DH17" s="7" t="s">
        <v>214</v>
      </c>
      <c r="DI17" s="7" t="s">
        <v>214</v>
      </c>
      <c r="DJ17" s="7" t="s">
        <v>214</v>
      </c>
      <c r="DK17" s="7" t="s">
        <v>214</v>
      </c>
      <c r="DL17" s="7" t="s">
        <v>214</v>
      </c>
      <c r="DM17" s="7" t="s">
        <v>214</v>
      </c>
      <c r="DN17" s="7" t="s">
        <v>214</v>
      </c>
      <c r="DO17" s="7" t="s">
        <v>214</v>
      </c>
      <c r="DP17" s="7" t="s">
        <v>214</v>
      </c>
      <c r="DQ17" s="7" t="s">
        <v>214</v>
      </c>
      <c r="DR17" s="7" t="s">
        <v>214</v>
      </c>
      <c r="DS17" s="7" t="s">
        <v>214</v>
      </c>
      <c r="DT17" s="7" t="s">
        <v>214</v>
      </c>
      <c r="DU17" s="7" t="s">
        <v>214</v>
      </c>
      <c r="DV17" s="7" t="s">
        <v>214</v>
      </c>
      <c r="DW17" s="7" t="s">
        <v>214</v>
      </c>
      <c r="DX17" s="7" t="s">
        <v>214</v>
      </c>
      <c r="DY17" s="7" t="s">
        <v>214</v>
      </c>
      <c r="DZ17" s="7" t="s">
        <v>214</v>
      </c>
      <c r="EA17" s="7" t="s">
        <v>214</v>
      </c>
      <c r="EB17" s="7" t="s">
        <v>214</v>
      </c>
      <c r="EC17" s="7" t="s">
        <v>214</v>
      </c>
      <c r="ED17" s="7" t="s">
        <v>214</v>
      </c>
      <c r="EE17" s="7" t="s">
        <v>214</v>
      </c>
      <c r="EF17" s="7" t="s">
        <v>214</v>
      </c>
      <c r="EG17" s="7" t="s">
        <v>214</v>
      </c>
      <c r="EH17" s="7" t="s">
        <v>214</v>
      </c>
      <c r="EI17" s="7" t="s">
        <v>214</v>
      </c>
      <c r="EJ17" s="7" t="s">
        <v>214</v>
      </c>
      <c r="EK17" s="7" t="s">
        <v>214</v>
      </c>
      <c r="EL17" s="7" t="s">
        <v>214</v>
      </c>
      <c r="EM17" s="7" t="s">
        <v>214</v>
      </c>
      <c r="EN17" s="7" t="s">
        <v>214</v>
      </c>
      <c r="EO17" s="7" t="s">
        <v>214</v>
      </c>
      <c r="EP17" s="7" t="s">
        <v>214</v>
      </c>
      <c r="EQ17" s="7" t="s">
        <v>214</v>
      </c>
      <c r="ER17" s="7" t="s">
        <v>214</v>
      </c>
      <c r="ES17" s="7" t="s">
        <v>214</v>
      </c>
      <c r="ET17" s="7" t="s">
        <v>214</v>
      </c>
      <c r="EU17" s="7" t="s">
        <v>214</v>
      </c>
      <c r="EV17" s="7" t="s">
        <v>214</v>
      </c>
      <c r="EW17" s="7" t="s">
        <v>214</v>
      </c>
      <c r="EX17" s="7" t="s">
        <v>214</v>
      </c>
      <c r="EY17" s="7" t="s">
        <v>217</v>
      </c>
      <c r="EZ17" s="7" t="s">
        <v>214</v>
      </c>
      <c r="FA17" s="7" t="s">
        <v>214</v>
      </c>
      <c r="FB17" s="7" t="s">
        <v>214</v>
      </c>
      <c r="FC17" s="7" t="s">
        <v>214</v>
      </c>
      <c r="FD17" s="7" t="s">
        <v>214</v>
      </c>
      <c r="FE17" s="7" t="s">
        <v>217</v>
      </c>
      <c r="FF17" s="7" t="s">
        <v>214</v>
      </c>
      <c r="FG17" s="7" t="s">
        <v>214</v>
      </c>
      <c r="FH17" s="7" t="s">
        <v>214</v>
      </c>
      <c r="FI17" s="7" t="s">
        <v>214</v>
      </c>
      <c r="FJ17" s="7" t="s">
        <v>214</v>
      </c>
      <c r="FK17" s="7" t="s">
        <v>214</v>
      </c>
      <c r="FL17" s="7" t="s">
        <v>214</v>
      </c>
    </row>
    <row r="18" spans="1:168" ht="11.45" customHeight="1" x14ac:dyDescent="0.25">
      <c r="A18" s="5" t="s">
        <v>177</v>
      </c>
      <c r="B18" s="5" t="s">
        <v>9</v>
      </c>
      <c r="C18" s="8" t="s">
        <v>217</v>
      </c>
      <c r="D18" s="8" t="s">
        <v>217</v>
      </c>
      <c r="E18" s="8" t="s">
        <v>214</v>
      </c>
      <c r="F18" s="8" t="s">
        <v>214</v>
      </c>
      <c r="G18" s="8" t="s">
        <v>214</v>
      </c>
      <c r="H18" s="8" t="s">
        <v>214</v>
      </c>
      <c r="I18" s="8" t="s">
        <v>214</v>
      </c>
      <c r="J18" s="8" t="s">
        <v>214</v>
      </c>
      <c r="K18" s="8" t="s">
        <v>214</v>
      </c>
      <c r="L18" s="8" t="s">
        <v>214</v>
      </c>
      <c r="M18" s="8" t="s">
        <v>214</v>
      </c>
      <c r="N18" s="8" t="s">
        <v>214</v>
      </c>
      <c r="O18" s="8" t="s">
        <v>214</v>
      </c>
      <c r="P18" s="8" t="s">
        <v>214</v>
      </c>
      <c r="Q18" s="8" t="s">
        <v>214</v>
      </c>
      <c r="R18" s="8" t="s">
        <v>214</v>
      </c>
      <c r="S18" s="8" t="s">
        <v>214</v>
      </c>
      <c r="T18" s="8" t="s">
        <v>214</v>
      </c>
      <c r="U18" s="8" t="s">
        <v>214</v>
      </c>
      <c r="V18" s="8" t="s">
        <v>214</v>
      </c>
      <c r="W18" s="8" t="s">
        <v>214</v>
      </c>
      <c r="X18" s="8" t="s">
        <v>214</v>
      </c>
      <c r="Y18" s="8" t="s">
        <v>214</v>
      </c>
      <c r="Z18" s="8" t="s">
        <v>217</v>
      </c>
      <c r="AA18" s="8" t="s">
        <v>214</v>
      </c>
      <c r="AB18" s="8" t="s">
        <v>214</v>
      </c>
      <c r="AC18" s="8" t="s">
        <v>214</v>
      </c>
      <c r="AD18" s="8" t="s">
        <v>214</v>
      </c>
      <c r="AE18" s="8" t="s">
        <v>214</v>
      </c>
      <c r="AF18" s="8" t="s">
        <v>214</v>
      </c>
      <c r="AG18" s="8" t="s">
        <v>214</v>
      </c>
      <c r="AH18" s="8" t="s">
        <v>214</v>
      </c>
      <c r="AI18" s="8" t="s">
        <v>214</v>
      </c>
      <c r="AJ18" s="8" t="s">
        <v>214</v>
      </c>
      <c r="AK18" s="8" t="s">
        <v>217</v>
      </c>
      <c r="AL18" s="8" t="s">
        <v>214</v>
      </c>
      <c r="AM18" s="8" t="s">
        <v>217</v>
      </c>
      <c r="AN18" s="8" t="s">
        <v>214</v>
      </c>
      <c r="AO18" s="8" t="s">
        <v>214</v>
      </c>
      <c r="AP18" s="8" t="s">
        <v>214</v>
      </c>
      <c r="AQ18" s="8" t="s">
        <v>214</v>
      </c>
      <c r="AR18" s="8" t="s">
        <v>214</v>
      </c>
      <c r="AS18" s="8" t="s">
        <v>214</v>
      </c>
      <c r="AT18" s="8" t="s">
        <v>214</v>
      </c>
      <c r="AU18" s="8" t="s">
        <v>214</v>
      </c>
      <c r="AV18" s="8" t="s">
        <v>214</v>
      </c>
      <c r="AW18" s="8" t="s">
        <v>214</v>
      </c>
      <c r="AX18" s="8" t="s">
        <v>214</v>
      </c>
      <c r="AY18" s="8" t="s">
        <v>214</v>
      </c>
      <c r="AZ18" s="8" t="s">
        <v>214</v>
      </c>
      <c r="BA18" s="8" t="s">
        <v>218</v>
      </c>
      <c r="BB18" s="8" t="s">
        <v>214</v>
      </c>
      <c r="BC18" s="8" t="s">
        <v>214</v>
      </c>
      <c r="BD18" s="8" t="s">
        <v>214</v>
      </c>
      <c r="BE18" s="8" t="s">
        <v>214</v>
      </c>
      <c r="BF18" s="8" t="s">
        <v>214</v>
      </c>
      <c r="BG18" s="8" t="s">
        <v>214</v>
      </c>
      <c r="BH18" s="8" t="s">
        <v>214</v>
      </c>
      <c r="BI18" s="8" t="s">
        <v>214</v>
      </c>
      <c r="BJ18" s="8" t="s">
        <v>214</v>
      </c>
      <c r="BK18" s="8" t="s">
        <v>214</v>
      </c>
      <c r="BL18" s="8" t="s">
        <v>214</v>
      </c>
      <c r="BM18" s="8" t="s">
        <v>214</v>
      </c>
      <c r="BN18" s="8" t="s">
        <v>214</v>
      </c>
      <c r="BO18" s="8" t="s">
        <v>214</v>
      </c>
      <c r="BP18" s="8" t="s">
        <v>214</v>
      </c>
      <c r="BQ18" s="8" t="s">
        <v>214</v>
      </c>
      <c r="BR18" s="8" t="s">
        <v>214</v>
      </c>
      <c r="BS18" s="8" t="s">
        <v>218</v>
      </c>
      <c r="BT18" s="8" t="s">
        <v>218</v>
      </c>
      <c r="BU18" s="8" t="s">
        <v>218</v>
      </c>
      <c r="BV18" s="8" t="s">
        <v>218</v>
      </c>
      <c r="BW18" s="8" t="s">
        <v>214</v>
      </c>
      <c r="BX18" s="8" t="s">
        <v>214</v>
      </c>
      <c r="BY18" s="8" t="s">
        <v>214</v>
      </c>
      <c r="BZ18" s="8" t="s">
        <v>214</v>
      </c>
      <c r="CA18" s="8" t="s">
        <v>214</v>
      </c>
      <c r="CB18" s="8" t="s">
        <v>214</v>
      </c>
      <c r="CC18" s="8" t="s">
        <v>214</v>
      </c>
      <c r="CD18" s="8" t="s">
        <v>214</v>
      </c>
      <c r="CE18" s="8" t="s">
        <v>214</v>
      </c>
      <c r="CF18" s="8" t="s">
        <v>214</v>
      </c>
      <c r="CG18" s="8" t="s">
        <v>214</v>
      </c>
      <c r="CH18" s="8" t="s">
        <v>214</v>
      </c>
      <c r="CI18" s="8" t="s">
        <v>214</v>
      </c>
      <c r="CJ18" s="8" t="s">
        <v>214</v>
      </c>
      <c r="CK18" s="8" t="s">
        <v>214</v>
      </c>
      <c r="CL18" s="8" t="s">
        <v>214</v>
      </c>
      <c r="CM18" s="8" t="s">
        <v>214</v>
      </c>
      <c r="CN18" s="8" t="s">
        <v>214</v>
      </c>
      <c r="CO18" s="8" t="s">
        <v>214</v>
      </c>
      <c r="CP18" s="8" t="s">
        <v>214</v>
      </c>
      <c r="CQ18" s="8" t="s">
        <v>214</v>
      </c>
      <c r="CR18" s="8" t="s">
        <v>214</v>
      </c>
      <c r="CS18" s="8" t="s">
        <v>214</v>
      </c>
      <c r="CT18" s="8" t="s">
        <v>214</v>
      </c>
      <c r="CU18" s="8" t="s">
        <v>214</v>
      </c>
      <c r="CV18" s="8" t="s">
        <v>214</v>
      </c>
      <c r="CW18" s="8" t="s">
        <v>214</v>
      </c>
      <c r="CX18" s="8" t="s">
        <v>214</v>
      </c>
      <c r="CY18" s="8" t="s">
        <v>214</v>
      </c>
      <c r="CZ18" s="8" t="s">
        <v>214</v>
      </c>
      <c r="DA18" s="8" t="s">
        <v>214</v>
      </c>
      <c r="DB18" s="8" t="s">
        <v>214</v>
      </c>
      <c r="DC18" s="8" t="s">
        <v>214</v>
      </c>
      <c r="DD18" s="8" t="s">
        <v>214</v>
      </c>
      <c r="DE18" s="8" t="s">
        <v>214</v>
      </c>
      <c r="DF18" s="8" t="s">
        <v>214</v>
      </c>
      <c r="DG18" s="8" t="s">
        <v>214</v>
      </c>
      <c r="DH18" s="8" t="s">
        <v>214</v>
      </c>
      <c r="DI18" s="8" t="s">
        <v>214</v>
      </c>
      <c r="DJ18" s="8" t="s">
        <v>214</v>
      </c>
      <c r="DK18" s="8" t="s">
        <v>214</v>
      </c>
      <c r="DL18" s="8" t="s">
        <v>214</v>
      </c>
      <c r="DM18" s="8" t="s">
        <v>214</v>
      </c>
      <c r="DN18" s="8" t="s">
        <v>214</v>
      </c>
      <c r="DO18" s="8" t="s">
        <v>214</v>
      </c>
      <c r="DP18" s="8" t="s">
        <v>214</v>
      </c>
      <c r="DQ18" s="8" t="s">
        <v>214</v>
      </c>
      <c r="DR18" s="8" t="s">
        <v>214</v>
      </c>
      <c r="DS18" s="8" t="s">
        <v>214</v>
      </c>
      <c r="DT18" s="8" t="s">
        <v>214</v>
      </c>
      <c r="DU18" s="8" t="s">
        <v>214</v>
      </c>
      <c r="DV18" s="8" t="s">
        <v>214</v>
      </c>
      <c r="DW18" s="8" t="s">
        <v>214</v>
      </c>
      <c r="DX18" s="8" t="s">
        <v>214</v>
      </c>
      <c r="DY18" s="8" t="s">
        <v>214</v>
      </c>
      <c r="DZ18" s="8" t="s">
        <v>214</v>
      </c>
      <c r="EA18" s="8" t="s">
        <v>214</v>
      </c>
      <c r="EB18" s="8" t="s">
        <v>217</v>
      </c>
      <c r="EC18" s="8" t="s">
        <v>214</v>
      </c>
      <c r="ED18" s="8" t="s">
        <v>214</v>
      </c>
      <c r="EE18" s="8" t="s">
        <v>214</v>
      </c>
      <c r="EF18" s="8" t="s">
        <v>214</v>
      </c>
      <c r="EG18" s="8" t="s">
        <v>214</v>
      </c>
      <c r="EH18" s="8" t="s">
        <v>214</v>
      </c>
      <c r="EI18" s="8" t="s">
        <v>214</v>
      </c>
      <c r="EJ18" s="8" t="s">
        <v>214</v>
      </c>
      <c r="EK18" s="8" t="s">
        <v>214</v>
      </c>
      <c r="EL18" s="8" t="s">
        <v>214</v>
      </c>
      <c r="EM18" s="8" t="s">
        <v>214</v>
      </c>
      <c r="EN18" s="8" t="s">
        <v>214</v>
      </c>
      <c r="EO18" s="8" t="s">
        <v>214</v>
      </c>
      <c r="EP18" s="8" t="s">
        <v>214</v>
      </c>
      <c r="EQ18" s="8" t="s">
        <v>214</v>
      </c>
      <c r="ER18" s="8" t="s">
        <v>214</v>
      </c>
      <c r="ES18" s="8" t="s">
        <v>214</v>
      </c>
      <c r="ET18" s="8" t="s">
        <v>214</v>
      </c>
      <c r="EU18" s="8" t="s">
        <v>214</v>
      </c>
      <c r="EV18" s="8" t="s">
        <v>214</v>
      </c>
      <c r="EW18" s="8" t="s">
        <v>214</v>
      </c>
      <c r="EX18" s="8" t="s">
        <v>214</v>
      </c>
      <c r="EY18" s="8" t="s">
        <v>217</v>
      </c>
      <c r="EZ18" s="8" t="s">
        <v>214</v>
      </c>
      <c r="FA18" s="8" t="s">
        <v>214</v>
      </c>
      <c r="FB18" s="8" t="s">
        <v>214</v>
      </c>
      <c r="FC18" s="8" t="s">
        <v>214</v>
      </c>
      <c r="FD18" s="8" t="s">
        <v>214</v>
      </c>
      <c r="FE18" s="8" t="s">
        <v>218</v>
      </c>
      <c r="FF18" s="8" t="s">
        <v>214</v>
      </c>
      <c r="FG18" s="8" t="s">
        <v>214</v>
      </c>
      <c r="FH18" s="8" t="s">
        <v>214</v>
      </c>
      <c r="FI18" s="8" t="s">
        <v>214</v>
      </c>
      <c r="FJ18" s="8" t="s">
        <v>214</v>
      </c>
      <c r="FK18" s="8" t="s">
        <v>214</v>
      </c>
      <c r="FL18" s="8" t="s">
        <v>214</v>
      </c>
    </row>
    <row r="19" spans="1:168" ht="11.45" customHeight="1" x14ac:dyDescent="0.25">
      <c r="A19" s="5" t="s">
        <v>178</v>
      </c>
      <c r="B19" s="5" t="s">
        <v>6</v>
      </c>
      <c r="C19" s="7" t="s">
        <v>214</v>
      </c>
      <c r="D19" s="7" t="s">
        <v>214</v>
      </c>
      <c r="E19" s="7" t="s">
        <v>214</v>
      </c>
      <c r="F19" s="7" t="s">
        <v>214</v>
      </c>
      <c r="G19" s="7" t="s">
        <v>214</v>
      </c>
      <c r="H19" s="7" t="s">
        <v>214</v>
      </c>
      <c r="I19" s="7" t="s">
        <v>214</v>
      </c>
      <c r="J19" s="7" t="s">
        <v>214</v>
      </c>
      <c r="K19" s="7" t="s">
        <v>214</v>
      </c>
      <c r="L19" s="7" t="s">
        <v>214</v>
      </c>
      <c r="M19" s="7" t="s">
        <v>214</v>
      </c>
      <c r="N19" s="7" t="s">
        <v>214</v>
      </c>
      <c r="O19" s="7" t="s">
        <v>214</v>
      </c>
      <c r="P19" s="7" t="s">
        <v>214</v>
      </c>
      <c r="Q19" s="7" t="s">
        <v>214</v>
      </c>
      <c r="R19" s="7" t="s">
        <v>214</v>
      </c>
      <c r="S19" s="7" t="s">
        <v>214</v>
      </c>
      <c r="T19" s="7" t="s">
        <v>214</v>
      </c>
      <c r="U19" s="7" t="s">
        <v>214</v>
      </c>
      <c r="V19" s="7" t="s">
        <v>214</v>
      </c>
      <c r="W19" s="7" t="s">
        <v>214</v>
      </c>
      <c r="X19" s="7" t="s">
        <v>214</v>
      </c>
      <c r="Y19" s="7" t="s">
        <v>214</v>
      </c>
      <c r="Z19" s="7" t="s">
        <v>214</v>
      </c>
      <c r="AA19" s="7" t="s">
        <v>214</v>
      </c>
      <c r="AB19" s="7" t="s">
        <v>214</v>
      </c>
      <c r="AC19" s="7" t="s">
        <v>214</v>
      </c>
      <c r="AD19" s="7" t="s">
        <v>214</v>
      </c>
      <c r="AE19" s="7" t="s">
        <v>214</v>
      </c>
      <c r="AF19" s="7" t="s">
        <v>214</v>
      </c>
      <c r="AG19" s="7" t="s">
        <v>214</v>
      </c>
      <c r="AH19" s="7" t="s">
        <v>214</v>
      </c>
      <c r="AI19" s="7" t="s">
        <v>214</v>
      </c>
      <c r="AJ19" s="7" t="s">
        <v>214</v>
      </c>
      <c r="AK19" s="7" t="s">
        <v>214</v>
      </c>
      <c r="AL19" s="7" t="s">
        <v>214</v>
      </c>
      <c r="AM19" s="7" t="s">
        <v>214</v>
      </c>
      <c r="AN19" s="7" t="s">
        <v>214</v>
      </c>
      <c r="AO19" s="7" t="s">
        <v>214</v>
      </c>
      <c r="AP19" s="7" t="s">
        <v>214</v>
      </c>
      <c r="AQ19" s="7" t="s">
        <v>214</v>
      </c>
      <c r="AR19" s="7" t="s">
        <v>214</v>
      </c>
      <c r="AS19" s="7" t="s">
        <v>214</v>
      </c>
      <c r="AT19" s="7" t="s">
        <v>214</v>
      </c>
      <c r="AU19" s="7" t="s">
        <v>214</v>
      </c>
      <c r="AV19" s="7" t="s">
        <v>214</v>
      </c>
      <c r="AW19" s="7" t="s">
        <v>214</v>
      </c>
      <c r="AX19" s="7" t="s">
        <v>214</v>
      </c>
      <c r="AY19" s="7" t="s">
        <v>214</v>
      </c>
      <c r="AZ19" s="7" t="s">
        <v>214</v>
      </c>
      <c r="BA19" s="7" t="s">
        <v>214</v>
      </c>
      <c r="BB19" s="7" t="s">
        <v>214</v>
      </c>
      <c r="BC19" s="7" t="s">
        <v>214</v>
      </c>
      <c r="BD19" s="7" t="s">
        <v>214</v>
      </c>
      <c r="BE19" s="7" t="s">
        <v>214</v>
      </c>
      <c r="BF19" s="7" t="s">
        <v>214</v>
      </c>
      <c r="BG19" s="7" t="s">
        <v>214</v>
      </c>
      <c r="BH19" s="7" t="s">
        <v>214</v>
      </c>
      <c r="BI19" s="7" t="s">
        <v>214</v>
      </c>
      <c r="BJ19" s="7" t="s">
        <v>214</v>
      </c>
      <c r="BK19" s="7" t="s">
        <v>214</v>
      </c>
      <c r="BL19" s="7" t="s">
        <v>214</v>
      </c>
      <c r="BM19" s="7" t="s">
        <v>214</v>
      </c>
      <c r="BN19" s="7" t="s">
        <v>214</v>
      </c>
      <c r="BO19" s="7" t="s">
        <v>214</v>
      </c>
      <c r="BP19" s="7" t="s">
        <v>214</v>
      </c>
      <c r="BQ19" s="7" t="s">
        <v>214</v>
      </c>
      <c r="BR19" s="7" t="s">
        <v>214</v>
      </c>
      <c r="BS19" s="7" t="s">
        <v>214</v>
      </c>
      <c r="BT19" s="7" t="s">
        <v>214</v>
      </c>
      <c r="BU19" s="7" t="s">
        <v>214</v>
      </c>
      <c r="BV19" s="7" t="s">
        <v>214</v>
      </c>
      <c r="BW19" s="7" t="s">
        <v>214</v>
      </c>
      <c r="BX19" s="7" t="s">
        <v>214</v>
      </c>
      <c r="BY19" s="7" t="s">
        <v>214</v>
      </c>
      <c r="BZ19" s="7" t="s">
        <v>214</v>
      </c>
      <c r="CA19" s="7" t="s">
        <v>214</v>
      </c>
      <c r="CB19" s="7" t="s">
        <v>214</v>
      </c>
      <c r="CC19" s="7" t="s">
        <v>214</v>
      </c>
      <c r="CD19" s="7" t="s">
        <v>214</v>
      </c>
      <c r="CE19" s="7" t="s">
        <v>214</v>
      </c>
      <c r="CF19" s="7" t="s">
        <v>214</v>
      </c>
      <c r="CG19" s="7" t="s">
        <v>214</v>
      </c>
      <c r="CH19" s="7" t="s">
        <v>214</v>
      </c>
      <c r="CI19" s="7" t="s">
        <v>214</v>
      </c>
      <c r="CJ19" s="7" t="s">
        <v>214</v>
      </c>
      <c r="CK19" s="7" t="s">
        <v>214</v>
      </c>
      <c r="CL19" s="7" t="s">
        <v>214</v>
      </c>
      <c r="CM19" s="7" t="s">
        <v>214</v>
      </c>
      <c r="CN19" s="7" t="s">
        <v>214</v>
      </c>
      <c r="CO19" s="7" t="s">
        <v>214</v>
      </c>
      <c r="CP19" s="7" t="s">
        <v>214</v>
      </c>
      <c r="CQ19" s="7" t="s">
        <v>214</v>
      </c>
      <c r="CR19" s="7" t="s">
        <v>214</v>
      </c>
      <c r="CS19" s="7" t="s">
        <v>214</v>
      </c>
      <c r="CT19" s="7" t="s">
        <v>214</v>
      </c>
      <c r="CU19" s="7" t="s">
        <v>214</v>
      </c>
      <c r="CV19" s="7" t="s">
        <v>214</v>
      </c>
      <c r="CW19" s="7" t="s">
        <v>214</v>
      </c>
      <c r="CX19" s="7" t="s">
        <v>214</v>
      </c>
      <c r="CY19" s="7" t="s">
        <v>214</v>
      </c>
      <c r="CZ19" s="7" t="s">
        <v>214</v>
      </c>
      <c r="DA19" s="7" t="s">
        <v>214</v>
      </c>
      <c r="DB19" s="7" t="s">
        <v>214</v>
      </c>
      <c r="DC19" s="7" t="s">
        <v>214</v>
      </c>
      <c r="DD19" s="7" t="s">
        <v>214</v>
      </c>
      <c r="DE19" s="7" t="s">
        <v>214</v>
      </c>
      <c r="DF19" s="7" t="s">
        <v>214</v>
      </c>
      <c r="DG19" s="7" t="s">
        <v>214</v>
      </c>
      <c r="DH19" s="7" t="s">
        <v>214</v>
      </c>
      <c r="DI19" s="7" t="s">
        <v>214</v>
      </c>
      <c r="DJ19" s="7" t="s">
        <v>214</v>
      </c>
      <c r="DK19" s="7" t="s">
        <v>214</v>
      </c>
      <c r="DL19" s="7" t="s">
        <v>214</v>
      </c>
      <c r="DM19" s="7" t="s">
        <v>214</v>
      </c>
      <c r="DN19" s="7" t="s">
        <v>214</v>
      </c>
      <c r="DO19" s="7" t="s">
        <v>214</v>
      </c>
      <c r="DP19" s="7" t="s">
        <v>214</v>
      </c>
      <c r="DQ19" s="7" t="s">
        <v>214</v>
      </c>
      <c r="DR19" s="7" t="s">
        <v>214</v>
      </c>
      <c r="DS19" s="7" t="s">
        <v>214</v>
      </c>
      <c r="DT19" s="7" t="s">
        <v>214</v>
      </c>
      <c r="DU19" s="7" t="s">
        <v>214</v>
      </c>
      <c r="DV19" s="7" t="s">
        <v>214</v>
      </c>
      <c r="DW19" s="7" t="s">
        <v>214</v>
      </c>
      <c r="DX19" s="7" t="s">
        <v>214</v>
      </c>
      <c r="DY19" s="7" t="s">
        <v>214</v>
      </c>
      <c r="DZ19" s="7" t="s">
        <v>214</v>
      </c>
      <c r="EA19" s="7" t="s">
        <v>214</v>
      </c>
      <c r="EB19" s="7" t="s">
        <v>214</v>
      </c>
      <c r="EC19" s="7" t="s">
        <v>214</v>
      </c>
      <c r="ED19" s="7" t="s">
        <v>214</v>
      </c>
      <c r="EE19" s="7" t="s">
        <v>214</v>
      </c>
      <c r="EF19" s="7" t="s">
        <v>214</v>
      </c>
      <c r="EG19" s="7" t="s">
        <v>214</v>
      </c>
      <c r="EH19" s="7" t="s">
        <v>214</v>
      </c>
      <c r="EI19" s="7" t="s">
        <v>214</v>
      </c>
      <c r="EJ19" s="7" t="s">
        <v>214</v>
      </c>
      <c r="EK19" s="7" t="s">
        <v>214</v>
      </c>
      <c r="EL19" s="7" t="s">
        <v>214</v>
      </c>
      <c r="EM19" s="7" t="s">
        <v>214</v>
      </c>
      <c r="EN19" s="7" t="s">
        <v>214</v>
      </c>
      <c r="EO19" s="7" t="s">
        <v>214</v>
      </c>
      <c r="EP19" s="7" t="s">
        <v>214</v>
      </c>
      <c r="EQ19" s="7" t="s">
        <v>214</v>
      </c>
      <c r="ER19" s="7" t="s">
        <v>214</v>
      </c>
      <c r="ES19" s="7" t="s">
        <v>214</v>
      </c>
      <c r="ET19" s="7" t="s">
        <v>214</v>
      </c>
      <c r="EU19" s="7" t="s">
        <v>214</v>
      </c>
      <c r="EV19" s="7" t="s">
        <v>214</v>
      </c>
      <c r="EW19" s="7" t="s">
        <v>214</v>
      </c>
      <c r="EX19" s="7" t="s">
        <v>214</v>
      </c>
      <c r="EY19" s="7" t="s">
        <v>214</v>
      </c>
      <c r="EZ19" s="7" t="s">
        <v>214</v>
      </c>
      <c r="FA19" s="7" t="s">
        <v>214</v>
      </c>
      <c r="FB19" s="7" t="s">
        <v>214</v>
      </c>
      <c r="FC19" s="7" t="s">
        <v>214</v>
      </c>
      <c r="FD19" s="7" t="s">
        <v>214</v>
      </c>
      <c r="FE19" s="7" t="s">
        <v>214</v>
      </c>
      <c r="FF19" s="7" t="s">
        <v>214</v>
      </c>
      <c r="FG19" s="7" t="s">
        <v>214</v>
      </c>
      <c r="FH19" s="7" t="s">
        <v>214</v>
      </c>
      <c r="FI19" s="7" t="s">
        <v>214</v>
      </c>
      <c r="FJ19" s="7" t="s">
        <v>214</v>
      </c>
      <c r="FK19" s="7" t="s">
        <v>214</v>
      </c>
      <c r="FL19" s="7" t="s">
        <v>214</v>
      </c>
    </row>
    <row r="20" spans="1:168" ht="11.45" customHeight="1" x14ac:dyDescent="0.25">
      <c r="A20" s="5" t="s">
        <v>178</v>
      </c>
      <c r="B20" s="5" t="s">
        <v>7</v>
      </c>
      <c r="C20" s="8" t="s">
        <v>217</v>
      </c>
      <c r="D20" s="8" t="s">
        <v>217</v>
      </c>
      <c r="E20" s="8" t="s">
        <v>214</v>
      </c>
      <c r="F20" s="8" t="s">
        <v>214</v>
      </c>
      <c r="G20" s="8" t="s">
        <v>214</v>
      </c>
      <c r="H20" s="8" t="s">
        <v>214</v>
      </c>
      <c r="I20" s="8" t="s">
        <v>214</v>
      </c>
      <c r="J20" s="8" t="s">
        <v>214</v>
      </c>
      <c r="K20" s="8" t="s">
        <v>214</v>
      </c>
      <c r="L20" s="8" t="s">
        <v>214</v>
      </c>
      <c r="M20" s="8" t="s">
        <v>214</v>
      </c>
      <c r="N20" s="8" t="s">
        <v>214</v>
      </c>
      <c r="O20" s="8" t="s">
        <v>214</v>
      </c>
      <c r="P20" s="8" t="s">
        <v>214</v>
      </c>
      <c r="Q20" s="8" t="s">
        <v>214</v>
      </c>
      <c r="R20" s="8" t="s">
        <v>214</v>
      </c>
      <c r="S20" s="8" t="s">
        <v>214</v>
      </c>
      <c r="T20" s="8" t="s">
        <v>214</v>
      </c>
      <c r="U20" s="8" t="s">
        <v>214</v>
      </c>
      <c r="V20" s="8" t="s">
        <v>214</v>
      </c>
      <c r="W20" s="8" t="s">
        <v>214</v>
      </c>
      <c r="X20" s="8" t="s">
        <v>214</v>
      </c>
      <c r="Y20" s="8" t="s">
        <v>214</v>
      </c>
      <c r="Z20" s="8" t="s">
        <v>214</v>
      </c>
      <c r="AA20" s="8" t="s">
        <v>214</v>
      </c>
      <c r="AB20" s="8" t="s">
        <v>214</v>
      </c>
      <c r="AC20" s="8" t="s">
        <v>214</v>
      </c>
      <c r="AD20" s="8" t="s">
        <v>214</v>
      </c>
      <c r="AE20" s="8" t="s">
        <v>214</v>
      </c>
      <c r="AF20" s="8" t="s">
        <v>214</v>
      </c>
      <c r="AG20" s="8" t="s">
        <v>214</v>
      </c>
      <c r="AH20" s="8" t="s">
        <v>214</v>
      </c>
      <c r="AI20" s="8" t="s">
        <v>214</v>
      </c>
      <c r="AJ20" s="8" t="s">
        <v>214</v>
      </c>
      <c r="AK20" s="8" t="s">
        <v>214</v>
      </c>
      <c r="AL20" s="8" t="s">
        <v>214</v>
      </c>
      <c r="AM20" s="8" t="s">
        <v>214</v>
      </c>
      <c r="AN20" s="8" t="s">
        <v>214</v>
      </c>
      <c r="AO20" s="8" t="s">
        <v>214</v>
      </c>
      <c r="AP20" s="8" t="s">
        <v>214</v>
      </c>
      <c r="AQ20" s="8" t="s">
        <v>214</v>
      </c>
      <c r="AR20" s="8" t="s">
        <v>214</v>
      </c>
      <c r="AS20" s="8" t="s">
        <v>214</v>
      </c>
      <c r="AT20" s="8" t="s">
        <v>214</v>
      </c>
      <c r="AU20" s="8" t="s">
        <v>214</v>
      </c>
      <c r="AV20" s="8" t="s">
        <v>214</v>
      </c>
      <c r="AW20" s="8" t="s">
        <v>214</v>
      </c>
      <c r="AX20" s="8" t="s">
        <v>214</v>
      </c>
      <c r="AY20" s="8" t="s">
        <v>214</v>
      </c>
      <c r="AZ20" s="8" t="s">
        <v>214</v>
      </c>
      <c r="BA20" s="8" t="s">
        <v>214</v>
      </c>
      <c r="BB20" s="8" t="s">
        <v>214</v>
      </c>
      <c r="BC20" s="8" t="s">
        <v>214</v>
      </c>
      <c r="BD20" s="8" t="s">
        <v>214</v>
      </c>
      <c r="BE20" s="8" t="s">
        <v>214</v>
      </c>
      <c r="BF20" s="8" t="s">
        <v>214</v>
      </c>
      <c r="BG20" s="8" t="s">
        <v>214</v>
      </c>
      <c r="BH20" s="8" t="s">
        <v>214</v>
      </c>
      <c r="BI20" s="8" t="s">
        <v>214</v>
      </c>
      <c r="BJ20" s="8" t="s">
        <v>218</v>
      </c>
      <c r="BK20" s="8" t="s">
        <v>214</v>
      </c>
      <c r="BL20" s="8" t="s">
        <v>214</v>
      </c>
      <c r="BM20" s="8" t="s">
        <v>214</v>
      </c>
      <c r="BN20" s="8" t="s">
        <v>214</v>
      </c>
      <c r="BO20" s="8" t="s">
        <v>214</v>
      </c>
      <c r="BP20" s="8" t="s">
        <v>214</v>
      </c>
      <c r="BQ20" s="8" t="s">
        <v>214</v>
      </c>
      <c r="BR20" s="8" t="s">
        <v>218</v>
      </c>
      <c r="BS20" s="8" t="s">
        <v>214</v>
      </c>
      <c r="BT20" s="8" t="s">
        <v>214</v>
      </c>
      <c r="BU20" s="8" t="s">
        <v>214</v>
      </c>
      <c r="BV20" s="8" t="s">
        <v>214</v>
      </c>
      <c r="BW20" s="8" t="s">
        <v>214</v>
      </c>
      <c r="BX20" s="8" t="s">
        <v>214</v>
      </c>
      <c r="BY20" s="8" t="s">
        <v>214</v>
      </c>
      <c r="BZ20" s="8" t="s">
        <v>214</v>
      </c>
      <c r="CA20" s="8" t="s">
        <v>214</v>
      </c>
      <c r="CB20" s="8" t="s">
        <v>214</v>
      </c>
      <c r="CC20" s="8" t="s">
        <v>214</v>
      </c>
      <c r="CD20" s="8" t="s">
        <v>214</v>
      </c>
      <c r="CE20" s="8" t="s">
        <v>214</v>
      </c>
      <c r="CF20" s="8" t="s">
        <v>214</v>
      </c>
      <c r="CG20" s="8" t="s">
        <v>214</v>
      </c>
      <c r="CH20" s="8" t="s">
        <v>214</v>
      </c>
      <c r="CI20" s="8" t="s">
        <v>214</v>
      </c>
      <c r="CJ20" s="8" t="s">
        <v>214</v>
      </c>
      <c r="CK20" s="8" t="s">
        <v>214</v>
      </c>
      <c r="CL20" s="8" t="s">
        <v>214</v>
      </c>
      <c r="CM20" s="8" t="s">
        <v>214</v>
      </c>
      <c r="CN20" s="8" t="s">
        <v>214</v>
      </c>
      <c r="CO20" s="8" t="s">
        <v>214</v>
      </c>
      <c r="CP20" s="8" t="s">
        <v>214</v>
      </c>
      <c r="CQ20" s="8" t="s">
        <v>214</v>
      </c>
      <c r="CR20" s="8" t="s">
        <v>214</v>
      </c>
      <c r="CS20" s="8" t="s">
        <v>214</v>
      </c>
      <c r="CT20" s="8" t="s">
        <v>214</v>
      </c>
      <c r="CU20" s="8" t="s">
        <v>214</v>
      </c>
      <c r="CV20" s="8" t="s">
        <v>214</v>
      </c>
      <c r="CW20" s="8" t="s">
        <v>214</v>
      </c>
      <c r="CX20" s="8" t="s">
        <v>214</v>
      </c>
      <c r="CY20" s="8" t="s">
        <v>214</v>
      </c>
      <c r="CZ20" s="8" t="s">
        <v>214</v>
      </c>
      <c r="DA20" s="8" t="s">
        <v>214</v>
      </c>
      <c r="DB20" s="8" t="s">
        <v>214</v>
      </c>
      <c r="DC20" s="8" t="s">
        <v>214</v>
      </c>
      <c r="DD20" s="8" t="s">
        <v>214</v>
      </c>
      <c r="DE20" s="8" t="s">
        <v>214</v>
      </c>
      <c r="DF20" s="8" t="s">
        <v>214</v>
      </c>
      <c r="DG20" s="8" t="s">
        <v>214</v>
      </c>
      <c r="DH20" s="8" t="s">
        <v>214</v>
      </c>
      <c r="DI20" s="8" t="s">
        <v>214</v>
      </c>
      <c r="DJ20" s="8" t="s">
        <v>214</v>
      </c>
      <c r="DK20" s="8" t="s">
        <v>214</v>
      </c>
      <c r="DL20" s="8" t="s">
        <v>214</v>
      </c>
      <c r="DM20" s="8" t="s">
        <v>214</v>
      </c>
      <c r="DN20" s="8" t="s">
        <v>214</v>
      </c>
      <c r="DO20" s="8" t="s">
        <v>214</v>
      </c>
      <c r="DP20" s="8" t="s">
        <v>214</v>
      </c>
      <c r="DQ20" s="8" t="s">
        <v>214</v>
      </c>
      <c r="DR20" s="8" t="s">
        <v>214</v>
      </c>
      <c r="DS20" s="8" t="s">
        <v>214</v>
      </c>
      <c r="DT20" s="8" t="s">
        <v>214</v>
      </c>
      <c r="DU20" s="8" t="s">
        <v>214</v>
      </c>
      <c r="DV20" s="8" t="s">
        <v>214</v>
      </c>
      <c r="DW20" s="8" t="s">
        <v>217</v>
      </c>
      <c r="DX20" s="8" t="s">
        <v>214</v>
      </c>
      <c r="DY20" s="8" t="s">
        <v>214</v>
      </c>
      <c r="DZ20" s="8" t="s">
        <v>214</v>
      </c>
      <c r="EA20" s="8" t="s">
        <v>217</v>
      </c>
      <c r="EB20" s="8" t="s">
        <v>214</v>
      </c>
      <c r="EC20" s="8" t="s">
        <v>214</v>
      </c>
      <c r="ED20" s="8" t="s">
        <v>214</v>
      </c>
      <c r="EE20" s="8" t="s">
        <v>214</v>
      </c>
      <c r="EF20" s="8" t="s">
        <v>214</v>
      </c>
      <c r="EG20" s="8" t="s">
        <v>214</v>
      </c>
      <c r="EH20" s="8" t="s">
        <v>214</v>
      </c>
      <c r="EI20" s="8" t="s">
        <v>214</v>
      </c>
      <c r="EJ20" s="8" t="s">
        <v>214</v>
      </c>
      <c r="EK20" s="8" t="s">
        <v>214</v>
      </c>
      <c r="EL20" s="8" t="s">
        <v>214</v>
      </c>
      <c r="EM20" s="8" t="s">
        <v>214</v>
      </c>
      <c r="EN20" s="8" t="s">
        <v>214</v>
      </c>
      <c r="EO20" s="8" t="s">
        <v>214</v>
      </c>
      <c r="EP20" s="8" t="s">
        <v>214</v>
      </c>
      <c r="EQ20" s="8" t="s">
        <v>214</v>
      </c>
      <c r="ER20" s="8" t="s">
        <v>214</v>
      </c>
      <c r="ES20" s="8" t="s">
        <v>214</v>
      </c>
      <c r="ET20" s="8" t="s">
        <v>214</v>
      </c>
      <c r="EU20" s="8" t="s">
        <v>214</v>
      </c>
      <c r="EV20" s="8" t="s">
        <v>214</v>
      </c>
      <c r="EW20" s="8" t="s">
        <v>214</v>
      </c>
      <c r="EX20" s="8" t="s">
        <v>214</v>
      </c>
      <c r="EY20" s="8" t="s">
        <v>214</v>
      </c>
      <c r="EZ20" s="8" t="s">
        <v>214</v>
      </c>
      <c r="FA20" s="8" t="s">
        <v>214</v>
      </c>
      <c r="FB20" s="8" t="s">
        <v>214</v>
      </c>
      <c r="FC20" s="8" t="s">
        <v>214</v>
      </c>
      <c r="FD20" s="8" t="s">
        <v>214</v>
      </c>
      <c r="FE20" s="8" t="s">
        <v>214</v>
      </c>
      <c r="FF20" s="8" t="s">
        <v>214</v>
      </c>
      <c r="FG20" s="8" t="s">
        <v>214</v>
      </c>
      <c r="FH20" s="8" t="s">
        <v>214</v>
      </c>
      <c r="FI20" s="8" t="s">
        <v>214</v>
      </c>
      <c r="FJ20" s="8" t="s">
        <v>214</v>
      </c>
      <c r="FK20" s="8" t="s">
        <v>214</v>
      </c>
      <c r="FL20" s="8" t="s">
        <v>214</v>
      </c>
    </row>
    <row r="21" spans="1:168" ht="11.45" customHeight="1" x14ac:dyDescent="0.25">
      <c r="A21" s="5" t="s">
        <v>178</v>
      </c>
      <c r="B21" s="5" t="s">
        <v>8</v>
      </c>
      <c r="C21" s="7" t="s">
        <v>217</v>
      </c>
      <c r="D21" s="7" t="s">
        <v>217</v>
      </c>
      <c r="E21" s="7" t="s">
        <v>214</v>
      </c>
      <c r="F21" s="7" t="s">
        <v>214</v>
      </c>
      <c r="G21" s="7" t="s">
        <v>214</v>
      </c>
      <c r="H21" s="7" t="s">
        <v>214</v>
      </c>
      <c r="I21" s="7" t="s">
        <v>214</v>
      </c>
      <c r="J21" s="7" t="s">
        <v>214</v>
      </c>
      <c r="K21" s="7" t="s">
        <v>214</v>
      </c>
      <c r="L21" s="7" t="s">
        <v>214</v>
      </c>
      <c r="M21" s="7" t="s">
        <v>214</v>
      </c>
      <c r="N21" s="7" t="s">
        <v>214</v>
      </c>
      <c r="O21" s="7" t="s">
        <v>214</v>
      </c>
      <c r="P21" s="7" t="s">
        <v>214</v>
      </c>
      <c r="Q21" s="7" t="s">
        <v>214</v>
      </c>
      <c r="R21" s="7" t="s">
        <v>214</v>
      </c>
      <c r="S21" s="7" t="s">
        <v>214</v>
      </c>
      <c r="T21" s="7" t="s">
        <v>214</v>
      </c>
      <c r="U21" s="7" t="s">
        <v>214</v>
      </c>
      <c r="V21" s="7" t="s">
        <v>214</v>
      </c>
      <c r="W21" s="7" t="s">
        <v>214</v>
      </c>
      <c r="X21" s="7" t="s">
        <v>214</v>
      </c>
      <c r="Y21" s="7" t="s">
        <v>214</v>
      </c>
      <c r="Z21" s="7" t="s">
        <v>214</v>
      </c>
      <c r="AA21" s="7" t="s">
        <v>214</v>
      </c>
      <c r="AB21" s="7" t="s">
        <v>214</v>
      </c>
      <c r="AC21" s="7" t="s">
        <v>214</v>
      </c>
      <c r="AD21" s="7" t="s">
        <v>214</v>
      </c>
      <c r="AE21" s="7" t="s">
        <v>214</v>
      </c>
      <c r="AF21" s="7" t="s">
        <v>214</v>
      </c>
      <c r="AG21" s="7" t="s">
        <v>214</v>
      </c>
      <c r="AH21" s="7" t="s">
        <v>214</v>
      </c>
      <c r="AI21" s="7" t="s">
        <v>214</v>
      </c>
      <c r="AJ21" s="7" t="s">
        <v>214</v>
      </c>
      <c r="AK21" s="7" t="s">
        <v>214</v>
      </c>
      <c r="AL21" s="7" t="s">
        <v>214</v>
      </c>
      <c r="AM21" s="7" t="s">
        <v>214</v>
      </c>
      <c r="AN21" s="7" t="s">
        <v>214</v>
      </c>
      <c r="AO21" s="7" t="s">
        <v>214</v>
      </c>
      <c r="AP21" s="7" t="s">
        <v>214</v>
      </c>
      <c r="AQ21" s="7" t="s">
        <v>214</v>
      </c>
      <c r="AR21" s="7" t="s">
        <v>214</v>
      </c>
      <c r="AS21" s="7" t="s">
        <v>214</v>
      </c>
      <c r="AT21" s="7" t="s">
        <v>214</v>
      </c>
      <c r="AU21" s="7" t="s">
        <v>214</v>
      </c>
      <c r="AV21" s="7" t="s">
        <v>214</v>
      </c>
      <c r="AW21" s="7" t="s">
        <v>214</v>
      </c>
      <c r="AX21" s="7" t="s">
        <v>214</v>
      </c>
      <c r="AY21" s="7" t="s">
        <v>214</v>
      </c>
      <c r="AZ21" s="7" t="s">
        <v>214</v>
      </c>
      <c r="BA21" s="7" t="s">
        <v>218</v>
      </c>
      <c r="BB21" s="7" t="s">
        <v>214</v>
      </c>
      <c r="BC21" s="7" t="s">
        <v>214</v>
      </c>
      <c r="BD21" s="7" t="s">
        <v>214</v>
      </c>
      <c r="BE21" s="7" t="s">
        <v>214</v>
      </c>
      <c r="BF21" s="7" t="s">
        <v>214</v>
      </c>
      <c r="BG21" s="7" t="s">
        <v>214</v>
      </c>
      <c r="BH21" s="7" t="s">
        <v>214</v>
      </c>
      <c r="BI21" s="7" t="s">
        <v>214</v>
      </c>
      <c r="BJ21" s="7" t="s">
        <v>218</v>
      </c>
      <c r="BK21" s="7" t="s">
        <v>214</v>
      </c>
      <c r="BL21" s="7" t="s">
        <v>214</v>
      </c>
      <c r="BM21" s="7" t="s">
        <v>214</v>
      </c>
      <c r="BN21" s="7" t="s">
        <v>214</v>
      </c>
      <c r="BO21" s="7" t="s">
        <v>214</v>
      </c>
      <c r="BP21" s="7" t="s">
        <v>214</v>
      </c>
      <c r="BQ21" s="7" t="s">
        <v>214</v>
      </c>
      <c r="BR21" s="7" t="s">
        <v>218</v>
      </c>
      <c r="BS21" s="7" t="s">
        <v>214</v>
      </c>
      <c r="BT21" s="7" t="s">
        <v>218</v>
      </c>
      <c r="BU21" s="7" t="s">
        <v>218</v>
      </c>
      <c r="BV21" s="7" t="s">
        <v>214</v>
      </c>
      <c r="BW21" s="7" t="s">
        <v>214</v>
      </c>
      <c r="BX21" s="7" t="s">
        <v>214</v>
      </c>
      <c r="BY21" s="7" t="s">
        <v>214</v>
      </c>
      <c r="BZ21" s="7" t="s">
        <v>214</v>
      </c>
      <c r="CA21" s="7" t="s">
        <v>214</v>
      </c>
      <c r="CB21" s="7" t="s">
        <v>214</v>
      </c>
      <c r="CC21" s="7" t="s">
        <v>214</v>
      </c>
      <c r="CD21" s="7" t="s">
        <v>214</v>
      </c>
      <c r="CE21" s="7" t="s">
        <v>214</v>
      </c>
      <c r="CF21" s="7" t="s">
        <v>214</v>
      </c>
      <c r="CG21" s="7" t="s">
        <v>214</v>
      </c>
      <c r="CH21" s="7" t="s">
        <v>214</v>
      </c>
      <c r="CI21" s="7" t="s">
        <v>214</v>
      </c>
      <c r="CJ21" s="7" t="s">
        <v>214</v>
      </c>
      <c r="CK21" s="7" t="s">
        <v>214</v>
      </c>
      <c r="CL21" s="7" t="s">
        <v>214</v>
      </c>
      <c r="CM21" s="7" t="s">
        <v>214</v>
      </c>
      <c r="CN21" s="7" t="s">
        <v>214</v>
      </c>
      <c r="CO21" s="7" t="s">
        <v>214</v>
      </c>
      <c r="CP21" s="7" t="s">
        <v>214</v>
      </c>
      <c r="CQ21" s="7" t="s">
        <v>214</v>
      </c>
      <c r="CR21" s="7" t="s">
        <v>214</v>
      </c>
      <c r="CS21" s="7" t="s">
        <v>214</v>
      </c>
      <c r="CT21" s="7" t="s">
        <v>214</v>
      </c>
      <c r="CU21" s="7" t="s">
        <v>214</v>
      </c>
      <c r="CV21" s="7" t="s">
        <v>214</v>
      </c>
      <c r="CW21" s="7" t="s">
        <v>214</v>
      </c>
      <c r="CX21" s="7" t="s">
        <v>214</v>
      </c>
      <c r="CY21" s="7" t="s">
        <v>214</v>
      </c>
      <c r="CZ21" s="7" t="s">
        <v>214</v>
      </c>
      <c r="DA21" s="7" t="s">
        <v>214</v>
      </c>
      <c r="DB21" s="7" t="s">
        <v>214</v>
      </c>
      <c r="DC21" s="7" t="s">
        <v>214</v>
      </c>
      <c r="DD21" s="7" t="s">
        <v>214</v>
      </c>
      <c r="DE21" s="7" t="s">
        <v>214</v>
      </c>
      <c r="DF21" s="7" t="s">
        <v>214</v>
      </c>
      <c r="DG21" s="7" t="s">
        <v>214</v>
      </c>
      <c r="DH21" s="7" t="s">
        <v>214</v>
      </c>
      <c r="DI21" s="7" t="s">
        <v>214</v>
      </c>
      <c r="DJ21" s="7" t="s">
        <v>214</v>
      </c>
      <c r="DK21" s="7" t="s">
        <v>214</v>
      </c>
      <c r="DL21" s="7" t="s">
        <v>214</v>
      </c>
      <c r="DM21" s="7" t="s">
        <v>214</v>
      </c>
      <c r="DN21" s="7" t="s">
        <v>214</v>
      </c>
      <c r="DO21" s="7" t="s">
        <v>214</v>
      </c>
      <c r="DP21" s="7" t="s">
        <v>214</v>
      </c>
      <c r="DQ21" s="7" t="s">
        <v>214</v>
      </c>
      <c r="DR21" s="7" t="s">
        <v>214</v>
      </c>
      <c r="DS21" s="7" t="s">
        <v>214</v>
      </c>
      <c r="DT21" s="7" t="s">
        <v>214</v>
      </c>
      <c r="DU21" s="7" t="s">
        <v>214</v>
      </c>
      <c r="DV21" s="7" t="s">
        <v>214</v>
      </c>
      <c r="DW21" s="7" t="s">
        <v>214</v>
      </c>
      <c r="DX21" s="7" t="s">
        <v>214</v>
      </c>
      <c r="DY21" s="7" t="s">
        <v>214</v>
      </c>
      <c r="DZ21" s="7" t="s">
        <v>214</v>
      </c>
      <c r="EA21" s="7" t="s">
        <v>214</v>
      </c>
      <c r="EB21" s="7" t="s">
        <v>214</v>
      </c>
      <c r="EC21" s="7" t="s">
        <v>214</v>
      </c>
      <c r="ED21" s="7" t="s">
        <v>214</v>
      </c>
      <c r="EE21" s="7" t="s">
        <v>214</v>
      </c>
      <c r="EF21" s="7" t="s">
        <v>214</v>
      </c>
      <c r="EG21" s="7" t="s">
        <v>214</v>
      </c>
      <c r="EH21" s="7" t="s">
        <v>214</v>
      </c>
      <c r="EI21" s="7" t="s">
        <v>214</v>
      </c>
      <c r="EJ21" s="7" t="s">
        <v>214</v>
      </c>
      <c r="EK21" s="7" t="s">
        <v>214</v>
      </c>
      <c r="EL21" s="7" t="s">
        <v>214</v>
      </c>
      <c r="EM21" s="7" t="s">
        <v>214</v>
      </c>
      <c r="EN21" s="7" t="s">
        <v>214</v>
      </c>
      <c r="EO21" s="7" t="s">
        <v>214</v>
      </c>
      <c r="EP21" s="7" t="s">
        <v>214</v>
      </c>
      <c r="EQ21" s="7" t="s">
        <v>214</v>
      </c>
      <c r="ER21" s="7" t="s">
        <v>214</v>
      </c>
      <c r="ES21" s="7" t="s">
        <v>214</v>
      </c>
      <c r="ET21" s="7" t="s">
        <v>214</v>
      </c>
      <c r="EU21" s="7" t="s">
        <v>214</v>
      </c>
      <c r="EV21" s="7" t="s">
        <v>214</v>
      </c>
      <c r="EW21" s="7" t="s">
        <v>214</v>
      </c>
      <c r="EX21" s="7" t="s">
        <v>214</v>
      </c>
      <c r="EY21" s="7" t="s">
        <v>214</v>
      </c>
      <c r="EZ21" s="7" t="s">
        <v>214</v>
      </c>
      <c r="FA21" s="7" t="s">
        <v>214</v>
      </c>
      <c r="FB21" s="7" t="s">
        <v>214</v>
      </c>
      <c r="FC21" s="7" t="s">
        <v>214</v>
      </c>
      <c r="FD21" s="7" t="s">
        <v>214</v>
      </c>
      <c r="FE21" s="7" t="s">
        <v>214</v>
      </c>
      <c r="FF21" s="7" t="s">
        <v>214</v>
      </c>
      <c r="FG21" s="7" t="s">
        <v>214</v>
      </c>
      <c r="FH21" s="7" t="s">
        <v>214</v>
      </c>
      <c r="FI21" s="7" t="s">
        <v>214</v>
      </c>
      <c r="FJ21" s="7" t="s">
        <v>214</v>
      </c>
      <c r="FK21" s="7" t="s">
        <v>214</v>
      </c>
      <c r="FL21" s="7" t="s">
        <v>214</v>
      </c>
    </row>
    <row r="22" spans="1:168" ht="11.45" customHeight="1" x14ac:dyDescent="0.25">
      <c r="A22" s="5" t="s">
        <v>178</v>
      </c>
      <c r="B22" s="5" t="s">
        <v>9</v>
      </c>
      <c r="C22" s="8" t="s">
        <v>217</v>
      </c>
      <c r="D22" s="8" t="s">
        <v>217</v>
      </c>
      <c r="E22" s="8" t="s">
        <v>214</v>
      </c>
      <c r="F22" s="8" t="s">
        <v>214</v>
      </c>
      <c r="G22" s="8" t="s">
        <v>214</v>
      </c>
      <c r="H22" s="8" t="s">
        <v>214</v>
      </c>
      <c r="I22" s="8" t="s">
        <v>214</v>
      </c>
      <c r="J22" s="8" t="s">
        <v>214</v>
      </c>
      <c r="K22" s="8" t="s">
        <v>214</v>
      </c>
      <c r="L22" s="8" t="s">
        <v>214</v>
      </c>
      <c r="M22" s="8" t="s">
        <v>214</v>
      </c>
      <c r="N22" s="8" t="s">
        <v>214</v>
      </c>
      <c r="O22" s="8" t="s">
        <v>214</v>
      </c>
      <c r="P22" s="8" t="s">
        <v>214</v>
      </c>
      <c r="Q22" s="8" t="s">
        <v>214</v>
      </c>
      <c r="R22" s="8" t="s">
        <v>214</v>
      </c>
      <c r="S22" s="8" t="s">
        <v>214</v>
      </c>
      <c r="T22" s="8" t="s">
        <v>214</v>
      </c>
      <c r="U22" s="8" t="s">
        <v>214</v>
      </c>
      <c r="V22" s="8" t="s">
        <v>214</v>
      </c>
      <c r="W22" s="8" t="s">
        <v>214</v>
      </c>
      <c r="X22" s="8" t="s">
        <v>214</v>
      </c>
      <c r="Y22" s="8" t="s">
        <v>214</v>
      </c>
      <c r="Z22" s="8" t="s">
        <v>214</v>
      </c>
      <c r="AA22" s="8" t="s">
        <v>214</v>
      </c>
      <c r="AB22" s="8" t="s">
        <v>214</v>
      </c>
      <c r="AC22" s="8" t="s">
        <v>214</v>
      </c>
      <c r="AD22" s="8" t="s">
        <v>214</v>
      </c>
      <c r="AE22" s="8" t="s">
        <v>214</v>
      </c>
      <c r="AF22" s="8" t="s">
        <v>214</v>
      </c>
      <c r="AG22" s="8" t="s">
        <v>214</v>
      </c>
      <c r="AH22" s="8" t="s">
        <v>214</v>
      </c>
      <c r="AI22" s="8" t="s">
        <v>214</v>
      </c>
      <c r="AJ22" s="8" t="s">
        <v>214</v>
      </c>
      <c r="AK22" s="8" t="s">
        <v>214</v>
      </c>
      <c r="AL22" s="8" t="s">
        <v>214</v>
      </c>
      <c r="AM22" s="8" t="s">
        <v>214</v>
      </c>
      <c r="AN22" s="8" t="s">
        <v>214</v>
      </c>
      <c r="AO22" s="8" t="s">
        <v>214</v>
      </c>
      <c r="AP22" s="8" t="s">
        <v>214</v>
      </c>
      <c r="AQ22" s="8" t="s">
        <v>214</v>
      </c>
      <c r="AR22" s="8" t="s">
        <v>214</v>
      </c>
      <c r="AS22" s="8" t="s">
        <v>214</v>
      </c>
      <c r="AT22" s="8" t="s">
        <v>214</v>
      </c>
      <c r="AU22" s="8" t="s">
        <v>214</v>
      </c>
      <c r="AV22" s="8" t="s">
        <v>214</v>
      </c>
      <c r="AW22" s="8" t="s">
        <v>214</v>
      </c>
      <c r="AX22" s="8" t="s">
        <v>214</v>
      </c>
      <c r="AY22" s="8" t="s">
        <v>214</v>
      </c>
      <c r="AZ22" s="8" t="s">
        <v>214</v>
      </c>
      <c r="BA22" s="8" t="s">
        <v>218</v>
      </c>
      <c r="BB22" s="8" t="s">
        <v>214</v>
      </c>
      <c r="BC22" s="8" t="s">
        <v>214</v>
      </c>
      <c r="BD22" s="8" t="s">
        <v>214</v>
      </c>
      <c r="BE22" s="8" t="s">
        <v>214</v>
      </c>
      <c r="BF22" s="8" t="s">
        <v>214</v>
      </c>
      <c r="BG22" s="8" t="s">
        <v>214</v>
      </c>
      <c r="BH22" s="8" t="s">
        <v>214</v>
      </c>
      <c r="BI22" s="8" t="s">
        <v>214</v>
      </c>
      <c r="BJ22" s="8" t="s">
        <v>218</v>
      </c>
      <c r="BK22" s="8" t="s">
        <v>218</v>
      </c>
      <c r="BL22" s="8" t="s">
        <v>214</v>
      </c>
      <c r="BM22" s="8" t="s">
        <v>214</v>
      </c>
      <c r="BN22" s="8" t="s">
        <v>214</v>
      </c>
      <c r="BO22" s="8" t="s">
        <v>214</v>
      </c>
      <c r="BP22" s="8" t="s">
        <v>214</v>
      </c>
      <c r="BQ22" s="8" t="s">
        <v>214</v>
      </c>
      <c r="BR22" s="8" t="s">
        <v>218</v>
      </c>
      <c r="BS22" s="8" t="s">
        <v>214</v>
      </c>
      <c r="BT22" s="8" t="s">
        <v>218</v>
      </c>
      <c r="BU22" s="8" t="s">
        <v>218</v>
      </c>
      <c r="BV22" s="8" t="s">
        <v>214</v>
      </c>
      <c r="BW22" s="8" t="s">
        <v>214</v>
      </c>
      <c r="BX22" s="8" t="s">
        <v>214</v>
      </c>
      <c r="BY22" s="8" t="s">
        <v>214</v>
      </c>
      <c r="BZ22" s="8" t="s">
        <v>214</v>
      </c>
      <c r="CA22" s="8" t="s">
        <v>214</v>
      </c>
      <c r="CB22" s="8" t="s">
        <v>214</v>
      </c>
      <c r="CC22" s="8" t="s">
        <v>214</v>
      </c>
      <c r="CD22" s="8" t="s">
        <v>214</v>
      </c>
      <c r="CE22" s="8" t="s">
        <v>214</v>
      </c>
      <c r="CF22" s="8" t="s">
        <v>214</v>
      </c>
      <c r="CG22" s="8" t="s">
        <v>214</v>
      </c>
      <c r="CH22" s="8" t="s">
        <v>214</v>
      </c>
      <c r="CI22" s="8" t="s">
        <v>214</v>
      </c>
      <c r="CJ22" s="8" t="s">
        <v>214</v>
      </c>
      <c r="CK22" s="8" t="s">
        <v>214</v>
      </c>
      <c r="CL22" s="8" t="s">
        <v>214</v>
      </c>
      <c r="CM22" s="8" t="s">
        <v>214</v>
      </c>
      <c r="CN22" s="8" t="s">
        <v>214</v>
      </c>
      <c r="CO22" s="8" t="s">
        <v>214</v>
      </c>
      <c r="CP22" s="8" t="s">
        <v>214</v>
      </c>
      <c r="CQ22" s="8" t="s">
        <v>214</v>
      </c>
      <c r="CR22" s="8" t="s">
        <v>214</v>
      </c>
      <c r="CS22" s="8" t="s">
        <v>214</v>
      </c>
      <c r="CT22" s="8" t="s">
        <v>214</v>
      </c>
      <c r="CU22" s="8" t="s">
        <v>214</v>
      </c>
      <c r="CV22" s="8" t="s">
        <v>214</v>
      </c>
      <c r="CW22" s="8" t="s">
        <v>214</v>
      </c>
      <c r="CX22" s="8" t="s">
        <v>214</v>
      </c>
      <c r="CY22" s="8" t="s">
        <v>214</v>
      </c>
      <c r="CZ22" s="8" t="s">
        <v>214</v>
      </c>
      <c r="DA22" s="8" t="s">
        <v>214</v>
      </c>
      <c r="DB22" s="8" t="s">
        <v>214</v>
      </c>
      <c r="DC22" s="8" t="s">
        <v>214</v>
      </c>
      <c r="DD22" s="8" t="s">
        <v>214</v>
      </c>
      <c r="DE22" s="8" t="s">
        <v>214</v>
      </c>
      <c r="DF22" s="8" t="s">
        <v>214</v>
      </c>
      <c r="DG22" s="8" t="s">
        <v>214</v>
      </c>
      <c r="DH22" s="8" t="s">
        <v>214</v>
      </c>
      <c r="DI22" s="8" t="s">
        <v>214</v>
      </c>
      <c r="DJ22" s="8" t="s">
        <v>214</v>
      </c>
      <c r="DK22" s="8" t="s">
        <v>214</v>
      </c>
      <c r="DL22" s="8" t="s">
        <v>214</v>
      </c>
      <c r="DM22" s="8" t="s">
        <v>214</v>
      </c>
      <c r="DN22" s="8" t="s">
        <v>214</v>
      </c>
      <c r="DO22" s="8" t="s">
        <v>214</v>
      </c>
      <c r="DP22" s="8" t="s">
        <v>214</v>
      </c>
      <c r="DQ22" s="8" t="s">
        <v>214</v>
      </c>
      <c r="DR22" s="8" t="s">
        <v>214</v>
      </c>
      <c r="DS22" s="8" t="s">
        <v>214</v>
      </c>
      <c r="DT22" s="8" t="s">
        <v>214</v>
      </c>
      <c r="DU22" s="8" t="s">
        <v>214</v>
      </c>
      <c r="DV22" s="8" t="s">
        <v>214</v>
      </c>
      <c r="DW22" s="8" t="s">
        <v>214</v>
      </c>
      <c r="DX22" s="8" t="s">
        <v>214</v>
      </c>
      <c r="DY22" s="8" t="s">
        <v>214</v>
      </c>
      <c r="DZ22" s="8" t="s">
        <v>214</v>
      </c>
      <c r="EA22" s="8" t="s">
        <v>214</v>
      </c>
      <c r="EB22" s="8" t="s">
        <v>214</v>
      </c>
      <c r="EC22" s="8" t="s">
        <v>214</v>
      </c>
      <c r="ED22" s="8" t="s">
        <v>214</v>
      </c>
      <c r="EE22" s="8" t="s">
        <v>214</v>
      </c>
      <c r="EF22" s="8" t="s">
        <v>214</v>
      </c>
      <c r="EG22" s="8" t="s">
        <v>214</v>
      </c>
      <c r="EH22" s="8" t="s">
        <v>214</v>
      </c>
      <c r="EI22" s="8" t="s">
        <v>214</v>
      </c>
      <c r="EJ22" s="8" t="s">
        <v>214</v>
      </c>
      <c r="EK22" s="8" t="s">
        <v>214</v>
      </c>
      <c r="EL22" s="8" t="s">
        <v>214</v>
      </c>
      <c r="EM22" s="8" t="s">
        <v>214</v>
      </c>
      <c r="EN22" s="8" t="s">
        <v>214</v>
      </c>
      <c r="EO22" s="8" t="s">
        <v>214</v>
      </c>
      <c r="EP22" s="8" t="s">
        <v>214</v>
      </c>
      <c r="EQ22" s="8" t="s">
        <v>214</v>
      </c>
      <c r="ER22" s="8" t="s">
        <v>214</v>
      </c>
      <c r="ES22" s="8" t="s">
        <v>214</v>
      </c>
      <c r="ET22" s="8" t="s">
        <v>214</v>
      </c>
      <c r="EU22" s="8" t="s">
        <v>214</v>
      </c>
      <c r="EV22" s="8" t="s">
        <v>214</v>
      </c>
      <c r="EW22" s="8" t="s">
        <v>214</v>
      </c>
      <c r="EX22" s="8" t="s">
        <v>214</v>
      </c>
      <c r="EY22" s="8" t="s">
        <v>214</v>
      </c>
      <c r="EZ22" s="8" t="s">
        <v>214</v>
      </c>
      <c r="FA22" s="8" t="s">
        <v>214</v>
      </c>
      <c r="FB22" s="8" t="s">
        <v>214</v>
      </c>
      <c r="FC22" s="8" t="s">
        <v>214</v>
      </c>
      <c r="FD22" s="8" t="s">
        <v>214</v>
      </c>
      <c r="FE22" s="8" t="s">
        <v>218</v>
      </c>
      <c r="FF22" s="8" t="s">
        <v>214</v>
      </c>
      <c r="FG22" s="8" t="s">
        <v>214</v>
      </c>
      <c r="FH22" s="8" t="s">
        <v>214</v>
      </c>
      <c r="FI22" s="8" t="s">
        <v>214</v>
      </c>
      <c r="FJ22" s="8" t="s">
        <v>214</v>
      </c>
      <c r="FK22" s="8" t="s">
        <v>214</v>
      </c>
      <c r="FL22" s="8" t="s">
        <v>214</v>
      </c>
    </row>
    <row r="23" spans="1:168" ht="11.45" customHeight="1" x14ac:dyDescent="0.25">
      <c r="A23" s="5" t="s">
        <v>179</v>
      </c>
      <c r="B23" s="5" t="s">
        <v>6</v>
      </c>
      <c r="C23" s="7" t="s">
        <v>214</v>
      </c>
      <c r="D23" s="7" t="s">
        <v>214</v>
      </c>
      <c r="E23" s="7" t="s">
        <v>214</v>
      </c>
      <c r="F23" s="7" t="s">
        <v>214</v>
      </c>
      <c r="G23" s="7" t="s">
        <v>214</v>
      </c>
      <c r="H23" s="7" t="s">
        <v>214</v>
      </c>
      <c r="I23" s="7" t="s">
        <v>214</v>
      </c>
      <c r="J23" s="7" t="s">
        <v>214</v>
      </c>
      <c r="K23" s="7" t="s">
        <v>214</v>
      </c>
      <c r="L23" s="7" t="s">
        <v>214</v>
      </c>
      <c r="M23" s="7" t="s">
        <v>214</v>
      </c>
      <c r="N23" s="7" t="s">
        <v>214</v>
      </c>
      <c r="O23" s="7" t="s">
        <v>214</v>
      </c>
      <c r="P23" s="7" t="s">
        <v>214</v>
      </c>
      <c r="Q23" s="7" t="s">
        <v>214</v>
      </c>
      <c r="R23" s="7" t="s">
        <v>214</v>
      </c>
      <c r="S23" s="7" t="s">
        <v>214</v>
      </c>
      <c r="T23" s="7" t="s">
        <v>214</v>
      </c>
      <c r="U23" s="7" t="s">
        <v>214</v>
      </c>
      <c r="V23" s="7" t="s">
        <v>214</v>
      </c>
      <c r="W23" s="7" t="s">
        <v>214</v>
      </c>
      <c r="X23" s="7" t="s">
        <v>214</v>
      </c>
      <c r="Y23" s="7" t="s">
        <v>214</v>
      </c>
      <c r="Z23" s="7" t="s">
        <v>214</v>
      </c>
      <c r="AA23" s="7" t="s">
        <v>214</v>
      </c>
      <c r="AB23" s="7" t="s">
        <v>214</v>
      </c>
      <c r="AC23" s="7" t="s">
        <v>214</v>
      </c>
      <c r="AD23" s="7" t="s">
        <v>214</v>
      </c>
      <c r="AE23" s="7" t="s">
        <v>214</v>
      </c>
      <c r="AF23" s="7" t="s">
        <v>214</v>
      </c>
      <c r="AG23" s="7" t="s">
        <v>214</v>
      </c>
      <c r="AH23" s="7" t="s">
        <v>214</v>
      </c>
      <c r="AI23" s="7" t="s">
        <v>214</v>
      </c>
      <c r="AJ23" s="7" t="s">
        <v>214</v>
      </c>
      <c r="AK23" s="7" t="s">
        <v>214</v>
      </c>
      <c r="AL23" s="7" t="s">
        <v>214</v>
      </c>
      <c r="AM23" s="7" t="s">
        <v>214</v>
      </c>
      <c r="AN23" s="7" t="s">
        <v>214</v>
      </c>
      <c r="AO23" s="7" t="s">
        <v>214</v>
      </c>
      <c r="AP23" s="7" t="s">
        <v>214</v>
      </c>
      <c r="AQ23" s="7" t="s">
        <v>214</v>
      </c>
      <c r="AR23" s="7" t="s">
        <v>214</v>
      </c>
      <c r="AS23" s="7" t="s">
        <v>214</v>
      </c>
      <c r="AT23" s="7" t="s">
        <v>214</v>
      </c>
      <c r="AU23" s="7" t="s">
        <v>214</v>
      </c>
      <c r="AV23" s="7" t="s">
        <v>214</v>
      </c>
      <c r="AW23" s="7" t="s">
        <v>214</v>
      </c>
      <c r="AX23" s="7" t="s">
        <v>214</v>
      </c>
      <c r="AY23" s="7" t="s">
        <v>214</v>
      </c>
      <c r="AZ23" s="7" t="s">
        <v>214</v>
      </c>
      <c r="BA23" s="7" t="s">
        <v>214</v>
      </c>
      <c r="BB23" s="7" t="s">
        <v>214</v>
      </c>
      <c r="BC23" s="7" t="s">
        <v>214</v>
      </c>
      <c r="BD23" s="7" t="s">
        <v>214</v>
      </c>
      <c r="BE23" s="7" t="s">
        <v>214</v>
      </c>
      <c r="BF23" s="7" t="s">
        <v>214</v>
      </c>
      <c r="BG23" s="7" t="s">
        <v>214</v>
      </c>
      <c r="BH23" s="7" t="s">
        <v>214</v>
      </c>
      <c r="BI23" s="7" t="s">
        <v>214</v>
      </c>
      <c r="BJ23" s="7" t="s">
        <v>214</v>
      </c>
      <c r="BK23" s="7" t="s">
        <v>214</v>
      </c>
      <c r="BL23" s="7" t="s">
        <v>214</v>
      </c>
      <c r="BM23" s="7" t="s">
        <v>214</v>
      </c>
      <c r="BN23" s="7" t="s">
        <v>214</v>
      </c>
      <c r="BO23" s="7" t="s">
        <v>214</v>
      </c>
      <c r="BP23" s="7" t="s">
        <v>214</v>
      </c>
      <c r="BQ23" s="7" t="s">
        <v>214</v>
      </c>
      <c r="BR23" s="7" t="s">
        <v>214</v>
      </c>
      <c r="BS23" s="7" t="s">
        <v>214</v>
      </c>
      <c r="BT23" s="7" t="s">
        <v>214</v>
      </c>
      <c r="BU23" s="7" t="s">
        <v>214</v>
      </c>
      <c r="BV23" s="7" t="s">
        <v>214</v>
      </c>
      <c r="BW23" s="7" t="s">
        <v>214</v>
      </c>
      <c r="BX23" s="7" t="s">
        <v>214</v>
      </c>
      <c r="BY23" s="7" t="s">
        <v>214</v>
      </c>
      <c r="BZ23" s="7" t="s">
        <v>214</v>
      </c>
      <c r="CA23" s="7" t="s">
        <v>214</v>
      </c>
      <c r="CB23" s="7" t="s">
        <v>214</v>
      </c>
      <c r="CC23" s="7" t="s">
        <v>214</v>
      </c>
      <c r="CD23" s="7" t="s">
        <v>214</v>
      </c>
      <c r="CE23" s="7" t="s">
        <v>214</v>
      </c>
      <c r="CF23" s="7" t="s">
        <v>214</v>
      </c>
      <c r="CG23" s="7" t="s">
        <v>214</v>
      </c>
      <c r="CH23" s="7" t="s">
        <v>214</v>
      </c>
      <c r="CI23" s="7" t="s">
        <v>214</v>
      </c>
      <c r="CJ23" s="7" t="s">
        <v>214</v>
      </c>
      <c r="CK23" s="7" t="s">
        <v>214</v>
      </c>
      <c r="CL23" s="7" t="s">
        <v>214</v>
      </c>
      <c r="CM23" s="7" t="s">
        <v>214</v>
      </c>
      <c r="CN23" s="7" t="s">
        <v>214</v>
      </c>
      <c r="CO23" s="7" t="s">
        <v>214</v>
      </c>
      <c r="CP23" s="7" t="s">
        <v>214</v>
      </c>
      <c r="CQ23" s="7" t="s">
        <v>214</v>
      </c>
      <c r="CR23" s="7" t="s">
        <v>214</v>
      </c>
      <c r="CS23" s="7" t="s">
        <v>214</v>
      </c>
      <c r="CT23" s="7" t="s">
        <v>214</v>
      </c>
      <c r="CU23" s="7" t="s">
        <v>214</v>
      </c>
      <c r="CV23" s="7" t="s">
        <v>214</v>
      </c>
      <c r="CW23" s="7" t="s">
        <v>214</v>
      </c>
      <c r="CX23" s="7" t="s">
        <v>214</v>
      </c>
      <c r="CY23" s="7" t="s">
        <v>214</v>
      </c>
      <c r="CZ23" s="7" t="s">
        <v>214</v>
      </c>
      <c r="DA23" s="7" t="s">
        <v>214</v>
      </c>
      <c r="DB23" s="7" t="s">
        <v>214</v>
      </c>
      <c r="DC23" s="7" t="s">
        <v>214</v>
      </c>
      <c r="DD23" s="7" t="s">
        <v>214</v>
      </c>
      <c r="DE23" s="7" t="s">
        <v>214</v>
      </c>
      <c r="DF23" s="7" t="s">
        <v>218</v>
      </c>
      <c r="DG23" s="7" t="s">
        <v>214</v>
      </c>
      <c r="DH23" s="7" t="s">
        <v>214</v>
      </c>
      <c r="DI23" s="7" t="s">
        <v>214</v>
      </c>
      <c r="DJ23" s="7" t="s">
        <v>214</v>
      </c>
      <c r="DK23" s="7" t="s">
        <v>214</v>
      </c>
      <c r="DL23" s="7" t="s">
        <v>214</v>
      </c>
      <c r="DM23" s="7" t="s">
        <v>214</v>
      </c>
      <c r="DN23" s="7" t="s">
        <v>214</v>
      </c>
      <c r="DO23" s="7" t="s">
        <v>214</v>
      </c>
      <c r="DP23" s="7" t="s">
        <v>218</v>
      </c>
      <c r="DQ23" s="7" t="s">
        <v>214</v>
      </c>
      <c r="DR23" s="7" t="s">
        <v>214</v>
      </c>
      <c r="DS23" s="7" t="s">
        <v>214</v>
      </c>
      <c r="DT23" s="7" t="s">
        <v>214</v>
      </c>
      <c r="DU23" s="7" t="s">
        <v>214</v>
      </c>
      <c r="DV23" s="7" t="s">
        <v>214</v>
      </c>
      <c r="DW23" s="7" t="s">
        <v>214</v>
      </c>
      <c r="DX23" s="7" t="s">
        <v>214</v>
      </c>
      <c r="DY23" s="7" t="s">
        <v>214</v>
      </c>
      <c r="DZ23" s="7" t="s">
        <v>214</v>
      </c>
      <c r="EA23" s="7" t="s">
        <v>214</v>
      </c>
      <c r="EB23" s="7" t="s">
        <v>214</v>
      </c>
      <c r="EC23" s="7" t="s">
        <v>214</v>
      </c>
      <c r="ED23" s="7" t="s">
        <v>214</v>
      </c>
      <c r="EE23" s="7" t="s">
        <v>214</v>
      </c>
      <c r="EF23" s="7" t="s">
        <v>214</v>
      </c>
      <c r="EG23" s="7" t="s">
        <v>214</v>
      </c>
      <c r="EH23" s="7" t="s">
        <v>214</v>
      </c>
      <c r="EI23" s="7" t="s">
        <v>214</v>
      </c>
      <c r="EJ23" s="7" t="s">
        <v>214</v>
      </c>
      <c r="EK23" s="7" t="s">
        <v>214</v>
      </c>
      <c r="EL23" s="7" t="s">
        <v>214</v>
      </c>
      <c r="EM23" s="7" t="s">
        <v>214</v>
      </c>
      <c r="EN23" s="7" t="s">
        <v>214</v>
      </c>
      <c r="EO23" s="7" t="s">
        <v>214</v>
      </c>
      <c r="EP23" s="7" t="s">
        <v>214</v>
      </c>
      <c r="EQ23" s="7" t="s">
        <v>214</v>
      </c>
      <c r="ER23" s="7" t="s">
        <v>214</v>
      </c>
      <c r="ES23" s="7" t="s">
        <v>214</v>
      </c>
      <c r="ET23" s="7" t="s">
        <v>214</v>
      </c>
      <c r="EU23" s="7" t="s">
        <v>214</v>
      </c>
      <c r="EV23" s="7" t="s">
        <v>214</v>
      </c>
      <c r="EW23" s="7" t="s">
        <v>214</v>
      </c>
      <c r="EX23" s="7" t="s">
        <v>214</v>
      </c>
      <c r="EY23" s="7" t="s">
        <v>214</v>
      </c>
      <c r="EZ23" s="7" t="s">
        <v>214</v>
      </c>
      <c r="FA23" s="7" t="s">
        <v>214</v>
      </c>
      <c r="FB23" s="7" t="s">
        <v>214</v>
      </c>
      <c r="FC23" s="7" t="s">
        <v>214</v>
      </c>
      <c r="FD23" s="7" t="s">
        <v>214</v>
      </c>
      <c r="FE23" s="7" t="s">
        <v>214</v>
      </c>
      <c r="FF23" s="7" t="s">
        <v>214</v>
      </c>
      <c r="FG23" s="7" t="s">
        <v>214</v>
      </c>
      <c r="FH23" s="7" t="s">
        <v>214</v>
      </c>
      <c r="FI23" s="7" t="s">
        <v>214</v>
      </c>
      <c r="FJ23" s="7" t="s">
        <v>214</v>
      </c>
      <c r="FK23" s="7" t="s">
        <v>214</v>
      </c>
      <c r="FL23" s="7" t="s">
        <v>214</v>
      </c>
    </row>
    <row r="24" spans="1:168" ht="11.45" customHeight="1" x14ac:dyDescent="0.25">
      <c r="A24" s="5" t="s">
        <v>179</v>
      </c>
      <c r="B24" s="5" t="s">
        <v>7</v>
      </c>
      <c r="C24" s="8" t="s">
        <v>217</v>
      </c>
      <c r="D24" s="8" t="s">
        <v>217</v>
      </c>
      <c r="E24" s="8" t="s">
        <v>214</v>
      </c>
      <c r="F24" s="8" t="s">
        <v>214</v>
      </c>
      <c r="G24" s="8" t="s">
        <v>214</v>
      </c>
      <c r="H24" s="8" t="s">
        <v>214</v>
      </c>
      <c r="I24" s="8" t="s">
        <v>214</v>
      </c>
      <c r="J24" s="8" t="s">
        <v>214</v>
      </c>
      <c r="K24" s="8" t="s">
        <v>214</v>
      </c>
      <c r="L24" s="8" t="s">
        <v>214</v>
      </c>
      <c r="M24" s="8" t="s">
        <v>214</v>
      </c>
      <c r="N24" s="8" t="s">
        <v>214</v>
      </c>
      <c r="O24" s="8" t="s">
        <v>214</v>
      </c>
      <c r="P24" s="8" t="s">
        <v>214</v>
      </c>
      <c r="Q24" s="8" t="s">
        <v>214</v>
      </c>
      <c r="R24" s="8" t="s">
        <v>214</v>
      </c>
      <c r="S24" s="8" t="s">
        <v>214</v>
      </c>
      <c r="T24" s="8" t="s">
        <v>214</v>
      </c>
      <c r="U24" s="8" t="s">
        <v>214</v>
      </c>
      <c r="V24" s="8" t="s">
        <v>214</v>
      </c>
      <c r="W24" s="8" t="s">
        <v>214</v>
      </c>
      <c r="X24" s="8" t="s">
        <v>214</v>
      </c>
      <c r="Y24" s="8" t="s">
        <v>214</v>
      </c>
      <c r="Z24" s="8" t="s">
        <v>214</v>
      </c>
      <c r="AA24" s="8" t="s">
        <v>214</v>
      </c>
      <c r="AB24" s="8" t="s">
        <v>214</v>
      </c>
      <c r="AC24" s="8" t="s">
        <v>214</v>
      </c>
      <c r="AD24" s="8" t="s">
        <v>214</v>
      </c>
      <c r="AE24" s="8" t="s">
        <v>214</v>
      </c>
      <c r="AF24" s="8" t="s">
        <v>214</v>
      </c>
      <c r="AG24" s="8" t="s">
        <v>214</v>
      </c>
      <c r="AH24" s="8" t="s">
        <v>214</v>
      </c>
      <c r="AI24" s="8" t="s">
        <v>214</v>
      </c>
      <c r="AJ24" s="8" t="s">
        <v>214</v>
      </c>
      <c r="AK24" s="8" t="s">
        <v>214</v>
      </c>
      <c r="AL24" s="8" t="s">
        <v>214</v>
      </c>
      <c r="AM24" s="8" t="s">
        <v>214</v>
      </c>
      <c r="AN24" s="8" t="s">
        <v>214</v>
      </c>
      <c r="AO24" s="8" t="s">
        <v>214</v>
      </c>
      <c r="AP24" s="8" t="s">
        <v>214</v>
      </c>
      <c r="AQ24" s="8" t="s">
        <v>214</v>
      </c>
      <c r="AR24" s="8" t="s">
        <v>214</v>
      </c>
      <c r="AS24" s="8" t="s">
        <v>214</v>
      </c>
      <c r="AT24" s="8" t="s">
        <v>214</v>
      </c>
      <c r="AU24" s="8" t="s">
        <v>214</v>
      </c>
      <c r="AV24" s="8" t="s">
        <v>214</v>
      </c>
      <c r="AW24" s="8" t="s">
        <v>214</v>
      </c>
      <c r="AX24" s="8" t="s">
        <v>214</v>
      </c>
      <c r="AY24" s="8" t="s">
        <v>214</v>
      </c>
      <c r="AZ24" s="8" t="s">
        <v>214</v>
      </c>
      <c r="BA24" s="8" t="s">
        <v>214</v>
      </c>
      <c r="BB24" s="8" t="s">
        <v>214</v>
      </c>
      <c r="BC24" s="8" t="s">
        <v>214</v>
      </c>
      <c r="BD24" s="8" t="s">
        <v>214</v>
      </c>
      <c r="BE24" s="8" t="s">
        <v>214</v>
      </c>
      <c r="BF24" s="8" t="s">
        <v>218</v>
      </c>
      <c r="BG24" s="8" t="s">
        <v>214</v>
      </c>
      <c r="BH24" s="8" t="s">
        <v>214</v>
      </c>
      <c r="BI24" s="8" t="s">
        <v>214</v>
      </c>
      <c r="BJ24" s="8" t="s">
        <v>214</v>
      </c>
      <c r="BK24" s="8" t="s">
        <v>214</v>
      </c>
      <c r="BL24" s="8" t="s">
        <v>214</v>
      </c>
      <c r="BM24" s="8" t="s">
        <v>214</v>
      </c>
      <c r="BN24" s="8" t="s">
        <v>214</v>
      </c>
      <c r="BO24" s="8" t="s">
        <v>214</v>
      </c>
      <c r="BP24" s="8" t="s">
        <v>214</v>
      </c>
      <c r="BQ24" s="8" t="s">
        <v>214</v>
      </c>
      <c r="BR24" s="8" t="s">
        <v>218</v>
      </c>
      <c r="BS24" s="8" t="s">
        <v>214</v>
      </c>
      <c r="BT24" s="8" t="s">
        <v>214</v>
      </c>
      <c r="BU24" s="8" t="s">
        <v>214</v>
      </c>
      <c r="BV24" s="8" t="s">
        <v>214</v>
      </c>
      <c r="BW24" s="8" t="s">
        <v>214</v>
      </c>
      <c r="BX24" s="8" t="s">
        <v>214</v>
      </c>
      <c r="BY24" s="8" t="s">
        <v>214</v>
      </c>
      <c r="BZ24" s="8" t="s">
        <v>214</v>
      </c>
      <c r="CA24" s="8" t="s">
        <v>214</v>
      </c>
      <c r="CB24" s="8" t="s">
        <v>214</v>
      </c>
      <c r="CC24" s="8" t="s">
        <v>214</v>
      </c>
      <c r="CD24" s="8" t="s">
        <v>214</v>
      </c>
      <c r="CE24" s="8" t="s">
        <v>214</v>
      </c>
      <c r="CF24" s="8" t="s">
        <v>214</v>
      </c>
      <c r="CG24" s="8" t="s">
        <v>214</v>
      </c>
      <c r="CH24" s="8" t="s">
        <v>214</v>
      </c>
      <c r="CI24" s="8" t="s">
        <v>214</v>
      </c>
      <c r="CJ24" s="8" t="s">
        <v>214</v>
      </c>
      <c r="CK24" s="8" t="s">
        <v>214</v>
      </c>
      <c r="CL24" s="8" t="s">
        <v>214</v>
      </c>
      <c r="CM24" s="8" t="s">
        <v>214</v>
      </c>
      <c r="CN24" s="8" t="s">
        <v>214</v>
      </c>
      <c r="CO24" s="8" t="s">
        <v>214</v>
      </c>
      <c r="CP24" s="8" t="s">
        <v>214</v>
      </c>
      <c r="CQ24" s="8" t="s">
        <v>214</v>
      </c>
      <c r="CR24" s="8" t="s">
        <v>214</v>
      </c>
      <c r="CS24" s="8" t="s">
        <v>214</v>
      </c>
      <c r="CT24" s="8" t="s">
        <v>214</v>
      </c>
      <c r="CU24" s="8" t="s">
        <v>214</v>
      </c>
      <c r="CV24" s="8" t="s">
        <v>214</v>
      </c>
      <c r="CW24" s="8" t="s">
        <v>214</v>
      </c>
      <c r="CX24" s="8" t="s">
        <v>214</v>
      </c>
      <c r="CY24" s="8" t="s">
        <v>214</v>
      </c>
      <c r="CZ24" s="8" t="s">
        <v>214</v>
      </c>
      <c r="DA24" s="8" t="s">
        <v>214</v>
      </c>
      <c r="DB24" s="8" t="s">
        <v>214</v>
      </c>
      <c r="DC24" s="8" t="s">
        <v>214</v>
      </c>
      <c r="DD24" s="8" t="s">
        <v>214</v>
      </c>
      <c r="DE24" s="8" t="s">
        <v>214</v>
      </c>
      <c r="DF24" s="8" t="s">
        <v>214</v>
      </c>
      <c r="DG24" s="8" t="s">
        <v>214</v>
      </c>
      <c r="DH24" s="8" t="s">
        <v>214</v>
      </c>
      <c r="DI24" s="8" t="s">
        <v>214</v>
      </c>
      <c r="DJ24" s="8" t="s">
        <v>214</v>
      </c>
      <c r="DK24" s="8" t="s">
        <v>214</v>
      </c>
      <c r="DL24" s="8" t="s">
        <v>214</v>
      </c>
      <c r="DM24" s="8" t="s">
        <v>214</v>
      </c>
      <c r="DN24" s="8" t="s">
        <v>214</v>
      </c>
      <c r="DO24" s="8" t="s">
        <v>214</v>
      </c>
      <c r="DP24" s="8" t="s">
        <v>218</v>
      </c>
      <c r="DQ24" s="8" t="s">
        <v>214</v>
      </c>
      <c r="DR24" s="8" t="s">
        <v>214</v>
      </c>
      <c r="DS24" s="8" t="s">
        <v>214</v>
      </c>
      <c r="DT24" s="8" t="s">
        <v>214</v>
      </c>
      <c r="DU24" s="8" t="s">
        <v>214</v>
      </c>
      <c r="DV24" s="8" t="s">
        <v>214</v>
      </c>
      <c r="DW24" s="8" t="s">
        <v>214</v>
      </c>
      <c r="DX24" s="8" t="s">
        <v>214</v>
      </c>
      <c r="DY24" s="8" t="s">
        <v>214</v>
      </c>
      <c r="DZ24" s="8" t="s">
        <v>214</v>
      </c>
      <c r="EA24" s="8" t="s">
        <v>214</v>
      </c>
      <c r="EB24" s="8" t="s">
        <v>214</v>
      </c>
      <c r="EC24" s="8" t="s">
        <v>214</v>
      </c>
      <c r="ED24" s="8" t="s">
        <v>214</v>
      </c>
      <c r="EE24" s="8" t="s">
        <v>214</v>
      </c>
      <c r="EF24" s="8" t="s">
        <v>214</v>
      </c>
      <c r="EG24" s="8" t="s">
        <v>214</v>
      </c>
      <c r="EH24" s="8" t="s">
        <v>214</v>
      </c>
      <c r="EI24" s="8" t="s">
        <v>214</v>
      </c>
      <c r="EJ24" s="8" t="s">
        <v>214</v>
      </c>
      <c r="EK24" s="8" t="s">
        <v>214</v>
      </c>
      <c r="EL24" s="8" t="s">
        <v>214</v>
      </c>
      <c r="EM24" s="8" t="s">
        <v>214</v>
      </c>
      <c r="EN24" s="8" t="s">
        <v>214</v>
      </c>
      <c r="EO24" s="8" t="s">
        <v>214</v>
      </c>
      <c r="EP24" s="8" t="s">
        <v>214</v>
      </c>
      <c r="EQ24" s="8" t="s">
        <v>214</v>
      </c>
      <c r="ER24" s="8" t="s">
        <v>214</v>
      </c>
      <c r="ES24" s="8" t="s">
        <v>214</v>
      </c>
      <c r="ET24" s="8" t="s">
        <v>214</v>
      </c>
      <c r="EU24" s="8" t="s">
        <v>214</v>
      </c>
      <c r="EV24" s="8" t="s">
        <v>214</v>
      </c>
      <c r="EW24" s="8" t="s">
        <v>214</v>
      </c>
      <c r="EX24" s="8" t="s">
        <v>214</v>
      </c>
      <c r="EY24" s="8" t="s">
        <v>214</v>
      </c>
      <c r="EZ24" s="8" t="s">
        <v>214</v>
      </c>
      <c r="FA24" s="8" t="s">
        <v>214</v>
      </c>
      <c r="FB24" s="8" t="s">
        <v>214</v>
      </c>
      <c r="FC24" s="8" t="s">
        <v>214</v>
      </c>
      <c r="FD24" s="8" t="s">
        <v>214</v>
      </c>
      <c r="FE24" s="8" t="s">
        <v>214</v>
      </c>
      <c r="FF24" s="8" t="s">
        <v>214</v>
      </c>
      <c r="FG24" s="8" t="s">
        <v>214</v>
      </c>
      <c r="FH24" s="8" t="s">
        <v>214</v>
      </c>
      <c r="FI24" s="8" t="s">
        <v>214</v>
      </c>
      <c r="FJ24" s="8" t="s">
        <v>214</v>
      </c>
      <c r="FK24" s="8" t="s">
        <v>218</v>
      </c>
      <c r="FL24" s="8" t="s">
        <v>214</v>
      </c>
    </row>
    <row r="25" spans="1:168" ht="11.45" customHeight="1" x14ac:dyDescent="0.25">
      <c r="A25" s="5" t="s">
        <v>179</v>
      </c>
      <c r="B25" s="5" t="s">
        <v>8</v>
      </c>
      <c r="C25" s="7" t="s">
        <v>217</v>
      </c>
      <c r="D25" s="7" t="s">
        <v>217</v>
      </c>
      <c r="E25" s="7" t="s">
        <v>214</v>
      </c>
      <c r="F25" s="7" t="s">
        <v>214</v>
      </c>
      <c r="G25" s="7" t="s">
        <v>214</v>
      </c>
      <c r="H25" s="7" t="s">
        <v>214</v>
      </c>
      <c r="I25" s="7" t="s">
        <v>214</v>
      </c>
      <c r="J25" s="7" t="s">
        <v>214</v>
      </c>
      <c r="K25" s="7" t="s">
        <v>214</v>
      </c>
      <c r="L25" s="7" t="s">
        <v>214</v>
      </c>
      <c r="M25" s="7" t="s">
        <v>214</v>
      </c>
      <c r="N25" s="7" t="s">
        <v>214</v>
      </c>
      <c r="O25" s="7" t="s">
        <v>214</v>
      </c>
      <c r="P25" s="7" t="s">
        <v>214</v>
      </c>
      <c r="Q25" s="7" t="s">
        <v>214</v>
      </c>
      <c r="R25" s="7" t="s">
        <v>214</v>
      </c>
      <c r="S25" s="7" t="s">
        <v>214</v>
      </c>
      <c r="T25" s="7" t="s">
        <v>214</v>
      </c>
      <c r="U25" s="7" t="s">
        <v>214</v>
      </c>
      <c r="V25" s="7" t="s">
        <v>214</v>
      </c>
      <c r="W25" s="7" t="s">
        <v>214</v>
      </c>
      <c r="X25" s="7" t="s">
        <v>214</v>
      </c>
      <c r="Y25" s="7" t="s">
        <v>214</v>
      </c>
      <c r="Z25" s="7" t="s">
        <v>214</v>
      </c>
      <c r="AA25" s="7" t="s">
        <v>214</v>
      </c>
      <c r="AB25" s="7" t="s">
        <v>214</v>
      </c>
      <c r="AC25" s="7" t="s">
        <v>214</v>
      </c>
      <c r="AD25" s="7" t="s">
        <v>214</v>
      </c>
      <c r="AE25" s="7" t="s">
        <v>214</v>
      </c>
      <c r="AF25" s="7" t="s">
        <v>214</v>
      </c>
      <c r="AG25" s="7" t="s">
        <v>214</v>
      </c>
      <c r="AH25" s="7" t="s">
        <v>214</v>
      </c>
      <c r="AI25" s="7" t="s">
        <v>214</v>
      </c>
      <c r="AJ25" s="7" t="s">
        <v>214</v>
      </c>
      <c r="AK25" s="7" t="s">
        <v>214</v>
      </c>
      <c r="AL25" s="7" t="s">
        <v>214</v>
      </c>
      <c r="AM25" s="7" t="s">
        <v>214</v>
      </c>
      <c r="AN25" s="7" t="s">
        <v>214</v>
      </c>
      <c r="AO25" s="7" t="s">
        <v>214</v>
      </c>
      <c r="AP25" s="7" t="s">
        <v>214</v>
      </c>
      <c r="AQ25" s="7" t="s">
        <v>214</v>
      </c>
      <c r="AR25" s="7" t="s">
        <v>214</v>
      </c>
      <c r="AS25" s="7" t="s">
        <v>214</v>
      </c>
      <c r="AT25" s="7" t="s">
        <v>214</v>
      </c>
      <c r="AU25" s="7" t="s">
        <v>214</v>
      </c>
      <c r="AV25" s="7" t="s">
        <v>214</v>
      </c>
      <c r="AW25" s="7" t="s">
        <v>214</v>
      </c>
      <c r="AX25" s="7" t="s">
        <v>214</v>
      </c>
      <c r="AY25" s="7" t="s">
        <v>214</v>
      </c>
      <c r="AZ25" s="7" t="s">
        <v>214</v>
      </c>
      <c r="BA25" s="7" t="s">
        <v>218</v>
      </c>
      <c r="BB25" s="7" t="s">
        <v>214</v>
      </c>
      <c r="BC25" s="7" t="s">
        <v>214</v>
      </c>
      <c r="BD25" s="7" t="s">
        <v>214</v>
      </c>
      <c r="BE25" s="7" t="s">
        <v>214</v>
      </c>
      <c r="BF25" s="7" t="s">
        <v>214</v>
      </c>
      <c r="BG25" s="7" t="s">
        <v>214</v>
      </c>
      <c r="BH25" s="7" t="s">
        <v>214</v>
      </c>
      <c r="BI25" s="7" t="s">
        <v>214</v>
      </c>
      <c r="BJ25" s="7" t="s">
        <v>214</v>
      </c>
      <c r="BK25" s="7" t="s">
        <v>214</v>
      </c>
      <c r="BL25" s="7" t="s">
        <v>214</v>
      </c>
      <c r="BM25" s="7" t="s">
        <v>214</v>
      </c>
      <c r="BN25" s="7" t="s">
        <v>214</v>
      </c>
      <c r="BO25" s="7" t="s">
        <v>214</v>
      </c>
      <c r="BP25" s="7" t="s">
        <v>214</v>
      </c>
      <c r="BQ25" s="7" t="s">
        <v>214</v>
      </c>
      <c r="BR25" s="7" t="s">
        <v>218</v>
      </c>
      <c r="BS25" s="7" t="s">
        <v>214</v>
      </c>
      <c r="BT25" s="7" t="s">
        <v>218</v>
      </c>
      <c r="BU25" s="7" t="s">
        <v>218</v>
      </c>
      <c r="BV25" s="7" t="s">
        <v>214</v>
      </c>
      <c r="BW25" s="7" t="s">
        <v>214</v>
      </c>
      <c r="BX25" s="7" t="s">
        <v>214</v>
      </c>
      <c r="BY25" s="7" t="s">
        <v>214</v>
      </c>
      <c r="BZ25" s="7" t="s">
        <v>214</v>
      </c>
      <c r="CA25" s="7" t="s">
        <v>214</v>
      </c>
      <c r="CB25" s="7" t="s">
        <v>214</v>
      </c>
      <c r="CC25" s="7" t="s">
        <v>214</v>
      </c>
      <c r="CD25" s="7" t="s">
        <v>214</v>
      </c>
      <c r="CE25" s="7" t="s">
        <v>214</v>
      </c>
      <c r="CF25" s="7" t="s">
        <v>214</v>
      </c>
      <c r="CG25" s="7" t="s">
        <v>214</v>
      </c>
      <c r="CH25" s="7" t="s">
        <v>214</v>
      </c>
      <c r="CI25" s="7" t="s">
        <v>214</v>
      </c>
      <c r="CJ25" s="7" t="s">
        <v>214</v>
      </c>
      <c r="CK25" s="7" t="s">
        <v>214</v>
      </c>
      <c r="CL25" s="7" t="s">
        <v>214</v>
      </c>
      <c r="CM25" s="7" t="s">
        <v>214</v>
      </c>
      <c r="CN25" s="7" t="s">
        <v>214</v>
      </c>
      <c r="CO25" s="7" t="s">
        <v>214</v>
      </c>
      <c r="CP25" s="7" t="s">
        <v>214</v>
      </c>
      <c r="CQ25" s="7" t="s">
        <v>214</v>
      </c>
      <c r="CR25" s="7" t="s">
        <v>214</v>
      </c>
      <c r="CS25" s="7" t="s">
        <v>214</v>
      </c>
      <c r="CT25" s="7" t="s">
        <v>214</v>
      </c>
      <c r="CU25" s="7" t="s">
        <v>214</v>
      </c>
      <c r="CV25" s="7" t="s">
        <v>214</v>
      </c>
      <c r="CW25" s="7" t="s">
        <v>214</v>
      </c>
      <c r="CX25" s="7" t="s">
        <v>214</v>
      </c>
      <c r="CY25" s="7" t="s">
        <v>214</v>
      </c>
      <c r="CZ25" s="7" t="s">
        <v>214</v>
      </c>
      <c r="DA25" s="7" t="s">
        <v>214</v>
      </c>
      <c r="DB25" s="7" t="s">
        <v>218</v>
      </c>
      <c r="DC25" s="7" t="s">
        <v>218</v>
      </c>
      <c r="DD25" s="7" t="s">
        <v>214</v>
      </c>
      <c r="DE25" s="7" t="s">
        <v>214</v>
      </c>
      <c r="DF25" s="7" t="s">
        <v>218</v>
      </c>
      <c r="DG25" s="7" t="s">
        <v>214</v>
      </c>
      <c r="DH25" s="7" t="s">
        <v>214</v>
      </c>
      <c r="DI25" s="7" t="s">
        <v>214</v>
      </c>
      <c r="DJ25" s="7" t="s">
        <v>218</v>
      </c>
      <c r="DK25" s="7" t="s">
        <v>214</v>
      </c>
      <c r="DL25" s="7" t="s">
        <v>218</v>
      </c>
      <c r="DM25" s="7" t="s">
        <v>214</v>
      </c>
      <c r="DN25" s="7" t="s">
        <v>214</v>
      </c>
      <c r="DO25" s="7" t="s">
        <v>214</v>
      </c>
      <c r="DP25" s="7" t="s">
        <v>218</v>
      </c>
      <c r="DQ25" s="7" t="s">
        <v>214</v>
      </c>
      <c r="DR25" s="7" t="s">
        <v>214</v>
      </c>
      <c r="DS25" s="7" t="s">
        <v>214</v>
      </c>
      <c r="DT25" s="7" t="s">
        <v>214</v>
      </c>
      <c r="DU25" s="7" t="s">
        <v>214</v>
      </c>
      <c r="DV25" s="7" t="s">
        <v>214</v>
      </c>
      <c r="DW25" s="7" t="s">
        <v>214</v>
      </c>
      <c r="DX25" s="7" t="s">
        <v>214</v>
      </c>
      <c r="DY25" s="7" t="s">
        <v>214</v>
      </c>
      <c r="DZ25" s="7" t="s">
        <v>214</v>
      </c>
      <c r="EA25" s="7" t="s">
        <v>214</v>
      </c>
      <c r="EB25" s="7" t="s">
        <v>214</v>
      </c>
      <c r="EC25" s="7" t="s">
        <v>214</v>
      </c>
      <c r="ED25" s="7" t="s">
        <v>214</v>
      </c>
      <c r="EE25" s="7" t="s">
        <v>214</v>
      </c>
      <c r="EF25" s="7" t="s">
        <v>214</v>
      </c>
      <c r="EG25" s="7" t="s">
        <v>214</v>
      </c>
      <c r="EH25" s="7" t="s">
        <v>214</v>
      </c>
      <c r="EI25" s="7" t="s">
        <v>214</v>
      </c>
      <c r="EJ25" s="7" t="s">
        <v>214</v>
      </c>
      <c r="EK25" s="7" t="s">
        <v>214</v>
      </c>
      <c r="EL25" s="7" t="s">
        <v>214</v>
      </c>
      <c r="EM25" s="7" t="s">
        <v>214</v>
      </c>
      <c r="EN25" s="7" t="s">
        <v>214</v>
      </c>
      <c r="EO25" s="7" t="s">
        <v>214</v>
      </c>
      <c r="EP25" s="7" t="s">
        <v>214</v>
      </c>
      <c r="EQ25" s="7" t="s">
        <v>214</v>
      </c>
      <c r="ER25" s="7" t="s">
        <v>214</v>
      </c>
      <c r="ES25" s="7" t="s">
        <v>214</v>
      </c>
      <c r="ET25" s="7" t="s">
        <v>214</v>
      </c>
      <c r="EU25" s="7" t="s">
        <v>214</v>
      </c>
      <c r="EV25" s="7" t="s">
        <v>214</v>
      </c>
      <c r="EW25" s="7" t="s">
        <v>214</v>
      </c>
      <c r="EX25" s="7" t="s">
        <v>214</v>
      </c>
      <c r="EY25" s="7" t="s">
        <v>214</v>
      </c>
      <c r="EZ25" s="7" t="s">
        <v>214</v>
      </c>
      <c r="FA25" s="7" t="s">
        <v>214</v>
      </c>
      <c r="FB25" s="7" t="s">
        <v>214</v>
      </c>
      <c r="FC25" s="7" t="s">
        <v>214</v>
      </c>
      <c r="FD25" s="7" t="s">
        <v>214</v>
      </c>
      <c r="FE25" s="7" t="s">
        <v>214</v>
      </c>
      <c r="FF25" s="7" t="s">
        <v>214</v>
      </c>
      <c r="FG25" s="7" t="s">
        <v>214</v>
      </c>
      <c r="FH25" s="7" t="s">
        <v>214</v>
      </c>
      <c r="FI25" s="7" t="s">
        <v>214</v>
      </c>
      <c r="FJ25" s="7" t="s">
        <v>214</v>
      </c>
      <c r="FK25" s="7" t="s">
        <v>218</v>
      </c>
      <c r="FL25" s="7" t="s">
        <v>214</v>
      </c>
    </row>
    <row r="26" spans="1:168" ht="11.45" customHeight="1" x14ac:dyDescent="0.25">
      <c r="A26" s="5" t="s">
        <v>179</v>
      </c>
      <c r="B26" s="5" t="s">
        <v>9</v>
      </c>
      <c r="C26" s="8" t="s">
        <v>217</v>
      </c>
      <c r="D26" s="8" t="s">
        <v>217</v>
      </c>
      <c r="E26" s="8" t="s">
        <v>214</v>
      </c>
      <c r="F26" s="8" t="s">
        <v>214</v>
      </c>
      <c r="G26" s="8" t="s">
        <v>214</v>
      </c>
      <c r="H26" s="8" t="s">
        <v>214</v>
      </c>
      <c r="I26" s="8" t="s">
        <v>214</v>
      </c>
      <c r="J26" s="8" t="s">
        <v>214</v>
      </c>
      <c r="K26" s="8" t="s">
        <v>214</v>
      </c>
      <c r="L26" s="8" t="s">
        <v>214</v>
      </c>
      <c r="M26" s="8" t="s">
        <v>214</v>
      </c>
      <c r="N26" s="8" t="s">
        <v>214</v>
      </c>
      <c r="O26" s="8" t="s">
        <v>214</v>
      </c>
      <c r="P26" s="8" t="s">
        <v>214</v>
      </c>
      <c r="Q26" s="8" t="s">
        <v>214</v>
      </c>
      <c r="R26" s="8" t="s">
        <v>214</v>
      </c>
      <c r="S26" s="8" t="s">
        <v>214</v>
      </c>
      <c r="T26" s="8" t="s">
        <v>214</v>
      </c>
      <c r="U26" s="8" t="s">
        <v>214</v>
      </c>
      <c r="V26" s="8" t="s">
        <v>214</v>
      </c>
      <c r="W26" s="8" t="s">
        <v>214</v>
      </c>
      <c r="X26" s="8" t="s">
        <v>214</v>
      </c>
      <c r="Y26" s="8" t="s">
        <v>214</v>
      </c>
      <c r="Z26" s="8" t="s">
        <v>214</v>
      </c>
      <c r="AA26" s="8" t="s">
        <v>214</v>
      </c>
      <c r="AB26" s="8" t="s">
        <v>214</v>
      </c>
      <c r="AC26" s="8" t="s">
        <v>214</v>
      </c>
      <c r="AD26" s="8" t="s">
        <v>214</v>
      </c>
      <c r="AE26" s="8" t="s">
        <v>214</v>
      </c>
      <c r="AF26" s="8" t="s">
        <v>214</v>
      </c>
      <c r="AG26" s="8" t="s">
        <v>214</v>
      </c>
      <c r="AH26" s="8" t="s">
        <v>214</v>
      </c>
      <c r="AI26" s="8" t="s">
        <v>214</v>
      </c>
      <c r="AJ26" s="8" t="s">
        <v>214</v>
      </c>
      <c r="AK26" s="8" t="s">
        <v>214</v>
      </c>
      <c r="AL26" s="8" t="s">
        <v>214</v>
      </c>
      <c r="AM26" s="8" t="s">
        <v>214</v>
      </c>
      <c r="AN26" s="8" t="s">
        <v>214</v>
      </c>
      <c r="AO26" s="8" t="s">
        <v>214</v>
      </c>
      <c r="AP26" s="8" t="s">
        <v>214</v>
      </c>
      <c r="AQ26" s="8" t="s">
        <v>214</v>
      </c>
      <c r="AR26" s="8" t="s">
        <v>214</v>
      </c>
      <c r="AS26" s="8" t="s">
        <v>214</v>
      </c>
      <c r="AT26" s="8" t="s">
        <v>214</v>
      </c>
      <c r="AU26" s="8" t="s">
        <v>214</v>
      </c>
      <c r="AV26" s="8" t="s">
        <v>214</v>
      </c>
      <c r="AW26" s="8" t="s">
        <v>214</v>
      </c>
      <c r="AX26" s="8" t="s">
        <v>214</v>
      </c>
      <c r="AY26" s="8" t="s">
        <v>214</v>
      </c>
      <c r="AZ26" s="8" t="s">
        <v>214</v>
      </c>
      <c r="BA26" s="8" t="s">
        <v>218</v>
      </c>
      <c r="BB26" s="8" t="s">
        <v>214</v>
      </c>
      <c r="BC26" s="8" t="s">
        <v>214</v>
      </c>
      <c r="BD26" s="8" t="s">
        <v>214</v>
      </c>
      <c r="BE26" s="8" t="s">
        <v>214</v>
      </c>
      <c r="BF26" s="8" t="s">
        <v>214</v>
      </c>
      <c r="BG26" s="8" t="s">
        <v>214</v>
      </c>
      <c r="BH26" s="8" t="s">
        <v>214</v>
      </c>
      <c r="BI26" s="8" t="s">
        <v>214</v>
      </c>
      <c r="BJ26" s="8" t="s">
        <v>214</v>
      </c>
      <c r="BK26" s="8" t="s">
        <v>218</v>
      </c>
      <c r="BL26" s="8" t="s">
        <v>214</v>
      </c>
      <c r="BM26" s="8" t="s">
        <v>214</v>
      </c>
      <c r="BN26" s="8" t="s">
        <v>214</v>
      </c>
      <c r="BO26" s="8" t="s">
        <v>214</v>
      </c>
      <c r="BP26" s="8" t="s">
        <v>214</v>
      </c>
      <c r="BQ26" s="8" t="s">
        <v>214</v>
      </c>
      <c r="BR26" s="8" t="s">
        <v>218</v>
      </c>
      <c r="BS26" s="8" t="s">
        <v>214</v>
      </c>
      <c r="BT26" s="8" t="s">
        <v>218</v>
      </c>
      <c r="BU26" s="8" t="s">
        <v>218</v>
      </c>
      <c r="BV26" s="8" t="s">
        <v>214</v>
      </c>
      <c r="BW26" s="8" t="s">
        <v>214</v>
      </c>
      <c r="BX26" s="8" t="s">
        <v>214</v>
      </c>
      <c r="BY26" s="8" t="s">
        <v>214</v>
      </c>
      <c r="BZ26" s="8" t="s">
        <v>214</v>
      </c>
      <c r="CA26" s="8" t="s">
        <v>214</v>
      </c>
      <c r="CB26" s="8" t="s">
        <v>214</v>
      </c>
      <c r="CC26" s="8" t="s">
        <v>214</v>
      </c>
      <c r="CD26" s="8" t="s">
        <v>214</v>
      </c>
      <c r="CE26" s="8" t="s">
        <v>214</v>
      </c>
      <c r="CF26" s="8" t="s">
        <v>214</v>
      </c>
      <c r="CG26" s="8" t="s">
        <v>214</v>
      </c>
      <c r="CH26" s="8" t="s">
        <v>214</v>
      </c>
      <c r="CI26" s="8" t="s">
        <v>214</v>
      </c>
      <c r="CJ26" s="8" t="s">
        <v>214</v>
      </c>
      <c r="CK26" s="8" t="s">
        <v>214</v>
      </c>
      <c r="CL26" s="8" t="s">
        <v>214</v>
      </c>
      <c r="CM26" s="8" t="s">
        <v>214</v>
      </c>
      <c r="CN26" s="8" t="s">
        <v>214</v>
      </c>
      <c r="CO26" s="8" t="s">
        <v>214</v>
      </c>
      <c r="CP26" s="8" t="s">
        <v>214</v>
      </c>
      <c r="CQ26" s="8" t="s">
        <v>214</v>
      </c>
      <c r="CR26" s="8" t="s">
        <v>214</v>
      </c>
      <c r="CS26" s="8" t="s">
        <v>214</v>
      </c>
      <c r="CT26" s="8" t="s">
        <v>214</v>
      </c>
      <c r="CU26" s="8" t="s">
        <v>214</v>
      </c>
      <c r="CV26" s="8" t="s">
        <v>214</v>
      </c>
      <c r="CW26" s="8" t="s">
        <v>214</v>
      </c>
      <c r="CX26" s="8" t="s">
        <v>214</v>
      </c>
      <c r="CY26" s="8" t="s">
        <v>214</v>
      </c>
      <c r="CZ26" s="8" t="s">
        <v>214</v>
      </c>
      <c r="DA26" s="8" t="s">
        <v>214</v>
      </c>
      <c r="DB26" s="8" t="s">
        <v>214</v>
      </c>
      <c r="DC26" s="8" t="s">
        <v>214</v>
      </c>
      <c r="DD26" s="8" t="s">
        <v>214</v>
      </c>
      <c r="DE26" s="8" t="s">
        <v>214</v>
      </c>
      <c r="DF26" s="8" t="s">
        <v>218</v>
      </c>
      <c r="DG26" s="8" t="s">
        <v>214</v>
      </c>
      <c r="DH26" s="8" t="s">
        <v>214</v>
      </c>
      <c r="DI26" s="8" t="s">
        <v>214</v>
      </c>
      <c r="DJ26" s="8" t="s">
        <v>218</v>
      </c>
      <c r="DK26" s="8" t="s">
        <v>214</v>
      </c>
      <c r="DL26" s="8" t="s">
        <v>218</v>
      </c>
      <c r="DM26" s="8" t="s">
        <v>214</v>
      </c>
      <c r="DN26" s="8" t="s">
        <v>214</v>
      </c>
      <c r="DO26" s="8" t="s">
        <v>214</v>
      </c>
      <c r="DP26" s="8" t="s">
        <v>218</v>
      </c>
      <c r="DQ26" s="8" t="s">
        <v>214</v>
      </c>
      <c r="DR26" s="8" t="s">
        <v>214</v>
      </c>
      <c r="DS26" s="8" t="s">
        <v>214</v>
      </c>
      <c r="DT26" s="8" t="s">
        <v>214</v>
      </c>
      <c r="DU26" s="8" t="s">
        <v>214</v>
      </c>
      <c r="DV26" s="8" t="s">
        <v>214</v>
      </c>
      <c r="DW26" s="8" t="s">
        <v>214</v>
      </c>
      <c r="DX26" s="8" t="s">
        <v>214</v>
      </c>
      <c r="DY26" s="8" t="s">
        <v>214</v>
      </c>
      <c r="DZ26" s="8" t="s">
        <v>214</v>
      </c>
      <c r="EA26" s="8" t="s">
        <v>214</v>
      </c>
      <c r="EB26" s="8" t="s">
        <v>214</v>
      </c>
      <c r="EC26" s="8" t="s">
        <v>214</v>
      </c>
      <c r="ED26" s="8" t="s">
        <v>214</v>
      </c>
      <c r="EE26" s="8" t="s">
        <v>214</v>
      </c>
      <c r="EF26" s="8" t="s">
        <v>214</v>
      </c>
      <c r="EG26" s="8" t="s">
        <v>214</v>
      </c>
      <c r="EH26" s="8" t="s">
        <v>214</v>
      </c>
      <c r="EI26" s="8" t="s">
        <v>214</v>
      </c>
      <c r="EJ26" s="8" t="s">
        <v>214</v>
      </c>
      <c r="EK26" s="8" t="s">
        <v>214</v>
      </c>
      <c r="EL26" s="8" t="s">
        <v>214</v>
      </c>
      <c r="EM26" s="8" t="s">
        <v>214</v>
      </c>
      <c r="EN26" s="8" t="s">
        <v>214</v>
      </c>
      <c r="EO26" s="8" t="s">
        <v>214</v>
      </c>
      <c r="EP26" s="8" t="s">
        <v>214</v>
      </c>
      <c r="EQ26" s="8" t="s">
        <v>214</v>
      </c>
      <c r="ER26" s="8" t="s">
        <v>214</v>
      </c>
      <c r="ES26" s="8" t="s">
        <v>214</v>
      </c>
      <c r="ET26" s="8" t="s">
        <v>214</v>
      </c>
      <c r="EU26" s="8" t="s">
        <v>214</v>
      </c>
      <c r="EV26" s="8" t="s">
        <v>214</v>
      </c>
      <c r="EW26" s="8" t="s">
        <v>214</v>
      </c>
      <c r="EX26" s="8" t="s">
        <v>214</v>
      </c>
      <c r="EY26" s="8" t="s">
        <v>217</v>
      </c>
      <c r="EZ26" s="8" t="s">
        <v>214</v>
      </c>
      <c r="FA26" s="8" t="s">
        <v>214</v>
      </c>
      <c r="FB26" s="8" t="s">
        <v>214</v>
      </c>
      <c r="FC26" s="8" t="s">
        <v>214</v>
      </c>
      <c r="FD26" s="8" t="s">
        <v>214</v>
      </c>
      <c r="FE26" s="8" t="s">
        <v>214</v>
      </c>
      <c r="FF26" s="8" t="s">
        <v>214</v>
      </c>
      <c r="FG26" s="8" t="s">
        <v>214</v>
      </c>
      <c r="FH26" s="8" t="s">
        <v>214</v>
      </c>
      <c r="FI26" s="8" t="s">
        <v>214</v>
      </c>
      <c r="FJ26" s="8" t="s">
        <v>214</v>
      </c>
      <c r="FK26" s="8" t="s">
        <v>218</v>
      </c>
      <c r="FL26" s="8" t="s">
        <v>214</v>
      </c>
    </row>
    <row r="27" spans="1:168" ht="11.45" customHeight="1" x14ac:dyDescent="0.25">
      <c r="A27" s="5" t="s">
        <v>180</v>
      </c>
      <c r="B27" s="5" t="s">
        <v>6</v>
      </c>
      <c r="C27" s="7" t="s">
        <v>214</v>
      </c>
      <c r="D27" s="7" t="s">
        <v>214</v>
      </c>
      <c r="E27" s="7" t="s">
        <v>214</v>
      </c>
      <c r="F27" s="7" t="s">
        <v>214</v>
      </c>
      <c r="G27" s="7" t="s">
        <v>214</v>
      </c>
      <c r="H27" s="7" t="s">
        <v>214</v>
      </c>
      <c r="I27" s="7" t="s">
        <v>214</v>
      </c>
      <c r="J27" s="7" t="s">
        <v>214</v>
      </c>
      <c r="K27" s="7" t="s">
        <v>214</v>
      </c>
      <c r="L27" s="7" t="s">
        <v>214</v>
      </c>
      <c r="M27" s="7" t="s">
        <v>214</v>
      </c>
      <c r="N27" s="7" t="s">
        <v>214</v>
      </c>
      <c r="O27" s="7" t="s">
        <v>214</v>
      </c>
      <c r="P27" s="7" t="s">
        <v>214</v>
      </c>
      <c r="Q27" s="7" t="s">
        <v>214</v>
      </c>
      <c r="R27" s="7" t="s">
        <v>214</v>
      </c>
      <c r="S27" s="7" t="s">
        <v>214</v>
      </c>
      <c r="T27" s="7" t="s">
        <v>214</v>
      </c>
      <c r="U27" s="7" t="s">
        <v>214</v>
      </c>
      <c r="V27" s="7" t="s">
        <v>214</v>
      </c>
      <c r="W27" s="7" t="s">
        <v>214</v>
      </c>
      <c r="X27" s="7" t="s">
        <v>214</v>
      </c>
      <c r="Y27" s="7" t="s">
        <v>214</v>
      </c>
      <c r="Z27" s="7" t="s">
        <v>214</v>
      </c>
      <c r="AA27" s="7" t="s">
        <v>214</v>
      </c>
      <c r="AB27" s="7" t="s">
        <v>214</v>
      </c>
      <c r="AC27" s="7" t="s">
        <v>214</v>
      </c>
      <c r="AD27" s="7" t="s">
        <v>214</v>
      </c>
      <c r="AE27" s="7" t="s">
        <v>214</v>
      </c>
      <c r="AF27" s="7" t="s">
        <v>214</v>
      </c>
      <c r="AG27" s="7" t="s">
        <v>214</v>
      </c>
      <c r="AH27" s="7" t="s">
        <v>214</v>
      </c>
      <c r="AI27" s="7" t="s">
        <v>214</v>
      </c>
      <c r="AJ27" s="7" t="s">
        <v>214</v>
      </c>
      <c r="AK27" s="7" t="s">
        <v>214</v>
      </c>
      <c r="AL27" s="7" t="s">
        <v>214</v>
      </c>
      <c r="AM27" s="7" t="s">
        <v>214</v>
      </c>
      <c r="AN27" s="7" t="s">
        <v>214</v>
      </c>
      <c r="AO27" s="7" t="s">
        <v>214</v>
      </c>
      <c r="AP27" s="7" t="s">
        <v>214</v>
      </c>
      <c r="AQ27" s="7" t="s">
        <v>214</v>
      </c>
      <c r="AR27" s="7" t="s">
        <v>214</v>
      </c>
      <c r="AS27" s="7" t="s">
        <v>214</v>
      </c>
      <c r="AT27" s="7" t="s">
        <v>214</v>
      </c>
      <c r="AU27" s="7" t="s">
        <v>214</v>
      </c>
      <c r="AV27" s="7" t="s">
        <v>214</v>
      </c>
      <c r="AW27" s="7" t="s">
        <v>214</v>
      </c>
      <c r="AX27" s="7" t="s">
        <v>214</v>
      </c>
      <c r="AY27" s="7" t="s">
        <v>214</v>
      </c>
      <c r="AZ27" s="7" t="s">
        <v>214</v>
      </c>
      <c r="BA27" s="7" t="s">
        <v>214</v>
      </c>
      <c r="BB27" s="7" t="s">
        <v>214</v>
      </c>
      <c r="BC27" s="7" t="s">
        <v>214</v>
      </c>
      <c r="BD27" s="7" t="s">
        <v>214</v>
      </c>
      <c r="BE27" s="7" t="s">
        <v>214</v>
      </c>
      <c r="BF27" s="7" t="s">
        <v>214</v>
      </c>
      <c r="BG27" s="7" t="s">
        <v>214</v>
      </c>
      <c r="BH27" s="7" t="s">
        <v>214</v>
      </c>
      <c r="BI27" s="7" t="s">
        <v>214</v>
      </c>
      <c r="BJ27" s="7" t="s">
        <v>214</v>
      </c>
      <c r="BK27" s="7" t="s">
        <v>214</v>
      </c>
      <c r="BL27" s="7" t="s">
        <v>214</v>
      </c>
      <c r="BM27" s="7" t="s">
        <v>214</v>
      </c>
      <c r="BN27" s="7" t="s">
        <v>214</v>
      </c>
      <c r="BO27" s="7" t="s">
        <v>214</v>
      </c>
      <c r="BP27" s="7" t="s">
        <v>214</v>
      </c>
      <c r="BQ27" s="7" t="s">
        <v>214</v>
      </c>
      <c r="BR27" s="7" t="s">
        <v>214</v>
      </c>
      <c r="BS27" s="7" t="s">
        <v>214</v>
      </c>
      <c r="BT27" s="7" t="s">
        <v>214</v>
      </c>
      <c r="BU27" s="7" t="s">
        <v>214</v>
      </c>
      <c r="BV27" s="7" t="s">
        <v>214</v>
      </c>
      <c r="BW27" s="7" t="s">
        <v>214</v>
      </c>
      <c r="BX27" s="7" t="s">
        <v>214</v>
      </c>
      <c r="BY27" s="7" t="s">
        <v>214</v>
      </c>
      <c r="BZ27" s="7" t="s">
        <v>214</v>
      </c>
      <c r="CA27" s="7" t="s">
        <v>214</v>
      </c>
      <c r="CB27" s="7" t="s">
        <v>214</v>
      </c>
      <c r="CC27" s="7" t="s">
        <v>214</v>
      </c>
      <c r="CD27" s="7" t="s">
        <v>214</v>
      </c>
      <c r="CE27" s="7" t="s">
        <v>214</v>
      </c>
      <c r="CF27" s="7" t="s">
        <v>214</v>
      </c>
      <c r="CG27" s="7" t="s">
        <v>214</v>
      </c>
      <c r="CH27" s="7" t="s">
        <v>214</v>
      </c>
      <c r="CI27" s="7" t="s">
        <v>214</v>
      </c>
      <c r="CJ27" s="7" t="s">
        <v>214</v>
      </c>
      <c r="CK27" s="7" t="s">
        <v>214</v>
      </c>
      <c r="CL27" s="7" t="s">
        <v>214</v>
      </c>
      <c r="CM27" s="7" t="s">
        <v>214</v>
      </c>
      <c r="CN27" s="7" t="s">
        <v>214</v>
      </c>
      <c r="CO27" s="7" t="s">
        <v>214</v>
      </c>
      <c r="CP27" s="7" t="s">
        <v>214</v>
      </c>
      <c r="CQ27" s="7" t="s">
        <v>214</v>
      </c>
      <c r="CR27" s="7" t="s">
        <v>214</v>
      </c>
      <c r="CS27" s="7" t="s">
        <v>214</v>
      </c>
      <c r="CT27" s="7" t="s">
        <v>214</v>
      </c>
      <c r="CU27" s="7" t="s">
        <v>214</v>
      </c>
      <c r="CV27" s="7" t="s">
        <v>214</v>
      </c>
      <c r="CW27" s="7" t="s">
        <v>214</v>
      </c>
      <c r="CX27" s="7" t="s">
        <v>214</v>
      </c>
      <c r="CY27" s="7" t="s">
        <v>214</v>
      </c>
      <c r="CZ27" s="7" t="s">
        <v>214</v>
      </c>
      <c r="DA27" s="7" t="s">
        <v>214</v>
      </c>
      <c r="DB27" s="7" t="s">
        <v>214</v>
      </c>
      <c r="DC27" s="7" t="s">
        <v>214</v>
      </c>
      <c r="DD27" s="7" t="s">
        <v>214</v>
      </c>
      <c r="DE27" s="7" t="s">
        <v>214</v>
      </c>
      <c r="DF27" s="7" t="s">
        <v>214</v>
      </c>
      <c r="DG27" s="7" t="s">
        <v>214</v>
      </c>
      <c r="DH27" s="7" t="s">
        <v>214</v>
      </c>
      <c r="DI27" s="7" t="s">
        <v>214</v>
      </c>
      <c r="DJ27" s="7" t="s">
        <v>214</v>
      </c>
      <c r="DK27" s="7" t="s">
        <v>214</v>
      </c>
      <c r="DL27" s="7" t="s">
        <v>214</v>
      </c>
      <c r="DM27" s="7" t="s">
        <v>214</v>
      </c>
      <c r="DN27" s="7" t="s">
        <v>214</v>
      </c>
      <c r="DO27" s="7" t="s">
        <v>214</v>
      </c>
      <c r="DP27" s="7" t="s">
        <v>218</v>
      </c>
      <c r="DQ27" s="7" t="s">
        <v>214</v>
      </c>
      <c r="DR27" s="7" t="s">
        <v>214</v>
      </c>
      <c r="DS27" s="7" t="s">
        <v>214</v>
      </c>
      <c r="DT27" s="7" t="s">
        <v>214</v>
      </c>
      <c r="DU27" s="7" t="s">
        <v>214</v>
      </c>
      <c r="DV27" s="7" t="s">
        <v>214</v>
      </c>
      <c r="DW27" s="7" t="s">
        <v>214</v>
      </c>
      <c r="DX27" s="7" t="s">
        <v>214</v>
      </c>
      <c r="DY27" s="7" t="s">
        <v>214</v>
      </c>
      <c r="DZ27" s="7" t="s">
        <v>214</v>
      </c>
      <c r="EA27" s="7" t="s">
        <v>214</v>
      </c>
      <c r="EB27" s="7" t="s">
        <v>214</v>
      </c>
      <c r="EC27" s="7" t="s">
        <v>214</v>
      </c>
      <c r="ED27" s="7" t="s">
        <v>214</v>
      </c>
      <c r="EE27" s="7" t="s">
        <v>214</v>
      </c>
      <c r="EF27" s="7" t="s">
        <v>214</v>
      </c>
      <c r="EG27" s="7" t="s">
        <v>214</v>
      </c>
      <c r="EH27" s="7" t="s">
        <v>214</v>
      </c>
      <c r="EI27" s="7" t="s">
        <v>214</v>
      </c>
      <c r="EJ27" s="7" t="s">
        <v>214</v>
      </c>
      <c r="EK27" s="7" t="s">
        <v>214</v>
      </c>
      <c r="EL27" s="7" t="s">
        <v>218</v>
      </c>
      <c r="EM27" s="7" t="s">
        <v>214</v>
      </c>
      <c r="EN27" s="7" t="s">
        <v>214</v>
      </c>
      <c r="EO27" s="7" t="s">
        <v>214</v>
      </c>
      <c r="EP27" s="7" t="s">
        <v>214</v>
      </c>
      <c r="EQ27" s="7" t="s">
        <v>218</v>
      </c>
      <c r="ER27" s="7" t="s">
        <v>214</v>
      </c>
      <c r="ES27" s="7" t="s">
        <v>214</v>
      </c>
      <c r="ET27" s="7" t="s">
        <v>214</v>
      </c>
      <c r="EU27" s="7" t="s">
        <v>214</v>
      </c>
      <c r="EV27" s="7" t="s">
        <v>214</v>
      </c>
      <c r="EW27" s="7" t="s">
        <v>214</v>
      </c>
      <c r="EX27" s="7" t="s">
        <v>214</v>
      </c>
      <c r="EY27" s="7" t="s">
        <v>214</v>
      </c>
      <c r="EZ27" s="7" t="s">
        <v>214</v>
      </c>
      <c r="FA27" s="7" t="s">
        <v>214</v>
      </c>
      <c r="FB27" s="7" t="s">
        <v>214</v>
      </c>
      <c r="FC27" s="7" t="s">
        <v>214</v>
      </c>
      <c r="FD27" s="7" t="s">
        <v>214</v>
      </c>
      <c r="FE27" s="7" t="s">
        <v>214</v>
      </c>
      <c r="FF27" s="7" t="s">
        <v>214</v>
      </c>
      <c r="FG27" s="7" t="s">
        <v>214</v>
      </c>
      <c r="FH27" s="7" t="s">
        <v>214</v>
      </c>
      <c r="FI27" s="7" t="s">
        <v>214</v>
      </c>
      <c r="FJ27" s="7" t="s">
        <v>214</v>
      </c>
      <c r="FK27" s="7" t="s">
        <v>214</v>
      </c>
      <c r="FL27" s="7" t="s">
        <v>214</v>
      </c>
    </row>
    <row r="28" spans="1:168" ht="11.45" customHeight="1" x14ac:dyDescent="0.25">
      <c r="A28" s="5" t="s">
        <v>180</v>
      </c>
      <c r="B28" s="5" t="s">
        <v>7</v>
      </c>
      <c r="C28" s="8" t="s">
        <v>217</v>
      </c>
      <c r="D28" s="8" t="s">
        <v>217</v>
      </c>
      <c r="E28" s="8" t="s">
        <v>214</v>
      </c>
      <c r="F28" s="8" t="s">
        <v>214</v>
      </c>
      <c r="G28" s="8" t="s">
        <v>214</v>
      </c>
      <c r="H28" s="8" t="s">
        <v>214</v>
      </c>
      <c r="I28" s="8" t="s">
        <v>214</v>
      </c>
      <c r="J28" s="8" t="s">
        <v>214</v>
      </c>
      <c r="K28" s="8" t="s">
        <v>214</v>
      </c>
      <c r="L28" s="8" t="s">
        <v>214</v>
      </c>
      <c r="M28" s="8" t="s">
        <v>214</v>
      </c>
      <c r="N28" s="8" t="s">
        <v>214</v>
      </c>
      <c r="O28" s="8" t="s">
        <v>214</v>
      </c>
      <c r="P28" s="8" t="s">
        <v>214</v>
      </c>
      <c r="Q28" s="8" t="s">
        <v>214</v>
      </c>
      <c r="R28" s="8" t="s">
        <v>214</v>
      </c>
      <c r="S28" s="8" t="s">
        <v>214</v>
      </c>
      <c r="T28" s="8" t="s">
        <v>214</v>
      </c>
      <c r="U28" s="8" t="s">
        <v>214</v>
      </c>
      <c r="V28" s="8" t="s">
        <v>214</v>
      </c>
      <c r="W28" s="8" t="s">
        <v>214</v>
      </c>
      <c r="X28" s="8" t="s">
        <v>214</v>
      </c>
      <c r="Y28" s="8" t="s">
        <v>214</v>
      </c>
      <c r="Z28" s="8" t="s">
        <v>214</v>
      </c>
      <c r="AA28" s="8" t="s">
        <v>214</v>
      </c>
      <c r="AB28" s="8" t="s">
        <v>214</v>
      </c>
      <c r="AC28" s="8" t="s">
        <v>214</v>
      </c>
      <c r="AD28" s="8" t="s">
        <v>214</v>
      </c>
      <c r="AE28" s="8" t="s">
        <v>214</v>
      </c>
      <c r="AF28" s="8" t="s">
        <v>214</v>
      </c>
      <c r="AG28" s="8" t="s">
        <v>214</v>
      </c>
      <c r="AH28" s="8" t="s">
        <v>214</v>
      </c>
      <c r="AI28" s="8" t="s">
        <v>214</v>
      </c>
      <c r="AJ28" s="8" t="s">
        <v>214</v>
      </c>
      <c r="AK28" s="8" t="s">
        <v>214</v>
      </c>
      <c r="AL28" s="8" t="s">
        <v>214</v>
      </c>
      <c r="AM28" s="8" t="s">
        <v>214</v>
      </c>
      <c r="AN28" s="8" t="s">
        <v>214</v>
      </c>
      <c r="AO28" s="8" t="s">
        <v>214</v>
      </c>
      <c r="AP28" s="8" t="s">
        <v>214</v>
      </c>
      <c r="AQ28" s="8" t="s">
        <v>214</v>
      </c>
      <c r="AR28" s="8" t="s">
        <v>214</v>
      </c>
      <c r="AS28" s="8" t="s">
        <v>214</v>
      </c>
      <c r="AT28" s="8" t="s">
        <v>214</v>
      </c>
      <c r="AU28" s="8" t="s">
        <v>214</v>
      </c>
      <c r="AV28" s="8" t="s">
        <v>214</v>
      </c>
      <c r="AW28" s="8" t="s">
        <v>214</v>
      </c>
      <c r="AX28" s="8" t="s">
        <v>214</v>
      </c>
      <c r="AY28" s="8" t="s">
        <v>214</v>
      </c>
      <c r="AZ28" s="8" t="s">
        <v>214</v>
      </c>
      <c r="BA28" s="8" t="s">
        <v>214</v>
      </c>
      <c r="BB28" s="8" t="s">
        <v>214</v>
      </c>
      <c r="BC28" s="8" t="s">
        <v>214</v>
      </c>
      <c r="BD28" s="8" t="s">
        <v>214</v>
      </c>
      <c r="BE28" s="8" t="s">
        <v>214</v>
      </c>
      <c r="BF28" s="8" t="s">
        <v>214</v>
      </c>
      <c r="BG28" s="8" t="s">
        <v>214</v>
      </c>
      <c r="BH28" s="8" t="s">
        <v>214</v>
      </c>
      <c r="BI28" s="8" t="s">
        <v>214</v>
      </c>
      <c r="BJ28" s="8" t="s">
        <v>214</v>
      </c>
      <c r="BK28" s="8" t="s">
        <v>214</v>
      </c>
      <c r="BL28" s="8" t="s">
        <v>214</v>
      </c>
      <c r="BM28" s="8" t="s">
        <v>214</v>
      </c>
      <c r="BN28" s="8" t="s">
        <v>214</v>
      </c>
      <c r="BO28" s="8" t="s">
        <v>214</v>
      </c>
      <c r="BP28" s="8" t="s">
        <v>214</v>
      </c>
      <c r="BQ28" s="8" t="s">
        <v>214</v>
      </c>
      <c r="BR28" s="8" t="s">
        <v>214</v>
      </c>
      <c r="BS28" s="8" t="s">
        <v>214</v>
      </c>
      <c r="BT28" s="8" t="s">
        <v>214</v>
      </c>
      <c r="BU28" s="8" t="s">
        <v>214</v>
      </c>
      <c r="BV28" s="8" t="s">
        <v>214</v>
      </c>
      <c r="BW28" s="8" t="s">
        <v>214</v>
      </c>
      <c r="BX28" s="8" t="s">
        <v>214</v>
      </c>
      <c r="BY28" s="8" t="s">
        <v>214</v>
      </c>
      <c r="BZ28" s="8" t="s">
        <v>214</v>
      </c>
      <c r="CA28" s="8" t="s">
        <v>214</v>
      </c>
      <c r="CB28" s="8" t="s">
        <v>214</v>
      </c>
      <c r="CC28" s="8" t="s">
        <v>214</v>
      </c>
      <c r="CD28" s="8" t="s">
        <v>214</v>
      </c>
      <c r="CE28" s="8" t="s">
        <v>214</v>
      </c>
      <c r="CF28" s="8" t="s">
        <v>214</v>
      </c>
      <c r="CG28" s="8" t="s">
        <v>214</v>
      </c>
      <c r="CH28" s="8" t="s">
        <v>214</v>
      </c>
      <c r="CI28" s="8" t="s">
        <v>214</v>
      </c>
      <c r="CJ28" s="8" t="s">
        <v>214</v>
      </c>
      <c r="CK28" s="8" t="s">
        <v>214</v>
      </c>
      <c r="CL28" s="8" t="s">
        <v>214</v>
      </c>
      <c r="CM28" s="8" t="s">
        <v>214</v>
      </c>
      <c r="CN28" s="8" t="s">
        <v>214</v>
      </c>
      <c r="CO28" s="8" t="s">
        <v>214</v>
      </c>
      <c r="CP28" s="8" t="s">
        <v>214</v>
      </c>
      <c r="CQ28" s="8" t="s">
        <v>214</v>
      </c>
      <c r="CR28" s="8" t="s">
        <v>214</v>
      </c>
      <c r="CS28" s="8" t="s">
        <v>214</v>
      </c>
      <c r="CT28" s="8" t="s">
        <v>214</v>
      </c>
      <c r="CU28" s="8" t="s">
        <v>214</v>
      </c>
      <c r="CV28" s="8" t="s">
        <v>214</v>
      </c>
      <c r="CW28" s="8" t="s">
        <v>214</v>
      </c>
      <c r="CX28" s="8" t="s">
        <v>214</v>
      </c>
      <c r="CY28" s="8" t="s">
        <v>214</v>
      </c>
      <c r="CZ28" s="8" t="s">
        <v>214</v>
      </c>
      <c r="DA28" s="8" t="s">
        <v>214</v>
      </c>
      <c r="DB28" s="8" t="s">
        <v>214</v>
      </c>
      <c r="DC28" s="8" t="s">
        <v>214</v>
      </c>
      <c r="DD28" s="8" t="s">
        <v>214</v>
      </c>
      <c r="DE28" s="8" t="s">
        <v>214</v>
      </c>
      <c r="DF28" s="8" t="s">
        <v>214</v>
      </c>
      <c r="DG28" s="8" t="s">
        <v>214</v>
      </c>
      <c r="DH28" s="8" t="s">
        <v>214</v>
      </c>
      <c r="DI28" s="8" t="s">
        <v>214</v>
      </c>
      <c r="DJ28" s="8" t="s">
        <v>214</v>
      </c>
      <c r="DK28" s="8" t="s">
        <v>214</v>
      </c>
      <c r="DL28" s="8" t="s">
        <v>214</v>
      </c>
      <c r="DM28" s="8" t="s">
        <v>214</v>
      </c>
      <c r="DN28" s="8" t="s">
        <v>214</v>
      </c>
      <c r="DO28" s="8" t="s">
        <v>214</v>
      </c>
      <c r="DP28" s="8" t="s">
        <v>218</v>
      </c>
      <c r="DQ28" s="8" t="s">
        <v>214</v>
      </c>
      <c r="DR28" s="8" t="s">
        <v>214</v>
      </c>
      <c r="DS28" s="8" t="s">
        <v>217</v>
      </c>
      <c r="DT28" s="8" t="s">
        <v>214</v>
      </c>
      <c r="DU28" s="8" t="s">
        <v>214</v>
      </c>
      <c r="DV28" s="8" t="s">
        <v>214</v>
      </c>
      <c r="DW28" s="8" t="s">
        <v>214</v>
      </c>
      <c r="DX28" s="8" t="s">
        <v>214</v>
      </c>
      <c r="DY28" s="8" t="s">
        <v>214</v>
      </c>
      <c r="DZ28" s="8" t="s">
        <v>214</v>
      </c>
      <c r="EA28" s="8" t="s">
        <v>214</v>
      </c>
      <c r="EB28" s="8" t="s">
        <v>214</v>
      </c>
      <c r="EC28" s="8" t="s">
        <v>214</v>
      </c>
      <c r="ED28" s="8" t="s">
        <v>214</v>
      </c>
      <c r="EE28" s="8" t="s">
        <v>217</v>
      </c>
      <c r="EF28" s="8" t="s">
        <v>214</v>
      </c>
      <c r="EG28" s="8" t="s">
        <v>214</v>
      </c>
      <c r="EH28" s="8" t="s">
        <v>214</v>
      </c>
      <c r="EI28" s="8" t="s">
        <v>214</v>
      </c>
      <c r="EJ28" s="8" t="s">
        <v>218</v>
      </c>
      <c r="EK28" s="8" t="s">
        <v>214</v>
      </c>
      <c r="EL28" s="8" t="s">
        <v>214</v>
      </c>
      <c r="EM28" s="8" t="s">
        <v>214</v>
      </c>
      <c r="EN28" s="8" t="s">
        <v>214</v>
      </c>
      <c r="EO28" s="8" t="s">
        <v>214</v>
      </c>
      <c r="EP28" s="8" t="s">
        <v>214</v>
      </c>
      <c r="EQ28" s="8" t="s">
        <v>218</v>
      </c>
      <c r="ER28" s="8" t="s">
        <v>214</v>
      </c>
      <c r="ES28" s="8" t="s">
        <v>214</v>
      </c>
      <c r="ET28" s="8" t="s">
        <v>214</v>
      </c>
      <c r="EU28" s="8" t="s">
        <v>214</v>
      </c>
      <c r="EV28" s="8" t="s">
        <v>214</v>
      </c>
      <c r="EW28" s="8" t="s">
        <v>214</v>
      </c>
      <c r="EX28" s="8" t="s">
        <v>214</v>
      </c>
      <c r="EY28" s="8" t="s">
        <v>214</v>
      </c>
      <c r="EZ28" s="8" t="s">
        <v>214</v>
      </c>
      <c r="FA28" s="8" t="s">
        <v>214</v>
      </c>
      <c r="FB28" s="8" t="s">
        <v>214</v>
      </c>
      <c r="FC28" s="8" t="s">
        <v>214</v>
      </c>
      <c r="FD28" s="8" t="s">
        <v>214</v>
      </c>
      <c r="FE28" s="8" t="s">
        <v>214</v>
      </c>
      <c r="FF28" s="8" t="s">
        <v>214</v>
      </c>
      <c r="FG28" s="8" t="s">
        <v>214</v>
      </c>
      <c r="FH28" s="8" t="s">
        <v>214</v>
      </c>
      <c r="FI28" s="8" t="s">
        <v>214</v>
      </c>
      <c r="FJ28" s="8" t="s">
        <v>214</v>
      </c>
      <c r="FK28" s="8" t="s">
        <v>214</v>
      </c>
      <c r="FL28" s="8" t="s">
        <v>214</v>
      </c>
    </row>
    <row r="29" spans="1:168" ht="11.45" customHeight="1" x14ac:dyDescent="0.25">
      <c r="A29" s="5" t="s">
        <v>180</v>
      </c>
      <c r="B29" s="5" t="s">
        <v>8</v>
      </c>
      <c r="C29" s="7" t="s">
        <v>217</v>
      </c>
      <c r="D29" s="7" t="s">
        <v>217</v>
      </c>
      <c r="E29" s="7" t="s">
        <v>214</v>
      </c>
      <c r="F29" s="7" t="s">
        <v>214</v>
      </c>
      <c r="G29" s="7" t="s">
        <v>214</v>
      </c>
      <c r="H29" s="7" t="s">
        <v>214</v>
      </c>
      <c r="I29" s="7" t="s">
        <v>214</v>
      </c>
      <c r="J29" s="7" t="s">
        <v>214</v>
      </c>
      <c r="K29" s="7" t="s">
        <v>214</v>
      </c>
      <c r="L29" s="7" t="s">
        <v>214</v>
      </c>
      <c r="M29" s="7" t="s">
        <v>214</v>
      </c>
      <c r="N29" s="7" t="s">
        <v>214</v>
      </c>
      <c r="O29" s="7" t="s">
        <v>214</v>
      </c>
      <c r="P29" s="7" t="s">
        <v>214</v>
      </c>
      <c r="Q29" s="7" t="s">
        <v>214</v>
      </c>
      <c r="R29" s="7" t="s">
        <v>214</v>
      </c>
      <c r="S29" s="7" t="s">
        <v>214</v>
      </c>
      <c r="T29" s="7" t="s">
        <v>214</v>
      </c>
      <c r="U29" s="7" t="s">
        <v>214</v>
      </c>
      <c r="V29" s="7" t="s">
        <v>214</v>
      </c>
      <c r="W29" s="7" t="s">
        <v>214</v>
      </c>
      <c r="X29" s="7" t="s">
        <v>214</v>
      </c>
      <c r="Y29" s="7" t="s">
        <v>214</v>
      </c>
      <c r="Z29" s="7" t="s">
        <v>214</v>
      </c>
      <c r="AA29" s="7" t="s">
        <v>214</v>
      </c>
      <c r="AB29" s="7" t="s">
        <v>214</v>
      </c>
      <c r="AC29" s="7" t="s">
        <v>214</v>
      </c>
      <c r="AD29" s="7" t="s">
        <v>214</v>
      </c>
      <c r="AE29" s="7" t="s">
        <v>214</v>
      </c>
      <c r="AF29" s="7" t="s">
        <v>214</v>
      </c>
      <c r="AG29" s="7" t="s">
        <v>214</v>
      </c>
      <c r="AH29" s="7" t="s">
        <v>214</v>
      </c>
      <c r="AI29" s="7" t="s">
        <v>214</v>
      </c>
      <c r="AJ29" s="7" t="s">
        <v>214</v>
      </c>
      <c r="AK29" s="7" t="s">
        <v>214</v>
      </c>
      <c r="AL29" s="7" t="s">
        <v>214</v>
      </c>
      <c r="AM29" s="7" t="s">
        <v>214</v>
      </c>
      <c r="AN29" s="7" t="s">
        <v>214</v>
      </c>
      <c r="AO29" s="7" t="s">
        <v>214</v>
      </c>
      <c r="AP29" s="7" t="s">
        <v>214</v>
      </c>
      <c r="AQ29" s="7" t="s">
        <v>214</v>
      </c>
      <c r="AR29" s="7" t="s">
        <v>214</v>
      </c>
      <c r="AS29" s="7" t="s">
        <v>214</v>
      </c>
      <c r="AT29" s="7" t="s">
        <v>214</v>
      </c>
      <c r="AU29" s="7" t="s">
        <v>214</v>
      </c>
      <c r="AV29" s="7" t="s">
        <v>214</v>
      </c>
      <c r="AW29" s="7" t="s">
        <v>214</v>
      </c>
      <c r="AX29" s="7" t="s">
        <v>214</v>
      </c>
      <c r="AY29" s="7" t="s">
        <v>214</v>
      </c>
      <c r="AZ29" s="7" t="s">
        <v>214</v>
      </c>
      <c r="BA29" s="7" t="s">
        <v>214</v>
      </c>
      <c r="BB29" s="7" t="s">
        <v>214</v>
      </c>
      <c r="BC29" s="7" t="s">
        <v>214</v>
      </c>
      <c r="BD29" s="7" t="s">
        <v>214</v>
      </c>
      <c r="BE29" s="7" t="s">
        <v>214</v>
      </c>
      <c r="BF29" s="7" t="s">
        <v>214</v>
      </c>
      <c r="BG29" s="7" t="s">
        <v>214</v>
      </c>
      <c r="BH29" s="7" t="s">
        <v>214</v>
      </c>
      <c r="BI29" s="7" t="s">
        <v>214</v>
      </c>
      <c r="BJ29" s="7" t="s">
        <v>218</v>
      </c>
      <c r="BK29" s="7" t="s">
        <v>214</v>
      </c>
      <c r="BL29" s="7" t="s">
        <v>214</v>
      </c>
      <c r="BM29" s="7" t="s">
        <v>214</v>
      </c>
      <c r="BN29" s="7" t="s">
        <v>214</v>
      </c>
      <c r="BO29" s="7" t="s">
        <v>214</v>
      </c>
      <c r="BP29" s="7" t="s">
        <v>214</v>
      </c>
      <c r="BQ29" s="7" t="s">
        <v>214</v>
      </c>
      <c r="BR29" s="7" t="s">
        <v>214</v>
      </c>
      <c r="BS29" s="7" t="s">
        <v>214</v>
      </c>
      <c r="BT29" s="7" t="s">
        <v>214</v>
      </c>
      <c r="BU29" s="7" t="s">
        <v>214</v>
      </c>
      <c r="BV29" s="7" t="s">
        <v>214</v>
      </c>
      <c r="BW29" s="7" t="s">
        <v>214</v>
      </c>
      <c r="BX29" s="7" t="s">
        <v>214</v>
      </c>
      <c r="BY29" s="7" t="s">
        <v>214</v>
      </c>
      <c r="BZ29" s="7" t="s">
        <v>214</v>
      </c>
      <c r="CA29" s="7" t="s">
        <v>214</v>
      </c>
      <c r="CB29" s="7" t="s">
        <v>214</v>
      </c>
      <c r="CC29" s="7" t="s">
        <v>214</v>
      </c>
      <c r="CD29" s="7" t="s">
        <v>214</v>
      </c>
      <c r="CE29" s="7" t="s">
        <v>214</v>
      </c>
      <c r="CF29" s="7" t="s">
        <v>214</v>
      </c>
      <c r="CG29" s="7" t="s">
        <v>214</v>
      </c>
      <c r="CH29" s="7" t="s">
        <v>214</v>
      </c>
      <c r="CI29" s="7" t="s">
        <v>214</v>
      </c>
      <c r="CJ29" s="7" t="s">
        <v>214</v>
      </c>
      <c r="CK29" s="7" t="s">
        <v>214</v>
      </c>
      <c r="CL29" s="7" t="s">
        <v>214</v>
      </c>
      <c r="CM29" s="7" t="s">
        <v>214</v>
      </c>
      <c r="CN29" s="7" t="s">
        <v>214</v>
      </c>
      <c r="CO29" s="7" t="s">
        <v>214</v>
      </c>
      <c r="CP29" s="7" t="s">
        <v>214</v>
      </c>
      <c r="CQ29" s="7" t="s">
        <v>214</v>
      </c>
      <c r="CR29" s="7" t="s">
        <v>214</v>
      </c>
      <c r="CS29" s="7" t="s">
        <v>214</v>
      </c>
      <c r="CT29" s="7" t="s">
        <v>214</v>
      </c>
      <c r="CU29" s="7" t="s">
        <v>214</v>
      </c>
      <c r="CV29" s="7" t="s">
        <v>214</v>
      </c>
      <c r="CW29" s="7" t="s">
        <v>214</v>
      </c>
      <c r="CX29" s="7" t="s">
        <v>214</v>
      </c>
      <c r="CY29" s="7" t="s">
        <v>214</v>
      </c>
      <c r="CZ29" s="7" t="s">
        <v>214</v>
      </c>
      <c r="DA29" s="7" t="s">
        <v>214</v>
      </c>
      <c r="DB29" s="7" t="s">
        <v>214</v>
      </c>
      <c r="DC29" s="7" t="s">
        <v>214</v>
      </c>
      <c r="DD29" s="7" t="s">
        <v>214</v>
      </c>
      <c r="DE29" s="7" t="s">
        <v>214</v>
      </c>
      <c r="DF29" s="7" t="s">
        <v>214</v>
      </c>
      <c r="DG29" s="7" t="s">
        <v>214</v>
      </c>
      <c r="DH29" s="7" t="s">
        <v>214</v>
      </c>
      <c r="DI29" s="7" t="s">
        <v>214</v>
      </c>
      <c r="DJ29" s="7" t="s">
        <v>214</v>
      </c>
      <c r="DK29" s="7" t="s">
        <v>214</v>
      </c>
      <c r="DL29" s="7" t="s">
        <v>214</v>
      </c>
      <c r="DM29" s="7" t="s">
        <v>214</v>
      </c>
      <c r="DN29" s="7" t="s">
        <v>214</v>
      </c>
      <c r="DO29" s="7" t="s">
        <v>214</v>
      </c>
      <c r="DP29" s="7" t="s">
        <v>218</v>
      </c>
      <c r="DQ29" s="7" t="s">
        <v>214</v>
      </c>
      <c r="DR29" s="7" t="s">
        <v>214</v>
      </c>
      <c r="DS29" s="7" t="s">
        <v>214</v>
      </c>
      <c r="DT29" s="7" t="s">
        <v>214</v>
      </c>
      <c r="DU29" s="7" t="s">
        <v>214</v>
      </c>
      <c r="DV29" s="7" t="s">
        <v>214</v>
      </c>
      <c r="DW29" s="7" t="s">
        <v>214</v>
      </c>
      <c r="DX29" s="7" t="s">
        <v>214</v>
      </c>
      <c r="DY29" s="7" t="s">
        <v>218</v>
      </c>
      <c r="DZ29" s="7" t="s">
        <v>214</v>
      </c>
      <c r="EA29" s="7" t="s">
        <v>214</v>
      </c>
      <c r="EB29" s="7" t="s">
        <v>214</v>
      </c>
      <c r="EC29" s="7" t="s">
        <v>217</v>
      </c>
      <c r="ED29" s="7" t="s">
        <v>214</v>
      </c>
      <c r="EE29" s="7" t="s">
        <v>214</v>
      </c>
      <c r="EF29" s="7" t="s">
        <v>214</v>
      </c>
      <c r="EG29" s="7" t="s">
        <v>214</v>
      </c>
      <c r="EH29" s="7" t="s">
        <v>214</v>
      </c>
      <c r="EI29" s="7" t="s">
        <v>214</v>
      </c>
      <c r="EJ29" s="7" t="s">
        <v>214</v>
      </c>
      <c r="EK29" s="7" t="s">
        <v>214</v>
      </c>
      <c r="EL29" s="7" t="s">
        <v>214</v>
      </c>
      <c r="EM29" s="7" t="s">
        <v>214</v>
      </c>
      <c r="EN29" s="7" t="s">
        <v>214</v>
      </c>
      <c r="EO29" s="7" t="s">
        <v>214</v>
      </c>
      <c r="EP29" s="7" t="s">
        <v>214</v>
      </c>
      <c r="EQ29" s="7" t="s">
        <v>218</v>
      </c>
      <c r="ER29" s="7" t="s">
        <v>214</v>
      </c>
      <c r="ES29" s="7" t="s">
        <v>214</v>
      </c>
      <c r="ET29" s="7" t="s">
        <v>214</v>
      </c>
      <c r="EU29" s="7" t="s">
        <v>214</v>
      </c>
      <c r="EV29" s="7" t="s">
        <v>214</v>
      </c>
      <c r="EW29" s="7" t="s">
        <v>214</v>
      </c>
      <c r="EX29" s="7" t="s">
        <v>214</v>
      </c>
      <c r="EY29" s="7" t="s">
        <v>214</v>
      </c>
      <c r="EZ29" s="7" t="s">
        <v>214</v>
      </c>
      <c r="FA29" s="7" t="s">
        <v>214</v>
      </c>
      <c r="FB29" s="7" t="s">
        <v>214</v>
      </c>
      <c r="FC29" s="7" t="s">
        <v>214</v>
      </c>
      <c r="FD29" s="7" t="s">
        <v>214</v>
      </c>
      <c r="FE29" s="7" t="s">
        <v>214</v>
      </c>
      <c r="FF29" s="7" t="s">
        <v>214</v>
      </c>
      <c r="FG29" s="7" t="s">
        <v>214</v>
      </c>
      <c r="FH29" s="7" t="s">
        <v>214</v>
      </c>
      <c r="FI29" s="7" t="s">
        <v>214</v>
      </c>
      <c r="FJ29" s="7" t="s">
        <v>214</v>
      </c>
      <c r="FK29" s="7" t="s">
        <v>214</v>
      </c>
      <c r="FL29" s="7" t="s">
        <v>214</v>
      </c>
    </row>
    <row r="30" spans="1:168" ht="11.45" customHeight="1" x14ac:dyDescent="0.25">
      <c r="A30" s="5" t="s">
        <v>180</v>
      </c>
      <c r="B30" s="5" t="s">
        <v>9</v>
      </c>
      <c r="C30" s="8" t="s">
        <v>217</v>
      </c>
      <c r="D30" s="8" t="s">
        <v>214</v>
      </c>
      <c r="E30" s="8" t="s">
        <v>214</v>
      </c>
      <c r="F30" s="8" t="s">
        <v>214</v>
      </c>
      <c r="G30" s="8" t="s">
        <v>214</v>
      </c>
      <c r="H30" s="8" t="s">
        <v>214</v>
      </c>
      <c r="I30" s="8" t="s">
        <v>214</v>
      </c>
      <c r="J30" s="8" t="s">
        <v>214</v>
      </c>
      <c r="K30" s="8" t="s">
        <v>214</v>
      </c>
      <c r="L30" s="8" t="s">
        <v>214</v>
      </c>
      <c r="M30" s="8" t="s">
        <v>214</v>
      </c>
      <c r="N30" s="8" t="s">
        <v>214</v>
      </c>
      <c r="O30" s="8" t="s">
        <v>214</v>
      </c>
      <c r="P30" s="8" t="s">
        <v>214</v>
      </c>
      <c r="Q30" s="8" t="s">
        <v>214</v>
      </c>
      <c r="R30" s="8" t="s">
        <v>214</v>
      </c>
      <c r="S30" s="8" t="s">
        <v>214</v>
      </c>
      <c r="T30" s="8" t="s">
        <v>214</v>
      </c>
      <c r="U30" s="8" t="s">
        <v>214</v>
      </c>
      <c r="V30" s="8" t="s">
        <v>214</v>
      </c>
      <c r="W30" s="8" t="s">
        <v>214</v>
      </c>
      <c r="X30" s="8" t="s">
        <v>214</v>
      </c>
      <c r="Y30" s="8" t="s">
        <v>214</v>
      </c>
      <c r="Z30" s="8" t="s">
        <v>214</v>
      </c>
      <c r="AA30" s="8" t="s">
        <v>214</v>
      </c>
      <c r="AB30" s="8" t="s">
        <v>214</v>
      </c>
      <c r="AC30" s="8" t="s">
        <v>214</v>
      </c>
      <c r="AD30" s="8" t="s">
        <v>214</v>
      </c>
      <c r="AE30" s="8" t="s">
        <v>214</v>
      </c>
      <c r="AF30" s="8" t="s">
        <v>214</v>
      </c>
      <c r="AG30" s="8" t="s">
        <v>214</v>
      </c>
      <c r="AH30" s="8" t="s">
        <v>214</v>
      </c>
      <c r="AI30" s="8" t="s">
        <v>214</v>
      </c>
      <c r="AJ30" s="8" t="s">
        <v>214</v>
      </c>
      <c r="AK30" s="8" t="s">
        <v>214</v>
      </c>
      <c r="AL30" s="8" t="s">
        <v>214</v>
      </c>
      <c r="AM30" s="8" t="s">
        <v>214</v>
      </c>
      <c r="AN30" s="8" t="s">
        <v>214</v>
      </c>
      <c r="AO30" s="8" t="s">
        <v>214</v>
      </c>
      <c r="AP30" s="8" t="s">
        <v>214</v>
      </c>
      <c r="AQ30" s="8" t="s">
        <v>214</v>
      </c>
      <c r="AR30" s="8" t="s">
        <v>214</v>
      </c>
      <c r="AS30" s="8" t="s">
        <v>214</v>
      </c>
      <c r="AT30" s="8" t="s">
        <v>214</v>
      </c>
      <c r="AU30" s="8" t="s">
        <v>214</v>
      </c>
      <c r="AV30" s="8" t="s">
        <v>214</v>
      </c>
      <c r="AW30" s="8" t="s">
        <v>214</v>
      </c>
      <c r="AX30" s="8" t="s">
        <v>214</v>
      </c>
      <c r="AY30" s="8" t="s">
        <v>214</v>
      </c>
      <c r="AZ30" s="8" t="s">
        <v>214</v>
      </c>
      <c r="BA30" s="8" t="s">
        <v>214</v>
      </c>
      <c r="BB30" s="8" t="s">
        <v>214</v>
      </c>
      <c r="BC30" s="8" t="s">
        <v>214</v>
      </c>
      <c r="BD30" s="8" t="s">
        <v>214</v>
      </c>
      <c r="BE30" s="8" t="s">
        <v>214</v>
      </c>
      <c r="BF30" s="8" t="s">
        <v>214</v>
      </c>
      <c r="BG30" s="8" t="s">
        <v>214</v>
      </c>
      <c r="BH30" s="8" t="s">
        <v>214</v>
      </c>
      <c r="BI30" s="8" t="s">
        <v>214</v>
      </c>
      <c r="BJ30" s="8" t="s">
        <v>218</v>
      </c>
      <c r="BK30" s="8" t="s">
        <v>214</v>
      </c>
      <c r="BL30" s="8" t="s">
        <v>214</v>
      </c>
      <c r="BM30" s="8" t="s">
        <v>214</v>
      </c>
      <c r="BN30" s="8" t="s">
        <v>214</v>
      </c>
      <c r="BO30" s="8" t="s">
        <v>214</v>
      </c>
      <c r="BP30" s="8" t="s">
        <v>214</v>
      </c>
      <c r="BQ30" s="8" t="s">
        <v>214</v>
      </c>
      <c r="BR30" s="8" t="s">
        <v>214</v>
      </c>
      <c r="BS30" s="8" t="s">
        <v>214</v>
      </c>
      <c r="BT30" s="8" t="s">
        <v>214</v>
      </c>
      <c r="BU30" s="8" t="s">
        <v>214</v>
      </c>
      <c r="BV30" s="8" t="s">
        <v>214</v>
      </c>
      <c r="BW30" s="8" t="s">
        <v>214</v>
      </c>
      <c r="BX30" s="8" t="s">
        <v>214</v>
      </c>
      <c r="BY30" s="8" t="s">
        <v>214</v>
      </c>
      <c r="BZ30" s="8" t="s">
        <v>214</v>
      </c>
      <c r="CA30" s="8" t="s">
        <v>214</v>
      </c>
      <c r="CB30" s="8" t="s">
        <v>214</v>
      </c>
      <c r="CC30" s="8" t="s">
        <v>214</v>
      </c>
      <c r="CD30" s="8" t="s">
        <v>214</v>
      </c>
      <c r="CE30" s="8" t="s">
        <v>214</v>
      </c>
      <c r="CF30" s="8" t="s">
        <v>214</v>
      </c>
      <c r="CG30" s="8" t="s">
        <v>214</v>
      </c>
      <c r="CH30" s="8" t="s">
        <v>214</v>
      </c>
      <c r="CI30" s="8" t="s">
        <v>214</v>
      </c>
      <c r="CJ30" s="8" t="s">
        <v>214</v>
      </c>
      <c r="CK30" s="8" t="s">
        <v>214</v>
      </c>
      <c r="CL30" s="8" t="s">
        <v>214</v>
      </c>
      <c r="CM30" s="8" t="s">
        <v>214</v>
      </c>
      <c r="CN30" s="8" t="s">
        <v>214</v>
      </c>
      <c r="CO30" s="8" t="s">
        <v>214</v>
      </c>
      <c r="CP30" s="8" t="s">
        <v>214</v>
      </c>
      <c r="CQ30" s="8" t="s">
        <v>214</v>
      </c>
      <c r="CR30" s="8" t="s">
        <v>214</v>
      </c>
      <c r="CS30" s="8" t="s">
        <v>214</v>
      </c>
      <c r="CT30" s="8" t="s">
        <v>214</v>
      </c>
      <c r="CU30" s="8" t="s">
        <v>214</v>
      </c>
      <c r="CV30" s="8" t="s">
        <v>214</v>
      </c>
      <c r="CW30" s="8" t="s">
        <v>214</v>
      </c>
      <c r="CX30" s="8" t="s">
        <v>214</v>
      </c>
      <c r="CY30" s="8" t="s">
        <v>214</v>
      </c>
      <c r="CZ30" s="8" t="s">
        <v>214</v>
      </c>
      <c r="DA30" s="8" t="s">
        <v>214</v>
      </c>
      <c r="DB30" s="8" t="s">
        <v>214</v>
      </c>
      <c r="DC30" s="8" t="s">
        <v>214</v>
      </c>
      <c r="DD30" s="8" t="s">
        <v>214</v>
      </c>
      <c r="DE30" s="8" t="s">
        <v>214</v>
      </c>
      <c r="DF30" s="8" t="s">
        <v>214</v>
      </c>
      <c r="DG30" s="8" t="s">
        <v>214</v>
      </c>
      <c r="DH30" s="8" t="s">
        <v>214</v>
      </c>
      <c r="DI30" s="8" t="s">
        <v>214</v>
      </c>
      <c r="DJ30" s="8" t="s">
        <v>214</v>
      </c>
      <c r="DK30" s="8" t="s">
        <v>214</v>
      </c>
      <c r="DL30" s="8" t="s">
        <v>214</v>
      </c>
      <c r="DM30" s="8" t="s">
        <v>214</v>
      </c>
      <c r="DN30" s="8" t="s">
        <v>214</v>
      </c>
      <c r="DO30" s="8" t="s">
        <v>214</v>
      </c>
      <c r="DP30" s="8" t="s">
        <v>218</v>
      </c>
      <c r="DQ30" s="8" t="s">
        <v>214</v>
      </c>
      <c r="DR30" s="8" t="s">
        <v>214</v>
      </c>
      <c r="DS30" s="8" t="s">
        <v>214</v>
      </c>
      <c r="DT30" s="8" t="s">
        <v>214</v>
      </c>
      <c r="DU30" s="8" t="s">
        <v>217</v>
      </c>
      <c r="DV30" s="8" t="s">
        <v>214</v>
      </c>
      <c r="DW30" s="8" t="s">
        <v>214</v>
      </c>
      <c r="DX30" s="8" t="s">
        <v>218</v>
      </c>
      <c r="DY30" s="8" t="s">
        <v>214</v>
      </c>
      <c r="DZ30" s="8" t="s">
        <v>214</v>
      </c>
      <c r="EA30" s="8" t="s">
        <v>217</v>
      </c>
      <c r="EB30" s="8" t="s">
        <v>214</v>
      </c>
      <c r="EC30" s="8" t="s">
        <v>217</v>
      </c>
      <c r="ED30" s="8" t="s">
        <v>214</v>
      </c>
      <c r="EE30" s="8" t="s">
        <v>214</v>
      </c>
      <c r="EF30" s="8" t="s">
        <v>214</v>
      </c>
      <c r="EG30" s="8" t="s">
        <v>217</v>
      </c>
      <c r="EH30" s="8" t="s">
        <v>214</v>
      </c>
      <c r="EI30" s="8" t="s">
        <v>214</v>
      </c>
      <c r="EJ30" s="8" t="s">
        <v>214</v>
      </c>
      <c r="EK30" s="8" t="s">
        <v>214</v>
      </c>
      <c r="EL30" s="8" t="s">
        <v>218</v>
      </c>
      <c r="EM30" s="8" t="s">
        <v>218</v>
      </c>
      <c r="EN30" s="8" t="s">
        <v>218</v>
      </c>
      <c r="EO30" s="8" t="s">
        <v>214</v>
      </c>
      <c r="EP30" s="8" t="s">
        <v>214</v>
      </c>
      <c r="EQ30" s="8" t="s">
        <v>218</v>
      </c>
      <c r="ER30" s="8" t="s">
        <v>214</v>
      </c>
      <c r="ES30" s="8" t="s">
        <v>214</v>
      </c>
      <c r="ET30" s="8" t="s">
        <v>214</v>
      </c>
      <c r="EU30" s="8" t="s">
        <v>214</v>
      </c>
      <c r="EV30" s="8" t="s">
        <v>214</v>
      </c>
      <c r="EW30" s="8" t="s">
        <v>214</v>
      </c>
      <c r="EX30" s="8" t="s">
        <v>214</v>
      </c>
      <c r="EY30" s="8" t="s">
        <v>214</v>
      </c>
      <c r="EZ30" s="8" t="s">
        <v>214</v>
      </c>
      <c r="FA30" s="8" t="s">
        <v>214</v>
      </c>
      <c r="FB30" s="8" t="s">
        <v>214</v>
      </c>
      <c r="FC30" s="8" t="s">
        <v>214</v>
      </c>
      <c r="FD30" s="8" t="s">
        <v>214</v>
      </c>
      <c r="FE30" s="8" t="s">
        <v>214</v>
      </c>
      <c r="FF30" s="8" t="s">
        <v>214</v>
      </c>
      <c r="FG30" s="8" t="s">
        <v>214</v>
      </c>
      <c r="FH30" s="8" t="s">
        <v>214</v>
      </c>
      <c r="FI30" s="8" t="s">
        <v>214</v>
      </c>
      <c r="FJ30" s="8" t="s">
        <v>214</v>
      </c>
      <c r="FK30" s="8" t="s">
        <v>214</v>
      </c>
      <c r="FL30" s="8" t="s">
        <v>214</v>
      </c>
    </row>
    <row r="31" spans="1:168" ht="11.45" customHeight="1" x14ac:dyDescent="0.25">
      <c r="A31" s="5" t="s">
        <v>181</v>
      </c>
      <c r="B31" s="5" t="s">
        <v>6</v>
      </c>
      <c r="C31" s="7" t="s">
        <v>214</v>
      </c>
      <c r="D31" s="7" t="s">
        <v>214</v>
      </c>
      <c r="E31" s="7" t="s">
        <v>214</v>
      </c>
      <c r="F31" s="7" t="s">
        <v>214</v>
      </c>
      <c r="G31" s="7" t="s">
        <v>214</v>
      </c>
      <c r="H31" s="7" t="s">
        <v>214</v>
      </c>
      <c r="I31" s="7" t="s">
        <v>214</v>
      </c>
      <c r="J31" s="7" t="s">
        <v>214</v>
      </c>
      <c r="K31" s="7" t="s">
        <v>214</v>
      </c>
      <c r="L31" s="7" t="s">
        <v>214</v>
      </c>
      <c r="M31" s="7" t="s">
        <v>214</v>
      </c>
      <c r="N31" s="7" t="s">
        <v>214</v>
      </c>
      <c r="O31" s="7" t="s">
        <v>214</v>
      </c>
      <c r="P31" s="7" t="s">
        <v>214</v>
      </c>
      <c r="Q31" s="7" t="s">
        <v>214</v>
      </c>
      <c r="R31" s="7" t="s">
        <v>214</v>
      </c>
      <c r="S31" s="7" t="s">
        <v>214</v>
      </c>
      <c r="T31" s="7" t="s">
        <v>214</v>
      </c>
      <c r="U31" s="7" t="s">
        <v>214</v>
      </c>
      <c r="V31" s="7" t="s">
        <v>214</v>
      </c>
      <c r="W31" s="7" t="s">
        <v>214</v>
      </c>
      <c r="X31" s="7" t="s">
        <v>214</v>
      </c>
      <c r="Y31" s="7" t="s">
        <v>214</v>
      </c>
      <c r="Z31" s="7" t="s">
        <v>214</v>
      </c>
      <c r="AA31" s="7" t="s">
        <v>214</v>
      </c>
      <c r="AB31" s="7" t="s">
        <v>214</v>
      </c>
      <c r="AC31" s="7" t="s">
        <v>214</v>
      </c>
      <c r="AD31" s="7" t="s">
        <v>214</v>
      </c>
      <c r="AE31" s="7" t="s">
        <v>214</v>
      </c>
      <c r="AF31" s="7" t="s">
        <v>214</v>
      </c>
      <c r="AG31" s="7" t="s">
        <v>214</v>
      </c>
      <c r="AH31" s="7" t="s">
        <v>214</v>
      </c>
      <c r="AI31" s="7" t="s">
        <v>214</v>
      </c>
      <c r="AJ31" s="7" t="s">
        <v>214</v>
      </c>
      <c r="AK31" s="7" t="s">
        <v>214</v>
      </c>
      <c r="AL31" s="7" t="s">
        <v>214</v>
      </c>
      <c r="AM31" s="7" t="s">
        <v>214</v>
      </c>
      <c r="AN31" s="7" t="s">
        <v>214</v>
      </c>
      <c r="AO31" s="7" t="s">
        <v>214</v>
      </c>
      <c r="AP31" s="7" t="s">
        <v>214</v>
      </c>
      <c r="AQ31" s="7" t="s">
        <v>214</v>
      </c>
      <c r="AR31" s="7" t="s">
        <v>214</v>
      </c>
      <c r="AS31" s="7" t="s">
        <v>214</v>
      </c>
      <c r="AT31" s="7" t="s">
        <v>214</v>
      </c>
      <c r="AU31" s="7" t="s">
        <v>214</v>
      </c>
      <c r="AV31" s="7" t="s">
        <v>214</v>
      </c>
      <c r="AW31" s="7" t="s">
        <v>214</v>
      </c>
      <c r="AX31" s="7" t="s">
        <v>214</v>
      </c>
      <c r="AY31" s="7" t="s">
        <v>214</v>
      </c>
      <c r="AZ31" s="7" t="s">
        <v>214</v>
      </c>
      <c r="BA31" s="7" t="s">
        <v>214</v>
      </c>
      <c r="BB31" s="7" t="s">
        <v>214</v>
      </c>
      <c r="BC31" s="7" t="s">
        <v>214</v>
      </c>
      <c r="BD31" s="7" t="s">
        <v>214</v>
      </c>
      <c r="BE31" s="7" t="s">
        <v>214</v>
      </c>
      <c r="BF31" s="7" t="s">
        <v>214</v>
      </c>
      <c r="BG31" s="7" t="s">
        <v>214</v>
      </c>
      <c r="BH31" s="7" t="s">
        <v>214</v>
      </c>
      <c r="BI31" s="7" t="s">
        <v>214</v>
      </c>
      <c r="BJ31" s="7" t="s">
        <v>214</v>
      </c>
      <c r="BK31" s="7" t="s">
        <v>214</v>
      </c>
      <c r="BL31" s="7" t="s">
        <v>214</v>
      </c>
      <c r="BM31" s="7" t="s">
        <v>214</v>
      </c>
      <c r="BN31" s="7" t="s">
        <v>214</v>
      </c>
      <c r="BO31" s="7" t="s">
        <v>214</v>
      </c>
      <c r="BP31" s="7" t="s">
        <v>214</v>
      </c>
      <c r="BQ31" s="7" t="s">
        <v>214</v>
      </c>
      <c r="BR31" s="7" t="s">
        <v>214</v>
      </c>
      <c r="BS31" s="7" t="s">
        <v>214</v>
      </c>
      <c r="BT31" s="7" t="s">
        <v>214</v>
      </c>
      <c r="BU31" s="7" t="s">
        <v>214</v>
      </c>
      <c r="BV31" s="7" t="s">
        <v>214</v>
      </c>
      <c r="BW31" s="7" t="s">
        <v>214</v>
      </c>
      <c r="BX31" s="7" t="s">
        <v>214</v>
      </c>
      <c r="BY31" s="7" t="s">
        <v>214</v>
      </c>
      <c r="BZ31" s="7" t="s">
        <v>214</v>
      </c>
      <c r="CA31" s="7" t="s">
        <v>214</v>
      </c>
      <c r="CB31" s="7" t="s">
        <v>214</v>
      </c>
      <c r="CC31" s="7" t="s">
        <v>214</v>
      </c>
      <c r="CD31" s="7" t="s">
        <v>214</v>
      </c>
      <c r="CE31" s="7" t="s">
        <v>214</v>
      </c>
      <c r="CF31" s="7" t="s">
        <v>214</v>
      </c>
      <c r="CG31" s="7" t="s">
        <v>214</v>
      </c>
      <c r="CH31" s="7" t="s">
        <v>214</v>
      </c>
      <c r="CI31" s="7" t="s">
        <v>214</v>
      </c>
      <c r="CJ31" s="7" t="s">
        <v>214</v>
      </c>
      <c r="CK31" s="7" t="s">
        <v>214</v>
      </c>
      <c r="CL31" s="7" t="s">
        <v>214</v>
      </c>
      <c r="CM31" s="7" t="s">
        <v>214</v>
      </c>
      <c r="CN31" s="7" t="s">
        <v>214</v>
      </c>
      <c r="CO31" s="7" t="s">
        <v>214</v>
      </c>
      <c r="CP31" s="7" t="s">
        <v>214</v>
      </c>
      <c r="CQ31" s="7" t="s">
        <v>214</v>
      </c>
      <c r="CR31" s="7" t="s">
        <v>214</v>
      </c>
      <c r="CS31" s="7" t="s">
        <v>214</v>
      </c>
      <c r="CT31" s="7" t="s">
        <v>214</v>
      </c>
      <c r="CU31" s="7" t="s">
        <v>214</v>
      </c>
      <c r="CV31" s="7" t="s">
        <v>214</v>
      </c>
      <c r="CW31" s="7" t="s">
        <v>214</v>
      </c>
      <c r="CX31" s="7" t="s">
        <v>214</v>
      </c>
      <c r="CY31" s="7" t="s">
        <v>214</v>
      </c>
      <c r="CZ31" s="7" t="s">
        <v>214</v>
      </c>
      <c r="DA31" s="7" t="s">
        <v>214</v>
      </c>
      <c r="DB31" s="7" t="s">
        <v>214</v>
      </c>
      <c r="DC31" s="7" t="s">
        <v>214</v>
      </c>
      <c r="DD31" s="7" t="s">
        <v>214</v>
      </c>
      <c r="DE31" s="7" t="s">
        <v>214</v>
      </c>
      <c r="DF31" s="7" t="s">
        <v>214</v>
      </c>
      <c r="DG31" s="7" t="s">
        <v>214</v>
      </c>
      <c r="DH31" s="7" t="s">
        <v>214</v>
      </c>
      <c r="DI31" s="7" t="s">
        <v>214</v>
      </c>
      <c r="DJ31" s="7" t="s">
        <v>214</v>
      </c>
      <c r="DK31" s="7" t="s">
        <v>214</v>
      </c>
      <c r="DL31" s="7" t="s">
        <v>214</v>
      </c>
      <c r="DM31" s="7" t="s">
        <v>214</v>
      </c>
      <c r="DN31" s="7" t="s">
        <v>214</v>
      </c>
      <c r="DO31" s="7" t="s">
        <v>214</v>
      </c>
      <c r="DP31" s="7" t="s">
        <v>214</v>
      </c>
      <c r="DQ31" s="7" t="s">
        <v>214</v>
      </c>
      <c r="DR31" s="7" t="s">
        <v>214</v>
      </c>
      <c r="DS31" s="7" t="s">
        <v>214</v>
      </c>
      <c r="DT31" s="7" t="s">
        <v>214</v>
      </c>
      <c r="DU31" s="7" t="s">
        <v>214</v>
      </c>
      <c r="DV31" s="7" t="s">
        <v>214</v>
      </c>
      <c r="DW31" s="7" t="s">
        <v>214</v>
      </c>
      <c r="DX31" s="7" t="s">
        <v>214</v>
      </c>
      <c r="DY31" s="7" t="s">
        <v>214</v>
      </c>
      <c r="DZ31" s="7" t="s">
        <v>214</v>
      </c>
      <c r="EA31" s="7" t="s">
        <v>214</v>
      </c>
      <c r="EB31" s="7" t="s">
        <v>214</v>
      </c>
      <c r="EC31" s="7" t="s">
        <v>214</v>
      </c>
      <c r="ED31" s="7" t="s">
        <v>214</v>
      </c>
      <c r="EE31" s="7" t="s">
        <v>214</v>
      </c>
      <c r="EF31" s="7" t="s">
        <v>214</v>
      </c>
      <c r="EG31" s="7" t="s">
        <v>214</v>
      </c>
      <c r="EH31" s="7" t="s">
        <v>214</v>
      </c>
      <c r="EI31" s="7" t="s">
        <v>214</v>
      </c>
      <c r="EJ31" s="7" t="s">
        <v>214</v>
      </c>
      <c r="EK31" s="7" t="s">
        <v>214</v>
      </c>
      <c r="EL31" s="7" t="s">
        <v>214</v>
      </c>
      <c r="EM31" s="7" t="s">
        <v>214</v>
      </c>
      <c r="EN31" s="7" t="s">
        <v>214</v>
      </c>
      <c r="EO31" s="7" t="s">
        <v>214</v>
      </c>
      <c r="EP31" s="7" t="s">
        <v>214</v>
      </c>
      <c r="EQ31" s="7" t="s">
        <v>214</v>
      </c>
      <c r="ER31" s="7" t="s">
        <v>214</v>
      </c>
      <c r="ES31" s="7" t="s">
        <v>214</v>
      </c>
      <c r="ET31" s="7" t="s">
        <v>214</v>
      </c>
      <c r="EU31" s="7" t="s">
        <v>214</v>
      </c>
      <c r="EV31" s="7" t="s">
        <v>214</v>
      </c>
      <c r="EW31" s="7" t="s">
        <v>214</v>
      </c>
      <c r="EX31" s="7" t="s">
        <v>214</v>
      </c>
      <c r="EY31" s="7" t="s">
        <v>214</v>
      </c>
      <c r="EZ31" s="7" t="s">
        <v>214</v>
      </c>
      <c r="FA31" s="7" t="s">
        <v>214</v>
      </c>
      <c r="FB31" s="7" t="s">
        <v>214</v>
      </c>
      <c r="FC31" s="7" t="s">
        <v>214</v>
      </c>
      <c r="FD31" s="7" t="s">
        <v>214</v>
      </c>
      <c r="FE31" s="7" t="s">
        <v>214</v>
      </c>
      <c r="FF31" s="7" t="s">
        <v>214</v>
      </c>
      <c r="FG31" s="7" t="s">
        <v>214</v>
      </c>
      <c r="FH31" s="7" t="s">
        <v>214</v>
      </c>
      <c r="FI31" s="7" t="s">
        <v>214</v>
      </c>
      <c r="FJ31" s="7" t="s">
        <v>214</v>
      </c>
      <c r="FK31" s="7" t="s">
        <v>214</v>
      </c>
      <c r="FL31" s="7" t="s">
        <v>214</v>
      </c>
    </row>
    <row r="32" spans="1:168" ht="11.45" customHeight="1" x14ac:dyDescent="0.25">
      <c r="A32" s="5" t="s">
        <v>181</v>
      </c>
      <c r="B32" s="5" t="s">
        <v>7</v>
      </c>
      <c r="C32" s="8" t="s">
        <v>217</v>
      </c>
      <c r="D32" s="8" t="s">
        <v>217</v>
      </c>
      <c r="E32" s="8" t="s">
        <v>214</v>
      </c>
      <c r="F32" s="8" t="s">
        <v>214</v>
      </c>
      <c r="G32" s="8" t="s">
        <v>214</v>
      </c>
      <c r="H32" s="8" t="s">
        <v>214</v>
      </c>
      <c r="I32" s="8" t="s">
        <v>214</v>
      </c>
      <c r="J32" s="8" t="s">
        <v>214</v>
      </c>
      <c r="K32" s="8" t="s">
        <v>214</v>
      </c>
      <c r="L32" s="8" t="s">
        <v>214</v>
      </c>
      <c r="M32" s="8" t="s">
        <v>214</v>
      </c>
      <c r="N32" s="8" t="s">
        <v>217</v>
      </c>
      <c r="O32" s="8" t="s">
        <v>214</v>
      </c>
      <c r="P32" s="8" t="s">
        <v>214</v>
      </c>
      <c r="Q32" s="8" t="s">
        <v>214</v>
      </c>
      <c r="R32" s="8" t="s">
        <v>214</v>
      </c>
      <c r="S32" s="8" t="s">
        <v>214</v>
      </c>
      <c r="T32" s="8" t="s">
        <v>214</v>
      </c>
      <c r="U32" s="8" t="s">
        <v>214</v>
      </c>
      <c r="V32" s="8" t="s">
        <v>214</v>
      </c>
      <c r="W32" s="8" t="s">
        <v>214</v>
      </c>
      <c r="X32" s="8" t="s">
        <v>214</v>
      </c>
      <c r="Y32" s="8" t="s">
        <v>214</v>
      </c>
      <c r="Z32" s="8" t="s">
        <v>214</v>
      </c>
      <c r="AA32" s="8" t="s">
        <v>214</v>
      </c>
      <c r="AB32" s="8" t="s">
        <v>214</v>
      </c>
      <c r="AC32" s="8" t="s">
        <v>214</v>
      </c>
      <c r="AD32" s="8" t="s">
        <v>214</v>
      </c>
      <c r="AE32" s="8" t="s">
        <v>214</v>
      </c>
      <c r="AF32" s="8" t="s">
        <v>214</v>
      </c>
      <c r="AG32" s="8" t="s">
        <v>214</v>
      </c>
      <c r="AH32" s="8" t="s">
        <v>214</v>
      </c>
      <c r="AI32" s="8" t="s">
        <v>214</v>
      </c>
      <c r="AJ32" s="8" t="s">
        <v>214</v>
      </c>
      <c r="AK32" s="8" t="s">
        <v>214</v>
      </c>
      <c r="AL32" s="8" t="s">
        <v>214</v>
      </c>
      <c r="AM32" s="8" t="s">
        <v>214</v>
      </c>
      <c r="AN32" s="8" t="s">
        <v>214</v>
      </c>
      <c r="AO32" s="8" t="s">
        <v>214</v>
      </c>
      <c r="AP32" s="8" t="s">
        <v>214</v>
      </c>
      <c r="AQ32" s="8" t="s">
        <v>214</v>
      </c>
      <c r="AR32" s="8" t="s">
        <v>214</v>
      </c>
      <c r="AS32" s="8" t="s">
        <v>214</v>
      </c>
      <c r="AT32" s="8" t="s">
        <v>214</v>
      </c>
      <c r="AU32" s="8" t="s">
        <v>214</v>
      </c>
      <c r="AV32" s="8" t="s">
        <v>214</v>
      </c>
      <c r="AW32" s="8" t="s">
        <v>214</v>
      </c>
      <c r="AX32" s="8" t="s">
        <v>214</v>
      </c>
      <c r="AY32" s="8" t="s">
        <v>214</v>
      </c>
      <c r="AZ32" s="8" t="s">
        <v>214</v>
      </c>
      <c r="BA32" s="8" t="s">
        <v>214</v>
      </c>
      <c r="BB32" s="8" t="s">
        <v>214</v>
      </c>
      <c r="BC32" s="8" t="s">
        <v>218</v>
      </c>
      <c r="BD32" s="8" t="s">
        <v>214</v>
      </c>
      <c r="BE32" s="8" t="s">
        <v>214</v>
      </c>
      <c r="BF32" s="8" t="s">
        <v>214</v>
      </c>
      <c r="BG32" s="8" t="s">
        <v>214</v>
      </c>
      <c r="BH32" s="8" t="s">
        <v>214</v>
      </c>
      <c r="BI32" s="8" t="s">
        <v>214</v>
      </c>
      <c r="BJ32" s="8" t="s">
        <v>218</v>
      </c>
      <c r="BK32" s="8" t="s">
        <v>214</v>
      </c>
      <c r="BL32" s="8" t="s">
        <v>214</v>
      </c>
      <c r="BM32" s="8" t="s">
        <v>214</v>
      </c>
      <c r="BN32" s="8" t="s">
        <v>214</v>
      </c>
      <c r="BO32" s="8" t="s">
        <v>218</v>
      </c>
      <c r="BP32" s="8" t="s">
        <v>214</v>
      </c>
      <c r="BQ32" s="8" t="s">
        <v>214</v>
      </c>
      <c r="BR32" s="8" t="s">
        <v>217</v>
      </c>
      <c r="BS32" s="8" t="s">
        <v>214</v>
      </c>
      <c r="BT32" s="8" t="s">
        <v>214</v>
      </c>
      <c r="BU32" s="8" t="s">
        <v>214</v>
      </c>
      <c r="BV32" s="8" t="s">
        <v>214</v>
      </c>
      <c r="BW32" s="8" t="s">
        <v>214</v>
      </c>
      <c r="BX32" s="8" t="s">
        <v>214</v>
      </c>
      <c r="BY32" s="8" t="s">
        <v>214</v>
      </c>
      <c r="BZ32" s="8" t="s">
        <v>214</v>
      </c>
      <c r="CA32" s="8" t="s">
        <v>214</v>
      </c>
      <c r="CB32" s="8" t="s">
        <v>214</v>
      </c>
      <c r="CC32" s="8" t="s">
        <v>214</v>
      </c>
      <c r="CD32" s="8" t="s">
        <v>214</v>
      </c>
      <c r="CE32" s="8" t="s">
        <v>214</v>
      </c>
      <c r="CF32" s="8" t="s">
        <v>214</v>
      </c>
      <c r="CG32" s="8" t="s">
        <v>214</v>
      </c>
      <c r="CH32" s="8" t="s">
        <v>214</v>
      </c>
      <c r="CI32" s="8" t="s">
        <v>214</v>
      </c>
      <c r="CJ32" s="8" t="s">
        <v>217</v>
      </c>
      <c r="CK32" s="8" t="s">
        <v>218</v>
      </c>
      <c r="CL32" s="8" t="s">
        <v>214</v>
      </c>
      <c r="CM32" s="8" t="s">
        <v>214</v>
      </c>
      <c r="CN32" s="8" t="s">
        <v>214</v>
      </c>
      <c r="CO32" s="8" t="s">
        <v>214</v>
      </c>
      <c r="CP32" s="8" t="s">
        <v>214</v>
      </c>
      <c r="CQ32" s="8" t="s">
        <v>214</v>
      </c>
      <c r="CR32" s="8" t="s">
        <v>214</v>
      </c>
      <c r="CS32" s="8" t="s">
        <v>214</v>
      </c>
      <c r="CT32" s="8" t="s">
        <v>214</v>
      </c>
      <c r="CU32" s="8" t="s">
        <v>214</v>
      </c>
      <c r="CV32" s="8" t="s">
        <v>214</v>
      </c>
      <c r="CW32" s="8" t="s">
        <v>214</v>
      </c>
      <c r="CX32" s="8" t="s">
        <v>214</v>
      </c>
      <c r="CY32" s="8" t="s">
        <v>214</v>
      </c>
      <c r="CZ32" s="8" t="s">
        <v>214</v>
      </c>
      <c r="DA32" s="8" t="s">
        <v>214</v>
      </c>
      <c r="DB32" s="8" t="s">
        <v>214</v>
      </c>
      <c r="DC32" s="8" t="s">
        <v>214</v>
      </c>
      <c r="DD32" s="8" t="s">
        <v>214</v>
      </c>
      <c r="DE32" s="8" t="s">
        <v>214</v>
      </c>
      <c r="DF32" s="8" t="s">
        <v>214</v>
      </c>
      <c r="DG32" s="8" t="s">
        <v>214</v>
      </c>
      <c r="DH32" s="8" t="s">
        <v>214</v>
      </c>
      <c r="DI32" s="8" t="s">
        <v>214</v>
      </c>
      <c r="DJ32" s="8" t="s">
        <v>214</v>
      </c>
      <c r="DK32" s="8" t="s">
        <v>214</v>
      </c>
      <c r="DL32" s="8" t="s">
        <v>214</v>
      </c>
      <c r="DM32" s="8" t="s">
        <v>214</v>
      </c>
      <c r="DN32" s="8" t="s">
        <v>214</v>
      </c>
      <c r="DO32" s="8" t="s">
        <v>214</v>
      </c>
      <c r="DP32" s="8" t="s">
        <v>218</v>
      </c>
      <c r="DQ32" s="8" t="s">
        <v>214</v>
      </c>
      <c r="DR32" s="8" t="s">
        <v>214</v>
      </c>
      <c r="DS32" s="8" t="s">
        <v>217</v>
      </c>
      <c r="DT32" s="8" t="s">
        <v>214</v>
      </c>
      <c r="DU32" s="8" t="s">
        <v>214</v>
      </c>
      <c r="DV32" s="8" t="s">
        <v>214</v>
      </c>
      <c r="DW32" s="8" t="s">
        <v>217</v>
      </c>
      <c r="DX32" s="8" t="s">
        <v>214</v>
      </c>
      <c r="DY32" s="8" t="s">
        <v>214</v>
      </c>
      <c r="DZ32" s="8" t="s">
        <v>214</v>
      </c>
      <c r="EA32" s="8" t="s">
        <v>217</v>
      </c>
      <c r="EB32" s="8" t="s">
        <v>214</v>
      </c>
      <c r="EC32" s="8" t="s">
        <v>214</v>
      </c>
      <c r="ED32" s="8" t="s">
        <v>214</v>
      </c>
      <c r="EE32" s="8" t="s">
        <v>217</v>
      </c>
      <c r="EF32" s="8" t="s">
        <v>214</v>
      </c>
      <c r="EG32" s="8" t="s">
        <v>214</v>
      </c>
      <c r="EH32" s="8" t="s">
        <v>214</v>
      </c>
      <c r="EI32" s="8" t="s">
        <v>214</v>
      </c>
      <c r="EJ32" s="8" t="s">
        <v>214</v>
      </c>
      <c r="EK32" s="8" t="s">
        <v>214</v>
      </c>
      <c r="EL32" s="8" t="s">
        <v>214</v>
      </c>
      <c r="EM32" s="8" t="s">
        <v>214</v>
      </c>
      <c r="EN32" s="8" t="s">
        <v>214</v>
      </c>
      <c r="EO32" s="8" t="s">
        <v>214</v>
      </c>
      <c r="EP32" s="8" t="s">
        <v>214</v>
      </c>
      <c r="EQ32" s="8" t="s">
        <v>214</v>
      </c>
      <c r="ER32" s="8" t="s">
        <v>214</v>
      </c>
      <c r="ES32" s="8" t="s">
        <v>214</v>
      </c>
      <c r="ET32" s="8" t="s">
        <v>214</v>
      </c>
      <c r="EU32" s="8" t="s">
        <v>214</v>
      </c>
      <c r="EV32" s="8" t="s">
        <v>214</v>
      </c>
      <c r="EW32" s="8" t="s">
        <v>214</v>
      </c>
      <c r="EX32" s="8" t="s">
        <v>214</v>
      </c>
      <c r="EY32" s="8" t="s">
        <v>214</v>
      </c>
      <c r="EZ32" s="8" t="s">
        <v>214</v>
      </c>
      <c r="FA32" s="8" t="s">
        <v>214</v>
      </c>
      <c r="FB32" s="8" t="s">
        <v>214</v>
      </c>
      <c r="FC32" s="8" t="s">
        <v>214</v>
      </c>
      <c r="FD32" s="8" t="s">
        <v>214</v>
      </c>
      <c r="FE32" s="8" t="s">
        <v>214</v>
      </c>
      <c r="FF32" s="8" t="s">
        <v>214</v>
      </c>
      <c r="FG32" s="8" t="s">
        <v>218</v>
      </c>
      <c r="FH32" s="8" t="s">
        <v>214</v>
      </c>
      <c r="FI32" s="8" t="s">
        <v>214</v>
      </c>
      <c r="FJ32" s="8" t="s">
        <v>214</v>
      </c>
      <c r="FK32" s="8" t="s">
        <v>214</v>
      </c>
      <c r="FL32" s="8" t="s">
        <v>214</v>
      </c>
    </row>
    <row r="33" spans="1:168" ht="11.45" customHeight="1" x14ac:dyDescent="0.25">
      <c r="A33" s="5" t="s">
        <v>181</v>
      </c>
      <c r="B33" s="5" t="s">
        <v>8</v>
      </c>
      <c r="C33" s="7" t="s">
        <v>217</v>
      </c>
      <c r="D33" s="7" t="s">
        <v>217</v>
      </c>
      <c r="E33" s="7" t="s">
        <v>214</v>
      </c>
      <c r="F33" s="7" t="s">
        <v>214</v>
      </c>
      <c r="G33" s="7" t="s">
        <v>214</v>
      </c>
      <c r="H33" s="7" t="s">
        <v>214</v>
      </c>
      <c r="I33" s="7" t="s">
        <v>214</v>
      </c>
      <c r="J33" s="7" t="s">
        <v>214</v>
      </c>
      <c r="K33" s="7" t="s">
        <v>214</v>
      </c>
      <c r="L33" s="7" t="s">
        <v>214</v>
      </c>
      <c r="M33" s="7" t="s">
        <v>214</v>
      </c>
      <c r="N33" s="7" t="s">
        <v>217</v>
      </c>
      <c r="O33" s="7" t="s">
        <v>214</v>
      </c>
      <c r="P33" s="7" t="s">
        <v>214</v>
      </c>
      <c r="Q33" s="7" t="s">
        <v>214</v>
      </c>
      <c r="R33" s="7" t="s">
        <v>214</v>
      </c>
      <c r="S33" s="7" t="s">
        <v>214</v>
      </c>
      <c r="T33" s="7" t="s">
        <v>214</v>
      </c>
      <c r="U33" s="7" t="s">
        <v>214</v>
      </c>
      <c r="V33" s="7" t="s">
        <v>214</v>
      </c>
      <c r="W33" s="7" t="s">
        <v>214</v>
      </c>
      <c r="X33" s="7" t="s">
        <v>214</v>
      </c>
      <c r="Y33" s="7" t="s">
        <v>214</v>
      </c>
      <c r="Z33" s="7" t="s">
        <v>217</v>
      </c>
      <c r="AA33" s="7" t="s">
        <v>214</v>
      </c>
      <c r="AB33" s="7" t="s">
        <v>214</v>
      </c>
      <c r="AC33" s="7" t="s">
        <v>214</v>
      </c>
      <c r="AD33" s="7" t="s">
        <v>214</v>
      </c>
      <c r="AE33" s="7" t="s">
        <v>214</v>
      </c>
      <c r="AF33" s="7" t="s">
        <v>214</v>
      </c>
      <c r="AG33" s="7" t="s">
        <v>214</v>
      </c>
      <c r="AH33" s="7" t="s">
        <v>214</v>
      </c>
      <c r="AI33" s="7" t="s">
        <v>214</v>
      </c>
      <c r="AJ33" s="7" t="s">
        <v>214</v>
      </c>
      <c r="AK33" s="7" t="s">
        <v>214</v>
      </c>
      <c r="AL33" s="7" t="s">
        <v>214</v>
      </c>
      <c r="AM33" s="7" t="s">
        <v>214</v>
      </c>
      <c r="AN33" s="7" t="s">
        <v>214</v>
      </c>
      <c r="AO33" s="7" t="s">
        <v>214</v>
      </c>
      <c r="AP33" s="7" t="s">
        <v>214</v>
      </c>
      <c r="AQ33" s="7" t="s">
        <v>214</v>
      </c>
      <c r="AR33" s="7" t="s">
        <v>214</v>
      </c>
      <c r="AS33" s="7" t="s">
        <v>214</v>
      </c>
      <c r="AT33" s="7" t="s">
        <v>214</v>
      </c>
      <c r="AU33" s="7" t="s">
        <v>214</v>
      </c>
      <c r="AV33" s="7" t="s">
        <v>214</v>
      </c>
      <c r="AW33" s="7" t="s">
        <v>214</v>
      </c>
      <c r="AX33" s="7" t="s">
        <v>214</v>
      </c>
      <c r="AY33" s="7" t="s">
        <v>214</v>
      </c>
      <c r="AZ33" s="7" t="s">
        <v>214</v>
      </c>
      <c r="BA33" s="7" t="s">
        <v>218</v>
      </c>
      <c r="BB33" s="7" t="s">
        <v>214</v>
      </c>
      <c r="BC33" s="7" t="s">
        <v>214</v>
      </c>
      <c r="BD33" s="7" t="s">
        <v>214</v>
      </c>
      <c r="BE33" s="7" t="s">
        <v>214</v>
      </c>
      <c r="BF33" s="7" t="s">
        <v>214</v>
      </c>
      <c r="BG33" s="7" t="s">
        <v>214</v>
      </c>
      <c r="BH33" s="7" t="s">
        <v>214</v>
      </c>
      <c r="BI33" s="7" t="s">
        <v>214</v>
      </c>
      <c r="BJ33" s="7" t="s">
        <v>214</v>
      </c>
      <c r="BK33" s="7" t="s">
        <v>214</v>
      </c>
      <c r="BL33" s="7" t="s">
        <v>214</v>
      </c>
      <c r="BM33" s="7" t="s">
        <v>214</v>
      </c>
      <c r="BN33" s="7" t="s">
        <v>214</v>
      </c>
      <c r="BO33" s="7" t="s">
        <v>214</v>
      </c>
      <c r="BP33" s="7" t="s">
        <v>214</v>
      </c>
      <c r="BQ33" s="7" t="s">
        <v>214</v>
      </c>
      <c r="BR33" s="7" t="s">
        <v>217</v>
      </c>
      <c r="BS33" s="7" t="s">
        <v>218</v>
      </c>
      <c r="BT33" s="7" t="s">
        <v>218</v>
      </c>
      <c r="BU33" s="7" t="s">
        <v>218</v>
      </c>
      <c r="BV33" s="7" t="s">
        <v>218</v>
      </c>
      <c r="BW33" s="7" t="s">
        <v>214</v>
      </c>
      <c r="BX33" s="7" t="s">
        <v>214</v>
      </c>
      <c r="BY33" s="7" t="s">
        <v>214</v>
      </c>
      <c r="BZ33" s="7" t="s">
        <v>214</v>
      </c>
      <c r="CA33" s="7" t="s">
        <v>214</v>
      </c>
      <c r="CB33" s="7" t="s">
        <v>214</v>
      </c>
      <c r="CC33" s="7" t="s">
        <v>214</v>
      </c>
      <c r="CD33" s="7" t="s">
        <v>214</v>
      </c>
      <c r="CE33" s="7" t="s">
        <v>214</v>
      </c>
      <c r="CF33" s="7" t="s">
        <v>214</v>
      </c>
      <c r="CG33" s="7" t="s">
        <v>214</v>
      </c>
      <c r="CH33" s="7" t="s">
        <v>214</v>
      </c>
      <c r="CI33" s="7" t="s">
        <v>214</v>
      </c>
      <c r="CJ33" s="7" t="s">
        <v>214</v>
      </c>
      <c r="CK33" s="7" t="s">
        <v>218</v>
      </c>
      <c r="CL33" s="7" t="s">
        <v>214</v>
      </c>
      <c r="CM33" s="7" t="s">
        <v>214</v>
      </c>
      <c r="CN33" s="7" t="s">
        <v>214</v>
      </c>
      <c r="CO33" s="7" t="s">
        <v>214</v>
      </c>
      <c r="CP33" s="7" t="s">
        <v>214</v>
      </c>
      <c r="CQ33" s="7" t="s">
        <v>214</v>
      </c>
      <c r="CR33" s="7" t="s">
        <v>214</v>
      </c>
      <c r="CS33" s="7" t="s">
        <v>214</v>
      </c>
      <c r="CT33" s="7" t="s">
        <v>214</v>
      </c>
      <c r="CU33" s="7" t="s">
        <v>214</v>
      </c>
      <c r="CV33" s="7" t="s">
        <v>214</v>
      </c>
      <c r="CW33" s="7" t="s">
        <v>214</v>
      </c>
      <c r="CX33" s="7" t="s">
        <v>214</v>
      </c>
      <c r="CY33" s="7" t="s">
        <v>214</v>
      </c>
      <c r="CZ33" s="7" t="s">
        <v>214</v>
      </c>
      <c r="DA33" s="7" t="s">
        <v>214</v>
      </c>
      <c r="DB33" s="7" t="s">
        <v>214</v>
      </c>
      <c r="DC33" s="7" t="s">
        <v>218</v>
      </c>
      <c r="DD33" s="7" t="s">
        <v>214</v>
      </c>
      <c r="DE33" s="7" t="s">
        <v>214</v>
      </c>
      <c r="DF33" s="7" t="s">
        <v>214</v>
      </c>
      <c r="DG33" s="7" t="s">
        <v>214</v>
      </c>
      <c r="DH33" s="7" t="s">
        <v>214</v>
      </c>
      <c r="DI33" s="7" t="s">
        <v>214</v>
      </c>
      <c r="DJ33" s="7" t="s">
        <v>214</v>
      </c>
      <c r="DK33" s="7" t="s">
        <v>214</v>
      </c>
      <c r="DL33" s="7" t="s">
        <v>214</v>
      </c>
      <c r="DM33" s="7" t="s">
        <v>214</v>
      </c>
      <c r="DN33" s="7" t="s">
        <v>214</v>
      </c>
      <c r="DO33" s="7" t="s">
        <v>214</v>
      </c>
      <c r="DP33" s="7" t="s">
        <v>214</v>
      </c>
      <c r="DQ33" s="7" t="s">
        <v>214</v>
      </c>
      <c r="DR33" s="7" t="s">
        <v>214</v>
      </c>
      <c r="DS33" s="7" t="s">
        <v>214</v>
      </c>
      <c r="DT33" s="7" t="s">
        <v>214</v>
      </c>
      <c r="DU33" s="7" t="s">
        <v>214</v>
      </c>
      <c r="DV33" s="7" t="s">
        <v>214</v>
      </c>
      <c r="DW33" s="7" t="s">
        <v>214</v>
      </c>
      <c r="DX33" s="7" t="s">
        <v>214</v>
      </c>
      <c r="DY33" s="7" t="s">
        <v>214</v>
      </c>
      <c r="DZ33" s="7" t="s">
        <v>214</v>
      </c>
      <c r="EA33" s="7" t="s">
        <v>214</v>
      </c>
      <c r="EB33" s="7" t="s">
        <v>214</v>
      </c>
      <c r="EC33" s="7" t="s">
        <v>214</v>
      </c>
      <c r="ED33" s="7" t="s">
        <v>214</v>
      </c>
      <c r="EE33" s="7" t="s">
        <v>214</v>
      </c>
      <c r="EF33" s="7" t="s">
        <v>214</v>
      </c>
      <c r="EG33" s="7" t="s">
        <v>214</v>
      </c>
      <c r="EH33" s="7" t="s">
        <v>214</v>
      </c>
      <c r="EI33" s="7" t="s">
        <v>214</v>
      </c>
      <c r="EJ33" s="7" t="s">
        <v>214</v>
      </c>
      <c r="EK33" s="7" t="s">
        <v>214</v>
      </c>
      <c r="EL33" s="7" t="s">
        <v>214</v>
      </c>
      <c r="EM33" s="7" t="s">
        <v>214</v>
      </c>
      <c r="EN33" s="7" t="s">
        <v>214</v>
      </c>
      <c r="EO33" s="7" t="s">
        <v>214</v>
      </c>
      <c r="EP33" s="7" t="s">
        <v>214</v>
      </c>
      <c r="EQ33" s="7" t="s">
        <v>214</v>
      </c>
      <c r="ER33" s="7" t="s">
        <v>214</v>
      </c>
      <c r="ES33" s="7" t="s">
        <v>214</v>
      </c>
      <c r="ET33" s="7" t="s">
        <v>214</v>
      </c>
      <c r="EU33" s="7" t="s">
        <v>214</v>
      </c>
      <c r="EV33" s="7" t="s">
        <v>214</v>
      </c>
      <c r="EW33" s="7" t="s">
        <v>214</v>
      </c>
      <c r="EX33" s="7" t="s">
        <v>214</v>
      </c>
      <c r="EY33" s="7" t="s">
        <v>214</v>
      </c>
      <c r="EZ33" s="7" t="s">
        <v>214</v>
      </c>
      <c r="FA33" s="7" t="s">
        <v>214</v>
      </c>
      <c r="FB33" s="7" t="s">
        <v>214</v>
      </c>
      <c r="FC33" s="7" t="s">
        <v>214</v>
      </c>
      <c r="FD33" s="7" t="s">
        <v>214</v>
      </c>
      <c r="FE33" s="7" t="s">
        <v>214</v>
      </c>
      <c r="FF33" s="7" t="s">
        <v>214</v>
      </c>
      <c r="FG33" s="7" t="s">
        <v>214</v>
      </c>
      <c r="FH33" s="7" t="s">
        <v>214</v>
      </c>
      <c r="FI33" s="7" t="s">
        <v>214</v>
      </c>
      <c r="FJ33" s="7" t="s">
        <v>214</v>
      </c>
      <c r="FK33" s="7" t="s">
        <v>214</v>
      </c>
      <c r="FL33" s="7" t="s">
        <v>214</v>
      </c>
    </row>
    <row r="34" spans="1:168" ht="11.45" customHeight="1" x14ac:dyDescent="0.25">
      <c r="A34" s="5" t="s">
        <v>181</v>
      </c>
      <c r="B34" s="5" t="s">
        <v>9</v>
      </c>
      <c r="C34" s="8" t="s">
        <v>217</v>
      </c>
      <c r="D34" s="8" t="s">
        <v>217</v>
      </c>
      <c r="E34" s="8" t="s">
        <v>214</v>
      </c>
      <c r="F34" s="8" t="s">
        <v>214</v>
      </c>
      <c r="G34" s="8" t="s">
        <v>214</v>
      </c>
      <c r="H34" s="8" t="s">
        <v>214</v>
      </c>
      <c r="I34" s="8" t="s">
        <v>214</v>
      </c>
      <c r="J34" s="8" t="s">
        <v>214</v>
      </c>
      <c r="K34" s="8" t="s">
        <v>214</v>
      </c>
      <c r="L34" s="8" t="s">
        <v>214</v>
      </c>
      <c r="M34" s="8" t="s">
        <v>214</v>
      </c>
      <c r="N34" s="8" t="s">
        <v>217</v>
      </c>
      <c r="O34" s="8" t="s">
        <v>214</v>
      </c>
      <c r="P34" s="8" t="s">
        <v>214</v>
      </c>
      <c r="Q34" s="8" t="s">
        <v>214</v>
      </c>
      <c r="R34" s="8" t="s">
        <v>214</v>
      </c>
      <c r="S34" s="8" t="s">
        <v>214</v>
      </c>
      <c r="T34" s="8" t="s">
        <v>214</v>
      </c>
      <c r="U34" s="8" t="s">
        <v>214</v>
      </c>
      <c r="V34" s="8" t="s">
        <v>214</v>
      </c>
      <c r="W34" s="8" t="s">
        <v>214</v>
      </c>
      <c r="X34" s="8" t="s">
        <v>214</v>
      </c>
      <c r="Y34" s="8" t="s">
        <v>214</v>
      </c>
      <c r="Z34" s="8" t="s">
        <v>217</v>
      </c>
      <c r="AA34" s="8" t="s">
        <v>214</v>
      </c>
      <c r="AB34" s="8" t="s">
        <v>214</v>
      </c>
      <c r="AC34" s="8" t="s">
        <v>214</v>
      </c>
      <c r="AD34" s="8" t="s">
        <v>214</v>
      </c>
      <c r="AE34" s="8" t="s">
        <v>214</v>
      </c>
      <c r="AF34" s="8" t="s">
        <v>214</v>
      </c>
      <c r="AG34" s="8" t="s">
        <v>214</v>
      </c>
      <c r="AH34" s="8" t="s">
        <v>214</v>
      </c>
      <c r="AI34" s="8" t="s">
        <v>214</v>
      </c>
      <c r="AJ34" s="8" t="s">
        <v>214</v>
      </c>
      <c r="AK34" s="8" t="s">
        <v>214</v>
      </c>
      <c r="AL34" s="8" t="s">
        <v>214</v>
      </c>
      <c r="AM34" s="8" t="s">
        <v>214</v>
      </c>
      <c r="AN34" s="8" t="s">
        <v>214</v>
      </c>
      <c r="AO34" s="8" t="s">
        <v>214</v>
      </c>
      <c r="AP34" s="8" t="s">
        <v>214</v>
      </c>
      <c r="AQ34" s="8" t="s">
        <v>214</v>
      </c>
      <c r="AR34" s="8" t="s">
        <v>214</v>
      </c>
      <c r="AS34" s="8" t="s">
        <v>214</v>
      </c>
      <c r="AT34" s="8" t="s">
        <v>214</v>
      </c>
      <c r="AU34" s="8" t="s">
        <v>214</v>
      </c>
      <c r="AV34" s="8" t="s">
        <v>214</v>
      </c>
      <c r="AW34" s="8" t="s">
        <v>214</v>
      </c>
      <c r="AX34" s="8" t="s">
        <v>214</v>
      </c>
      <c r="AY34" s="8" t="s">
        <v>214</v>
      </c>
      <c r="AZ34" s="8" t="s">
        <v>214</v>
      </c>
      <c r="BA34" s="8" t="s">
        <v>218</v>
      </c>
      <c r="BB34" s="8" t="s">
        <v>214</v>
      </c>
      <c r="BC34" s="8" t="s">
        <v>214</v>
      </c>
      <c r="BD34" s="8" t="s">
        <v>217</v>
      </c>
      <c r="BE34" s="8" t="s">
        <v>214</v>
      </c>
      <c r="BF34" s="8" t="s">
        <v>214</v>
      </c>
      <c r="BG34" s="8" t="s">
        <v>214</v>
      </c>
      <c r="BH34" s="8" t="s">
        <v>214</v>
      </c>
      <c r="BI34" s="8" t="s">
        <v>214</v>
      </c>
      <c r="BJ34" s="8" t="s">
        <v>217</v>
      </c>
      <c r="BK34" s="8" t="s">
        <v>214</v>
      </c>
      <c r="BL34" s="8" t="s">
        <v>214</v>
      </c>
      <c r="BM34" s="8" t="s">
        <v>214</v>
      </c>
      <c r="BN34" s="8" t="s">
        <v>214</v>
      </c>
      <c r="BO34" s="8" t="s">
        <v>214</v>
      </c>
      <c r="BP34" s="8" t="s">
        <v>214</v>
      </c>
      <c r="BQ34" s="8" t="s">
        <v>214</v>
      </c>
      <c r="BR34" s="8" t="s">
        <v>214</v>
      </c>
      <c r="BS34" s="8" t="s">
        <v>214</v>
      </c>
      <c r="BT34" s="8" t="s">
        <v>218</v>
      </c>
      <c r="BU34" s="8" t="s">
        <v>214</v>
      </c>
      <c r="BV34" s="8" t="s">
        <v>218</v>
      </c>
      <c r="BW34" s="8" t="s">
        <v>214</v>
      </c>
      <c r="BX34" s="8" t="s">
        <v>214</v>
      </c>
      <c r="BY34" s="8" t="s">
        <v>214</v>
      </c>
      <c r="BZ34" s="8" t="s">
        <v>214</v>
      </c>
      <c r="CA34" s="8" t="s">
        <v>214</v>
      </c>
      <c r="CB34" s="8" t="s">
        <v>214</v>
      </c>
      <c r="CC34" s="8" t="s">
        <v>214</v>
      </c>
      <c r="CD34" s="8" t="s">
        <v>214</v>
      </c>
      <c r="CE34" s="8" t="s">
        <v>214</v>
      </c>
      <c r="CF34" s="8" t="s">
        <v>214</v>
      </c>
      <c r="CG34" s="8" t="s">
        <v>214</v>
      </c>
      <c r="CH34" s="8" t="s">
        <v>214</v>
      </c>
      <c r="CI34" s="8" t="s">
        <v>214</v>
      </c>
      <c r="CJ34" s="8" t="s">
        <v>214</v>
      </c>
      <c r="CK34" s="8" t="s">
        <v>218</v>
      </c>
      <c r="CL34" s="8" t="s">
        <v>214</v>
      </c>
      <c r="CM34" s="8" t="s">
        <v>214</v>
      </c>
      <c r="CN34" s="8" t="s">
        <v>214</v>
      </c>
      <c r="CO34" s="8" t="s">
        <v>214</v>
      </c>
      <c r="CP34" s="8" t="s">
        <v>214</v>
      </c>
      <c r="CQ34" s="8" t="s">
        <v>214</v>
      </c>
      <c r="CR34" s="8" t="s">
        <v>214</v>
      </c>
      <c r="CS34" s="8" t="s">
        <v>214</v>
      </c>
      <c r="CT34" s="8" t="s">
        <v>214</v>
      </c>
      <c r="CU34" s="8" t="s">
        <v>214</v>
      </c>
      <c r="CV34" s="8" t="s">
        <v>214</v>
      </c>
      <c r="CW34" s="8" t="s">
        <v>214</v>
      </c>
      <c r="CX34" s="8" t="s">
        <v>214</v>
      </c>
      <c r="CY34" s="8" t="s">
        <v>214</v>
      </c>
      <c r="CZ34" s="8" t="s">
        <v>214</v>
      </c>
      <c r="DA34" s="8" t="s">
        <v>214</v>
      </c>
      <c r="DB34" s="8" t="s">
        <v>214</v>
      </c>
      <c r="DC34" s="8" t="s">
        <v>214</v>
      </c>
      <c r="DD34" s="8" t="s">
        <v>214</v>
      </c>
      <c r="DE34" s="8" t="s">
        <v>214</v>
      </c>
      <c r="DF34" s="8" t="s">
        <v>214</v>
      </c>
      <c r="DG34" s="8" t="s">
        <v>214</v>
      </c>
      <c r="DH34" s="8" t="s">
        <v>214</v>
      </c>
      <c r="DI34" s="8" t="s">
        <v>214</v>
      </c>
      <c r="DJ34" s="8" t="s">
        <v>214</v>
      </c>
      <c r="DK34" s="8" t="s">
        <v>214</v>
      </c>
      <c r="DL34" s="8" t="s">
        <v>214</v>
      </c>
      <c r="DM34" s="8" t="s">
        <v>214</v>
      </c>
      <c r="DN34" s="8" t="s">
        <v>214</v>
      </c>
      <c r="DO34" s="8" t="s">
        <v>214</v>
      </c>
      <c r="DP34" s="8" t="s">
        <v>214</v>
      </c>
      <c r="DQ34" s="8" t="s">
        <v>214</v>
      </c>
      <c r="DR34" s="8" t="s">
        <v>214</v>
      </c>
      <c r="DS34" s="8" t="s">
        <v>214</v>
      </c>
      <c r="DT34" s="8" t="s">
        <v>214</v>
      </c>
      <c r="DU34" s="8" t="s">
        <v>214</v>
      </c>
      <c r="DV34" s="8" t="s">
        <v>214</v>
      </c>
      <c r="DW34" s="8" t="s">
        <v>214</v>
      </c>
      <c r="DX34" s="8" t="s">
        <v>214</v>
      </c>
      <c r="DY34" s="8" t="s">
        <v>214</v>
      </c>
      <c r="DZ34" s="8" t="s">
        <v>214</v>
      </c>
      <c r="EA34" s="8" t="s">
        <v>214</v>
      </c>
      <c r="EB34" s="8" t="s">
        <v>214</v>
      </c>
      <c r="EC34" s="8" t="s">
        <v>214</v>
      </c>
      <c r="ED34" s="8" t="s">
        <v>214</v>
      </c>
      <c r="EE34" s="8" t="s">
        <v>214</v>
      </c>
      <c r="EF34" s="8" t="s">
        <v>214</v>
      </c>
      <c r="EG34" s="8" t="s">
        <v>214</v>
      </c>
      <c r="EH34" s="8" t="s">
        <v>214</v>
      </c>
      <c r="EI34" s="8" t="s">
        <v>214</v>
      </c>
      <c r="EJ34" s="8" t="s">
        <v>214</v>
      </c>
      <c r="EK34" s="8" t="s">
        <v>214</v>
      </c>
      <c r="EL34" s="8" t="s">
        <v>214</v>
      </c>
      <c r="EM34" s="8" t="s">
        <v>214</v>
      </c>
      <c r="EN34" s="8" t="s">
        <v>214</v>
      </c>
      <c r="EO34" s="8" t="s">
        <v>214</v>
      </c>
      <c r="EP34" s="8" t="s">
        <v>214</v>
      </c>
      <c r="EQ34" s="8" t="s">
        <v>214</v>
      </c>
      <c r="ER34" s="8" t="s">
        <v>214</v>
      </c>
      <c r="ES34" s="8" t="s">
        <v>214</v>
      </c>
      <c r="ET34" s="8" t="s">
        <v>214</v>
      </c>
      <c r="EU34" s="8" t="s">
        <v>214</v>
      </c>
      <c r="EV34" s="8" t="s">
        <v>214</v>
      </c>
      <c r="EW34" s="8" t="s">
        <v>214</v>
      </c>
      <c r="EX34" s="8" t="s">
        <v>214</v>
      </c>
      <c r="EY34" s="8" t="s">
        <v>214</v>
      </c>
      <c r="EZ34" s="8" t="s">
        <v>214</v>
      </c>
      <c r="FA34" s="8" t="s">
        <v>214</v>
      </c>
      <c r="FB34" s="8" t="s">
        <v>214</v>
      </c>
      <c r="FC34" s="8" t="s">
        <v>214</v>
      </c>
      <c r="FD34" s="8" t="s">
        <v>214</v>
      </c>
      <c r="FE34" s="8" t="s">
        <v>214</v>
      </c>
      <c r="FF34" s="8" t="s">
        <v>214</v>
      </c>
      <c r="FG34" s="8" t="s">
        <v>214</v>
      </c>
      <c r="FH34" s="8" t="s">
        <v>214</v>
      </c>
      <c r="FI34" s="8" t="s">
        <v>214</v>
      </c>
      <c r="FJ34" s="8" t="s">
        <v>214</v>
      </c>
      <c r="FK34" s="8" t="s">
        <v>214</v>
      </c>
      <c r="FL34" s="8" t="s">
        <v>214</v>
      </c>
    </row>
    <row r="35" spans="1:168" ht="11.45" customHeight="1" x14ac:dyDescent="0.25">
      <c r="A35" s="5" t="s">
        <v>182</v>
      </c>
      <c r="B35" s="5" t="s">
        <v>6</v>
      </c>
      <c r="C35" s="7" t="s">
        <v>214</v>
      </c>
      <c r="D35" s="7" t="s">
        <v>214</v>
      </c>
      <c r="E35" s="7" t="s">
        <v>214</v>
      </c>
      <c r="F35" s="7" t="s">
        <v>214</v>
      </c>
      <c r="G35" s="7" t="s">
        <v>214</v>
      </c>
      <c r="H35" s="7" t="s">
        <v>214</v>
      </c>
      <c r="I35" s="7" t="s">
        <v>214</v>
      </c>
      <c r="J35" s="7" t="s">
        <v>214</v>
      </c>
      <c r="K35" s="7" t="s">
        <v>214</v>
      </c>
      <c r="L35" s="7" t="s">
        <v>214</v>
      </c>
      <c r="M35" s="7" t="s">
        <v>214</v>
      </c>
      <c r="N35" s="7" t="s">
        <v>214</v>
      </c>
      <c r="O35" s="7" t="s">
        <v>214</v>
      </c>
      <c r="P35" s="7" t="s">
        <v>214</v>
      </c>
      <c r="Q35" s="7" t="s">
        <v>214</v>
      </c>
      <c r="R35" s="7" t="s">
        <v>214</v>
      </c>
      <c r="S35" s="7" t="s">
        <v>214</v>
      </c>
      <c r="T35" s="7" t="s">
        <v>214</v>
      </c>
      <c r="U35" s="7" t="s">
        <v>214</v>
      </c>
      <c r="V35" s="7" t="s">
        <v>214</v>
      </c>
      <c r="W35" s="7" t="s">
        <v>214</v>
      </c>
      <c r="X35" s="7" t="s">
        <v>214</v>
      </c>
      <c r="Y35" s="7" t="s">
        <v>214</v>
      </c>
      <c r="Z35" s="7" t="s">
        <v>214</v>
      </c>
      <c r="AA35" s="7" t="s">
        <v>214</v>
      </c>
      <c r="AB35" s="7" t="s">
        <v>214</v>
      </c>
      <c r="AC35" s="7" t="s">
        <v>214</v>
      </c>
      <c r="AD35" s="7" t="s">
        <v>214</v>
      </c>
      <c r="AE35" s="7" t="s">
        <v>214</v>
      </c>
      <c r="AF35" s="7" t="s">
        <v>214</v>
      </c>
      <c r="AG35" s="7" t="s">
        <v>214</v>
      </c>
      <c r="AH35" s="7" t="s">
        <v>214</v>
      </c>
      <c r="AI35" s="7" t="s">
        <v>214</v>
      </c>
      <c r="AJ35" s="7" t="s">
        <v>214</v>
      </c>
      <c r="AK35" s="7" t="s">
        <v>214</v>
      </c>
      <c r="AL35" s="7" t="s">
        <v>214</v>
      </c>
      <c r="AM35" s="7" t="s">
        <v>214</v>
      </c>
      <c r="AN35" s="7" t="s">
        <v>214</v>
      </c>
      <c r="AO35" s="7" t="s">
        <v>214</v>
      </c>
      <c r="AP35" s="7" t="s">
        <v>214</v>
      </c>
      <c r="AQ35" s="7" t="s">
        <v>214</v>
      </c>
      <c r="AR35" s="7" t="s">
        <v>214</v>
      </c>
      <c r="AS35" s="7" t="s">
        <v>214</v>
      </c>
      <c r="AT35" s="7" t="s">
        <v>214</v>
      </c>
      <c r="AU35" s="7" t="s">
        <v>214</v>
      </c>
      <c r="AV35" s="7" t="s">
        <v>214</v>
      </c>
      <c r="AW35" s="7" t="s">
        <v>214</v>
      </c>
      <c r="AX35" s="7" t="s">
        <v>214</v>
      </c>
      <c r="AY35" s="7" t="s">
        <v>214</v>
      </c>
      <c r="AZ35" s="7" t="s">
        <v>214</v>
      </c>
      <c r="BA35" s="7" t="s">
        <v>214</v>
      </c>
      <c r="BB35" s="7" t="s">
        <v>214</v>
      </c>
      <c r="BC35" s="7" t="s">
        <v>214</v>
      </c>
      <c r="BD35" s="7" t="s">
        <v>214</v>
      </c>
      <c r="BE35" s="7" t="s">
        <v>214</v>
      </c>
      <c r="BF35" s="7" t="s">
        <v>214</v>
      </c>
      <c r="BG35" s="7" t="s">
        <v>214</v>
      </c>
      <c r="BH35" s="7" t="s">
        <v>214</v>
      </c>
      <c r="BI35" s="7" t="s">
        <v>214</v>
      </c>
      <c r="BJ35" s="7" t="s">
        <v>214</v>
      </c>
      <c r="BK35" s="7" t="s">
        <v>214</v>
      </c>
      <c r="BL35" s="7" t="s">
        <v>214</v>
      </c>
      <c r="BM35" s="7" t="s">
        <v>214</v>
      </c>
      <c r="BN35" s="7" t="s">
        <v>214</v>
      </c>
      <c r="BO35" s="7" t="s">
        <v>214</v>
      </c>
      <c r="BP35" s="7" t="s">
        <v>214</v>
      </c>
      <c r="BQ35" s="7" t="s">
        <v>214</v>
      </c>
      <c r="BR35" s="7" t="s">
        <v>214</v>
      </c>
      <c r="BS35" s="7" t="s">
        <v>214</v>
      </c>
      <c r="BT35" s="7" t="s">
        <v>214</v>
      </c>
      <c r="BU35" s="7" t="s">
        <v>214</v>
      </c>
      <c r="BV35" s="7" t="s">
        <v>214</v>
      </c>
      <c r="BW35" s="7" t="s">
        <v>214</v>
      </c>
      <c r="BX35" s="7" t="s">
        <v>214</v>
      </c>
      <c r="BY35" s="7" t="s">
        <v>214</v>
      </c>
      <c r="BZ35" s="7" t="s">
        <v>214</v>
      </c>
      <c r="CA35" s="7" t="s">
        <v>214</v>
      </c>
      <c r="CB35" s="7" t="s">
        <v>214</v>
      </c>
      <c r="CC35" s="7" t="s">
        <v>214</v>
      </c>
      <c r="CD35" s="7" t="s">
        <v>214</v>
      </c>
      <c r="CE35" s="7" t="s">
        <v>214</v>
      </c>
      <c r="CF35" s="7" t="s">
        <v>214</v>
      </c>
      <c r="CG35" s="7" t="s">
        <v>214</v>
      </c>
      <c r="CH35" s="7" t="s">
        <v>214</v>
      </c>
      <c r="CI35" s="7" t="s">
        <v>214</v>
      </c>
      <c r="CJ35" s="7" t="s">
        <v>214</v>
      </c>
      <c r="CK35" s="7" t="s">
        <v>214</v>
      </c>
      <c r="CL35" s="7" t="s">
        <v>214</v>
      </c>
      <c r="CM35" s="7" t="s">
        <v>214</v>
      </c>
      <c r="CN35" s="7" t="s">
        <v>214</v>
      </c>
      <c r="CO35" s="7" t="s">
        <v>214</v>
      </c>
      <c r="CP35" s="7" t="s">
        <v>214</v>
      </c>
      <c r="CQ35" s="7" t="s">
        <v>214</v>
      </c>
      <c r="CR35" s="7" t="s">
        <v>214</v>
      </c>
      <c r="CS35" s="7" t="s">
        <v>214</v>
      </c>
      <c r="CT35" s="7" t="s">
        <v>214</v>
      </c>
      <c r="CU35" s="7" t="s">
        <v>214</v>
      </c>
      <c r="CV35" s="7" t="s">
        <v>214</v>
      </c>
      <c r="CW35" s="7" t="s">
        <v>214</v>
      </c>
      <c r="CX35" s="7" t="s">
        <v>214</v>
      </c>
      <c r="CY35" s="7" t="s">
        <v>214</v>
      </c>
      <c r="CZ35" s="7" t="s">
        <v>214</v>
      </c>
      <c r="DA35" s="7" t="s">
        <v>214</v>
      </c>
      <c r="DB35" s="7" t="s">
        <v>214</v>
      </c>
      <c r="DC35" s="7" t="s">
        <v>214</v>
      </c>
      <c r="DD35" s="7" t="s">
        <v>214</v>
      </c>
      <c r="DE35" s="7" t="s">
        <v>214</v>
      </c>
      <c r="DF35" s="7" t="s">
        <v>214</v>
      </c>
      <c r="DG35" s="7" t="s">
        <v>214</v>
      </c>
      <c r="DH35" s="7" t="s">
        <v>214</v>
      </c>
      <c r="DI35" s="7" t="s">
        <v>214</v>
      </c>
      <c r="DJ35" s="7" t="s">
        <v>214</v>
      </c>
      <c r="DK35" s="7" t="s">
        <v>214</v>
      </c>
      <c r="DL35" s="7" t="s">
        <v>214</v>
      </c>
      <c r="DM35" s="7" t="s">
        <v>214</v>
      </c>
      <c r="DN35" s="7" t="s">
        <v>214</v>
      </c>
      <c r="DO35" s="7" t="s">
        <v>214</v>
      </c>
      <c r="DP35" s="7" t="s">
        <v>218</v>
      </c>
      <c r="DQ35" s="7" t="s">
        <v>214</v>
      </c>
      <c r="DR35" s="7" t="s">
        <v>214</v>
      </c>
      <c r="DS35" s="7" t="s">
        <v>214</v>
      </c>
      <c r="DT35" s="7" t="s">
        <v>214</v>
      </c>
      <c r="DU35" s="7" t="s">
        <v>214</v>
      </c>
      <c r="DV35" s="7" t="s">
        <v>214</v>
      </c>
      <c r="DW35" s="7" t="s">
        <v>214</v>
      </c>
      <c r="DX35" s="7" t="s">
        <v>214</v>
      </c>
      <c r="DY35" s="7" t="s">
        <v>214</v>
      </c>
      <c r="DZ35" s="7" t="s">
        <v>214</v>
      </c>
      <c r="EA35" s="7" t="s">
        <v>214</v>
      </c>
      <c r="EB35" s="7" t="s">
        <v>214</v>
      </c>
      <c r="EC35" s="7" t="s">
        <v>214</v>
      </c>
      <c r="ED35" s="7" t="s">
        <v>214</v>
      </c>
      <c r="EE35" s="7" t="s">
        <v>214</v>
      </c>
      <c r="EF35" s="7" t="s">
        <v>214</v>
      </c>
      <c r="EG35" s="7" t="s">
        <v>214</v>
      </c>
      <c r="EH35" s="7" t="s">
        <v>214</v>
      </c>
      <c r="EI35" s="7" t="s">
        <v>214</v>
      </c>
      <c r="EJ35" s="7" t="s">
        <v>214</v>
      </c>
      <c r="EK35" s="7" t="s">
        <v>214</v>
      </c>
      <c r="EL35" s="7" t="s">
        <v>214</v>
      </c>
      <c r="EM35" s="7" t="s">
        <v>214</v>
      </c>
      <c r="EN35" s="7" t="s">
        <v>214</v>
      </c>
      <c r="EO35" s="7" t="s">
        <v>214</v>
      </c>
      <c r="EP35" s="7" t="s">
        <v>214</v>
      </c>
      <c r="EQ35" s="7" t="s">
        <v>214</v>
      </c>
      <c r="ER35" s="7" t="s">
        <v>214</v>
      </c>
      <c r="ES35" s="7" t="s">
        <v>214</v>
      </c>
      <c r="ET35" s="7" t="s">
        <v>214</v>
      </c>
      <c r="EU35" s="7" t="s">
        <v>214</v>
      </c>
      <c r="EV35" s="7" t="s">
        <v>214</v>
      </c>
      <c r="EW35" s="7" t="s">
        <v>214</v>
      </c>
      <c r="EX35" s="7" t="s">
        <v>214</v>
      </c>
      <c r="EY35" s="7" t="s">
        <v>214</v>
      </c>
      <c r="EZ35" s="7" t="s">
        <v>214</v>
      </c>
      <c r="FA35" s="7" t="s">
        <v>214</v>
      </c>
      <c r="FB35" s="7" t="s">
        <v>214</v>
      </c>
      <c r="FC35" s="7" t="s">
        <v>214</v>
      </c>
      <c r="FD35" s="7" t="s">
        <v>214</v>
      </c>
      <c r="FE35" s="7" t="s">
        <v>214</v>
      </c>
      <c r="FF35" s="7" t="s">
        <v>214</v>
      </c>
      <c r="FG35" s="7" t="s">
        <v>214</v>
      </c>
      <c r="FH35" s="7" t="s">
        <v>214</v>
      </c>
      <c r="FI35" s="7" t="s">
        <v>214</v>
      </c>
      <c r="FJ35" s="7" t="s">
        <v>214</v>
      </c>
      <c r="FK35" s="7" t="s">
        <v>218</v>
      </c>
      <c r="FL35" s="7" t="s">
        <v>214</v>
      </c>
    </row>
    <row r="36" spans="1:168" ht="11.45" customHeight="1" x14ac:dyDescent="0.25">
      <c r="A36" s="5" t="s">
        <v>182</v>
      </c>
      <c r="B36" s="5" t="s">
        <v>7</v>
      </c>
      <c r="C36" s="8" t="s">
        <v>217</v>
      </c>
      <c r="D36" s="8" t="s">
        <v>217</v>
      </c>
      <c r="E36" s="8" t="s">
        <v>214</v>
      </c>
      <c r="F36" s="8" t="s">
        <v>214</v>
      </c>
      <c r="G36" s="8" t="s">
        <v>214</v>
      </c>
      <c r="H36" s="8" t="s">
        <v>214</v>
      </c>
      <c r="I36" s="8" t="s">
        <v>214</v>
      </c>
      <c r="J36" s="8" t="s">
        <v>214</v>
      </c>
      <c r="K36" s="8" t="s">
        <v>214</v>
      </c>
      <c r="L36" s="8" t="s">
        <v>214</v>
      </c>
      <c r="M36" s="8" t="s">
        <v>214</v>
      </c>
      <c r="N36" s="8" t="s">
        <v>214</v>
      </c>
      <c r="O36" s="8" t="s">
        <v>214</v>
      </c>
      <c r="P36" s="8" t="s">
        <v>214</v>
      </c>
      <c r="Q36" s="8" t="s">
        <v>214</v>
      </c>
      <c r="R36" s="8" t="s">
        <v>214</v>
      </c>
      <c r="S36" s="8" t="s">
        <v>214</v>
      </c>
      <c r="T36" s="8" t="s">
        <v>214</v>
      </c>
      <c r="U36" s="8" t="s">
        <v>214</v>
      </c>
      <c r="V36" s="8" t="s">
        <v>214</v>
      </c>
      <c r="W36" s="8" t="s">
        <v>214</v>
      </c>
      <c r="X36" s="8" t="s">
        <v>214</v>
      </c>
      <c r="Y36" s="8" t="s">
        <v>214</v>
      </c>
      <c r="Z36" s="8" t="s">
        <v>214</v>
      </c>
      <c r="AA36" s="8" t="s">
        <v>214</v>
      </c>
      <c r="AB36" s="8" t="s">
        <v>214</v>
      </c>
      <c r="AC36" s="8" t="s">
        <v>214</v>
      </c>
      <c r="AD36" s="8" t="s">
        <v>214</v>
      </c>
      <c r="AE36" s="8" t="s">
        <v>214</v>
      </c>
      <c r="AF36" s="8" t="s">
        <v>214</v>
      </c>
      <c r="AG36" s="8" t="s">
        <v>214</v>
      </c>
      <c r="AH36" s="8" t="s">
        <v>214</v>
      </c>
      <c r="AI36" s="8" t="s">
        <v>214</v>
      </c>
      <c r="AJ36" s="8" t="s">
        <v>214</v>
      </c>
      <c r="AK36" s="8" t="s">
        <v>214</v>
      </c>
      <c r="AL36" s="8" t="s">
        <v>214</v>
      </c>
      <c r="AM36" s="8" t="s">
        <v>214</v>
      </c>
      <c r="AN36" s="8" t="s">
        <v>214</v>
      </c>
      <c r="AO36" s="8" t="s">
        <v>214</v>
      </c>
      <c r="AP36" s="8" t="s">
        <v>214</v>
      </c>
      <c r="AQ36" s="8" t="s">
        <v>214</v>
      </c>
      <c r="AR36" s="8" t="s">
        <v>214</v>
      </c>
      <c r="AS36" s="8" t="s">
        <v>214</v>
      </c>
      <c r="AT36" s="8" t="s">
        <v>214</v>
      </c>
      <c r="AU36" s="8" t="s">
        <v>214</v>
      </c>
      <c r="AV36" s="8" t="s">
        <v>214</v>
      </c>
      <c r="AW36" s="8" t="s">
        <v>214</v>
      </c>
      <c r="AX36" s="8" t="s">
        <v>214</v>
      </c>
      <c r="AY36" s="8" t="s">
        <v>214</v>
      </c>
      <c r="AZ36" s="8" t="s">
        <v>214</v>
      </c>
      <c r="BA36" s="8" t="s">
        <v>214</v>
      </c>
      <c r="BB36" s="8" t="s">
        <v>214</v>
      </c>
      <c r="BC36" s="8" t="s">
        <v>214</v>
      </c>
      <c r="BD36" s="8" t="s">
        <v>214</v>
      </c>
      <c r="BE36" s="8" t="s">
        <v>214</v>
      </c>
      <c r="BF36" s="8" t="s">
        <v>214</v>
      </c>
      <c r="BG36" s="8" t="s">
        <v>214</v>
      </c>
      <c r="BH36" s="8" t="s">
        <v>214</v>
      </c>
      <c r="BI36" s="8" t="s">
        <v>214</v>
      </c>
      <c r="BJ36" s="8" t="s">
        <v>214</v>
      </c>
      <c r="BK36" s="8" t="s">
        <v>214</v>
      </c>
      <c r="BL36" s="8" t="s">
        <v>214</v>
      </c>
      <c r="BM36" s="8" t="s">
        <v>214</v>
      </c>
      <c r="BN36" s="8" t="s">
        <v>214</v>
      </c>
      <c r="BO36" s="8" t="s">
        <v>214</v>
      </c>
      <c r="BP36" s="8" t="s">
        <v>214</v>
      </c>
      <c r="BQ36" s="8" t="s">
        <v>214</v>
      </c>
      <c r="BR36" s="8" t="s">
        <v>214</v>
      </c>
      <c r="BS36" s="8" t="s">
        <v>214</v>
      </c>
      <c r="BT36" s="8" t="s">
        <v>214</v>
      </c>
      <c r="BU36" s="8" t="s">
        <v>214</v>
      </c>
      <c r="BV36" s="8" t="s">
        <v>214</v>
      </c>
      <c r="BW36" s="8" t="s">
        <v>214</v>
      </c>
      <c r="BX36" s="8" t="s">
        <v>214</v>
      </c>
      <c r="BY36" s="8" t="s">
        <v>214</v>
      </c>
      <c r="BZ36" s="8" t="s">
        <v>214</v>
      </c>
      <c r="CA36" s="8" t="s">
        <v>214</v>
      </c>
      <c r="CB36" s="8" t="s">
        <v>214</v>
      </c>
      <c r="CC36" s="8" t="s">
        <v>214</v>
      </c>
      <c r="CD36" s="8" t="s">
        <v>214</v>
      </c>
      <c r="CE36" s="8" t="s">
        <v>214</v>
      </c>
      <c r="CF36" s="8" t="s">
        <v>214</v>
      </c>
      <c r="CG36" s="8" t="s">
        <v>214</v>
      </c>
      <c r="CH36" s="8" t="s">
        <v>214</v>
      </c>
      <c r="CI36" s="8" t="s">
        <v>214</v>
      </c>
      <c r="CJ36" s="8" t="s">
        <v>214</v>
      </c>
      <c r="CK36" s="8" t="s">
        <v>214</v>
      </c>
      <c r="CL36" s="8" t="s">
        <v>214</v>
      </c>
      <c r="CM36" s="8" t="s">
        <v>214</v>
      </c>
      <c r="CN36" s="8" t="s">
        <v>214</v>
      </c>
      <c r="CO36" s="8" t="s">
        <v>214</v>
      </c>
      <c r="CP36" s="8" t="s">
        <v>214</v>
      </c>
      <c r="CQ36" s="8" t="s">
        <v>214</v>
      </c>
      <c r="CR36" s="8" t="s">
        <v>214</v>
      </c>
      <c r="CS36" s="8" t="s">
        <v>214</v>
      </c>
      <c r="CT36" s="8" t="s">
        <v>214</v>
      </c>
      <c r="CU36" s="8" t="s">
        <v>214</v>
      </c>
      <c r="CV36" s="8" t="s">
        <v>214</v>
      </c>
      <c r="CW36" s="8" t="s">
        <v>214</v>
      </c>
      <c r="CX36" s="8" t="s">
        <v>214</v>
      </c>
      <c r="CY36" s="8" t="s">
        <v>214</v>
      </c>
      <c r="CZ36" s="8" t="s">
        <v>214</v>
      </c>
      <c r="DA36" s="8" t="s">
        <v>214</v>
      </c>
      <c r="DB36" s="8" t="s">
        <v>214</v>
      </c>
      <c r="DC36" s="8" t="s">
        <v>214</v>
      </c>
      <c r="DD36" s="8" t="s">
        <v>214</v>
      </c>
      <c r="DE36" s="8" t="s">
        <v>214</v>
      </c>
      <c r="DF36" s="8" t="s">
        <v>214</v>
      </c>
      <c r="DG36" s="8" t="s">
        <v>214</v>
      </c>
      <c r="DH36" s="8" t="s">
        <v>214</v>
      </c>
      <c r="DI36" s="8" t="s">
        <v>214</v>
      </c>
      <c r="DJ36" s="8" t="s">
        <v>214</v>
      </c>
      <c r="DK36" s="8" t="s">
        <v>214</v>
      </c>
      <c r="DL36" s="8" t="s">
        <v>214</v>
      </c>
      <c r="DM36" s="8" t="s">
        <v>214</v>
      </c>
      <c r="DN36" s="8" t="s">
        <v>214</v>
      </c>
      <c r="DO36" s="8" t="s">
        <v>214</v>
      </c>
      <c r="DP36" s="8" t="s">
        <v>218</v>
      </c>
      <c r="DQ36" s="8" t="s">
        <v>214</v>
      </c>
      <c r="DR36" s="8" t="s">
        <v>214</v>
      </c>
      <c r="DS36" s="8" t="s">
        <v>217</v>
      </c>
      <c r="DT36" s="8" t="s">
        <v>214</v>
      </c>
      <c r="DU36" s="8" t="s">
        <v>214</v>
      </c>
      <c r="DV36" s="8" t="s">
        <v>214</v>
      </c>
      <c r="DW36" s="8" t="s">
        <v>217</v>
      </c>
      <c r="DX36" s="8" t="s">
        <v>214</v>
      </c>
      <c r="DY36" s="8" t="s">
        <v>214</v>
      </c>
      <c r="DZ36" s="8" t="s">
        <v>214</v>
      </c>
      <c r="EA36" s="8" t="s">
        <v>217</v>
      </c>
      <c r="EB36" s="8" t="s">
        <v>214</v>
      </c>
      <c r="EC36" s="8" t="s">
        <v>214</v>
      </c>
      <c r="ED36" s="8" t="s">
        <v>214</v>
      </c>
      <c r="EE36" s="8" t="s">
        <v>217</v>
      </c>
      <c r="EF36" s="8" t="s">
        <v>214</v>
      </c>
      <c r="EG36" s="8" t="s">
        <v>214</v>
      </c>
      <c r="EH36" s="8" t="s">
        <v>214</v>
      </c>
      <c r="EI36" s="8" t="s">
        <v>214</v>
      </c>
      <c r="EJ36" s="8" t="s">
        <v>214</v>
      </c>
      <c r="EK36" s="8" t="s">
        <v>214</v>
      </c>
      <c r="EL36" s="8" t="s">
        <v>214</v>
      </c>
      <c r="EM36" s="8" t="s">
        <v>214</v>
      </c>
      <c r="EN36" s="8" t="s">
        <v>214</v>
      </c>
      <c r="EO36" s="8" t="s">
        <v>214</v>
      </c>
      <c r="EP36" s="8" t="s">
        <v>214</v>
      </c>
      <c r="EQ36" s="8" t="s">
        <v>214</v>
      </c>
      <c r="ER36" s="8" t="s">
        <v>214</v>
      </c>
      <c r="ES36" s="8" t="s">
        <v>214</v>
      </c>
      <c r="ET36" s="8" t="s">
        <v>214</v>
      </c>
      <c r="EU36" s="8" t="s">
        <v>214</v>
      </c>
      <c r="EV36" s="8" t="s">
        <v>214</v>
      </c>
      <c r="EW36" s="8" t="s">
        <v>214</v>
      </c>
      <c r="EX36" s="8" t="s">
        <v>214</v>
      </c>
      <c r="EY36" s="8" t="s">
        <v>214</v>
      </c>
      <c r="EZ36" s="8" t="s">
        <v>214</v>
      </c>
      <c r="FA36" s="8" t="s">
        <v>214</v>
      </c>
      <c r="FB36" s="8" t="s">
        <v>214</v>
      </c>
      <c r="FC36" s="8" t="s">
        <v>214</v>
      </c>
      <c r="FD36" s="8" t="s">
        <v>214</v>
      </c>
      <c r="FE36" s="8" t="s">
        <v>214</v>
      </c>
      <c r="FF36" s="8" t="s">
        <v>214</v>
      </c>
      <c r="FG36" s="8" t="s">
        <v>214</v>
      </c>
      <c r="FH36" s="8" t="s">
        <v>214</v>
      </c>
      <c r="FI36" s="8" t="s">
        <v>214</v>
      </c>
      <c r="FJ36" s="8" t="s">
        <v>214</v>
      </c>
      <c r="FK36" s="8" t="s">
        <v>218</v>
      </c>
      <c r="FL36" s="8" t="s">
        <v>217</v>
      </c>
    </row>
    <row r="37" spans="1:168" ht="11.45" customHeight="1" x14ac:dyDescent="0.25">
      <c r="A37" s="5" t="s">
        <v>182</v>
      </c>
      <c r="B37" s="5" t="s">
        <v>8</v>
      </c>
      <c r="C37" s="7" t="s">
        <v>217</v>
      </c>
      <c r="D37" s="7" t="s">
        <v>217</v>
      </c>
      <c r="E37" s="7" t="s">
        <v>214</v>
      </c>
      <c r="F37" s="7" t="s">
        <v>214</v>
      </c>
      <c r="G37" s="7" t="s">
        <v>214</v>
      </c>
      <c r="H37" s="7" t="s">
        <v>214</v>
      </c>
      <c r="I37" s="7" t="s">
        <v>214</v>
      </c>
      <c r="J37" s="7" t="s">
        <v>214</v>
      </c>
      <c r="K37" s="7" t="s">
        <v>214</v>
      </c>
      <c r="L37" s="7" t="s">
        <v>214</v>
      </c>
      <c r="M37" s="7" t="s">
        <v>214</v>
      </c>
      <c r="N37" s="7" t="s">
        <v>214</v>
      </c>
      <c r="O37" s="7" t="s">
        <v>214</v>
      </c>
      <c r="P37" s="7" t="s">
        <v>214</v>
      </c>
      <c r="Q37" s="7" t="s">
        <v>214</v>
      </c>
      <c r="R37" s="7" t="s">
        <v>214</v>
      </c>
      <c r="S37" s="7" t="s">
        <v>214</v>
      </c>
      <c r="T37" s="7" t="s">
        <v>214</v>
      </c>
      <c r="U37" s="7" t="s">
        <v>214</v>
      </c>
      <c r="V37" s="7" t="s">
        <v>214</v>
      </c>
      <c r="W37" s="7" t="s">
        <v>214</v>
      </c>
      <c r="X37" s="7" t="s">
        <v>214</v>
      </c>
      <c r="Y37" s="7" t="s">
        <v>214</v>
      </c>
      <c r="Z37" s="7" t="s">
        <v>214</v>
      </c>
      <c r="AA37" s="7" t="s">
        <v>214</v>
      </c>
      <c r="AB37" s="7" t="s">
        <v>214</v>
      </c>
      <c r="AC37" s="7" t="s">
        <v>214</v>
      </c>
      <c r="AD37" s="7" t="s">
        <v>214</v>
      </c>
      <c r="AE37" s="7" t="s">
        <v>214</v>
      </c>
      <c r="AF37" s="7" t="s">
        <v>214</v>
      </c>
      <c r="AG37" s="7" t="s">
        <v>214</v>
      </c>
      <c r="AH37" s="7" t="s">
        <v>214</v>
      </c>
      <c r="AI37" s="7" t="s">
        <v>214</v>
      </c>
      <c r="AJ37" s="7" t="s">
        <v>214</v>
      </c>
      <c r="AK37" s="7" t="s">
        <v>214</v>
      </c>
      <c r="AL37" s="7" t="s">
        <v>214</v>
      </c>
      <c r="AM37" s="7" t="s">
        <v>214</v>
      </c>
      <c r="AN37" s="7" t="s">
        <v>214</v>
      </c>
      <c r="AO37" s="7" t="s">
        <v>214</v>
      </c>
      <c r="AP37" s="7" t="s">
        <v>214</v>
      </c>
      <c r="AQ37" s="7" t="s">
        <v>214</v>
      </c>
      <c r="AR37" s="7" t="s">
        <v>214</v>
      </c>
      <c r="AS37" s="7" t="s">
        <v>214</v>
      </c>
      <c r="AT37" s="7" t="s">
        <v>214</v>
      </c>
      <c r="AU37" s="7" t="s">
        <v>214</v>
      </c>
      <c r="AV37" s="7" t="s">
        <v>214</v>
      </c>
      <c r="AW37" s="7" t="s">
        <v>214</v>
      </c>
      <c r="AX37" s="7" t="s">
        <v>214</v>
      </c>
      <c r="AY37" s="7" t="s">
        <v>214</v>
      </c>
      <c r="AZ37" s="7" t="s">
        <v>214</v>
      </c>
      <c r="BA37" s="7" t="s">
        <v>214</v>
      </c>
      <c r="BB37" s="7" t="s">
        <v>214</v>
      </c>
      <c r="BC37" s="7" t="s">
        <v>214</v>
      </c>
      <c r="BD37" s="7" t="s">
        <v>214</v>
      </c>
      <c r="BE37" s="7" t="s">
        <v>214</v>
      </c>
      <c r="BF37" s="7" t="s">
        <v>214</v>
      </c>
      <c r="BG37" s="7" t="s">
        <v>214</v>
      </c>
      <c r="BH37" s="7" t="s">
        <v>214</v>
      </c>
      <c r="BI37" s="7" t="s">
        <v>214</v>
      </c>
      <c r="BJ37" s="7" t="s">
        <v>214</v>
      </c>
      <c r="BK37" s="7" t="s">
        <v>214</v>
      </c>
      <c r="BL37" s="7" t="s">
        <v>214</v>
      </c>
      <c r="BM37" s="7" t="s">
        <v>214</v>
      </c>
      <c r="BN37" s="7" t="s">
        <v>214</v>
      </c>
      <c r="BO37" s="7" t="s">
        <v>214</v>
      </c>
      <c r="BP37" s="7" t="s">
        <v>214</v>
      </c>
      <c r="BQ37" s="7" t="s">
        <v>214</v>
      </c>
      <c r="BR37" s="7" t="s">
        <v>214</v>
      </c>
      <c r="BS37" s="7" t="s">
        <v>214</v>
      </c>
      <c r="BT37" s="7" t="s">
        <v>214</v>
      </c>
      <c r="BU37" s="7" t="s">
        <v>214</v>
      </c>
      <c r="BV37" s="7" t="s">
        <v>214</v>
      </c>
      <c r="BW37" s="7" t="s">
        <v>214</v>
      </c>
      <c r="BX37" s="7" t="s">
        <v>214</v>
      </c>
      <c r="BY37" s="7" t="s">
        <v>214</v>
      </c>
      <c r="BZ37" s="7" t="s">
        <v>214</v>
      </c>
      <c r="CA37" s="7" t="s">
        <v>214</v>
      </c>
      <c r="CB37" s="7" t="s">
        <v>214</v>
      </c>
      <c r="CC37" s="7" t="s">
        <v>214</v>
      </c>
      <c r="CD37" s="7" t="s">
        <v>214</v>
      </c>
      <c r="CE37" s="7" t="s">
        <v>214</v>
      </c>
      <c r="CF37" s="7" t="s">
        <v>214</v>
      </c>
      <c r="CG37" s="7" t="s">
        <v>214</v>
      </c>
      <c r="CH37" s="7" t="s">
        <v>214</v>
      </c>
      <c r="CI37" s="7" t="s">
        <v>214</v>
      </c>
      <c r="CJ37" s="7" t="s">
        <v>214</v>
      </c>
      <c r="CK37" s="7" t="s">
        <v>214</v>
      </c>
      <c r="CL37" s="7" t="s">
        <v>214</v>
      </c>
      <c r="CM37" s="7" t="s">
        <v>214</v>
      </c>
      <c r="CN37" s="7" t="s">
        <v>214</v>
      </c>
      <c r="CO37" s="7" t="s">
        <v>214</v>
      </c>
      <c r="CP37" s="7" t="s">
        <v>214</v>
      </c>
      <c r="CQ37" s="7" t="s">
        <v>214</v>
      </c>
      <c r="CR37" s="7" t="s">
        <v>214</v>
      </c>
      <c r="CS37" s="7" t="s">
        <v>214</v>
      </c>
      <c r="CT37" s="7" t="s">
        <v>214</v>
      </c>
      <c r="CU37" s="7" t="s">
        <v>214</v>
      </c>
      <c r="CV37" s="7" t="s">
        <v>214</v>
      </c>
      <c r="CW37" s="7" t="s">
        <v>214</v>
      </c>
      <c r="CX37" s="7" t="s">
        <v>214</v>
      </c>
      <c r="CY37" s="7" t="s">
        <v>214</v>
      </c>
      <c r="CZ37" s="7" t="s">
        <v>214</v>
      </c>
      <c r="DA37" s="7" t="s">
        <v>214</v>
      </c>
      <c r="DB37" s="7" t="s">
        <v>214</v>
      </c>
      <c r="DC37" s="7" t="s">
        <v>214</v>
      </c>
      <c r="DD37" s="7" t="s">
        <v>214</v>
      </c>
      <c r="DE37" s="7" t="s">
        <v>214</v>
      </c>
      <c r="DF37" s="7" t="s">
        <v>214</v>
      </c>
      <c r="DG37" s="7" t="s">
        <v>214</v>
      </c>
      <c r="DH37" s="7" t="s">
        <v>214</v>
      </c>
      <c r="DI37" s="7" t="s">
        <v>214</v>
      </c>
      <c r="DJ37" s="7" t="s">
        <v>214</v>
      </c>
      <c r="DK37" s="7" t="s">
        <v>214</v>
      </c>
      <c r="DL37" s="7" t="s">
        <v>214</v>
      </c>
      <c r="DM37" s="7" t="s">
        <v>214</v>
      </c>
      <c r="DN37" s="7" t="s">
        <v>214</v>
      </c>
      <c r="DO37" s="7" t="s">
        <v>214</v>
      </c>
      <c r="DP37" s="7" t="s">
        <v>218</v>
      </c>
      <c r="DQ37" s="7" t="s">
        <v>214</v>
      </c>
      <c r="DR37" s="7" t="s">
        <v>214</v>
      </c>
      <c r="DS37" s="7" t="s">
        <v>214</v>
      </c>
      <c r="DT37" s="7" t="s">
        <v>214</v>
      </c>
      <c r="DU37" s="7" t="s">
        <v>217</v>
      </c>
      <c r="DV37" s="7" t="s">
        <v>214</v>
      </c>
      <c r="DW37" s="7" t="s">
        <v>214</v>
      </c>
      <c r="DX37" s="7" t="s">
        <v>214</v>
      </c>
      <c r="DY37" s="7" t="s">
        <v>214</v>
      </c>
      <c r="DZ37" s="7" t="s">
        <v>214</v>
      </c>
      <c r="EA37" s="7" t="s">
        <v>214</v>
      </c>
      <c r="EB37" s="7" t="s">
        <v>214</v>
      </c>
      <c r="EC37" s="7" t="s">
        <v>217</v>
      </c>
      <c r="ED37" s="7" t="s">
        <v>214</v>
      </c>
      <c r="EE37" s="7" t="s">
        <v>214</v>
      </c>
      <c r="EF37" s="7" t="s">
        <v>214</v>
      </c>
      <c r="EG37" s="7" t="s">
        <v>214</v>
      </c>
      <c r="EH37" s="7" t="s">
        <v>214</v>
      </c>
      <c r="EI37" s="7" t="s">
        <v>214</v>
      </c>
      <c r="EJ37" s="7" t="s">
        <v>214</v>
      </c>
      <c r="EK37" s="7" t="s">
        <v>214</v>
      </c>
      <c r="EL37" s="7" t="s">
        <v>214</v>
      </c>
      <c r="EM37" s="7" t="s">
        <v>214</v>
      </c>
      <c r="EN37" s="7" t="s">
        <v>214</v>
      </c>
      <c r="EO37" s="7" t="s">
        <v>214</v>
      </c>
      <c r="EP37" s="7" t="s">
        <v>214</v>
      </c>
      <c r="EQ37" s="7" t="s">
        <v>214</v>
      </c>
      <c r="ER37" s="7" t="s">
        <v>214</v>
      </c>
      <c r="ES37" s="7" t="s">
        <v>214</v>
      </c>
      <c r="ET37" s="7" t="s">
        <v>214</v>
      </c>
      <c r="EU37" s="7" t="s">
        <v>214</v>
      </c>
      <c r="EV37" s="7" t="s">
        <v>214</v>
      </c>
      <c r="EW37" s="7" t="s">
        <v>214</v>
      </c>
      <c r="EX37" s="7" t="s">
        <v>214</v>
      </c>
      <c r="EY37" s="7" t="s">
        <v>214</v>
      </c>
      <c r="EZ37" s="7" t="s">
        <v>214</v>
      </c>
      <c r="FA37" s="7" t="s">
        <v>214</v>
      </c>
      <c r="FB37" s="7" t="s">
        <v>214</v>
      </c>
      <c r="FC37" s="7" t="s">
        <v>214</v>
      </c>
      <c r="FD37" s="7" t="s">
        <v>214</v>
      </c>
      <c r="FE37" s="7" t="s">
        <v>214</v>
      </c>
      <c r="FF37" s="7" t="s">
        <v>214</v>
      </c>
      <c r="FG37" s="7" t="s">
        <v>214</v>
      </c>
      <c r="FH37" s="7" t="s">
        <v>214</v>
      </c>
      <c r="FI37" s="7" t="s">
        <v>214</v>
      </c>
      <c r="FJ37" s="7" t="s">
        <v>214</v>
      </c>
      <c r="FK37" s="7" t="s">
        <v>218</v>
      </c>
      <c r="FL37" s="7" t="s">
        <v>214</v>
      </c>
    </row>
    <row r="38" spans="1:168" ht="11.45" customHeight="1" x14ac:dyDescent="0.25">
      <c r="A38" s="5" t="s">
        <v>182</v>
      </c>
      <c r="B38" s="5" t="s">
        <v>9</v>
      </c>
      <c r="C38" s="8" t="s">
        <v>217</v>
      </c>
      <c r="D38" s="8" t="s">
        <v>217</v>
      </c>
      <c r="E38" s="8" t="s">
        <v>214</v>
      </c>
      <c r="F38" s="8" t="s">
        <v>214</v>
      </c>
      <c r="G38" s="8" t="s">
        <v>214</v>
      </c>
      <c r="H38" s="8" t="s">
        <v>214</v>
      </c>
      <c r="I38" s="8" t="s">
        <v>214</v>
      </c>
      <c r="J38" s="8" t="s">
        <v>214</v>
      </c>
      <c r="K38" s="8" t="s">
        <v>214</v>
      </c>
      <c r="L38" s="8" t="s">
        <v>214</v>
      </c>
      <c r="M38" s="8" t="s">
        <v>214</v>
      </c>
      <c r="N38" s="8" t="s">
        <v>214</v>
      </c>
      <c r="O38" s="8" t="s">
        <v>214</v>
      </c>
      <c r="P38" s="8" t="s">
        <v>214</v>
      </c>
      <c r="Q38" s="8" t="s">
        <v>214</v>
      </c>
      <c r="R38" s="8" t="s">
        <v>214</v>
      </c>
      <c r="S38" s="8" t="s">
        <v>214</v>
      </c>
      <c r="T38" s="8" t="s">
        <v>214</v>
      </c>
      <c r="U38" s="8" t="s">
        <v>214</v>
      </c>
      <c r="V38" s="8" t="s">
        <v>214</v>
      </c>
      <c r="W38" s="8" t="s">
        <v>214</v>
      </c>
      <c r="X38" s="8" t="s">
        <v>214</v>
      </c>
      <c r="Y38" s="8" t="s">
        <v>214</v>
      </c>
      <c r="Z38" s="8" t="s">
        <v>214</v>
      </c>
      <c r="AA38" s="8" t="s">
        <v>214</v>
      </c>
      <c r="AB38" s="8" t="s">
        <v>214</v>
      </c>
      <c r="AC38" s="8" t="s">
        <v>214</v>
      </c>
      <c r="AD38" s="8" t="s">
        <v>214</v>
      </c>
      <c r="AE38" s="8" t="s">
        <v>214</v>
      </c>
      <c r="AF38" s="8" t="s">
        <v>214</v>
      </c>
      <c r="AG38" s="8" t="s">
        <v>214</v>
      </c>
      <c r="AH38" s="8" t="s">
        <v>214</v>
      </c>
      <c r="AI38" s="8" t="s">
        <v>214</v>
      </c>
      <c r="AJ38" s="8" t="s">
        <v>214</v>
      </c>
      <c r="AK38" s="8" t="s">
        <v>214</v>
      </c>
      <c r="AL38" s="8" t="s">
        <v>214</v>
      </c>
      <c r="AM38" s="8" t="s">
        <v>214</v>
      </c>
      <c r="AN38" s="8" t="s">
        <v>214</v>
      </c>
      <c r="AO38" s="8" t="s">
        <v>214</v>
      </c>
      <c r="AP38" s="8" t="s">
        <v>214</v>
      </c>
      <c r="AQ38" s="8" t="s">
        <v>214</v>
      </c>
      <c r="AR38" s="8" t="s">
        <v>214</v>
      </c>
      <c r="AS38" s="8" t="s">
        <v>214</v>
      </c>
      <c r="AT38" s="8" t="s">
        <v>214</v>
      </c>
      <c r="AU38" s="8" t="s">
        <v>214</v>
      </c>
      <c r="AV38" s="8" t="s">
        <v>214</v>
      </c>
      <c r="AW38" s="8" t="s">
        <v>214</v>
      </c>
      <c r="AX38" s="8" t="s">
        <v>214</v>
      </c>
      <c r="AY38" s="8" t="s">
        <v>214</v>
      </c>
      <c r="AZ38" s="8" t="s">
        <v>214</v>
      </c>
      <c r="BA38" s="8" t="s">
        <v>214</v>
      </c>
      <c r="BB38" s="8" t="s">
        <v>214</v>
      </c>
      <c r="BC38" s="8" t="s">
        <v>214</v>
      </c>
      <c r="BD38" s="8" t="s">
        <v>214</v>
      </c>
      <c r="BE38" s="8" t="s">
        <v>214</v>
      </c>
      <c r="BF38" s="8" t="s">
        <v>214</v>
      </c>
      <c r="BG38" s="8" t="s">
        <v>214</v>
      </c>
      <c r="BH38" s="8" t="s">
        <v>214</v>
      </c>
      <c r="BI38" s="8" t="s">
        <v>214</v>
      </c>
      <c r="BJ38" s="8" t="s">
        <v>214</v>
      </c>
      <c r="BK38" s="8" t="s">
        <v>214</v>
      </c>
      <c r="BL38" s="8" t="s">
        <v>214</v>
      </c>
      <c r="BM38" s="8" t="s">
        <v>214</v>
      </c>
      <c r="BN38" s="8" t="s">
        <v>214</v>
      </c>
      <c r="BO38" s="8" t="s">
        <v>214</v>
      </c>
      <c r="BP38" s="8" t="s">
        <v>214</v>
      </c>
      <c r="BQ38" s="8" t="s">
        <v>214</v>
      </c>
      <c r="BR38" s="8" t="s">
        <v>214</v>
      </c>
      <c r="BS38" s="8" t="s">
        <v>214</v>
      </c>
      <c r="BT38" s="8" t="s">
        <v>214</v>
      </c>
      <c r="BU38" s="8" t="s">
        <v>214</v>
      </c>
      <c r="BV38" s="8" t="s">
        <v>214</v>
      </c>
      <c r="BW38" s="8" t="s">
        <v>214</v>
      </c>
      <c r="BX38" s="8" t="s">
        <v>214</v>
      </c>
      <c r="BY38" s="8" t="s">
        <v>214</v>
      </c>
      <c r="BZ38" s="8" t="s">
        <v>214</v>
      </c>
      <c r="CA38" s="8" t="s">
        <v>214</v>
      </c>
      <c r="CB38" s="8" t="s">
        <v>214</v>
      </c>
      <c r="CC38" s="8" t="s">
        <v>214</v>
      </c>
      <c r="CD38" s="8" t="s">
        <v>214</v>
      </c>
      <c r="CE38" s="8" t="s">
        <v>214</v>
      </c>
      <c r="CF38" s="8" t="s">
        <v>214</v>
      </c>
      <c r="CG38" s="8" t="s">
        <v>214</v>
      </c>
      <c r="CH38" s="8" t="s">
        <v>214</v>
      </c>
      <c r="CI38" s="8" t="s">
        <v>214</v>
      </c>
      <c r="CJ38" s="8" t="s">
        <v>214</v>
      </c>
      <c r="CK38" s="8" t="s">
        <v>214</v>
      </c>
      <c r="CL38" s="8" t="s">
        <v>214</v>
      </c>
      <c r="CM38" s="8" t="s">
        <v>214</v>
      </c>
      <c r="CN38" s="8" t="s">
        <v>214</v>
      </c>
      <c r="CO38" s="8" t="s">
        <v>214</v>
      </c>
      <c r="CP38" s="8" t="s">
        <v>214</v>
      </c>
      <c r="CQ38" s="8" t="s">
        <v>214</v>
      </c>
      <c r="CR38" s="8" t="s">
        <v>214</v>
      </c>
      <c r="CS38" s="8" t="s">
        <v>214</v>
      </c>
      <c r="CT38" s="8" t="s">
        <v>214</v>
      </c>
      <c r="CU38" s="8" t="s">
        <v>214</v>
      </c>
      <c r="CV38" s="8" t="s">
        <v>214</v>
      </c>
      <c r="CW38" s="8" t="s">
        <v>214</v>
      </c>
      <c r="CX38" s="8" t="s">
        <v>214</v>
      </c>
      <c r="CY38" s="8" t="s">
        <v>214</v>
      </c>
      <c r="CZ38" s="8" t="s">
        <v>214</v>
      </c>
      <c r="DA38" s="8" t="s">
        <v>214</v>
      </c>
      <c r="DB38" s="8" t="s">
        <v>214</v>
      </c>
      <c r="DC38" s="8" t="s">
        <v>214</v>
      </c>
      <c r="DD38" s="8" t="s">
        <v>214</v>
      </c>
      <c r="DE38" s="8" t="s">
        <v>214</v>
      </c>
      <c r="DF38" s="8" t="s">
        <v>214</v>
      </c>
      <c r="DG38" s="8" t="s">
        <v>214</v>
      </c>
      <c r="DH38" s="8" t="s">
        <v>214</v>
      </c>
      <c r="DI38" s="8" t="s">
        <v>214</v>
      </c>
      <c r="DJ38" s="8" t="s">
        <v>214</v>
      </c>
      <c r="DK38" s="8" t="s">
        <v>214</v>
      </c>
      <c r="DL38" s="8" t="s">
        <v>214</v>
      </c>
      <c r="DM38" s="8" t="s">
        <v>214</v>
      </c>
      <c r="DN38" s="8" t="s">
        <v>214</v>
      </c>
      <c r="DO38" s="8" t="s">
        <v>214</v>
      </c>
      <c r="DP38" s="8" t="s">
        <v>218</v>
      </c>
      <c r="DQ38" s="8" t="s">
        <v>214</v>
      </c>
      <c r="DR38" s="8" t="s">
        <v>214</v>
      </c>
      <c r="DS38" s="8" t="s">
        <v>214</v>
      </c>
      <c r="DT38" s="8" t="s">
        <v>214</v>
      </c>
      <c r="DU38" s="8" t="s">
        <v>214</v>
      </c>
      <c r="DV38" s="8" t="s">
        <v>214</v>
      </c>
      <c r="DW38" s="8" t="s">
        <v>217</v>
      </c>
      <c r="DX38" s="8" t="s">
        <v>214</v>
      </c>
      <c r="DY38" s="8" t="s">
        <v>214</v>
      </c>
      <c r="DZ38" s="8" t="s">
        <v>214</v>
      </c>
      <c r="EA38" s="8" t="s">
        <v>217</v>
      </c>
      <c r="EB38" s="8" t="s">
        <v>214</v>
      </c>
      <c r="EC38" s="8" t="s">
        <v>217</v>
      </c>
      <c r="ED38" s="8" t="s">
        <v>214</v>
      </c>
      <c r="EE38" s="8" t="s">
        <v>214</v>
      </c>
      <c r="EF38" s="8" t="s">
        <v>214</v>
      </c>
      <c r="EG38" s="8" t="s">
        <v>214</v>
      </c>
      <c r="EH38" s="8" t="s">
        <v>214</v>
      </c>
      <c r="EI38" s="8" t="s">
        <v>214</v>
      </c>
      <c r="EJ38" s="8" t="s">
        <v>214</v>
      </c>
      <c r="EK38" s="8" t="s">
        <v>214</v>
      </c>
      <c r="EL38" s="8" t="s">
        <v>214</v>
      </c>
      <c r="EM38" s="8" t="s">
        <v>214</v>
      </c>
      <c r="EN38" s="8" t="s">
        <v>214</v>
      </c>
      <c r="EO38" s="8" t="s">
        <v>214</v>
      </c>
      <c r="EP38" s="8" t="s">
        <v>214</v>
      </c>
      <c r="EQ38" s="8" t="s">
        <v>214</v>
      </c>
      <c r="ER38" s="8" t="s">
        <v>214</v>
      </c>
      <c r="ES38" s="8" t="s">
        <v>214</v>
      </c>
      <c r="ET38" s="8" t="s">
        <v>214</v>
      </c>
      <c r="EU38" s="8" t="s">
        <v>214</v>
      </c>
      <c r="EV38" s="8" t="s">
        <v>214</v>
      </c>
      <c r="EW38" s="8" t="s">
        <v>214</v>
      </c>
      <c r="EX38" s="8" t="s">
        <v>214</v>
      </c>
      <c r="EY38" s="8" t="s">
        <v>214</v>
      </c>
      <c r="EZ38" s="8" t="s">
        <v>214</v>
      </c>
      <c r="FA38" s="8" t="s">
        <v>214</v>
      </c>
      <c r="FB38" s="8" t="s">
        <v>214</v>
      </c>
      <c r="FC38" s="8" t="s">
        <v>214</v>
      </c>
      <c r="FD38" s="8" t="s">
        <v>214</v>
      </c>
      <c r="FE38" s="8" t="s">
        <v>214</v>
      </c>
      <c r="FF38" s="8" t="s">
        <v>214</v>
      </c>
      <c r="FG38" s="8" t="s">
        <v>214</v>
      </c>
      <c r="FH38" s="8" t="s">
        <v>214</v>
      </c>
      <c r="FI38" s="8" t="s">
        <v>214</v>
      </c>
      <c r="FJ38" s="8" t="s">
        <v>214</v>
      </c>
      <c r="FK38" s="8" t="s">
        <v>218</v>
      </c>
      <c r="FL38" s="8" t="s">
        <v>214</v>
      </c>
    </row>
    <row r="39" spans="1:168" ht="11.45" customHeight="1" x14ac:dyDescent="0.25">
      <c r="A39" s="5" t="s">
        <v>183</v>
      </c>
      <c r="B39" s="5" t="s">
        <v>6</v>
      </c>
      <c r="C39" s="7" t="s">
        <v>214</v>
      </c>
      <c r="D39" s="7" t="s">
        <v>214</v>
      </c>
      <c r="E39" s="7" t="s">
        <v>214</v>
      </c>
      <c r="F39" s="7" t="s">
        <v>214</v>
      </c>
      <c r="G39" s="7" t="s">
        <v>214</v>
      </c>
      <c r="H39" s="7" t="s">
        <v>214</v>
      </c>
      <c r="I39" s="7" t="s">
        <v>214</v>
      </c>
      <c r="J39" s="7" t="s">
        <v>214</v>
      </c>
      <c r="K39" s="7" t="s">
        <v>214</v>
      </c>
      <c r="L39" s="7" t="s">
        <v>214</v>
      </c>
      <c r="M39" s="7" t="s">
        <v>214</v>
      </c>
      <c r="N39" s="7" t="s">
        <v>214</v>
      </c>
      <c r="O39" s="7" t="s">
        <v>214</v>
      </c>
      <c r="P39" s="7" t="s">
        <v>214</v>
      </c>
      <c r="Q39" s="7" t="s">
        <v>214</v>
      </c>
      <c r="R39" s="7" t="s">
        <v>214</v>
      </c>
      <c r="S39" s="7" t="s">
        <v>214</v>
      </c>
      <c r="T39" s="7" t="s">
        <v>214</v>
      </c>
      <c r="U39" s="7" t="s">
        <v>214</v>
      </c>
      <c r="V39" s="7" t="s">
        <v>214</v>
      </c>
      <c r="W39" s="7" t="s">
        <v>214</v>
      </c>
      <c r="X39" s="7" t="s">
        <v>214</v>
      </c>
      <c r="Y39" s="7" t="s">
        <v>214</v>
      </c>
      <c r="Z39" s="7" t="s">
        <v>214</v>
      </c>
      <c r="AA39" s="7" t="s">
        <v>214</v>
      </c>
      <c r="AB39" s="7" t="s">
        <v>214</v>
      </c>
      <c r="AC39" s="7" t="s">
        <v>214</v>
      </c>
      <c r="AD39" s="7" t="s">
        <v>214</v>
      </c>
      <c r="AE39" s="7" t="s">
        <v>214</v>
      </c>
      <c r="AF39" s="7" t="s">
        <v>214</v>
      </c>
      <c r="AG39" s="7" t="s">
        <v>214</v>
      </c>
      <c r="AH39" s="7" t="s">
        <v>217</v>
      </c>
      <c r="AI39" s="7" t="s">
        <v>214</v>
      </c>
      <c r="AJ39" s="7" t="s">
        <v>214</v>
      </c>
      <c r="AK39" s="7" t="s">
        <v>214</v>
      </c>
      <c r="AL39" s="7" t="s">
        <v>214</v>
      </c>
      <c r="AM39" s="7" t="s">
        <v>214</v>
      </c>
      <c r="AN39" s="7" t="s">
        <v>214</v>
      </c>
      <c r="AO39" s="7" t="s">
        <v>214</v>
      </c>
      <c r="AP39" s="7" t="s">
        <v>214</v>
      </c>
      <c r="AQ39" s="7" t="s">
        <v>214</v>
      </c>
      <c r="AR39" s="7" t="s">
        <v>214</v>
      </c>
      <c r="AS39" s="7" t="s">
        <v>214</v>
      </c>
      <c r="AT39" s="7" t="s">
        <v>214</v>
      </c>
      <c r="AU39" s="7" t="s">
        <v>214</v>
      </c>
      <c r="AV39" s="7" t="s">
        <v>214</v>
      </c>
      <c r="AW39" s="7" t="s">
        <v>214</v>
      </c>
      <c r="AX39" s="7" t="s">
        <v>214</v>
      </c>
      <c r="AY39" s="7" t="s">
        <v>214</v>
      </c>
      <c r="AZ39" s="7" t="s">
        <v>214</v>
      </c>
      <c r="BA39" s="7" t="s">
        <v>214</v>
      </c>
      <c r="BB39" s="7" t="s">
        <v>214</v>
      </c>
      <c r="BC39" s="7" t="s">
        <v>214</v>
      </c>
      <c r="BD39" s="7" t="s">
        <v>214</v>
      </c>
      <c r="BE39" s="7" t="s">
        <v>214</v>
      </c>
      <c r="BF39" s="7" t="s">
        <v>214</v>
      </c>
      <c r="BG39" s="7" t="s">
        <v>214</v>
      </c>
      <c r="BH39" s="7" t="s">
        <v>214</v>
      </c>
      <c r="BI39" s="7" t="s">
        <v>214</v>
      </c>
      <c r="BJ39" s="7" t="s">
        <v>214</v>
      </c>
      <c r="BK39" s="7" t="s">
        <v>214</v>
      </c>
      <c r="BL39" s="7" t="s">
        <v>214</v>
      </c>
      <c r="BM39" s="7" t="s">
        <v>214</v>
      </c>
      <c r="BN39" s="7" t="s">
        <v>214</v>
      </c>
      <c r="BO39" s="7" t="s">
        <v>214</v>
      </c>
      <c r="BP39" s="7" t="s">
        <v>214</v>
      </c>
      <c r="BQ39" s="7" t="s">
        <v>214</v>
      </c>
      <c r="BR39" s="7" t="s">
        <v>214</v>
      </c>
      <c r="BS39" s="7" t="s">
        <v>214</v>
      </c>
      <c r="BT39" s="7" t="s">
        <v>214</v>
      </c>
      <c r="BU39" s="7" t="s">
        <v>214</v>
      </c>
      <c r="BV39" s="7" t="s">
        <v>214</v>
      </c>
      <c r="BW39" s="7" t="s">
        <v>214</v>
      </c>
      <c r="BX39" s="7" t="s">
        <v>214</v>
      </c>
      <c r="BY39" s="7" t="s">
        <v>214</v>
      </c>
      <c r="BZ39" s="7" t="s">
        <v>214</v>
      </c>
      <c r="CA39" s="7" t="s">
        <v>214</v>
      </c>
      <c r="CB39" s="7" t="s">
        <v>214</v>
      </c>
      <c r="CC39" s="7" t="s">
        <v>214</v>
      </c>
      <c r="CD39" s="7" t="s">
        <v>214</v>
      </c>
      <c r="CE39" s="7" t="s">
        <v>214</v>
      </c>
      <c r="CF39" s="7" t="s">
        <v>214</v>
      </c>
      <c r="CG39" s="7" t="s">
        <v>214</v>
      </c>
      <c r="CH39" s="7" t="s">
        <v>214</v>
      </c>
      <c r="CI39" s="7" t="s">
        <v>214</v>
      </c>
      <c r="CJ39" s="7" t="s">
        <v>214</v>
      </c>
      <c r="CK39" s="7" t="s">
        <v>214</v>
      </c>
      <c r="CL39" s="7" t="s">
        <v>214</v>
      </c>
      <c r="CM39" s="7" t="s">
        <v>214</v>
      </c>
      <c r="CN39" s="7" t="s">
        <v>214</v>
      </c>
      <c r="CO39" s="7" t="s">
        <v>214</v>
      </c>
      <c r="CP39" s="7" t="s">
        <v>214</v>
      </c>
      <c r="CQ39" s="7" t="s">
        <v>214</v>
      </c>
      <c r="CR39" s="7" t="s">
        <v>214</v>
      </c>
      <c r="CS39" s="7" t="s">
        <v>214</v>
      </c>
      <c r="CT39" s="7" t="s">
        <v>214</v>
      </c>
      <c r="CU39" s="7" t="s">
        <v>214</v>
      </c>
      <c r="CV39" s="7" t="s">
        <v>214</v>
      </c>
      <c r="CW39" s="7" t="s">
        <v>214</v>
      </c>
      <c r="CX39" s="7" t="s">
        <v>214</v>
      </c>
      <c r="CY39" s="7" t="s">
        <v>214</v>
      </c>
      <c r="CZ39" s="7" t="s">
        <v>214</v>
      </c>
      <c r="DA39" s="7" t="s">
        <v>214</v>
      </c>
      <c r="DB39" s="7" t="s">
        <v>214</v>
      </c>
      <c r="DC39" s="7" t="s">
        <v>214</v>
      </c>
      <c r="DD39" s="7" t="s">
        <v>214</v>
      </c>
      <c r="DE39" s="7" t="s">
        <v>214</v>
      </c>
      <c r="DF39" s="7" t="s">
        <v>218</v>
      </c>
      <c r="DG39" s="7" t="s">
        <v>214</v>
      </c>
      <c r="DH39" s="7" t="s">
        <v>214</v>
      </c>
      <c r="DI39" s="7" t="s">
        <v>214</v>
      </c>
      <c r="DJ39" s="7" t="s">
        <v>214</v>
      </c>
      <c r="DK39" s="7" t="s">
        <v>214</v>
      </c>
      <c r="DL39" s="7" t="s">
        <v>214</v>
      </c>
      <c r="DM39" s="7" t="s">
        <v>214</v>
      </c>
      <c r="DN39" s="7" t="s">
        <v>214</v>
      </c>
      <c r="DO39" s="7" t="s">
        <v>214</v>
      </c>
      <c r="DP39" s="7" t="s">
        <v>214</v>
      </c>
      <c r="DQ39" s="7" t="s">
        <v>214</v>
      </c>
      <c r="DR39" s="7" t="s">
        <v>214</v>
      </c>
      <c r="DS39" s="7" t="s">
        <v>214</v>
      </c>
      <c r="DT39" s="7" t="s">
        <v>214</v>
      </c>
      <c r="DU39" s="7" t="s">
        <v>214</v>
      </c>
      <c r="DV39" s="7" t="s">
        <v>214</v>
      </c>
      <c r="DW39" s="7" t="s">
        <v>214</v>
      </c>
      <c r="DX39" s="7" t="s">
        <v>214</v>
      </c>
      <c r="DY39" s="7" t="s">
        <v>214</v>
      </c>
      <c r="DZ39" s="7" t="s">
        <v>214</v>
      </c>
      <c r="EA39" s="7" t="s">
        <v>214</v>
      </c>
      <c r="EB39" s="7" t="s">
        <v>214</v>
      </c>
      <c r="EC39" s="7" t="s">
        <v>214</v>
      </c>
      <c r="ED39" s="7" t="s">
        <v>214</v>
      </c>
      <c r="EE39" s="7" t="s">
        <v>214</v>
      </c>
      <c r="EF39" s="7" t="s">
        <v>214</v>
      </c>
      <c r="EG39" s="7" t="s">
        <v>214</v>
      </c>
      <c r="EH39" s="7" t="s">
        <v>214</v>
      </c>
      <c r="EI39" s="7" t="s">
        <v>214</v>
      </c>
      <c r="EJ39" s="7" t="s">
        <v>214</v>
      </c>
      <c r="EK39" s="7" t="s">
        <v>214</v>
      </c>
      <c r="EL39" s="7" t="s">
        <v>214</v>
      </c>
      <c r="EM39" s="7" t="s">
        <v>214</v>
      </c>
      <c r="EN39" s="7" t="s">
        <v>214</v>
      </c>
      <c r="EO39" s="7" t="s">
        <v>214</v>
      </c>
      <c r="EP39" s="7" t="s">
        <v>214</v>
      </c>
      <c r="EQ39" s="7" t="s">
        <v>214</v>
      </c>
      <c r="ER39" s="7" t="s">
        <v>214</v>
      </c>
      <c r="ES39" s="7" t="s">
        <v>214</v>
      </c>
      <c r="ET39" s="7" t="s">
        <v>214</v>
      </c>
      <c r="EU39" s="7" t="s">
        <v>214</v>
      </c>
      <c r="EV39" s="7" t="s">
        <v>214</v>
      </c>
      <c r="EW39" s="7" t="s">
        <v>214</v>
      </c>
      <c r="EX39" s="7" t="s">
        <v>214</v>
      </c>
      <c r="EY39" s="7" t="s">
        <v>214</v>
      </c>
      <c r="EZ39" s="7" t="s">
        <v>214</v>
      </c>
      <c r="FA39" s="7" t="s">
        <v>214</v>
      </c>
      <c r="FB39" s="7" t="s">
        <v>214</v>
      </c>
      <c r="FC39" s="7" t="s">
        <v>214</v>
      </c>
      <c r="FD39" s="7" t="s">
        <v>214</v>
      </c>
      <c r="FE39" s="7" t="s">
        <v>214</v>
      </c>
      <c r="FF39" s="7" t="s">
        <v>214</v>
      </c>
      <c r="FG39" s="7" t="s">
        <v>218</v>
      </c>
      <c r="FH39" s="7" t="s">
        <v>214</v>
      </c>
      <c r="FI39" s="7" t="s">
        <v>214</v>
      </c>
      <c r="FJ39" s="7" t="s">
        <v>214</v>
      </c>
      <c r="FK39" s="7" t="s">
        <v>214</v>
      </c>
      <c r="FL39" s="7" t="s">
        <v>214</v>
      </c>
    </row>
    <row r="40" spans="1:168" ht="11.45" customHeight="1" x14ac:dyDescent="0.25">
      <c r="A40" s="5" t="s">
        <v>183</v>
      </c>
      <c r="B40" s="5" t="s">
        <v>7</v>
      </c>
      <c r="C40" s="8" t="s">
        <v>217</v>
      </c>
      <c r="D40" s="8" t="s">
        <v>217</v>
      </c>
      <c r="E40" s="8" t="s">
        <v>214</v>
      </c>
      <c r="F40" s="8" t="s">
        <v>214</v>
      </c>
      <c r="G40" s="8" t="s">
        <v>214</v>
      </c>
      <c r="H40" s="8" t="s">
        <v>214</v>
      </c>
      <c r="I40" s="8" t="s">
        <v>214</v>
      </c>
      <c r="J40" s="8" t="s">
        <v>214</v>
      </c>
      <c r="K40" s="8" t="s">
        <v>214</v>
      </c>
      <c r="L40" s="8" t="s">
        <v>214</v>
      </c>
      <c r="M40" s="8" t="s">
        <v>214</v>
      </c>
      <c r="N40" s="8" t="s">
        <v>214</v>
      </c>
      <c r="O40" s="8" t="s">
        <v>214</v>
      </c>
      <c r="P40" s="8" t="s">
        <v>214</v>
      </c>
      <c r="Q40" s="8" t="s">
        <v>214</v>
      </c>
      <c r="R40" s="8" t="s">
        <v>214</v>
      </c>
      <c r="S40" s="8" t="s">
        <v>214</v>
      </c>
      <c r="T40" s="8" t="s">
        <v>214</v>
      </c>
      <c r="U40" s="8" t="s">
        <v>214</v>
      </c>
      <c r="V40" s="8" t="s">
        <v>214</v>
      </c>
      <c r="W40" s="8" t="s">
        <v>214</v>
      </c>
      <c r="X40" s="8" t="s">
        <v>214</v>
      </c>
      <c r="Y40" s="8" t="s">
        <v>214</v>
      </c>
      <c r="Z40" s="8" t="s">
        <v>214</v>
      </c>
      <c r="AA40" s="8" t="s">
        <v>214</v>
      </c>
      <c r="AB40" s="8" t="s">
        <v>214</v>
      </c>
      <c r="AC40" s="8" t="s">
        <v>214</v>
      </c>
      <c r="AD40" s="8" t="s">
        <v>214</v>
      </c>
      <c r="AE40" s="8" t="s">
        <v>214</v>
      </c>
      <c r="AF40" s="8" t="s">
        <v>214</v>
      </c>
      <c r="AG40" s="8" t="s">
        <v>214</v>
      </c>
      <c r="AH40" s="8" t="s">
        <v>217</v>
      </c>
      <c r="AI40" s="8" t="s">
        <v>217</v>
      </c>
      <c r="AJ40" s="8" t="s">
        <v>217</v>
      </c>
      <c r="AK40" s="8" t="s">
        <v>214</v>
      </c>
      <c r="AL40" s="8" t="s">
        <v>214</v>
      </c>
      <c r="AM40" s="8" t="s">
        <v>214</v>
      </c>
      <c r="AN40" s="8" t="s">
        <v>214</v>
      </c>
      <c r="AO40" s="8" t="s">
        <v>214</v>
      </c>
      <c r="AP40" s="8" t="s">
        <v>214</v>
      </c>
      <c r="AQ40" s="8" t="s">
        <v>214</v>
      </c>
      <c r="AR40" s="8" t="s">
        <v>214</v>
      </c>
      <c r="AS40" s="8" t="s">
        <v>214</v>
      </c>
      <c r="AT40" s="8" t="s">
        <v>214</v>
      </c>
      <c r="AU40" s="8" t="s">
        <v>214</v>
      </c>
      <c r="AV40" s="8" t="s">
        <v>214</v>
      </c>
      <c r="AW40" s="8" t="s">
        <v>214</v>
      </c>
      <c r="AX40" s="8" t="s">
        <v>214</v>
      </c>
      <c r="AY40" s="8" t="s">
        <v>214</v>
      </c>
      <c r="AZ40" s="8" t="s">
        <v>214</v>
      </c>
      <c r="BA40" s="8" t="s">
        <v>214</v>
      </c>
      <c r="BB40" s="8" t="s">
        <v>214</v>
      </c>
      <c r="BC40" s="8" t="s">
        <v>214</v>
      </c>
      <c r="BD40" s="8" t="s">
        <v>214</v>
      </c>
      <c r="BE40" s="8" t="s">
        <v>214</v>
      </c>
      <c r="BF40" s="8" t="s">
        <v>214</v>
      </c>
      <c r="BG40" s="8" t="s">
        <v>214</v>
      </c>
      <c r="BH40" s="8" t="s">
        <v>214</v>
      </c>
      <c r="BI40" s="8" t="s">
        <v>214</v>
      </c>
      <c r="BJ40" s="8" t="s">
        <v>214</v>
      </c>
      <c r="BK40" s="8" t="s">
        <v>214</v>
      </c>
      <c r="BL40" s="8" t="s">
        <v>214</v>
      </c>
      <c r="BM40" s="8" t="s">
        <v>214</v>
      </c>
      <c r="BN40" s="8" t="s">
        <v>214</v>
      </c>
      <c r="BO40" s="8" t="s">
        <v>214</v>
      </c>
      <c r="BP40" s="8" t="s">
        <v>214</v>
      </c>
      <c r="BQ40" s="8" t="s">
        <v>214</v>
      </c>
      <c r="BR40" s="8" t="s">
        <v>214</v>
      </c>
      <c r="BS40" s="8" t="s">
        <v>214</v>
      </c>
      <c r="BT40" s="8" t="s">
        <v>214</v>
      </c>
      <c r="BU40" s="8" t="s">
        <v>214</v>
      </c>
      <c r="BV40" s="8" t="s">
        <v>214</v>
      </c>
      <c r="BW40" s="8" t="s">
        <v>214</v>
      </c>
      <c r="BX40" s="8" t="s">
        <v>214</v>
      </c>
      <c r="BY40" s="8" t="s">
        <v>214</v>
      </c>
      <c r="BZ40" s="8" t="s">
        <v>214</v>
      </c>
      <c r="CA40" s="8" t="s">
        <v>214</v>
      </c>
      <c r="CB40" s="8" t="s">
        <v>214</v>
      </c>
      <c r="CC40" s="8" t="s">
        <v>214</v>
      </c>
      <c r="CD40" s="8" t="s">
        <v>214</v>
      </c>
      <c r="CE40" s="8" t="s">
        <v>214</v>
      </c>
      <c r="CF40" s="8" t="s">
        <v>214</v>
      </c>
      <c r="CG40" s="8" t="s">
        <v>214</v>
      </c>
      <c r="CH40" s="8" t="s">
        <v>214</v>
      </c>
      <c r="CI40" s="8" t="s">
        <v>214</v>
      </c>
      <c r="CJ40" s="8" t="s">
        <v>214</v>
      </c>
      <c r="CK40" s="8" t="s">
        <v>214</v>
      </c>
      <c r="CL40" s="8" t="s">
        <v>214</v>
      </c>
      <c r="CM40" s="8" t="s">
        <v>214</v>
      </c>
      <c r="CN40" s="8" t="s">
        <v>214</v>
      </c>
      <c r="CO40" s="8" t="s">
        <v>214</v>
      </c>
      <c r="CP40" s="8" t="s">
        <v>214</v>
      </c>
      <c r="CQ40" s="8" t="s">
        <v>214</v>
      </c>
      <c r="CR40" s="8" t="s">
        <v>214</v>
      </c>
      <c r="CS40" s="8" t="s">
        <v>214</v>
      </c>
      <c r="CT40" s="8" t="s">
        <v>214</v>
      </c>
      <c r="CU40" s="8" t="s">
        <v>214</v>
      </c>
      <c r="CV40" s="8" t="s">
        <v>214</v>
      </c>
      <c r="CW40" s="8" t="s">
        <v>214</v>
      </c>
      <c r="CX40" s="8" t="s">
        <v>214</v>
      </c>
      <c r="CY40" s="8" t="s">
        <v>214</v>
      </c>
      <c r="CZ40" s="8" t="s">
        <v>214</v>
      </c>
      <c r="DA40" s="8" t="s">
        <v>214</v>
      </c>
      <c r="DB40" s="8" t="s">
        <v>214</v>
      </c>
      <c r="DC40" s="8" t="s">
        <v>214</v>
      </c>
      <c r="DD40" s="8" t="s">
        <v>214</v>
      </c>
      <c r="DE40" s="8" t="s">
        <v>214</v>
      </c>
      <c r="DF40" s="8" t="s">
        <v>214</v>
      </c>
      <c r="DG40" s="8" t="s">
        <v>214</v>
      </c>
      <c r="DH40" s="8" t="s">
        <v>214</v>
      </c>
      <c r="DI40" s="8" t="s">
        <v>214</v>
      </c>
      <c r="DJ40" s="8" t="s">
        <v>214</v>
      </c>
      <c r="DK40" s="8" t="s">
        <v>214</v>
      </c>
      <c r="DL40" s="8" t="s">
        <v>214</v>
      </c>
      <c r="DM40" s="8" t="s">
        <v>214</v>
      </c>
      <c r="DN40" s="8" t="s">
        <v>214</v>
      </c>
      <c r="DO40" s="8" t="s">
        <v>214</v>
      </c>
      <c r="DP40" s="8" t="s">
        <v>214</v>
      </c>
      <c r="DQ40" s="8" t="s">
        <v>214</v>
      </c>
      <c r="DR40" s="8" t="s">
        <v>214</v>
      </c>
      <c r="DS40" s="8" t="s">
        <v>217</v>
      </c>
      <c r="DT40" s="8" t="s">
        <v>214</v>
      </c>
      <c r="DU40" s="8" t="s">
        <v>214</v>
      </c>
      <c r="DV40" s="8" t="s">
        <v>214</v>
      </c>
      <c r="DW40" s="8" t="s">
        <v>214</v>
      </c>
      <c r="DX40" s="8" t="s">
        <v>214</v>
      </c>
      <c r="DY40" s="8" t="s">
        <v>214</v>
      </c>
      <c r="DZ40" s="8" t="s">
        <v>214</v>
      </c>
      <c r="EA40" s="8" t="s">
        <v>214</v>
      </c>
      <c r="EB40" s="8" t="s">
        <v>214</v>
      </c>
      <c r="EC40" s="8" t="s">
        <v>214</v>
      </c>
      <c r="ED40" s="8" t="s">
        <v>214</v>
      </c>
      <c r="EE40" s="8" t="s">
        <v>214</v>
      </c>
      <c r="EF40" s="8" t="s">
        <v>214</v>
      </c>
      <c r="EG40" s="8" t="s">
        <v>214</v>
      </c>
      <c r="EH40" s="8" t="s">
        <v>214</v>
      </c>
      <c r="EI40" s="8" t="s">
        <v>214</v>
      </c>
      <c r="EJ40" s="8" t="s">
        <v>214</v>
      </c>
      <c r="EK40" s="8" t="s">
        <v>214</v>
      </c>
      <c r="EL40" s="8" t="s">
        <v>214</v>
      </c>
      <c r="EM40" s="8" t="s">
        <v>214</v>
      </c>
      <c r="EN40" s="8" t="s">
        <v>214</v>
      </c>
      <c r="EO40" s="8" t="s">
        <v>214</v>
      </c>
      <c r="EP40" s="8" t="s">
        <v>214</v>
      </c>
      <c r="EQ40" s="8" t="s">
        <v>214</v>
      </c>
      <c r="ER40" s="8" t="s">
        <v>214</v>
      </c>
      <c r="ES40" s="8" t="s">
        <v>214</v>
      </c>
      <c r="ET40" s="8" t="s">
        <v>214</v>
      </c>
      <c r="EU40" s="8" t="s">
        <v>214</v>
      </c>
      <c r="EV40" s="8" t="s">
        <v>214</v>
      </c>
      <c r="EW40" s="8" t="s">
        <v>214</v>
      </c>
      <c r="EX40" s="8" t="s">
        <v>214</v>
      </c>
      <c r="EY40" s="8" t="s">
        <v>214</v>
      </c>
      <c r="EZ40" s="8" t="s">
        <v>214</v>
      </c>
      <c r="FA40" s="8" t="s">
        <v>214</v>
      </c>
      <c r="FB40" s="8" t="s">
        <v>214</v>
      </c>
      <c r="FC40" s="8" t="s">
        <v>214</v>
      </c>
      <c r="FD40" s="8" t="s">
        <v>214</v>
      </c>
      <c r="FE40" s="8" t="s">
        <v>214</v>
      </c>
      <c r="FF40" s="8" t="s">
        <v>214</v>
      </c>
      <c r="FG40" s="8" t="s">
        <v>218</v>
      </c>
      <c r="FH40" s="8" t="s">
        <v>214</v>
      </c>
      <c r="FI40" s="8" t="s">
        <v>214</v>
      </c>
      <c r="FJ40" s="8" t="s">
        <v>214</v>
      </c>
      <c r="FK40" s="8" t="s">
        <v>218</v>
      </c>
      <c r="FL40" s="8" t="s">
        <v>217</v>
      </c>
    </row>
    <row r="41" spans="1:168" ht="11.45" customHeight="1" x14ac:dyDescent="0.25">
      <c r="A41" s="5" t="s">
        <v>183</v>
      </c>
      <c r="B41" s="5" t="s">
        <v>8</v>
      </c>
      <c r="C41" s="7" t="s">
        <v>217</v>
      </c>
      <c r="D41" s="7" t="s">
        <v>217</v>
      </c>
      <c r="E41" s="7" t="s">
        <v>214</v>
      </c>
      <c r="F41" s="7" t="s">
        <v>214</v>
      </c>
      <c r="G41" s="7" t="s">
        <v>214</v>
      </c>
      <c r="H41" s="7" t="s">
        <v>214</v>
      </c>
      <c r="I41" s="7" t="s">
        <v>214</v>
      </c>
      <c r="J41" s="7" t="s">
        <v>214</v>
      </c>
      <c r="K41" s="7" t="s">
        <v>214</v>
      </c>
      <c r="L41" s="7" t="s">
        <v>214</v>
      </c>
      <c r="M41" s="7" t="s">
        <v>214</v>
      </c>
      <c r="N41" s="7" t="s">
        <v>214</v>
      </c>
      <c r="O41" s="7" t="s">
        <v>214</v>
      </c>
      <c r="P41" s="7" t="s">
        <v>214</v>
      </c>
      <c r="Q41" s="7" t="s">
        <v>214</v>
      </c>
      <c r="R41" s="7" t="s">
        <v>214</v>
      </c>
      <c r="S41" s="7" t="s">
        <v>214</v>
      </c>
      <c r="T41" s="7" t="s">
        <v>214</v>
      </c>
      <c r="U41" s="7" t="s">
        <v>214</v>
      </c>
      <c r="V41" s="7" t="s">
        <v>214</v>
      </c>
      <c r="W41" s="7" t="s">
        <v>214</v>
      </c>
      <c r="X41" s="7" t="s">
        <v>214</v>
      </c>
      <c r="Y41" s="7" t="s">
        <v>214</v>
      </c>
      <c r="Z41" s="7" t="s">
        <v>214</v>
      </c>
      <c r="AA41" s="7" t="s">
        <v>214</v>
      </c>
      <c r="AB41" s="7" t="s">
        <v>214</v>
      </c>
      <c r="AC41" s="7" t="s">
        <v>214</v>
      </c>
      <c r="AD41" s="7" t="s">
        <v>214</v>
      </c>
      <c r="AE41" s="7" t="s">
        <v>214</v>
      </c>
      <c r="AF41" s="7" t="s">
        <v>214</v>
      </c>
      <c r="AG41" s="7" t="s">
        <v>214</v>
      </c>
      <c r="AH41" s="7" t="s">
        <v>217</v>
      </c>
      <c r="AI41" s="7" t="s">
        <v>217</v>
      </c>
      <c r="AJ41" s="7" t="s">
        <v>217</v>
      </c>
      <c r="AK41" s="7" t="s">
        <v>214</v>
      </c>
      <c r="AL41" s="7" t="s">
        <v>214</v>
      </c>
      <c r="AM41" s="7" t="s">
        <v>214</v>
      </c>
      <c r="AN41" s="7" t="s">
        <v>214</v>
      </c>
      <c r="AO41" s="7" t="s">
        <v>214</v>
      </c>
      <c r="AP41" s="7" t="s">
        <v>214</v>
      </c>
      <c r="AQ41" s="7" t="s">
        <v>214</v>
      </c>
      <c r="AR41" s="7" t="s">
        <v>214</v>
      </c>
      <c r="AS41" s="7" t="s">
        <v>214</v>
      </c>
      <c r="AT41" s="7" t="s">
        <v>214</v>
      </c>
      <c r="AU41" s="7" t="s">
        <v>214</v>
      </c>
      <c r="AV41" s="7" t="s">
        <v>214</v>
      </c>
      <c r="AW41" s="7" t="s">
        <v>214</v>
      </c>
      <c r="AX41" s="7" t="s">
        <v>214</v>
      </c>
      <c r="AY41" s="7" t="s">
        <v>214</v>
      </c>
      <c r="AZ41" s="7" t="s">
        <v>214</v>
      </c>
      <c r="BA41" s="7" t="s">
        <v>214</v>
      </c>
      <c r="BB41" s="7" t="s">
        <v>214</v>
      </c>
      <c r="BC41" s="7" t="s">
        <v>214</v>
      </c>
      <c r="BD41" s="7" t="s">
        <v>214</v>
      </c>
      <c r="BE41" s="7" t="s">
        <v>214</v>
      </c>
      <c r="BF41" s="7" t="s">
        <v>214</v>
      </c>
      <c r="BG41" s="7" t="s">
        <v>214</v>
      </c>
      <c r="BH41" s="7" t="s">
        <v>214</v>
      </c>
      <c r="BI41" s="7" t="s">
        <v>214</v>
      </c>
      <c r="BJ41" s="7" t="s">
        <v>214</v>
      </c>
      <c r="BK41" s="7" t="s">
        <v>214</v>
      </c>
      <c r="BL41" s="7" t="s">
        <v>214</v>
      </c>
      <c r="BM41" s="7" t="s">
        <v>214</v>
      </c>
      <c r="BN41" s="7" t="s">
        <v>214</v>
      </c>
      <c r="BO41" s="7" t="s">
        <v>214</v>
      </c>
      <c r="BP41" s="7" t="s">
        <v>214</v>
      </c>
      <c r="BQ41" s="7" t="s">
        <v>214</v>
      </c>
      <c r="BR41" s="7" t="s">
        <v>214</v>
      </c>
      <c r="BS41" s="7" t="s">
        <v>214</v>
      </c>
      <c r="BT41" s="7" t="s">
        <v>214</v>
      </c>
      <c r="BU41" s="7" t="s">
        <v>214</v>
      </c>
      <c r="BV41" s="7" t="s">
        <v>214</v>
      </c>
      <c r="BW41" s="7" t="s">
        <v>214</v>
      </c>
      <c r="BX41" s="7" t="s">
        <v>214</v>
      </c>
      <c r="BY41" s="7" t="s">
        <v>214</v>
      </c>
      <c r="BZ41" s="7" t="s">
        <v>214</v>
      </c>
      <c r="CA41" s="7" t="s">
        <v>214</v>
      </c>
      <c r="CB41" s="7" t="s">
        <v>214</v>
      </c>
      <c r="CC41" s="7" t="s">
        <v>214</v>
      </c>
      <c r="CD41" s="7" t="s">
        <v>214</v>
      </c>
      <c r="CE41" s="7" t="s">
        <v>214</v>
      </c>
      <c r="CF41" s="7" t="s">
        <v>214</v>
      </c>
      <c r="CG41" s="7" t="s">
        <v>214</v>
      </c>
      <c r="CH41" s="7" t="s">
        <v>214</v>
      </c>
      <c r="CI41" s="7" t="s">
        <v>214</v>
      </c>
      <c r="CJ41" s="7" t="s">
        <v>218</v>
      </c>
      <c r="CK41" s="7" t="s">
        <v>214</v>
      </c>
      <c r="CL41" s="7" t="s">
        <v>214</v>
      </c>
      <c r="CM41" s="7" t="s">
        <v>214</v>
      </c>
      <c r="CN41" s="7" t="s">
        <v>214</v>
      </c>
      <c r="CO41" s="7" t="s">
        <v>214</v>
      </c>
      <c r="CP41" s="7" t="s">
        <v>214</v>
      </c>
      <c r="CQ41" s="7" t="s">
        <v>214</v>
      </c>
      <c r="CR41" s="7" t="s">
        <v>214</v>
      </c>
      <c r="CS41" s="7" t="s">
        <v>214</v>
      </c>
      <c r="CT41" s="7" t="s">
        <v>214</v>
      </c>
      <c r="CU41" s="7" t="s">
        <v>214</v>
      </c>
      <c r="CV41" s="7" t="s">
        <v>214</v>
      </c>
      <c r="CW41" s="7" t="s">
        <v>214</v>
      </c>
      <c r="CX41" s="7" t="s">
        <v>214</v>
      </c>
      <c r="CY41" s="7" t="s">
        <v>214</v>
      </c>
      <c r="CZ41" s="7" t="s">
        <v>214</v>
      </c>
      <c r="DA41" s="7" t="s">
        <v>214</v>
      </c>
      <c r="DB41" s="7" t="s">
        <v>218</v>
      </c>
      <c r="DC41" s="7" t="s">
        <v>214</v>
      </c>
      <c r="DD41" s="7" t="s">
        <v>214</v>
      </c>
      <c r="DE41" s="7" t="s">
        <v>214</v>
      </c>
      <c r="DF41" s="7" t="s">
        <v>218</v>
      </c>
      <c r="DG41" s="7" t="s">
        <v>214</v>
      </c>
      <c r="DH41" s="7" t="s">
        <v>214</v>
      </c>
      <c r="DI41" s="7" t="s">
        <v>218</v>
      </c>
      <c r="DJ41" s="7" t="s">
        <v>218</v>
      </c>
      <c r="DK41" s="7" t="s">
        <v>214</v>
      </c>
      <c r="DL41" s="7" t="s">
        <v>218</v>
      </c>
      <c r="DM41" s="7" t="s">
        <v>214</v>
      </c>
      <c r="DN41" s="7" t="s">
        <v>214</v>
      </c>
      <c r="DO41" s="7" t="s">
        <v>214</v>
      </c>
      <c r="DP41" s="7" t="s">
        <v>214</v>
      </c>
      <c r="DQ41" s="7" t="s">
        <v>214</v>
      </c>
      <c r="DR41" s="7" t="s">
        <v>214</v>
      </c>
      <c r="DS41" s="7" t="s">
        <v>214</v>
      </c>
      <c r="DT41" s="7" t="s">
        <v>214</v>
      </c>
      <c r="DU41" s="7" t="s">
        <v>214</v>
      </c>
      <c r="DV41" s="7" t="s">
        <v>214</v>
      </c>
      <c r="DW41" s="7" t="s">
        <v>214</v>
      </c>
      <c r="DX41" s="7" t="s">
        <v>214</v>
      </c>
      <c r="DY41" s="7" t="s">
        <v>214</v>
      </c>
      <c r="DZ41" s="7" t="s">
        <v>214</v>
      </c>
      <c r="EA41" s="7" t="s">
        <v>214</v>
      </c>
      <c r="EB41" s="7" t="s">
        <v>214</v>
      </c>
      <c r="EC41" s="7" t="s">
        <v>214</v>
      </c>
      <c r="ED41" s="7" t="s">
        <v>214</v>
      </c>
      <c r="EE41" s="7" t="s">
        <v>214</v>
      </c>
      <c r="EF41" s="7" t="s">
        <v>214</v>
      </c>
      <c r="EG41" s="7" t="s">
        <v>214</v>
      </c>
      <c r="EH41" s="7" t="s">
        <v>214</v>
      </c>
      <c r="EI41" s="7" t="s">
        <v>214</v>
      </c>
      <c r="EJ41" s="7" t="s">
        <v>214</v>
      </c>
      <c r="EK41" s="7" t="s">
        <v>214</v>
      </c>
      <c r="EL41" s="7" t="s">
        <v>214</v>
      </c>
      <c r="EM41" s="7" t="s">
        <v>214</v>
      </c>
      <c r="EN41" s="7" t="s">
        <v>214</v>
      </c>
      <c r="EO41" s="7" t="s">
        <v>214</v>
      </c>
      <c r="EP41" s="7" t="s">
        <v>214</v>
      </c>
      <c r="EQ41" s="7" t="s">
        <v>214</v>
      </c>
      <c r="ER41" s="7" t="s">
        <v>214</v>
      </c>
      <c r="ES41" s="7" t="s">
        <v>214</v>
      </c>
      <c r="ET41" s="7" t="s">
        <v>214</v>
      </c>
      <c r="EU41" s="7" t="s">
        <v>214</v>
      </c>
      <c r="EV41" s="7" t="s">
        <v>214</v>
      </c>
      <c r="EW41" s="7" t="s">
        <v>214</v>
      </c>
      <c r="EX41" s="7" t="s">
        <v>214</v>
      </c>
      <c r="EY41" s="7" t="s">
        <v>214</v>
      </c>
      <c r="EZ41" s="7" t="s">
        <v>214</v>
      </c>
      <c r="FA41" s="7" t="s">
        <v>214</v>
      </c>
      <c r="FB41" s="7" t="s">
        <v>214</v>
      </c>
      <c r="FC41" s="7" t="s">
        <v>214</v>
      </c>
      <c r="FD41" s="7" t="s">
        <v>214</v>
      </c>
      <c r="FE41" s="7" t="s">
        <v>217</v>
      </c>
      <c r="FF41" s="7" t="s">
        <v>218</v>
      </c>
      <c r="FG41" s="7" t="s">
        <v>218</v>
      </c>
      <c r="FH41" s="7" t="s">
        <v>214</v>
      </c>
      <c r="FI41" s="7" t="s">
        <v>214</v>
      </c>
      <c r="FJ41" s="7" t="s">
        <v>214</v>
      </c>
      <c r="FK41" s="7" t="s">
        <v>218</v>
      </c>
      <c r="FL41" s="7" t="s">
        <v>214</v>
      </c>
    </row>
    <row r="42" spans="1:168" ht="11.45" customHeight="1" x14ac:dyDescent="0.25">
      <c r="A42" s="5" t="s">
        <v>183</v>
      </c>
      <c r="B42" s="5" t="s">
        <v>9</v>
      </c>
      <c r="C42" s="8" t="s">
        <v>217</v>
      </c>
      <c r="D42" s="8" t="s">
        <v>217</v>
      </c>
      <c r="E42" s="8" t="s">
        <v>214</v>
      </c>
      <c r="F42" s="8" t="s">
        <v>214</v>
      </c>
      <c r="G42" s="8" t="s">
        <v>214</v>
      </c>
      <c r="H42" s="8" t="s">
        <v>214</v>
      </c>
      <c r="I42" s="8" t="s">
        <v>214</v>
      </c>
      <c r="J42" s="8" t="s">
        <v>214</v>
      </c>
      <c r="K42" s="8" t="s">
        <v>214</v>
      </c>
      <c r="L42" s="8" t="s">
        <v>214</v>
      </c>
      <c r="M42" s="8" t="s">
        <v>214</v>
      </c>
      <c r="N42" s="8" t="s">
        <v>214</v>
      </c>
      <c r="O42" s="8" t="s">
        <v>214</v>
      </c>
      <c r="P42" s="8" t="s">
        <v>214</v>
      </c>
      <c r="Q42" s="8" t="s">
        <v>214</v>
      </c>
      <c r="R42" s="8" t="s">
        <v>214</v>
      </c>
      <c r="S42" s="8" t="s">
        <v>214</v>
      </c>
      <c r="T42" s="8" t="s">
        <v>214</v>
      </c>
      <c r="U42" s="8" t="s">
        <v>214</v>
      </c>
      <c r="V42" s="8" t="s">
        <v>214</v>
      </c>
      <c r="W42" s="8" t="s">
        <v>214</v>
      </c>
      <c r="X42" s="8" t="s">
        <v>214</v>
      </c>
      <c r="Y42" s="8" t="s">
        <v>214</v>
      </c>
      <c r="Z42" s="8" t="s">
        <v>214</v>
      </c>
      <c r="AA42" s="8" t="s">
        <v>214</v>
      </c>
      <c r="AB42" s="8" t="s">
        <v>214</v>
      </c>
      <c r="AC42" s="8" t="s">
        <v>214</v>
      </c>
      <c r="AD42" s="8" t="s">
        <v>214</v>
      </c>
      <c r="AE42" s="8" t="s">
        <v>214</v>
      </c>
      <c r="AF42" s="8" t="s">
        <v>214</v>
      </c>
      <c r="AG42" s="8" t="s">
        <v>214</v>
      </c>
      <c r="AH42" s="8" t="s">
        <v>217</v>
      </c>
      <c r="AI42" s="8" t="s">
        <v>217</v>
      </c>
      <c r="AJ42" s="8" t="s">
        <v>217</v>
      </c>
      <c r="AK42" s="8" t="s">
        <v>214</v>
      </c>
      <c r="AL42" s="8" t="s">
        <v>214</v>
      </c>
      <c r="AM42" s="8" t="s">
        <v>214</v>
      </c>
      <c r="AN42" s="8" t="s">
        <v>214</v>
      </c>
      <c r="AO42" s="8" t="s">
        <v>214</v>
      </c>
      <c r="AP42" s="8" t="s">
        <v>214</v>
      </c>
      <c r="AQ42" s="8" t="s">
        <v>214</v>
      </c>
      <c r="AR42" s="8" t="s">
        <v>214</v>
      </c>
      <c r="AS42" s="8" t="s">
        <v>214</v>
      </c>
      <c r="AT42" s="8" t="s">
        <v>214</v>
      </c>
      <c r="AU42" s="8" t="s">
        <v>214</v>
      </c>
      <c r="AV42" s="8" t="s">
        <v>214</v>
      </c>
      <c r="AW42" s="8" t="s">
        <v>214</v>
      </c>
      <c r="AX42" s="8" t="s">
        <v>214</v>
      </c>
      <c r="AY42" s="8" t="s">
        <v>214</v>
      </c>
      <c r="AZ42" s="8" t="s">
        <v>214</v>
      </c>
      <c r="BA42" s="8" t="s">
        <v>214</v>
      </c>
      <c r="BB42" s="8" t="s">
        <v>214</v>
      </c>
      <c r="BC42" s="8" t="s">
        <v>214</v>
      </c>
      <c r="BD42" s="8" t="s">
        <v>214</v>
      </c>
      <c r="BE42" s="8" t="s">
        <v>214</v>
      </c>
      <c r="BF42" s="8" t="s">
        <v>214</v>
      </c>
      <c r="BG42" s="8" t="s">
        <v>214</v>
      </c>
      <c r="BH42" s="8" t="s">
        <v>214</v>
      </c>
      <c r="BI42" s="8" t="s">
        <v>214</v>
      </c>
      <c r="BJ42" s="8" t="s">
        <v>214</v>
      </c>
      <c r="BK42" s="8" t="s">
        <v>214</v>
      </c>
      <c r="BL42" s="8" t="s">
        <v>214</v>
      </c>
      <c r="BM42" s="8" t="s">
        <v>214</v>
      </c>
      <c r="BN42" s="8" t="s">
        <v>214</v>
      </c>
      <c r="BO42" s="8" t="s">
        <v>214</v>
      </c>
      <c r="BP42" s="8" t="s">
        <v>214</v>
      </c>
      <c r="BQ42" s="8" t="s">
        <v>214</v>
      </c>
      <c r="BR42" s="8" t="s">
        <v>214</v>
      </c>
      <c r="BS42" s="8" t="s">
        <v>214</v>
      </c>
      <c r="BT42" s="8" t="s">
        <v>214</v>
      </c>
      <c r="BU42" s="8" t="s">
        <v>214</v>
      </c>
      <c r="BV42" s="8" t="s">
        <v>214</v>
      </c>
      <c r="BW42" s="8" t="s">
        <v>214</v>
      </c>
      <c r="BX42" s="8" t="s">
        <v>214</v>
      </c>
      <c r="BY42" s="8" t="s">
        <v>214</v>
      </c>
      <c r="BZ42" s="8" t="s">
        <v>214</v>
      </c>
      <c r="CA42" s="8" t="s">
        <v>214</v>
      </c>
      <c r="CB42" s="8" t="s">
        <v>214</v>
      </c>
      <c r="CC42" s="8" t="s">
        <v>214</v>
      </c>
      <c r="CD42" s="8" t="s">
        <v>214</v>
      </c>
      <c r="CE42" s="8" t="s">
        <v>214</v>
      </c>
      <c r="CF42" s="8" t="s">
        <v>214</v>
      </c>
      <c r="CG42" s="8" t="s">
        <v>214</v>
      </c>
      <c r="CH42" s="8" t="s">
        <v>214</v>
      </c>
      <c r="CI42" s="8" t="s">
        <v>214</v>
      </c>
      <c r="CJ42" s="8" t="s">
        <v>214</v>
      </c>
      <c r="CK42" s="8" t="s">
        <v>214</v>
      </c>
      <c r="CL42" s="8" t="s">
        <v>214</v>
      </c>
      <c r="CM42" s="8" t="s">
        <v>214</v>
      </c>
      <c r="CN42" s="8" t="s">
        <v>214</v>
      </c>
      <c r="CO42" s="8" t="s">
        <v>214</v>
      </c>
      <c r="CP42" s="8" t="s">
        <v>214</v>
      </c>
      <c r="CQ42" s="8" t="s">
        <v>214</v>
      </c>
      <c r="CR42" s="8" t="s">
        <v>214</v>
      </c>
      <c r="CS42" s="8" t="s">
        <v>214</v>
      </c>
      <c r="CT42" s="8" t="s">
        <v>214</v>
      </c>
      <c r="CU42" s="8" t="s">
        <v>214</v>
      </c>
      <c r="CV42" s="8" t="s">
        <v>214</v>
      </c>
      <c r="CW42" s="8" t="s">
        <v>214</v>
      </c>
      <c r="CX42" s="8" t="s">
        <v>214</v>
      </c>
      <c r="CY42" s="8" t="s">
        <v>214</v>
      </c>
      <c r="CZ42" s="8" t="s">
        <v>214</v>
      </c>
      <c r="DA42" s="8" t="s">
        <v>214</v>
      </c>
      <c r="DB42" s="8" t="s">
        <v>214</v>
      </c>
      <c r="DC42" s="8" t="s">
        <v>214</v>
      </c>
      <c r="DD42" s="8" t="s">
        <v>214</v>
      </c>
      <c r="DE42" s="8" t="s">
        <v>214</v>
      </c>
      <c r="DF42" s="8" t="s">
        <v>218</v>
      </c>
      <c r="DG42" s="8" t="s">
        <v>214</v>
      </c>
      <c r="DH42" s="8" t="s">
        <v>214</v>
      </c>
      <c r="DI42" s="8" t="s">
        <v>218</v>
      </c>
      <c r="DJ42" s="8" t="s">
        <v>218</v>
      </c>
      <c r="DK42" s="8" t="s">
        <v>214</v>
      </c>
      <c r="DL42" s="8" t="s">
        <v>218</v>
      </c>
      <c r="DM42" s="8" t="s">
        <v>214</v>
      </c>
      <c r="DN42" s="8" t="s">
        <v>214</v>
      </c>
      <c r="DO42" s="8" t="s">
        <v>214</v>
      </c>
      <c r="DP42" s="8" t="s">
        <v>214</v>
      </c>
      <c r="DQ42" s="8" t="s">
        <v>214</v>
      </c>
      <c r="DR42" s="8" t="s">
        <v>214</v>
      </c>
      <c r="DS42" s="8" t="s">
        <v>214</v>
      </c>
      <c r="DT42" s="8" t="s">
        <v>214</v>
      </c>
      <c r="DU42" s="8" t="s">
        <v>214</v>
      </c>
      <c r="DV42" s="8" t="s">
        <v>214</v>
      </c>
      <c r="DW42" s="8" t="s">
        <v>214</v>
      </c>
      <c r="DX42" s="8" t="s">
        <v>214</v>
      </c>
      <c r="DY42" s="8" t="s">
        <v>214</v>
      </c>
      <c r="DZ42" s="8" t="s">
        <v>214</v>
      </c>
      <c r="EA42" s="8" t="s">
        <v>214</v>
      </c>
      <c r="EB42" s="8" t="s">
        <v>214</v>
      </c>
      <c r="EC42" s="8" t="s">
        <v>214</v>
      </c>
      <c r="ED42" s="8" t="s">
        <v>214</v>
      </c>
      <c r="EE42" s="8" t="s">
        <v>214</v>
      </c>
      <c r="EF42" s="8" t="s">
        <v>214</v>
      </c>
      <c r="EG42" s="8" t="s">
        <v>214</v>
      </c>
      <c r="EH42" s="8" t="s">
        <v>214</v>
      </c>
      <c r="EI42" s="8" t="s">
        <v>214</v>
      </c>
      <c r="EJ42" s="8" t="s">
        <v>214</v>
      </c>
      <c r="EK42" s="8" t="s">
        <v>214</v>
      </c>
      <c r="EL42" s="8" t="s">
        <v>214</v>
      </c>
      <c r="EM42" s="8" t="s">
        <v>214</v>
      </c>
      <c r="EN42" s="8" t="s">
        <v>214</v>
      </c>
      <c r="EO42" s="8" t="s">
        <v>214</v>
      </c>
      <c r="EP42" s="8" t="s">
        <v>214</v>
      </c>
      <c r="EQ42" s="8" t="s">
        <v>214</v>
      </c>
      <c r="ER42" s="8" t="s">
        <v>214</v>
      </c>
      <c r="ES42" s="8" t="s">
        <v>214</v>
      </c>
      <c r="ET42" s="8" t="s">
        <v>214</v>
      </c>
      <c r="EU42" s="8" t="s">
        <v>214</v>
      </c>
      <c r="EV42" s="8" t="s">
        <v>214</v>
      </c>
      <c r="EW42" s="8" t="s">
        <v>214</v>
      </c>
      <c r="EX42" s="8" t="s">
        <v>214</v>
      </c>
      <c r="EY42" s="8" t="s">
        <v>214</v>
      </c>
      <c r="EZ42" s="8" t="s">
        <v>214</v>
      </c>
      <c r="FA42" s="8" t="s">
        <v>214</v>
      </c>
      <c r="FB42" s="8" t="s">
        <v>214</v>
      </c>
      <c r="FC42" s="8" t="s">
        <v>214</v>
      </c>
      <c r="FD42" s="8" t="s">
        <v>214</v>
      </c>
      <c r="FE42" s="8" t="s">
        <v>217</v>
      </c>
      <c r="FF42" s="8" t="s">
        <v>218</v>
      </c>
      <c r="FG42" s="8" t="s">
        <v>218</v>
      </c>
      <c r="FH42" s="8" t="s">
        <v>214</v>
      </c>
      <c r="FI42" s="8" t="s">
        <v>214</v>
      </c>
      <c r="FJ42" s="8" t="s">
        <v>214</v>
      </c>
      <c r="FK42" s="8" t="s">
        <v>218</v>
      </c>
      <c r="FL42" s="8" t="s">
        <v>214</v>
      </c>
    </row>
    <row r="43" spans="1:168" ht="11.45" customHeight="1" x14ac:dyDescent="0.25">
      <c r="A43" s="5" t="s">
        <v>184</v>
      </c>
      <c r="B43" s="5" t="s">
        <v>6</v>
      </c>
      <c r="C43" s="7" t="s">
        <v>214</v>
      </c>
      <c r="D43" s="7" t="s">
        <v>214</v>
      </c>
      <c r="E43" s="7" t="s">
        <v>214</v>
      </c>
      <c r="F43" s="7" t="s">
        <v>214</v>
      </c>
      <c r="G43" s="7" t="s">
        <v>214</v>
      </c>
      <c r="H43" s="7" t="s">
        <v>214</v>
      </c>
      <c r="I43" s="7" t="s">
        <v>214</v>
      </c>
      <c r="J43" s="7" t="s">
        <v>214</v>
      </c>
      <c r="K43" s="7" t="s">
        <v>214</v>
      </c>
      <c r="L43" s="7" t="s">
        <v>214</v>
      </c>
      <c r="M43" s="7" t="s">
        <v>214</v>
      </c>
      <c r="N43" s="7" t="s">
        <v>214</v>
      </c>
      <c r="O43" s="7" t="s">
        <v>214</v>
      </c>
      <c r="P43" s="7" t="s">
        <v>214</v>
      </c>
      <c r="Q43" s="7" t="s">
        <v>214</v>
      </c>
      <c r="R43" s="7" t="s">
        <v>214</v>
      </c>
      <c r="S43" s="7" t="s">
        <v>214</v>
      </c>
      <c r="T43" s="7" t="s">
        <v>214</v>
      </c>
      <c r="U43" s="7" t="s">
        <v>214</v>
      </c>
      <c r="V43" s="7" t="s">
        <v>214</v>
      </c>
      <c r="W43" s="7" t="s">
        <v>214</v>
      </c>
      <c r="X43" s="7" t="s">
        <v>214</v>
      </c>
      <c r="Y43" s="7" t="s">
        <v>214</v>
      </c>
      <c r="Z43" s="7" t="s">
        <v>214</v>
      </c>
      <c r="AA43" s="7" t="s">
        <v>214</v>
      </c>
      <c r="AB43" s="7" t="s">
        <v>214</v>
      </c>
      <c r="AC43" s="7" t="s">
        <v>214</v>
      </c>
      <c r="AD43" s="7" t="s">
        <v>214</v>
      </c>
      <c r="AE43" s="7" t="s">
        <v>214</v>
      </c>
      <c r="AF43" s="7" t="s">
        <v>214</v>
      </c>
      <c r="AG43" s="7" t="s">
        <v>214</v>
      </c>
      <c r="AH43" s="7" t="s">
        <v>214</v>
      </c>
      <c r="AI43" s="7" t="s">
        <v>214</v>
      </c>
      <c r="AJ43" s="7" t="s">
        <v>214</v>
      </c>
      <c r="AK43" s="7" t="s">
        <v>214</v>
      </c>
      <c r="AL43" s="7" t="s">
        <v>214</v>
      </c>
      <c r="AM43" s="7" t="s">
        <v>214</v>
      </c>
      <c r="AN43" s="7" t="s">
        <v>214</v>
      </c>
      <c r="AO43" s="7" t="s">
        <v>214</v>
      </c>
      <c r="AP43" s="7" t="s">
        <v>214</v>
      </c>
      <c r="AQ43" s="7" t="s">
        <v>214</v>
      </c>
      <c r="AR43" s="7" t="s">
        <v>214</v>
      </c>
      <c r="AS43" s="7" t="s">
        <v>214</v>
      </c>
      <c r="AT43" s="7" t="s">
        <v>214</v>
      </c>
      <c r="AU43" s="7" t="s">
        <v>214</v>
      </c>
      <c r="AV43" s="7" t="s">
        <v>214</v>
      </c>
      <c r="AW43" s="7" t="s">
        <v>214</v>
      </c>
      <c r="AX43" s="7" t="s">
        <v>214</v>
      </c>
      <c r="AY43" s="7" t="s">
        <v>214</v>
      </c>
      <c r="AZ43" s="7" t="s">
        <v>214</v>
      </c>
      <c r="BA43" s="7" t="s">
        <v>214</v>
      </c>
      <c r="BB43" s="7" t="s">
        <v>214</v>
      </c>
      <c r="BC43" s="7" t="s">
        <v>214</v>
      </c>
      <c r="BD43" s="7" t="s">
        <v>214</v>
      </c>
      <c r="BE43" s="7" t="s">
        <v>214</v>
      </c>
      <c r="BF43" s="7" t="s">
        <v>214</v>
      </c>
      <c r="BG43" s="7" t="s">
        <v>214</v>
      </c>
      <c r="BH43" s="7" t="s">
        <v>214</v>
      </c>
      <c r="BI43" s="7" t="s">
        <v>214</v>
      </c>
      <c r="BJ43" s="7" t="s">
        <v>214</v>
      </c>
      <c r="BK43" s="7" t="s">
        <v>214</v>
      </c>
      <c r="BL43" s="7" t="s">
        <v>214</v>
      </c>
      <c r="BM43" s="7" t="s">
        <v>214</v>
      </c>
      <c r="BN43" s="7" t="s">
        <v>214</v>
      </c>
      <c r="BO43" s="7" t="s">
        <v>214</v>
      </c>
      <c r="BP43" s="7" t="s">
        <v>214</v>
      </c>
      <c r="BQ43" s="7" t="s">
        <v>214</v>
      </c>
      <c r="BR43" s="7" t="s">
        <v>214</v>
      </c>
      <c r="BS43" s="7" t="s">
        <v>214</v>
      </c>
      <c r="BT43" s="7" t="s">
        <v>214</v>
      </c>
      <c r="BU43" s="7" t="s">
        <v>214</v>
      </c>
      <c r="BV43" s="7" t="s">
        <v>214</v>
      </c>
      <c r="BW43" s="7" t="s">
        <v>214</v>
      </c>
      <c r="BX43" s="7" t="s">
        <v>214</v>
      </c>
      <c r="BY43" s="7" t="s">
        <v>214</v>
      </c>
      <c r="BZ43" s="7" t="s">
        <v>214</v>
      </c>
      <c r="CA43" s="7" t="s">
        <v>214</v>
      </c>
      <c r="CB43" s="7" t="s">
        <v>214</v>
      </c>
      <c r="CC43" s="7" t="s">
        <v>214</v>
      </c>
      <c r="CD43" s="7" t="s">
        <v>214</v>
      </c>
      <c r="CE43" s="7" t="s">
        <v>214</v>
      </c>
      <c r="CF43" s="7" t="s">
        <v>214</v>
      </c>
      <c r="CG43" s="7" t="s">
        <v>214</v>
      </c>
      <c r="CH43" s="7" t="s">
        <v>214</v>
      </c>
      <c r="CI43" s="7" t="s">
        <v>214</v>
      </c>
      <c r="CJ43" s="7" t="s">
        <v>214</v>
      </c>
      <c r="CK43" s="7" t="s">
        <v>218</v>
      </c>
      <c r="CL43" s="7" t="s">
        <v>214</v>
      </c>
      <c r="CM43" s="7" t="s">
        <v>214</v>
      </c>
      <c r="CN43" s="7" t="s">
        <v>214</v>
      </c>
      <c r="CO43" s="7" t="s">
        <v>214</v>
      </c>
      <c r="CP43" s="7" t="s">
        <v>214</v>
      </c>
      <c r="CQ43" s="7" t="s">
        <v>214</v>
      </c>
      <c r="CR43" s="7" t="s">
        <v>214</v>
      </c>
      <c r="CS43" s="7" t="s">
        <v>214</v>
      </c>
      <c r="CT43" s="7" t="s">
        <v>214</v>
      </c>
      <c r="CU43" s="7" t="s">
        <v>214</v>
      </c>
      <c r="CV43" s="7" t="s">
        <v>214</v>
      </c>
      <c r="CW43" s="7" t="s">
        <v>214</v>
      </c>
      <c r="CX43" s="7" t="s">
        <v>214</v>
      </c>
      <c r="CY43" s="7" t="s">
        <v>214</v>
      </c>
      <c r="CZ43" s="7" t="s">
        <v>214</v>
      </c>
      <c r="DA43" s="7" t="s">
        <v>214</v>
      </c>
      <c r="DB43" s="7" t="s">
        <v>214</v>
      </c>
      <c r="DC43" s="7" t="s">
        <v>214</v>
      </c>
      <c r="DD43" s="7" t="s">
        <v>214</v>
      </c>
      <c r="DE43" s="7" t="s">
        <v>214</v>
      </c>
      <c r="DF43" s="7" t="s">
        <v>214</v>
      </c>
      <c r="DG43" s="7" t="s">
        <v>214</v>
      </c>
      <c r="DH43" s="7" t="s">
        <v>214</v>
      </c>
      <c r="DI43" s="7" t="s">
        <v>214</v>
      </c>
      <c r="DJ43" s="7" t="s">
        <v>214</v>
      </c>
      <c r="DK43" s="7" t="s">
        <v>214</v>
      </c>
      <c r="DL43" s="7" t="s">
        <v>214</v>
      </c>
      <c r="DM43" s="7" t="s">
        <v>214</v>
      </c>
      <c r="DN43" s="7" t="s">
        <v>214</v>
      </c>
      <c r="DO43" s="7" t="s">
        <v>214</v>
      </c>
      <c r="DP43" s="7" t="s">
        <v>214</v>
      </c>
      <c r="DQ43" s="7" t="s">
        <v>214</v>
      </c>
      <c r="DR43" s="7" t="s">
        <v>214</v>
      </c>
      <c r="DS43" s="7" t="s">
        <v>214</v>
      </c>
      <c r="DT43" s="7" t="s">
        <v>214</v>
      </c>
      <c r="DU43" s="7" t="s">
        <v>214</v>
      </c>
      <c r="DV43" s="7" t="s">
        <v>214</v>
      </c>
      <c r="DW43" s="7" t="s">
        <v>214</v>
      </c>
      <c r="DX43" s="7" t="s">
        <v>214</v>
      </c>
      <c r="DY43" s="7" t="s">
        <v>214</v>
      </c>
      <c r="DZ43" s="7" t="s">
        <v>214</v>
      </c>
      <c r="EA43" s="7" t="s">
        <v>214</v>
      </c>
      <c r="EB43" s="7" t="s">
        <v>214</v>
      </c>
      <c r="EC43" s="7" t="s">
        <v>214</v>
      </c>
      <c r="ED43" s="7" t="s">
        <v>214</v>
      </c>
      <c r="EE43" s="7" t="s">
        <v>214</v>
      </c>
      <c r="EF43" s="7" t="s">
        <v>214</v>
      </c>
      <c r="EG43" s="7" t="s">
        <v>214</v>
      </c>
      <c r="EH43" s="7" t="s">
        <v>214</v>
      </c>
      <c r="EI43" s="7" t="s">
        <v>214</v>
      </c>
      <c r="EJ43" s="7" t="s">
        <v>214</v>
      </c>
      <c r="EK43" s="7" t="s">
        <v>214</v>
      </c>
      <c r="EL43" s="7" t="s">
        <v>214</v>
      </c>
      <c r="EM43" s="7" t="s">
        <v>214</v>
      </c>
      <c r="EN43" s="7" t="s">
        <v>214</v>
      </c>
      <c r="EO43" s="7" t="s">
        <v>214</v>
      </c>
      <c r="EP43" s="7" t="s">
        <v>214</v>
      </c>
      <c r="EQ43" s="7" t="s">
        <v>214</v>
      </c>
      <c r="ER43" s="7" t="s">
        <v>214</v>
      </c>
      <c r="ES43" s="7" t="s">
        <v>214</v>
      </c>
      <c r="ET43" s="7" t="s">
        <v>214</v>
      </c>
      <c r="EU43" s="7" t="s">
        <v>214</v>
      </c>
      <c r="EV43" s="7" t="s">
        <v>214</v>
      </c>
      <c r="EW43" s="7" t="s">
        <v>214</v>
      </c>
      <c r="EX43" s="7" t="s">
        <v>214</v>
      </c>
      <c r="EY43" s="7" t="s">
        <v>214</v>
      </c>
      <c r="EZ43" s="7" t="s">
        <v>214</v>
      </c>
      <c r="FA43" s="7" t="s">
        <v>214</v>
      </c>
      <c r="FB43" s="7" t="s">
        <v>214</v>
      </c>
      <c r="FC43" s="7" t="s">
        <v>214</v>
      </c>
      <c r="FD43" s="7" t="s">
        <v>214</v>
      </c>
      <c r="FE43" s="7" t="s">
        <v>214</v>
      </c>
      <c r="FF43" s="7" t="s">
        <v>214</v>
      </c>
      <c r="FG43" s="7" t="s">
        <v>214</v>
      </c>
      <c r="FH43" s="7" t="s">
        <v>214</v>
      </c>
      <c r="FI43" s="7" t="s">
        <v>214</v>
      </c>
      <c r="FJ43" s="7" t="s">
        <v>214</v>
      </c>
      <c r="FK43" s="7" t="s">
        <v>214</v>
      </c>
      <c r="FL43" s="7" t="s">
        <v>214</v>
      </c>
    </row>
    <row r="44" spans="1:168" ht="11.45" customHeight="1" x14ac:dyDescent="0.25">
      <c r="A44" s="5" t="s">
        <v>184</v>
      </c>
      <c r="B44" s="5" t="s">
        <v>7</v>
      </c>
      <c r="C44" s="8" t="s">
        <v>217</v>
      </c>
      <c r="D44" s="8" t="s">
        <v>217</v>
      </c>
      <c r="E44" s="8" t="s">
        <v>214</v>
      </c>
      <c r="F44" s="8" t="s">
        <v>214</v>
      </c>
      <c r="G44" s="8" t="s">
        <v>214</v>
      </c>
      <c r="H44" s="8" t="s">
        <v>214</v>
      </c>
      <c r="I44" s="8" t="s">
        <v>214</v>
      </c>
      <c r="J44" s="8" t="s">
        <v>214</v>
      </c>
      <c r="K44" s="8" t="s">
        <v>214</v>
      </c>
      <c r="L44" s="8" t="s">
        <v>214</v>
      </c>
      <c r="M44" s="8" t="s">
        <v>214</v>
      </c>
      <c r="N44" s="8" t="s">
        <v>214</v>
      </c>
      <c r="O44" s="8" t="s">
        <v>214</v>
      </c>
      <c r="P44" s="8" t="s">
        <v>214</v>
      </c>
      <c r="Q44" s="8" t="s">
        <v>214</v>
      </c>
      <c r="R44" s="8" t="s">
        <v>217</v>
      </c>
      <c r="S44" s="8" t="s">
        <v>214</v>
      </c>
      <c r="T44" s="8" t="s">
        <v>214</v>
      </c>
      <c r="U44" s="8" t="s">
        <v>214</v>
      </c>
      <c r="V44" s="8" t="s">
        <v>214</v>
      </c>
      <c r="W44" s="8" t="s">
        <v>214</v>
      </c>
      <c r="X44" s="8" t="s">
        <v>214</v>
      </c>
      <c r="Y44" s="8" t="s">
        <v>214</v>
      </c>
      <c r="Z44" s="8" t="s">
        <v>214</v>
      </c>
      <c r="AA44" s="8" t="s">
        <v>214</v>
      </c>
      <c r="AB44" s="8" t="s">
        <v>214</v>
      </c>
      <c r="AC44" s="8" t="s">
        <v>217</v>
      </c>
      <c r="AD44" s="8" t="s">
        <v>214</v>
      </c>
      <c r="AE44" s="8" t="s">
        <v>214</v>
      </c>
      <c r="AF44" s="8" t="s">
        <v>214</v>
      </c>
      <c r="AG44" s="8" t="s">
        <v>214</v>
      </c>
      <c r="AH44" s="8" t="s">
        <v>214</v>
      </c>
      <c r="AI44" s="8" t="s">
        <v>214</v>
      </c>
      <c r="AJ44" s="8" t="s">
        <v>214</v>
      </c>
      <c r="AK44" s="8" t="s">
        <v>214</v>
      </c>
      <c r="AL44" s="8" t="s">
        <v>214</v>
      </c>
      <c r="AM44" s="8" t="s">
        <v>214</v>
      </c>
      <c r="AN44" s="8" t="s">
        <v>214</v>
      </c>
      <c r="AO44" s="8" t="s">
        <v>214</v>
      </c>
      <c r="AP44" s="8" t="s">
        <v>214</v>
      </c>
      <c r="AQ44" s="8" t="s">
        <v>214</v>
      </c>
      <c r="AR44" s="8" t="s">
        <v>214</v>
      </c>
      <c r="AS44" s="8" t="s">
        <v>214</v>
      </c>
      <c r="AT44" s="8" t="s">
        <v>214</v>
      </c>
      <c r="AU44" s="8" t="s">
        <v>214</v>
      </c>
      <c r="AV44" s="8" t="s">
        <v>214</v>
      </c>
      <c r="AW44" s="8" t="s">
        <v>214</v>
      </c>
      <c r="AX44" s="8" t="s">
        <v>214</v>
      </c>
      <c r="AY44" s="8" t="s">
        <v>214</v>
      </c>
      <c r="AZ44" s="8" t="s">
        <v>214</v>
      </c>
      <c r="BA44" s="8" t="s">
        <v>214</v>
      </c>
      <c r="BB44" s="8" t="s">
        <v>214</v>
      </c>
      <c r="BC44" s="8" t="s">
        <v>214</v>
      </c>
      <c r="BD44" s="8" t="s">
        <v>214</v>
      </c>
      <c r="BE44" s="8" t="s">
        <v>214</v>
      </c>
      <c r="BF44" s="8" t="s">
        <v>214</v>
      </c>
      <c r="BG44" s="8" t="s">
        <v>214</v>
      </c>
      <c r="BH44" s="8" t="s">
        <v>214</v>
      </c>
      <c r="BI44" s="8" t="s">
        <v>214</v>
      </c>
      <c r="BJ44" s="8" t="s">
        <v>214</v>
      </c>
      <c r="BK44" s="8" t="s">
        <v>214</v>
      </c>
      <c r="BL44" s="8" t="s">
        <v>214</v>
      </c>
      <c r="BM44" s="8" t="s">
        <v>214</v>
      </c>
      <c r="BN44" s="8" t="s">
        <v>214</v>
      </c>
      <c r="BO44" s="8" t="s">
        <v>214</v>
      </c>
      <c r="BP44" s="8" t="s">
        <v>214</v>
      </c>
      <c r="BQ44" s="8" t="s">
        <v>214</v>
      </c>
      <c r="BR44" s="8" t="s">
        <v>214</v>
      </c>
      <c r="BS44" s="8" t="s">
        <v>214</v>
      </c>
      <c r="BT44" s="8" t="s">
        <v>214</v>
      </c>
      <c r="BU44" s="8" t="s">
        <v>214</v>
      </c>
      <c r="BV44" s="8" t="s">
        <v>214</v>
      </c>
      <c r="BW44" s="8" t="s">
        <v>214</v>
      </c>
      <c r="BX44" s="8" t="s">
        <v>214</v>
      </c>
      <c r="BY44" s="8" t="s">
        <v>214</v>
      </c>
      <c r="BZ44" s="8" t="s">
        <v>214</v>
      </c>
      <c r="CA44" s="8" t="s">
        <v>214</v>
      </c>
      <c r="CB44" s="8" t="s">
        <v>214</v>
      </c>
      <c r="CC44" s="8" t="s">
        <v>214</v>
      </c>
      <c r="CD44" s="8" t="s">
        <v>214</v>
      </c>
      <c r="CE44" s="8" t="s">
        <v>214</v>
      </c>
      <c r="CF44" s="8" t="s">
        <v>214</v>
      </c>
      <c r="CG44" s="8" t="s">
        <v>214</v>
      </c>
      <c r="CH44" s="8" t="s">
        <v>214</v>
      </c>
      <c r="CI44" s="8" t="s">
        <v>214</v>
      </c>
      <c r="CJ44" s="8" t="s">
        <v>214</v>
      </c>
      <c r="CK44" s="8" t="s">
        <v>218</v>
      </c>
      <c r="CL44" s="8" t="s">
        <v>214</v>
      </c>
      <c r="CM44" s="8" t="s">
        <v>214</v>
      </c>
      <c r="CN44" s="8" t="s">
        <v>214</v>
      </c>
      <c r="CO44" s="8" t="s">
        <v>214</v>
      </c>
      <c r="CP44" s="8" t="s">
        <v>214</v>
      </c>
      <c r="CQ44" s="8" t="s">
        <v>214</v>
      </c>
      <c r="CR44" s="8" t="s">
        <v>214</v>
      </c>
      <c r="CS44" s="8" t="s">
        <v>214</v>
      </c>
      <c r="CT44" s="8" t="s">
        <v>214</v>
      </c>
      <c r="CU44" s="8" t="s">
        <v>214</v>
      </c>
      <c r="CV44" s="8" t="s">
        <v>214</v>
      </c>
      <c r="CW44" s="8" t="s">
        <v>214</v>
      </c>
      <c r="CX44" s="8" t="s">
        <v>214</v>
      </c>
      <c r="CY44" s="8" t="s">
        <v>214</v>
      </c>
      <c r="CZ44" s="8" t="s">
        <v>214</v>
      </c>
      <c r="DA44" s="8" t="s">
        <v>214</v>
      </c>
      <c r="DB44" s="8" t="s">
        <v>214</v>
      </c>
      <c r="DC44" s="8" t="s">
        <v>214</v>
      </c>
      <c r="DD44" s="8" t="s">
        <v>214</v>
      </c>
      <c r="DE44" s="8" t="s">
        <v>214</v>
      </c>
      <c r="DF44" s="8" t="s">
        <v>214</v>
      </c>
      <c r="DG44" s="8" t="s">
        <v>214</v>
      </c>
      <c r="DH44" s="8" t="s">
        <v>214</v>
      </c>
      <c r="DI44" s="8" t="s">
        <v>214</v>
      </c>
      <c r="DJ44" s="8" t="s">
        <v>214</v>
      </c>
      <c r="DK44" s="8" t="s">
        <v>214</v>
      </c>
      <c r="DL44" s="8" t="s">
        <v>214</v>
      </c>
      <c r="DM44" s="8" t="s">
        <v>214</v>
      </c>
      <c r="DN44" s="8" t="s">
        <v>214</v>
      </c>
      <c r="DO44" s="8" t="s">
        <v>214</v>
      </c>
      <c r="DP44" s="8" t="s">
        <v>214</v>
      </c>
      <c r="DQ44" s="8" t="s">
        <v>214</v>
      </c>
      <c r="DR44" s="8" t="s">
        <v>214</v>
      </c>
      <c r="DS44" s="8" t="s">
        <v>214</v>
      </c>
      <c r="DT44" s="8" t="s">
        <v>214</v>
      </c>
      <c r="DU44" s="8" t="s">
        <v>214</v>
      </c>
      <c r="DV44" s="8" t="s">
        <v>214</v>
      </c>
      <c r="DW44" s="8" t="s">
        <v>214</v>
      </c>
      <c r="DX44" s="8" t="s">
        <v>214</v>
      </c>
      <c r="DY44" s="8" t="s">
        <v>214</v>
      </c>
      <c r="DZ44" s="8" t="s">
        <v>214</v>
      </c>
      <c r="EA44" s="8" t="s">
        <v>214</v>
      </c>
      <c r="EB44" s="8" t="s">
        <v>214</v>
      </c>
      <c r="EC44" s="8" t="s">
        <v>214</v>
      </c>
      <c r="ED44" s="8" t="s">
        <v>214</v>
      </c>
      <c r="EE44" s="8" t="s">
        <v>214</v>
      </c>
      <c r="EF44" s="8" t="s">
        <v>214</v>
      </c>
      <c r="EG44" s="8" t="s">
        <v>214</v>
      </c>
      <c r="EH44" s="8" t="s">
        <v>214</v>
      </c>
      <c r="EI44" s="8" t="s">
        <v>214</v>
      </c>
      <c r="EJ44" s="8" t="s">
        <v>214</v>
      </c>
      <c r="EK44" s="8" t="s">
        <v>214</v>
      </c>
      <c r="EL44" s="8" t="s">
        <v>214</v>
      </c>
      <c r="EM44" s="8" t="s">
        <v>214</v>
      </c>
      <c r="EN44" s="8" t="s">
        <v>214</v>
      </c>
      <c r="EO44" s="8" t="s">
        <v>214</v>
      </c>
      <c r="EP44" s="8" t="s">
        <v>214</v>
      </c>
      <c r="EQ44" s="8" t="s">
        <v>214</v>
      </c>
      <c r="ER44" s="8" t="s">
        <v>214</v>
      </c>
      <c r="ES44" s="8" t="s">
        <v>214</v>
      </c>
      <c r="ET44" s="8" t="s">
        <v>214</v>
      </c>
      <c r="EU44" s="8" t="s">
        <v>214</v>
      </c>
      <c r="EV44" s="8" t="s">
        <v>214</v>
      </c>
      <c r="EW44" s="8" t="s">
        <v>214</v>
      </c>
      <c r="EX44" s="8" t="s">
        <v>214</v>
      </c>
      <c r="EY44" s="8" t="s">
        <v>214</v>
      </c>
      <c r="EZ44" s="8" t="s">
        <v>214</v>
      </c>
      <c r="FA44" s="8" t="s">
        <v>214</v>
      </c>
      <c r="FB44" s="8" t="s">
        <v>214</v>
      </c>
      <c r="FC44" s="8" t="s">
        <v>214</v>
      </c>
      <c r="FD44" s="8" t="s">
        <v>214</v>
      </c>
      <c r="FE44" s="8" t="s">
        <v>214</v>
      </c>
      <c r="FF44" s="8" t="s">
        <v>214</v>
      </c>
      <c r="FG44" s="8" t="s">
        <v>214</v>
      </c>
      <c r="FH44" s="8" t="s">
        <v>214</v>
      </c>
      <c r="FI44" s="8" t="s">
        <v>214</v>
      </c>
      <c r="FJ44" s="8" t="s">
        <v>214</v>
      </c>
      <c r="FK44" s="8" t="s">
        <v>214</v>
      </c>
      <c r="FL44" s="8" t="s">
        <v>214</v>
      </c>
    </row>
    <row r="45" spans="1:168" ht="11.45" customHeight="1" x14ac:dyDescent="0.25">
      <c r="A45" s="5" t="s">
        <v>184</v>
      </c>
      <c r="B45" s="5" t="s">
        <v>8</v>
      </c>
      <c r="C45" s="7" t="s">
        <v>217</v>
      </c>
      <c r="D45" s="7" t="s">
        <v>217</v>
      </c>
      <c r="E45" s="7" t="s">
        <v>214</v>
      </c>
      <c r="F45" s="7" t="s">
        <v>214</v>
      </c>
      <c r="G45" s="7" t="s">
        <v>214</v>
      </c>
      <c r="H45" s="7" t="s">
        <v>214</v>
      </c>
      <c r="I45" s="7" t="s">
        <v>214</v>
      </c>
      <c r="J45" s="7" t="s">
        <v>214</v>
      </c>
      <c r="K45" s="7" t="s">
        <v>214</v>
      </c>
      <c r="L45" s="7" t="s">
        <v>214</v>
      </c>
      <c r="M45" s="7" t="s">
        <v>214</v>
      </c>
      <c r="N45" s="7" t="s">
        <v>214</v>
      </c>
      <c r="O45" s="7" t="s">
        <v>214</v>
      </c>
      <c r="P45" s="7" t="s">
        <v>214</v>
      </c>
      <c r="Q45" s="7" t="s">
        <v>214</v>
      </c>
      <c r="R45" s="7" t="s">
        <v>217</v>
      </c>
      <c r="S45" s="7" t="s">
        <v>214</v>
      </c>
      <c r="T45" s="7" t="s">
        <v>214</v>
      </c>
      <c r="U45" s="7" t="s">
        <v>214</v>
      </c>
      <c r="V45" s="7" t="s">
        <v>214</v>
      </c>
      <c r="W45" s="7" t="s">
        <v>214</v>
      </c>
      <c r="X45" s="7" t="s">
        <v>214</v>
      </c>
      <c r="Y45" s="7" t="s">
        <v>214</v>
      </c>
      <c r="Z45" s="7" t="s">
        <v>214</v>
      </c>
      <c r="AA45" s="7" t="s">
        <v>214</v>
      </c>
      <c r="AB45" s="7" t="s">
        <v>214</v>
      </c>
      <c r="AC45" s="7" t="s">
        <v>217</v>
      </c>
      <c r="AD45" s="7" t="s">
        <v>214</v>
      </c>
      <c r="AE45" s="7" t="s">
        <v>214</v>
      </c>
      <c r="AF45" s="7" t="s">
        <v>214</v>
      </c>
      <c r="AG45" s="7" t="s">
        <v>214</v>
      </c>
      <c r="AH45" s="7" t="s">
        <v>214</v>
      </c>
      <c r="AI45" s="7" t="s">
        <v>214</v>
      </c>
      <c r="AJ45" s="7" t="s">
        <v>214</v>
      </c>
      <c r="AK45" s="7" t="s">
        <v>214</v>
      </c>
      <c r="AL45" s="7" t="s">
        <v>214</v>
      </c>
      <c r="AM45" s="7" t="s">
        <v>214</v>
      </c>
      <c r="AN45" s="7" t="s">
        <v>214</v>
      </c>
      <c r="AO45" s="7" t="s">
        <v>214</v>
      </c>
      <c r="AP45" s="7" t="s">
        <v>214</v>
      </c>
      <c r="AQ45" s="7" t="s">
        <v>214</v>
      </c>
      <c r="AR45" s="7" t="s">
        <v>214</v>
      </c>
      <c r="AS45" s="7" t="s">
        <v>214</v>
      </c>
      <c r="AT45" s="7" t="s">
        <v>214</v>
      </c>
      <c r="AU45" s="7" t="s">
        <v>214</v>
      </c>
      <c r="AV45" s="7" t="s">
        <v>214</v>
      </c>
      <c r="AW45" s="7" t="s">
        <v>214</v>
      </c>
      <c r="AX45" s="7" t="s">
        <v>214</v>
      </c>
      <c r="AY45" s="7" t="s">
        <v>214</v>
      </c>
      <c r="AZ45" s="7" t="s">
        <v>214</v>
      </c>
      <c r="BA45" s="7" t="s">
        <v>218</v>
      </c>
      <c r="BB45" s="7" t="s">
        <v>214</v>
      </c>
      <c r="BC45" s="7" t="s">
        <v>214</v>
      </c>
      <c r="BD45" s="7" t="s">
        <v>214</v>
      </c>
      <c r="BE45" s="7" t="s">
        <v>214</v>
      </c>
      <c r="BF45" s="7" t="s">
        <v>214</v>
      </c>
      <c r="BG45" s="7" t="s">
        <v>214</v>
      </c>
      <c r="BH45" s="7" t="s">
        <v>214</v>
      </c>
      <c r="BI45" s="7" t="s">
        <v>214</v>
      </c>
      <c r="BJ45" s="7" t="s">
        <v>218</v>
      </c>
      <c r="BK45" s="7" t="s">
        <v>214</v>
      </c>
      <c r="BL45" s="7" t="s">
        <v>214</v>
      </c>
      <c r="BM45" s="7" t="s">
        <v>218</v>
      </c>
      <c r="BN45" s="7" t="s">
        <v>214</v>
      </c>
      <c r="BO45" s="7" t="s">
        <v>214</v>
      </c>
      <c r="BP45" s="7" t="s">
        <v>214</v>
      </c>
      <c r="BQ45" s="7" t="s">
        <v>214</v>
      </c>
      <c r="BR45" s="7" t="s">
        <v>214</v>
      </c>
      <c r="BS45" s="7" t="s">
        <v>214</v>
      </c>
      <c r="BT45" s="7" t="s">
        <v>218</v>
      </c>
      <c r="BU45" s="7" t="s">
        <v>218</v>
      </c>
      <c r="BV45" s="7" t="s">
        <v>214</v>
      </c>
      <c r="BW45" s="7" t="s">
        <v>214</v>
      </c>
      <c r="BX45" s="7" t="s">
        <v>214</v>
      </c>
      <c r="BY45" s="7" t="s">
        <v>214</v>
      </c>
      <c r="BZ45" s="7" t="s">
        <v>214</v>
      </c>
      <c r="CA45" s="7" t="s">
        <v>214</v>
      </c>
      <c r="CB45" s="7" t="s">
        <v>214</v>
      </c>
      <c r="CC45" s="7" t="s">
        <v>214</v>
      </c>
      <c r="CD45" s="7" t="s">
        <v>214</v>
      </c>
      <c r="CE45" s="7" t="s">
        <v>214</v>
      </c>
      <c r="CF45" s="7" t="s">
        <v>214</v>
      </c>
      <c r="CG45" s="7" t="s">
        <v>214</v>
      </c>
      <c r="CH45" s="7" t="s">
        <v>214</v>
      </c>
      <c r="CI45" s="7" t="s">
        <v>214</v>
      </c>
      <c r="CJ45" s="7" t="s">
        <v>218</v>
      </c>
      <c r="CK45" s="7" t="s">
        <v>218</v>
      </c>
      <c r="CL45" s="7" t="s">
        <v>214</v>
      </c>
      <c r="CM45" s="7" t="s">
        <v>214</v>
      </c>
      <c r="CN45" s="7" t="s">
        <v>214</v>
      </c>
      <c r="CO45" s="7" t="s">
        <v>214</v>
      </c>
      <c r="CP45" s="7" t="s">
        <v>214</v>
      </c>
      <c r="CQ45" s="7" t="s">
        <v>214</v>
      </c>
      <c r="CR45" s="7" t="s">
        <v>214</v>
      </c>
      <c r="CS45" s="7" t="s">
        <v>214</v>
      </c>
      <c r="CT45" s="7" t="s">
        <v>214</v>
      </c>
      <c r="CU45" s="7" t="s">
        <v>214</v>
      </c>
      <c r="CV45" s="7" t="s">
        <v>214</v>
      </c>
      <c r="CW45" s="7" t="s">
        <v>214</v>
      </c>
      <c r="CX45" s="7" t="s">
        <v>214</v>
      </c>
      <c r="CY45" s="7" t="s">
        <v>214</v>
      </c>
      <c r="CZ45" s="7" t="s">
        <v>214</v>
      </c>
      <c r="DA45" s="7" t="s">
        <v>214</v>
      </c>
      <c r="DB45" s="7" t="s">
        <v>214</v>
      </c>
      <c r="DC45" s="7" t="s">
        <v>214</v>
      </c>
      <c r="DD45" s="7" t="s">
        <v>214</v>
      </c>
      <c r="DE45" s="7" t="s">
        <v>214</v>
      </c>
      <c r="DF45" s="7" t="s">
        <v>214</v>
      </c>
      <c r="DG45" s="7" t="s">
        <v>214</v>
      </c>
      <c r="DH45" s="7" t="s">
        <v>214</v>
      </c>
      <c r="DI45" s="7" t="s">
        <v>214</v>
      </c>
      <c r="DJ45" s="7" t="s">
        <v>214</v>
      </c>
      <c r="DK45" s="7" t="s">
        <v>214</v>
      </c>
      <c r="DL45" s="7" t="s">
        <v>214</v>
      </c>
      <c r="DM45" s="7" t="s">
        <v>214</v>
      </c>
      <c r="DN45" s="7" t="s">
        <v>214</v>
      </c>
      <c r="DO45" s="7" t="s">
        <v>214</v>
      </c>
      <c r="DP45" s="7" t="s">
        <v>214</v>
      </c>
      <c r="DQ45" s="7" t="s">
        <v>214</v>
      </c>
      <c r="DR45" s="7" t="s">
        <v>214</v>
      </c>
      <c r="DS45" s="7" t="s">
        <v>214</v>
      </c>
      <c r="DT45" s="7" t="s">
        <v>214</v>
      </c>
      <c r="DU45" s="7" t="s">
        <v>214</v>
      </c>
      <c r="DV45" s="7" t="s">
        <v>214</v>
      </c>
      <c r="DW45" s="7" t="s">
        <v>214</v>
      </c>
      <c r="DX45" s="7" t="s">
        <v>214</v>
      </c>
      <c r="DY45" s="7" t="s">
        <v>214</v>
      </c>
      <c r="DZ45" s="7" t="s">
        <v>214</v>
      </c>
      <c r="EA45" s="7" t="s">
        <v>214</v>
      </c>
      <c r="EB45" s="7" t="s">
        <v>214</v>
      </c>
      <c r="EC45" s="7" t="s">
        <v>214</v>
      </c>
      <c r="ED45" s="7" t="s">
        <v>214</v>
      </c>
      <c r="EE45" s="7" t="s">
        <v>214</v>
      </c>
      <c r="EF45" s="7" t="s">
        <v>214</v>
      </c>
      <c r="EG45" s="7" t="s">
        <v>214</v>
      </c>
      <c r="EH45" s="7" t="s">
        <v>214</v>
      </c>
      <c r="EI45" s="7" t="s">
        <v>214</v>
      </c>
      <c r="EJ45" s="7" t="s">
        <v>214</v>
      </c>
      <c r="EK45" s="7" t="s">
        <v>214</v>
      </c>
      <c r="EL45" s="7" t="s">
        <v>214</v>
      </c>
      <c r="EM45" s="7" t="s">
        <v>214</v>
      </c>
      <c r="EN45" s="7" t="s">
        <v>214</v>
      </c>
      <c r="EO45" s="7" t="s">
        <v>214</v>
      </c>
      <c r="EP45" s="7" t="s">
        <v>214</v>
      </c>
      <c r="EQ45" s="7" t="s">
        <v>214</v>
      </c>
      <c r="ER45" s="7" t="s">
        <v>214</v>
      </c>
      <c r="ES45" s="7" t="s">
        <v>214</v>
      </c>
      <c r="ET45" s="7" t="s">
        <v>214</v>
      </c>
      <c r="EU45" s="7" t="s">
        <v>214</v>
      </c>
      <c r="EV45" s="7" t="s">
        <v>214</v>
      </c>
      <c r="EW45" s="7" t="s">
        <v>214</v>
      </c>
      <c r="EX45" s="7" t="s">
        <v>214</v>
      </c>
      <c r="EY45" s="7" t="s">
        <v>214</v>
      </c>
      <c r="EZ45" s="7" t="s">
        <v>214</v>
      </c>
      <c r="FA45" s="7" t="s">
        <v>214</v>
      </c>
      <c r="FB45" s="7" t="s">
        <v>214</v>
      </c>
      <c r="FC45" s="7" t="s">
        <v>214</v>
      </c>
      <c r="FD45" s="7" t="s">
        <v>214</v>
      </c>
      <c r="FE45" s="7" t="s">
        <v>214</v>
      </c>
      <c r="FF45" s="7" t="s">
        <v>214</v>
      </c>
      <c r="FG45" s="7" t="s">
        <v>214</v>
      </c>
      <c r="FH45" s="7" t="s">
        <v>214</v>
      </c>
      <c r="FI45" s="7" t="s">
        <v>214</v>
      </c>
      <c r="FJ45" s="7" t="s">
        <v>214</v>
      </c>
      <c r="FK45" s="7" t="s">
        <v>214</v>
      </c>
      <c r="FL45" s="7" t="s">
        <v>214</v>
      </c>
    </row>
    <row r="46" spans="1:168" ht="11.45" customHeight="1" x14ac:dyDescent="0.25">
      <c r="A46" s="5" t="s">
        <v>184</v>
      </c>
      <c r="B46" s="5" t="s">
        <v>9</v>
      </c>
      <c r="C46" s="8" t="s">
        <v>217</v>
      </c>
      <c r="D46" s="8" t="s">
        <v>217</v>
      </c>
      <c r="E46" s="8" t="s">
        <v>214</v>
      </c>
      <c r="F46" s="8" t="s">
        <v>214</v>
      </c>
      <c r="G46" s="8" t="s">
        <v>214</v>
      </c>
      <c r="H46" s="8" t="s">
        <v>214</v>
      </c>
      <c r="I46" s="8" t="s">
        <v>214</v>
      </c>
      <c r="J46" s="8" t="s">
        <v>214</v>
      </c>
      <c r="K46" s="8" t="s">
        <v>214</v>
      </c>
      <c r="L46" s="8" t="s">
        <v>214</v>
      </c>
      <c r="M46" s="8" t="s">
        <v>214</v>
      </c>
      <c r="N46" s="8" t="s">
        <v>214</v>
      </c>
      <c r="O46" s="8" t="s">
        <v>214</v>
      </c>
      <c r="P46" s="8" t="s">
        <v>214</v>
      </c>
      <c r="Q46" s="8" t="s">
        <v>214</v>
      </c>
      <c r="R46" s="8" t="s">
        <v>217</v>
      </c>
      <c r="S46" s="8" t="s">
        <v>214</v>
      </c>
      <c r="T46" s="8" t="s">
        <v>214</v>
      </c>
      <c r="U46" s="8" t="s">
        <v>214</v>
      </c>
      <c r="V46" s="8" t="s">
        <v>214</v>
      </c>
      <c r="W46" s="8" t="s">
        <v>214</v>
      </c>
      <c r="X46" s="8" t="s">
        <v>214</v>
      </c>
      <c r="Y46" s="8" t="s">
        <v>214</v>
      </c>
      <c r="Z46" s="8" t="s">
        <v>214</v>
      </c>
      <c r="AA46" s="8" t="s">
        <v>214</v>
      </c>
      <c r="AB46" s="8" t="s">
        <v>214</v>
      </c>
      <c r="AC46" s="8" t="s">
        <v>217</v>
      </c>
      <c r="AD46" s="8" t="s">
        <v>214</v>
      </c>
      <c r="AE46" s="8" t="s">
        <v>214</v>
      </c>
      <c r="AF46" s="8" t="s">
        <v>214</v>
      </c>
      <c r="AG46" s="8" t="s">
        <v>214</v>
      </c>
      <c r="AH46" s="8" t="s">
        <v>214</v>
      </c>
      <c r="AI46" s="8" t="s">
        <v>214</v>
      </c>
      <c r="AJ46" s="8" t="s">
        <v>214</v>
      </c>
      <c r="AK46" s="8" t="s">
        <v>214</v>
      </c>
      <c r="AL46" s="8" t="s">
        <v>214</v>
      </c>
      <c r="AM46" s="8" t="s">
        <v>214</v>
      </c>
      <c r="AN46" s="8" t="s">
        <v>214</v>
      </c>
      <c r="AO46" s="8" t="s">
        <v>214</v>
      </c>
      <c r="AP46" s="8" t="s">
        <v>214</v>
      </c>
      <c r="AQ46" s="8" t="s">
        <v>214</v>
      </c>
      <c r="AR46" s="8" t="s">
        <v>214</v>
      </c>
      <c r="AS46" s="8" t="s">
        <v>214</v>
      </c>
      <c r="AT46" s="8" t="s">
        <v>214</v>
      </c>
      <c r="AU46" s="8" t="s">
        <v>214</v>
      </c>
      <c r="AV46" s="8" t="s">
        <v>214</v>
      </c>
      <c r="AW46" s="8" t="s">
        <v>214</v>
      </c>
      <c r="AX46" s="8" t="s">
        <v>214</v>
      </c>
      <c r="AY46" s="8" t="s">
        <v>214</v>
      </c>
      <c r="AZ46" s="8" t="s">
        <v>214</v>
      </c>
      <c r="BA46" s="8" t="s">
        <v>218</v>
      </c>
      <c r="BB46" s="8" t="s">
        <v>214</v>
      </c>
      <c r="BC46" s="8" t="s">
        <v>214</v>
      </c>
      <c r="BD46" s="8" t="s">
        <v>214</v>
      </c>
      <c r="BE46" s="8" t="s">
        <v>214</v>
      </c>
      <c r="BF46" s="8" t="s">
        <v>214</v>
      </c>
      <c r="BG46" s="8" t="s">
        <v>214</v>
      </c>
      <c r="BH46" s="8" t="s">
        <v>214</v>
      </c>
      <c r="BI46" s="8" t="s">
        <v>214</v>
      </c>
      <c r="BJ46" s="8" t="s">
        <v>218</v>
      </c>
      <c r="BK46" s="8" t="s">
        <v>214</v>
      </c>
      <c r="BL46" s="8" t="s">
        <v>214</v>
      </c>
      <c r="BM46" s="8" t="s">
        <v>214</v>
      </c>
      <c r="BN46" s="8" t="s">
        <v>214</v>
      </c>
      <c r="BO46" s="8" t="s">
        <v>214</v>
      </c>
      <c r="BP46" s="8" t="s">
        <v>214</v>
      </c>
      <c r="BQ46" s="8" t="s">
        <v>214</v>
      </c>
      <c r="BR46" s="8" t="s">
        <v>214</v>
      </c>
      <c r="BS46" s="8" t="s">
        <v>214</v>
      </c>
      <c r="BT46" s="8" t="s">
        <v>218</v>
      </c>
      <c r="BU46" s="8" t="s">
        <v>218</v>
      </c>
      <c r="BV46" s="8" t="s">
        <v>214</v>
      </c>
      <c r="BW46" s="8" t="s">
        <v>214</v>
      </c>
      <c r="BX46" s="8" t="s">
        <v>214</v>
      </c>
      <c r="BY46" s="8" t="s">
        <v>214</v>
      </c>
      <c r="BZ46" s="8" t="s">
        <v>214</v>
      </c>
      <c r="CA46" s="8" t="s">
        <v>214</v>
      </c>
      <c r="CB46" s="8" t="s">
        <v>214</v>
      </c>
      <c r="CC46" s="8" t="s">
        <v>214</v>
      </c>
      <c r="CD46" s="8" t="s">
        <v>214</v>
      </c>
      <c r="CE46" s="8" t="s">
        <v>214</v>
      </c>
      <c r="CF46" s="8" t="s">
        <v>214</v>
      </c>
      <c r="CG46" s="8" t="s">
        <v>214</v>
      </c>
      <c r="CH46" s="8" t="s">
        <v>214</v>
      </c>
      <c r="CI46" s="8" t="s">
        <v>214</v>
      </c>
      <c r="CJ46" s="8" t="s">
        <v>214</v>
      </c>
      <c r="CK46" s="8" t="s">
        <v>218</v>
      </c>
      <c r="CL46" s="8" t="s">
        <v>214</v>
      </c>
      <c r="CM46" s="8" t="s">
        <v>214</v>
      </c>
      <c r="CN46" s="8" t="s">
        <v>214</v>
      </c>
      <c r="CO46" s="8" t="s">
        <v>214</v>
      </c>
      <c r="CP46" s="8" t="s">
        <v>214</v>
      </c>
      <c r="CQ46" s="8" t="s">
        <v>214</v>
      </c>
      <c r="CR46" s="8" t="s">
        <v>214</v>
      </c>
      <c r="CS46" s="8" t="s">
        <v>214</v>
      </c>
      <c r="CT46" s="8" t="s">
        <v>214</v>
      </c>
      <c r="CU46" s="8" t="s">
        <v>214</v>
      </c>
      <c r="CV46" s="8" t="s">
        <v>214</v>
      </c>
      <c r="CW46" s="8" t="s">
        <v>214</v>
      </c>
      <c r="CX46" s="8" t="s">
        <v>214</v>
      </c>
      <c r="CY46" s="8" t="s">
        <v>214</v>
      </c>
      <c r="CZ46" s="8" t="s">
        <v>214</v>
      </c>
      <c r="DA46" s="8" t="s">
        <v>214</v>
      </c>
      <c r="DB46" s="8" t="s">
        <v>214</v>
      </c>
      <c r="DC46" s="8" t="s">
        <v>214</v>
      </c>
      <c r="DD46" s="8" t="s">
        <v>214</v>
      </c>
      <c r="DE46" s="8" t="s">
        <v>214</v>
      </c>
      <c r="DF46" s="8" t="s">
        <v>214</v>
      </c>
      <c r="DG46" s="8" t="s">
        <v>214</v>
      </c>
      <c r="DH46" s="8" t="s">
        <v>214</v>
      </c>
      <c r="DI46" s="8" t="s">
        <v>214</v>
      </c>
      <c r="DJ46" s="8" t="s">
        <v>214</v>
      </c>
      <c r="DK46" s="8" t="s">
        <v>214</v>
      </c>
      <c r="DL46" s="8" t="s">
        <v>214</v>
      </c>
      <c r="DM46" s="8" t="s">
        <v>214</v>
      </c>
      <c r="DN46" s="8" t="s">
        <v>214</v>
      </c>
      <c r="DO46" s="8" t="s">
        <v>214</v>
      </c>
      <c r="DP46" s="8" t="s">
        <v>214</v>
      </c>
      <c r="DQ46" s="8" t="s">
        <v>214</v>
      </c>
      <c r="DR46" s="8" t="s">
        <v>214</v>
      </c>
      <c r="DS46" s="8" t="s">
        <v>214</v>
      </c>
      <c r="DT46" s="8" t="s">
        <v>214</v>
      </c>
      <c r="DU46" s="8" t="s">
        <v>214</v>
      </c>
      <c r="DV46" s="8" t="s">
        <v>214</v>
      </c>
      <c r="DW46" s="8" t="s">
        <v>214</v>
      </c>
      <c r="DX46" s="8" t="s">
        <v>214</v>
      </c>
      <c r="DY46" s="8" t="s">
        <v>214</v>
      </c>
      <c r="DZ46" s="8" t="s">
        <v>214</v>
      </c>
      <c r="EA46" s="8" t="s">
        <v>214</v>
      </c>
      <c r="EB46" s="8" t="s">
        <v>214</v>
      </c>
      <c r="EC46" s="8" t="s">
        <v>214</v>
      </c>
      <c r="ED46" s="8" t="s">
        <v>214</v>
      </c>
      <c r="EE46" s="8" t="s">
        <v>214</v>
      </c>
      <c r="EF46" s="8" t="s">
        <v>214</v>
      </c>
      <c r="EG46" s="8" t="s">
        <v>214</v>
      </c>
      <c r="EH46" s="8" t="s">
        <v>214</v>
      </c>
      <c r="EI46" s="8" t="s">
        <v>214</v>
      </c>
      <c r="EJ46" s="8" t="s">
        <v>214</v>
      </c>
      <c r="EK46" s="8" t="s">
        <v>214</v>
      </c>
      <c r="EL46" s="8" t="s">
        <v>214</v>
      </c>
      <c r="EM46" s="8" t="s">
        <v>214</v>
      </c>
      <c r="EN46" s="8" t="s">
        <v>214</v>
      </c>
      <c r="EO46" s="8" t="s">
        <v>214</v>
      </c>
      <c r="EP46" s="8" t="s">
        <v>214</v>
      </c>
      <c r="EQ46" s="8" t="s">
        <v>214</v>
      </c>
      <c r="ER46" s="8" t="s">
        <v>214</v>
      </c>
      <c r="ES46" s="8" t="s">
        <v>214</v>
      </c>
      <c r="ET46" s="8" t="s">
        <v>214</v>
      </c>
      <c r="EU46" s="8" t="s">
        <v>214</v>
      </c>
      <c r="EV46" s="8" t="s">
        <v>214</v>
      </c>
      <c r="EW46" s="8" t="s">
        <v>214</v>
      </c>
      <c r="EX46" s="8" t="s">
        <v>214</v>
      </c>
      <c r="EY46" s="8" t="s">
        <v>214</v>
      </c>
      <c r="EZ46" s="8" t="s">
        <v>214</v>
      </c>
      <c r="FA46" s="8" t="s">
        <v>214</v>
      </c>
      <c r="FB46" s="8" t="s">
        <v>214</v>
      </c>
      <c r="FC46" s="8" t="s">
        <v>214</v>
      </c>
      <c r="FD46" s="8" t="s">
        <v>214</v>
      </c>
      <c r="FE46" s="8" t="s">
        <v>214</v>
      </c>
      <c r="FF46" s="8" t="s">
        <v>214</v>
      </c>
      <c r="FG46" s="8" t="s">
        <v>214</v>
      </c>
      <c r="FH46" s="8" t="s">
        <v>214</v>
      </c>
      <c r="FI46" s="8" t="s">
        <v>214</v>
      </c>
      <c r="FJ46" s="8" t="s">
        <v>214</v>
      </c>
      <c r="FK46" s="8" t="s">
        <v>214</v>
      </c>
      <c r="FL46" s="8" t="s">
        <v>214</v>
      </c>
    </row>
    <row r="47" spans="1:168" ht="11.45" customHeight="1" x14ac:dyDescent="0.25">
      <c r="A47" s="5" t="s">
        <v>185</v>
      </c>
      <c r="B47" s="5" t="s">
        <v>6</v>
      </c>
      <c r="C47" s="7" t="s">
        <v>214</v>
      </c>
      <c r="D47" s="7" t="s">
        <v>214</v>
      </c>
      <c r="E47" s="7" t="s">
        <v>214</v>
      </c>
      <c r="F47" s="7" t="s">
        <v>214</v>
      </c>
      <c r="G47" s="7" t="s">
        <v>214</v>
      </c>
      <c r="H47" s="7" t="s">
        <v>214</v>
      </c>
      <c r="I47" s="7" t="s">
        <v>214</v>
      </c>
      <c r="J47" s="7" t="s">
        <v>214</v>
      </c>
      <c r="K47" s="7" t="s">
        <v>214</v>
      </c>
      <c r="L47" s="7" t="s">
        <v>214</v>
      </c>
      <c r="M47" s="7" t="s">
        <v>214</v>
      </c>
      <c r="N47" s="7" t="s">
        <v>214</v>
      </c>
      <c r="O47" s="7" t="s">
        <v>214</v>
      </c>
      <c r="P47" s="7" t="s">
        <v>214</v>
      </c>
      <c r="Q47" s="7" t="s">
        <v>214</v>
      </c>
      <c r="R47" s="7" t="s">
        <v>214</v>
      </c>
      <c r="S47" s="7" t="s">
        <v>214</v>
      </c>
      <c r="T47" s="7" t="s">
        <v>214</v>
      </c>
      <c r="U47" s="7" t="s">
        <v>214</v>
      </c>
      <c r="V47" s="7" t="s">
        <v>214</v>
      </c>
      <c r="W47" s="7" t="s">
        <v>214</v>
      </c>
      <c r="X47" s="7" t="s">
        <v>214</v>
      </c>
      <c r="Y47" s="7" t="s">
        <v>214</v>
      </c>
      <c r="Z47" s="7" t="s">
        <v>214</v>
      </c>
      <c r="AA47" s="7" t="s">
        <v>214</v>
      </c>
      <c r="AB47" s="7" t="s">
        <v>214</v>
      </c>
      <c r="AC47" s="7" t="s">
        <v>214</v>
      </c>
      <c r="AD47" s="7" t="s">
        <v>214</v>
      </c>
      <c r="AE47" s="7" t="s">
        <v>214</v>
      </c>
      <c r="AF47" s="7" t="s">
        <v>214</v>
      </c>
      <c r="AG47" s="7" t="s">
        <v>214</v>
      </c>
      <c r="AH47" s="7" t="s">
        <v>214</v>
      </c>
      <c r="AI47" s="7" t="s">
        <v>214</v>
      </c>
      <c r="AJ47" s="7" t="s">
        <v>214</v>
      </c>
      <c r="AK47" s="7" t="s">
        <v>214</v>
      </c>
      <c r="AL47" s="7" t="s">
        <v>214</v>
      </c>
      <c r="AM47" s="7" t="s">
        <v>214</v>
      </c>
      <c r="AN47" s="7" t="s">
        <v>214</v>
      </c>
      <c r="AO47" s="7" t="s">
        <v>214</v>
      </c>
      <c r="AP47" s="7" t="s">
        <v>214</v>
      </c>
      <c r="AQ47" s="7" t="s">
        <v>214</v>
      </c>
      <c r="AR47" s="7" t="s">
        <v>214</v>
      </c>
      <c r="AS47" s="7" t="s">
        <v>214</v>
      </c>
      <c r="AT47" s="7" t="s">
        <v>214</v>
      </c>
      <c r="AU47" s="7" t="s">
        <v>214</v>
      </c>
      <c r="AV47" s="7" t="s">
        <v>214</v>
      </c>
      <c r="AW47" s="7" t="s">
        <v>214</v>
      </c>
      <c r="AX47" s="7" t="s">
        <v>214</v>
      </c>
      <c r="AY47" s="7" t="s">
        <v>214</v>
      </c>
      <c r="AZ47" s="7" t="s">
        <v>214</v>
      </c>
      <c r="BA47" s="7" t="s">
        <v>214</v>
      </c>
      <c r="BB47" s="7" t="s">
        <v>214</v>
      </c>
      <c r="BC47" s="7" t="s">
        <v>214</v>
      </c>
      <c r="BD47" s="7" t="s">
        <v>214</v>
      </c>
      <c r="BE47" s="7" t="s">
        <v>214</v>
      </c>
      <c r="BF47" s="7" t="s">
        <v>214</v>
      </c>
      <c r="BG47" s="7" t="s">
        <v>214</v>
      </c>
      <c r="BH47" s="7" t="s">
        <v>214</v>
      </c>
      <c r="BI47" s="7" t="s">
        <v>214</v>
      </c>
      <c r="BJ47" s="7" t="s">
        <v>214</v>
      </c>
      <c r="BK47" s="7" t="s">
        <v>214</v>
      </c>
      <c r="BL47" s="7" t="s">
        <v>214</v>
      </c>
      <c r="BM47" s="7" t="s">
        <v>214</v>
      </c>
      <c r="BN47" s="7" t="s">
        <v>214</v>
      </c>
      <c r="BO47" s="7" t="s">
        <v>214</v>
      </c>
      <c r="BP47" s="7" t="s">
        <v>214</v>
      </c>
      <c r="BQ47" s="7" t="s">
        <v>214</v>
      </c>
      <c r="BR47" s="7" t="s">
        <v>214</v>
      </c>
      <c r="BS47" s="7" t="s">
        <v>214</v>
      </c>
      <c r="BT47" s="7" t="s">
        <v>214</v>
      </c>
      <c r="BU47" s="7" t="s">
        <v>214</v>
      </c>
      <c r="BV47" s="7" t="s">
        <v>214</v>
      </c>
      <c r="BW47" s="7" t="s">
        <v>214</v>
      </c>
      <c r="BX47" s="7" t="s">
        <v>214</v>
      </c>
      <c r="BY47" s="7" t="s">
        <v>214</v>
      </c>
      <c r="BZ47" s="7" t="s">
        <v>214</v>
      </c>
      <c r="CA47" s="7" t="s">
        <v>214</v>
      </c>
      <c r="CB47" s="7" t="s">
        <v>214</v>
      </c>
      <c r="CC47" s="7" t="s">
        <v>214</v>
      </c>
      <c r="CD47" s="7" t="s">
        <v>214</v>
      </c>
      <c r="CE47" s="7" t="s">
        <v>214</v>
      </c>
      <c r="CF47" s="7" t="s">
        <v>214</v>
      </c>
      <c r="CG47" s="7" t="s">
        <v>214</v>
      </c>
      <c r="CH47" s="7" t="s">
        <v>214</v>
      </c>
      <c r="CI47" s="7" t="s">
        <v>214</v>
      </c>
      <c r="CJ47" s="7" t="s">
        <v>214</v>
      </c>
      <c r="CK47" s="7" t="s">
        <v>214</v>
      </c>
      <c r="CL47" s="7" t="s">
        <v>214</v>
      </c>
      <c r="CM47" s="7" t="s">
        <v>214</v>
      </c>
      <c r="CN47" s="7" t="s">
        <v>214</v>
      </c>
      <c r="CO47" s="7" t="s">
        <v>214</v>
      </c>
      <c r="CP47" s="7" t="s">
        <v>214</v>
      </c>
      <c r="CQ47" s="7" t="s">
        <v>214</v>
      </c>
      <c r="CR47" s="7" t="s">
        <v>214</v>
      </c>
      <c r="CS47" s="7" t="s">
        <v>214</v>
      </c>
      <c r="CT47" s="7" t="s">
        <v>214</v>
      </c>
      <c r="CU47" s="7" t="s">
        <v>214</v>
      </c>
      <c r="CV47" s="7" t="s">
        <v>214</v>
      </c>
      <c r="CW47" s="7" t="s">
        <v>214</v>
      </c>
      <c r="CX47" s="7" t="s">
        <v>214</v>
      </c>
      <c r="CY47" s="7" t="s">
        <v>214</v>
      </c>
      <c r="CZ47" s="7" t="s">
        <v>214</v>
      </c>
      <c r="DA47" s="7" t="s">
        <v>214</v>
      </c>
      <c r="DB47" s="7" t="s">
        <v>214</v>
      </c>
      <c r="DC47" s="7" t="s">
        <v>214</v>
      </c>
      <c r="DD47" s="7" t="s">
        <v>214</v>
      </c>
      <c r="DE47" s="7" t="s">
        <v>214</v>
      </c>
      <c r="DF47" s="7" t="s">
        <v>214</v>
      </c>
      <c r="DG47" s="7" t="s">
        <v>214</v>
      </c>
      <c r="DH47" s="7" t="s">
        <v>214</v>
      </c>
      <c r="DI47" s="7" t="s">
        <v>214</v>
      </c>
      <c r="DJ47" s="7" t="s">
        <v>214</v>
      </c>
      <c r="DK47" s="7" t="s">
        <v>214</v>
      </c>
      <c r="DL47" s="7" t="s">
        <v>214</v>
      </c>
      <c r="DM47" s="7" t="s">
        <v>214</v>
      </c>
      <c r="DN47" s="7" t="s">
        <v>214</v>
      </c>
      <c r="DO47" s="7" t="s">
        <v>214</v>
      </c>
      <c r="DP47" s="7" t="s">
        <v>214</v>
      </c>
      <c r="DQ47" s="7" t="s">
        <v>214</v>
      </c>
      <c r="DR47" s="7" t="s">
        <v>214</v>
      </c>
      <c r="DS47" s="7" t="s">
        <v>214</v>
      </c>
      <c r="DT47" s="7" t="s">
        <v>214</v>
      </c>
      <c r="DU47" s="7" t="s">
        <v>214</v>
      </c>
      <c r="DV47" s="7" t="s">
        <v>214</v>
      </c>
      <c r="DW47" s="7" t="s">
        <v>214</v>
      </c>
      <c r="DX47" s="7" t="s">
        <v>214</v>
      </c>
      <c r="DY47" s="7" t="s">
        <v>214</v>
      </c>
      <c r="DZ47" s="7" t="s">
        <v>214</v>
      </c>
      <c r="EA47" s="7" t="s">
        <v>214</v>
      </c>
      <c r="EB47" s="7" t="s">
        <v>214</v>
      </c>
      <c r="EC47" s="7" t="s">
        <v>214</v>
      </c>
      <c r="ED47" s="7" t="s">
        <v>214</v>
      </c>
      <c r="EE47" s="7" t="s">
        <v>214</v>
      </c>
      <c r="EF47" s="7" t="s">
        <v>214</v>
      </c>
      <c r="EG47" s="7" t="s">
        <v>214</v>
      </c>
      <c r="EH47" s="7" t="s">
        <v>214</v>
      </c>
      <c r="EI47" s="7" t="s">
        <v>214</v>
      </c>
      <c r="EJ47" s="7" t="s">
        <v>214</v>
      </c>
      <c r="EK47" s="7" t="s">
        <v>214</v>
      </c>
      <c r="EL47" s="7" t="s">
        <v>214</v>
      </c>
      <c r="EM47" s="7" t="s">
        <v>214</v>
      </c>
      <c r="EN47" s="7" t="s">
        <v>214</v>
      </c>
      <c r="EO47" s="7" t="s">
        <v>214</v>
      </c>
      <c r="EP47" s="7" t="s">
        <v>214</v>
      </c>
      <c r="EQ47" s="7" t="s">
        <v>214</v>
      </c>
      <c r="ER47" s="7" t="s">
        <v>214</v>
      </c>
      <c r="ES47" s="7" t="s">
        <v>214</v>
      </c>
      <c r="ET47" s="7" t="s">
        <v>214</v>
      </c>
      <c r="EU47" s="7" t="s">
        <v>214</v>
      </c>
      <c r="EV47" s="7" t="s">
        <v>214</v>
      </c>
      <c r="EW47" s="7" t="s">
        <v>214</v>
      </c>
      <c r="EX47" s="7" t="s">
        <v>214</v>
      </c>
      <c r="EY47" s="7" t="s">
        <v>214</v>
      </c>
      <c r="EZ47" s="7" t="s">
        <v>214</v>
      </c>
      <c r="FA47" s="7" t="s">
        <v>214</v>
      </c>
      <c r="FB47" s="7" t="s">
        <v>214</v>
      </c>
      <c r="FC47" s="7" t="s">
        <v>214</v>
      </c>
      <c r="FD47" s="7" t="s">
        <v>214</v>
      </c>
      <c r="FE47" s="7" t="s">
        <v>214</v>
      </c>
      <c r="FF47" s="7" t="s">
        <v>214</v>
      </c>
      <c r="FG47" s="7" t="s">
        <v>214</v>
      </c>
      <c r="FH47" s="7" t="s">
        <v>214</v>
      </c>
      <c r="FI47" s="7" t="s">
        <v>214</v>
      </c>
      <c r="FJ47" s="7" t="s">
        <v>214</v>
      </c>
      <c r="FK47" s="7" t="s">
        <v>214</v>
      </c>
      <c r="FL47" s="7" t="s">
        <v>214</v>
      </c>
    </row>
    <row r="48" spans="1:168" ht="11.45" customHeight="1" x14ac:dyDescent="0.25">
      <c r="A48" s="5" t="s">
        <v>185</v>
      </c>
      <c r="B48" s="5" t="s">
        <v>7</v>
      </c>
      <c r="C48" s="8" t="s">
        <v>217</v>
      </c>
      <c r="D48" s="8" t="s">
        <v>217</v>
      </c>
      <c r="E48" s="8" t="s">
        <v>214</v>
      </c>
      <c r="F48" s="8" t="s">
        <v>214</v>
      </c>
      <c r="G48" s="8" t="s">
        <v>214</v>
      </c>
      <c r="H48" s="8" t="s">
        <v>214</v>
      </c>
      <c r="I48" s="8" t="s">
        <v>214</v>
      </c>
      <c r="J48" s="8" t="s">
        <v>214</v>
      </c>
      <c r="K48" s="8" t="s">
        <v>214</v>
      </c>
      <c r="L48" s="8" t="s">
        <v>214</v>
      </c>
      <c r="M48" s="8" t="s">
        <v>214</v>
      </c>
      <c r="N48" s="8" t="s">
        <v>214</v>
      </c>
      <c r="O48" s="8" t="s">
        <v>214</v>
      </c>
      <c r="P48" s="8" t="s">
        <v>214</v>
      </c>
      <c r="Q48" s="8" t="s">
        <v>214</v>
      </c>
      <c r="R48" s="8" t="s">
        <v>214</v>
      </c>
      <c r="S48" s="8" t="s">
        <v>214</v>
      </c>
      <c r="T48" s="8" t="s">
        <v>214</v>
      </c>
      <c r="U48" s="8" t="s">
        <v>214</v>
      </c>
      <c r="V48" s="8" t="s">
        <v>214</v>
      </c>
      <c r="W48" s="8" t="s">
        <v>214</v>
      </c>
      <c r="X48" s="8" t="s">
        <v>214</v>
      </c>
      <c r="Y48" s="8" t="s">
        <v>214</v>
      </c>
      <c r="Z48" s="8" t="s">
        <v>214</v>
      </c>
      <c r="AA48" s="8" t="s">
        <v>214</v>
      </c>
      <c r="AB48" s="8" t="s">
        <v>214</v>
      </c>
      <c r="AC48" s="8" t="s">
        <v>214</v>
      </c>
      <c r="AD48" s="8" t="s">
        <v>214</v>
      </c>
      <c r="AE48" s="8" t="s">
        <v>214</v>
      </c>
      <c r="AF48" s="8" t="s">
        <v>214</v>
      </c>
      <c r="AG48" s="8" t="s">
        <v>214</v>
      </c>
      <c r="AH48" s="8" t="s">
        <v>214</v>
      </c>
      <c r="AI48" s="8" t="s">
        <v>217</v>
      </c>
      <c r="AJ48" s="8" t="s">
        <v>214</v>
      </c>
      <c r="AK48" s="8" t="s">
        <v>214</v>
      </c>
      <c r="AL48" s="8" t="s">
        <v>214</v>
      </c>
      <c r="AM48" s="8" t="s">
        <v>214</v>
      </c>
      <c r="AN48" s="8" t="s">
        <v>214</v>
      </c>
      <c r="AO48" s="8" t="s">
        <v>214</v>
      </c>
      <c r="AP48" s="8" t="s">
        <v>214</v>
      </c>
      <c r="AQ48" s="8" t="s">
        <v>214</v>
      </c>
      <c r="AR48" s="8" t="s">
        <v>214</v>
      </c>
      <c r="AS48" s="8" t="s">
        <v>214</v>
      </c>
      <c r="AT48" s="8" t="s">
        <v>214</v>
      </c>
      <c r="AU48" s="8" t="s">
        <v>214</v>
      </c>
      <c r="AV48" s="8" t="s">
        <v>214</v>
      </c>
      <c r="AW48" s="8" t="s">
        <v>214</v>
      </c>
      <c r="AX48" s="8" t="s">
        <v>214</v>
      </c>
      <c r="AY48" s="8" t="s">
        <v>214</v>
      </c>
      <c r="AZ48" s="8" t="s">
        <v>214</v>
      </c>
      <c r="BA48" s="8" t="s">
        <v>214</v>
      </c>
      <c r="BB48" s="8" t="s">
        <v>214</v>
      </c>
      <c r="BC48" s="8" t="s">
        <v>214</v>
      </c>
      <c r="BD48" s="8" t="s">
        <v>214</v>
      </c>
      <c r="BE48" s="8" t="s">
        <v>214</v>
      </c>
      <c r="BF48" s="8" t="s">
        <v>218</v>
      </c>
      <c r="BG48" s="8" t="s">
        <v>214</v>
      </c>
      <c r="BH48" s="8" t="s">
        <v>214</v>
      </c>
      <c r="BI48" s="8" t="s">
        <v>214</v>
      </c>
      <c r="BJ48" s="8" t="s">
        <v>214</v>
      </c>
      <c r="BK48" s="8" t="s">
        <v>214</v>
      </c>
      <c r="BL48" s="8" t="s">
        <v>214</v>
      </c>
      <c r="BM48" s="8" t="s">
        <v>214</v>
      </c>
      <c r="BN48" s="8" t="s">
        <v>214</v>
      </c>
      <c r="BO48" s="8" t="s">
        <v>214</v>
      </c>
      <c r="BP48" s="8" t="s">
        <v>214</v>
      </c>
      <c r="BQ48" s="8" t="s">
        <v>214</v>
      </c>
      <c r="BR48" s="8" t="s">
        <v>214</v>
      </c>
      <c r="BS48" s="8" t="s">
        <v>214</v>
      </c>
      <c r="BT48" s="8" t="s">
        <v>214</v>
      </c>
      <c r="BU48" s="8" t="s">
        <v>214</v>
      </c>
      <c r="BV48" s="8" t="s">
        <v>214</v>
      </c>
      <c r="BW48" s="8" t="s">
        <v>214</v>
      </c>
      <c r="BX48" s="8" t="s">
        <v>214</v>
      </c>
      <c r="BY48" s="8" t="s">
        <v>214</v>
      </c>
      <c r="BZ48" s="8" t="s">
        <v>214</v>
      </c>
      <c r="CA48" s="8" t="s">
        <v>214</v>
      </c>
      <c r="CB48" s="8" t="s">
        <v>214</v>
      </c>
      <c r="CC48" s="8" t="s">
        <v>214</v>
      </c>
      <c r="CD48" s="8" t="s">
        <v>214</v>
      </c>
      <c r="CE48" s="8" t="s">
        <v>214</v>
      </c>
      <c r="CF48" s="8" t="s">
        <v>214</v>
      </c>
      <c r="CG48" s="8" t="s">
        <v>214</v>
      </c>
      <c r="CH48" s="8" t="s">
        <v>214</v>
      </c>
      <c r="CI48" s="8" t="s">
        <v>214</v>
      </c>
      <c r="CJ48" s="8" t="s">
        <v>218</v>
      </c>
      <c r="CK48" s="8" t="s">
        <v>217</v>
      </c>
      <c r="CL48" s="8" t="s">
        <v>214</v>
      </c>
      <c r="CM48" s="8" t="s">
        <v>214</v>
      </c>
      <c r="CN48" s="8" t="s">
        <v>214</v>
      </c>
      <c r="CO48" s="8" t="s">
        <v>214</v>
      </c>
      <c r="CP48" s="8" t="s">
        <v>214</v>
      </c>
      <c r="CQ48" s="8" t="s">
        <v>214</v>
      </c>
      <c r="CR48" s="8" t="s">
        <v>214</v>
      </c>
      <c r="CS48" s="8" t="s">
        <v>214</v>
      </c>
      <c r="CT48" s="8" t="s">
        <v>214</v>
      </c>
      <c r="CU48" s="8" t="s">
        <v>214</v>
      </c>
      <c r="CV48" s="8" t="s">
        <v>214</v>
      </c>
      <c r="CW48" s="8" t="s">
        <v>214</v>
      </c>
      <c r="CX48" s="8" t="s">
        <v>214</v>
      </c>
      <c r="CY48" s="8" t="s">
        <v>214</v>
      </c>
      <c r="CZ48" s="8" t="s">
        <v>214</v>
      </c>
      <c r="DA48" s="8" t="s">
        <v>214</v>
      </c>
      <c r="DB48" s="8" t="s">
        <v>214</v>
      </c>
      <c r="DC48" s="8" t="s">
        <v>214</v>
      </c>
      <c r="DD48" s="8" t="s">
        <v>214</v>
      </c>
      <c r="DE48" s="8" t="s">
        <v>214</v>
      </c>
      <c r="DF48" s="8" t="s">
        <v>214</v>
      </c>
      <c r="DG48" s="8" t="s">
        <v>214</v>
      </c>
      <c r="DH48" s="8" t="s">
        <v>214</v>
      </c>
      <c r="DI48" s="8" t="s">
        <v>214</v>
      </c>
      <c r="DJ48" s="8" t="s">
        <v>214</v>
      </c>
      <c r="DK48" s="8" t="s">
        <v>214</v>
      </c>
      <c r="DL48" s="8" t="s">
        <v>214</v>
      </c>
      <c r="DM48" s="8" t="s">
        <v>214</v>
      </c>
      <c r="DN48" s="8" t="s">
        <v>214</v>
      </c>
      <c r="DO48" s="8" t="s">
        <v>214</v>
      </c>
      <c r="DP48" s="8" t="s">
        <v>214</v>
      </c>
      <c r="DQ48" s="8" t="s">
        <v>214</v>
      </c>
      <c r="DR48" s="8" t="s">
        <v>214</v>
      </c>
      <c r="DS48" s="8" t="s">
        <v>214</v>
      </c>
      <c r="DT48" s="8" t="s">
        <v>214</v>
      </c>
      <c r="DU48" s="8" t="s">
        <v>214</v>
      </c>
      <c r="DV48" s="8" t="s">
        <v>214</v>
      </c>
      <c r="DW48" s="8" t="s">
        <v>214</v>
      </c>
      <c r="DX48" s="8" t="s">
        <v>214</v>
      </c>
      <c r="DY48" s="8" t="s">
        <v>214</v>
      </c>
      <c r="DZ48" s="8" t="s">
        <v>214</v>
      </c>
      <c r="EA48" s="8" t="s">
        <v>214</v>
      </c>
      <c r="EB48" s="8" t="s">
        <v>214</v>
      </c>
      <c r="EC48" s="8" t="s">
        <v>214</v>
      </c>
      <c r="ED48" s="8" t="s">
        <v>214</v>
      </c>
      <c r="EE48" s="8" t="s">
        <v>214</v>
      </c>
      <c r="EF48" s="8" t="s">
        <v>214</v>
      </c>
      <c r="EG48" s="8" t="s">
        <v>214</v>
      </c>
      <c r="EH48" s="8" t="s">
        <v>214</v>
      </c>
      <c r="EI48" s="8" t="s">
        <v>214</v>
      </c>
      <c r="EJ48" s="8" t="s">
        <v>214</v>
      </c>
      <c r="EK48" s="8" t="s">
        <v>214</v>
      </c>
      <c r="EL48" s="8" t="s">
        <v>214</v>
      </c>
      <c r="EM48" s="8" t="s">
        <v>214</v>
      </c>
      <c r="EN48" s="8" t="s">
        <v>214</v>
      </c>
      <c r="EO48" s="8" t="s">
        <v>214</v>
      </c>
      <c r="EP48" s="8" t="s">
        <v>214</v>
      </c>
      <c r="EQ48" s="8" t="s">
        <v>214</v>
      </c>
      <c r="ER48" s="8" t="s">
        <v>217</v>
      </c>
      <c r="ES48" s="8" t="s">
        <v>214</v>
      </c>
      <c r="ET48" s="8" t="s">
        <v>214</v>
      </c>
      <c r="EU48" s="8" t="s">
        <v>214</v>
      </c>
      <c r="EV48" s="8" t="s">
        <v>214</v>
      </c>
      <c r="EW48" s="8" t="s">
        <v>214</v>
      </c>
      <c r="EX48" s="8" t="s">
        <v>214</v>
      </c>
      <c r="EY48" s="8" t="s">
        <v>214</v>
      </c>
      <c r="EZ48" s="8" t="s">
        <v>217</v>
      </c>
      <c r="FA48" s="8" t="s">
        <v>217</v>
      </c>
      <c r="FB48" s="8" t="s">
        <v>214</v>
      </c>
      <c r="FC48" s="8" t="s">
        <v>214</v>
      </c>
      <c r="FD48" s="8" t="s">
        <v>214</v>
      </c>
      <c r="FE48" s="8" t="s">
        <v>214</v>
      </c>
      <c r="FF48" s="8" t="s">
        <v>214</v>
      </c>
      <c r="FG48" s="8" t="s">
        <v>218</v>
      </c>
      <c r="FH48" s="8" t="s">
        <v>214</v>
      </c>
      <c r="FI48" s="8" t="s">
        <v>214</v>
      </c>
      <c r="FJ48" s="8" t="s">
        <v>214</v>
      </c>
      <c r="FK48" s="8" t="s">
        <v>214</v>
      </c>
      <c r="FL48" s="8" t="s">
        <v>214</v>
      </c>
    </row>
    <row r="49" spans="1:168" ht="11.45" customHeight="1" x14ac:dyDescent="0.25">
      <c r="A49" s="5" t="s">
        <v>185</v>
      </c>
      <c r="B49" s="5" t="s">
        <v>8</v>
      </c>
      <c r="C49" s="7" t="s">
        <v>217</v>
      </c>
      <c r="D49" s="7" t="s">
        <v>217</v>
      </c>
      <c r="E49" s="7" t="s">
        <v>214</v>
      </c>
      <c r="F49" s="7" t="s">
        <v>214</v>
      </c>
      <c r="G49" s="7" t="s">
        <v>214</v>
      </c>
      <c r="H49" s="7" t="s">
        <v>214</v>
      </c>
      <c r="I49" s="7" t="s">
        <v>214</v>
      </c>
      <c r="J49" s="7" t="s">
        <v>214</v>
      </c>
      <c r="K49" s="7" t="s">
        <v>214</v>
      </c>
      <c r="L49" s="7" t="s">
        <v>214</v>
      </c>
      <c r="M49" s="7" t="s">
        <v>214</v>
      </c>
      <c r="N49" s="7" t="s">
        <v>214</v>
      </c>
      <c r="O49" s="7" t="s">
        <v>214</v>
      </c>
      <c r="P49" s="7" t="s">
        <v>214</v>
      </c>
      <c r="Q49" s="7" t="s">
        <v>214</v>
      </c>
      <c r="R49" s="7" t="s">
        <v>214</v>
      </c>
      <c r="S49" s="7" t="s">
        <v>214</v>
      </c>
      <c r="T49" s="7" t="s">
        <v>214</v>
      </c>
      <c r="U49" s="7" t="s">
        <v>214</v>
      </c>
      <c r="V49" s="7" t="s">
        <v>214</v>
      </c>
      <c r="W49" s="7" t="s">
        <v>214</v>
      </c>
      <c r="X49" s="7" t="s">
        <v>214</v>
      </c>
      <c r="Y49" s="7" t="s">
        <v>214</v>
      </c>
      <c r="Z49" s="7" t="s">
        <v>214</v>
      </c>
      <c r="AA49" s="7" t="s">
        <v>214</v>
      </c>
      <c r="AB49" s="7" t="s">
        <v>214</v>
      </c>
      <c r="AC49" s="7" t="s">
        <v>214</v>
      </c>
      <c r="AD49" s="7" t="s">
        <v>214</v>
      </c>
      <c r="AE49" s="7" t="s">
        <v>214</v>
      </c>
      <c r="AF49" s="7" t="s">
        <v>214</v>
      </c>
      <c r="AG49" s="7" t="s">
        <v>214</v>
      </c>
      <c r="AH49" s="7" t="s">
        <v>214</v>
      </c>
      <c r="AI49" s="7" t="s">
        <v>217</v>
      </c>
      <c r="AJ49" s="7" t="s">
        <v>214</v>
      </c>
      <c r="AK49" s="7" t="s">
        <v>214</v>
      </c>
      <c r="AL49" s="7" t="s">
        <v>214</v>
      </c>
      <c r="AM49" s="7" t="s">
        <v>214</v>
      </c>
      <c r="AN49" s="7" t="s">
        <v>214</v>
      </c>
      <c r="AO49" s="7" t="s">
        <v>214</v>
      </c>
      <c r="AP49" s="7" t="s">
        <v>214</v>
      </c>
      <c r="AQ49" s="7" t="s">
        <v>214</v>
      </c>
      <c r="AR49" s="7" t="s">
        <v>214</v>
      </c>
      <c r="AS49" s="7" t="s">
        <v>214</v>
      </c>
      <c r="AT49" s="7" t="s">
        <v>214</v>
      </c>
      <c r="AU49" s="7" t="s">
        <v>214</v>
      </c>
      <c r="AV49" s="7" t="s">
        <v>214</v>
      </c>
      <c r="AW49" s="7" t="s">
        <v>214</v>
      </c>
      <c r="AX49" s="7" t="s">
        <v>214</v>
      </c>
      <c r="AY49" s="7" t="s">
        <v>214</v>
      </c>
      <c r="AZ49" s="7" t="s">
        <v>214</v>
      </c>
      <c r="BA49" s="7" t="s">
        <v>218</v>
      </c>
      <c r="BB49" s="7" t="s">
        <v>214</v>
      </c>
      <c r="BC49" s="7" t="s">
        <v>214</v>
      </c>
      <c r="BD49" s="7" t="s">
        <v>214</v>
      </c>
      <c r="BE49" s="7" t="s">
        <v>214</v>
      </c>
      <c r="BF49" s="7" t="s">
        <v>214</v>
      </c>
      <c r="BG49" s="7" t="s">
        <v>214</v>
      </c>
      <c r="BH49" s="7" t="s">
        <v>214</v>
      </c>
      <c r="BI49" s="7" t="s">
        <v>214</v>
      </c>
      <c r="BJ49" s="7" t="s">
        <v>218</v>
      </c>
      <c r="BK49" s="7" t="s">
        <v>214</v>
      </c>
      <c r="BL49" s="7" t="s">
        <v>214</v>
      </c>
      <c r="BM49" s="7" t="s">
        <v>214</v>
      </c>
      <c r="BN49" s="7" t="s">
        <v>214</v>
      </c>
      <c r="BO49" s="7" t="s">
        <v>214</v>
      </c>
      <c r="BP49" s="7" t="s">
        <v>214</v>
      </c>
      <c r="BQ49" s="7" t="s">
        <v>214</v>
      </c>
      <c r="BR49" s="7" t="s">
        <v>218</v>
      </c>
      <c r="BS49" s="7" t="s">
        <v>218</v>
      </c>
      <c r="BT49" s="7" t="s">
        <v>218</v>
      </c>
      <c r="BU49" s="7" t="s">
        <v>218</v>
      </c>
      <c r="BV49" s="7" t="s">
        <v>218</v>
      </c>
      <c r="BW49" s="7" t="s">
        <v>214</v>
      </c>
      <c r="BX49" s="7" t="s">
        <v>214</v>
      </c>
      <c r="BY49" s="7" t="s">
        <v>214</v>
      </c>
      <c r="BZ49" s="7" t="s">
        <v>214</v>
      </c>
      <c r="CA49" s="7" t="s">
        <v>214</v>
      </c>
      <c r="CB49" s="7" t="s">
        <v>214</v>
      </c>
      <c r="CC49" s="7" t="s">
        <v>214</v>
      </c>
      <c r="CD49" s="7" t="s">
        <v>214</v>
      </c>
      <c r="CE49" s="7" t="s">
        <v>214</v>
      </c>
      <c r="CF49" s="7" t="s">
        <v>214</v>
      </c>
      <c r="CG49" s="7" t="s">
        <v>214</v>
      </c>
      <c r="CH49" s="7" t="s">
        <v>214</v>
      </c>
      <c r="CI49" s="7" t="s">
        <v>214</v>
      </c>
      <c r="CJ49" s="7" t="s">
        <v>218</v>
      </c>
      <c r="CK49" s="7" t="s">
        <v>217</v>
      </c>
      <c r="CL49" s="7" t="s">
        <v>214</v>
      </c>
      <c r="CM49" s="7" t="s">
        <v>214</v>
      </c>
      <c r="CN49" s="7" t="s">
        <v>214</v>
      </c>
      <c r="CO49" s="7" t="s">
        <v>214</v>
      </c>
      <c r="CP49" s="7" t="s">
        <v>214</v>
      </c>
      <c r="CQ49" s="7" t="s">
        <v>214</v>
      </c>
      <c r="CR49" s="7" t="s">
        <v>214</v>
      </c>
      <c r="CS49" s="7" t="s">
        <v>214</v>
      </c>
      <c r="CT49" s="7" t="s">
        <v>214</v>
      </c>
      <c r="CU49" s="7" t="s">
        <v>214</v>
      </c>
      <c r="CV49" s="7" t="s">
        <v>214</v>
      </c>
      <c r="CW49" s="7" t="s">
        <v>214</v>
      </c>
      <c r="CX49" s="7" t="s">
        <v>214</v>
      </c>
      <c r="CY49" s="7" t="s">
        <v>214</v>
      </c>
      <c r="CZ49" s="7" t="s">
        <v>214</v>
      </c>
      <c r="DA49" s="7" t="s">
        <v>214</v>
      </c>
      <c r="DB49" s="7" t="s">
        <v>214</v>
      </c>
      <c r="DC49" s="7" t="s">
        <v>217</v>
      </c>
      <c r="DD49" s="7" t="s">
        <v>214</v>
      </c>
      <c r="DE49" s="7" t="s">
        <v>214</v>
      </c>
      <c r="DF49" s="7" t="s">
        <v>214</v>
      </c>
      <c r="DG49" s="7" t="s">
        <v>214</v>
      </c>
      <c r="DH49" s="7" t="s">
        <v>214</v>
      </c>
      <c r="DI49" s="7" t="s">
        <v>214</v>
      </c>
      <c r="DJ49" s="7" t="s">
        <v>214</v>
      </c>
      <c r="DK49" s="7" t="s">
        <v>214</v>
      </c>
      <c r="DL49" s="7" t="s">
        <v>214</v>
      </c>
      <c r="DM49" s="7" t="s">
        <v>214</v>
      </c>
      <c r="DN49" s="7" t="s">
        <v>214</v>
      </c>
      <c r="DO49" s="7" t="s">
        <v>214</v>
      </c>
      <c r="DP49" s="7" t="s">
        <v>214</v>
      </c>
      <c r="DQ49" s="7" t="s">
        <v>214</v>
      </c>
      <c r="DR49" s="7" t="s">
        <v>214</v>
      </c>
      <c r="DS49" s="7" t="s">
        <v>214</v>
      </c>
      <c r="DT49" s="7" t="s">
        <v>214</v>
      </c>
      <c r="DU49" s="7" t="s">
        <v>214</v>
      </c>
      <c r="DV49" s="7" t="s">
        <v>214</v>
      </c>
      <c r="DW49" s="7" t="s">
        <v>214</v>
      </c>
      <c r="DX49" s="7" t="s">
        <v>214</v>
      </c>
      <c r="DY49" s="7" t="s">
        <v>214</v>
      </c>
      <c r="DZ49" s="7" t="s">
        <v>214</v>
      </c>
      <c r="EA49" s="7" t="s">
        <v>214</v>
      </c>
      <c r="EB49" s="7" t="s">
        <v>214</v>
      </c>
      <c r="EC49" s="7" t="s">
        <v>214</v>
      </c>
      <c r="ED49" s="7" t="s">
        <v>214</v>
      </c>
      <c r="EE49" s="7" t="s">
        <v>214</v>
      </c>
      <c r="EF49" s="7" t="s">
        <v>214</v>
      </c>
      <c r="EG49" s="7" t="s">
        <v>214</v>
      </c>
      <c r="EH49" s="7" t="s">
        <v>214</v>
      </c>
      <c r="EI49" s="7" t="s">
        <v>214</v>
      </c>
      <c r="EJ49" s="7" t="s">
        <v>214</v>
      </c>
      <c r="EK49" s="7" t="s">
        <v>214</v>
      </c>
      <c r="EL49" s="7" t="s">
        <v>214</v>
      </c>
      <c r="EM49" s="7" t="s">
        <v>214</v>
      </c>
      <c r="EN49" s="7" t="s">
        <v>214</v>
      </c>
      <c r="EO49" s="7" t="s">
        <v>214</v>
      </c>
      <c r="EP49" s="7" t="s">
        <v>214</v>
      </c>
      <c r="EQ49" s="7" t="s">
        <v>214</v>
      </c>
      <c r="ER49" s="7" t="s">
        <v>214</v>
      </c>
      <c r="ES49" s="7" t="s">
        <v>214</v>
      </c>
      <c r="ET49" s="7" t="s">
        <v>214</v>
      </c>
      <c r="EU49" s="7" t="s">
        <v>214</v>
      </c>
      <c r="EV49" s="7" t="s">
        <v>214</v>
      </c>
      <c r="EW49" s="7" t="s">
        <v>214</v>
      </c>
      <c r="EX49" s="7" t="s">
        <v>214</v>
      </c>
      <c r="EY49" s="7" t="s">
        <v>214</v>
      </c>
      <c r="EZ49" s="7" t="s">
        <v>214</v>
      </c>
      <c r="FA49" s="7" t="s">
        <v>214</v>
      </c>
      <c r="FB49" s="7" t="s">
        <v>214</v>
      </c>
      <c r="FC49" s="7" t="s">
        <v>214</v>
      </c>
      <c r="FD49" s="7" t="s">
        <v>214</v>
      </c>
      <c r="FE49" s="7" t="s">
        <v>214</v>
      </c>
      <c r="FF49" s="7" t="s">
        <v>214</v>
      </c>
      <c r="FG49" s="7" t="s">
        <v>214</v>
      </c>
      <c r="FH49" s="7" t="s">
        <v>214</v>
      </c>
      <c r="FI49" s="7" t="s">
        <v>214</v>
      </c>
      <c r="FJ49" s="7" t="s">
        <v>214</v>
      </c>
      <c r="FK49" s="7" t="s">
        <v>214</v>
      </c>
      <c r="FL49" s="7" t="s">
        <v>214</v>
      </c>
    </row>
    <row r="50" spans="1:168" ht="11.45" customHeight="1" x14ac:dyDescent="0.25">
      <c r="A50" s="5" t="s">
        <v>185</v>
      </c>
      <c r="B50" s="5" t="s">
        <v>9</v>
      </c>
      <c r="C50" s="8" t="s">
        <v>217</v>
      </c>
      <c r="D50" s="8" t="s">
        <v>217</v>
      </c>
      <c r="E50" s="8" t="s">
        <v>214</v>
      </c>
      <c r="F50" s="8" t="s">
        <v>214</v>
      </c>
      <c r="G50" s="8" t="s">
        <v>214</v>
      </c>
      <c r="H50" s="8" t="s">
        <v>214</v>
      </c>
      <c r="I50" s="8" t="s">
        <v>214</v>
      </c>
      <c r="J50" s="8" t="s">
        <v>214</v>
      </c>
      <c r="K50" s="8" t="s">
        <v>214</v>
      </c>
      <c r="L50" s="8" t="s">
        <v>214</v>
      </c>
      <c r="M50" s="8" t="s">
        <v>214</v>
      </c>
      <c r="N50" s="8" t="s">
        <v>214</v>
      </c>
      <c r="O50" s="8" t="s">
        <v>214</v>
      </c>
      <c r="P50" s="8" t="s">
        <v>214</v>
      </c>
      <c r="Q50" s="8" t="s">
        <v>214</v>
      </c>
      <c r="R50" s="8" t="s">
        <v>214</v>
      </c>
      <c r="S50" s="8" t="s">
        <v>214</v>
      </c>
      <c r="T50" s="8" t="s">
        <v>214</v>
      </c>
      <c r="U50" s="8" t="s">
        <v>214</v>
      </c>
      <c r="V50" s="8" t="s">
        <v>214</v>
      </c>
      <c r="W50" s="8" t="s">
        <v>214</v>
      </c>
      <c r="X50" s="8" t="s">
        <v>214</v>
      </c>
      <c r="Y50" s="8" t="s">
        <v>214</v>
      </c>
      <c r="Z50" s="8" t="s">
        <v>214</v>
      </c>
      <c r="AA50" s="8" t="s">
        <v>214</v>
      </c>
      <c r="AB50" s="8" t="s">
        <v>214</v>
      </c>
      <c r="AC50" s="8" t="s">
        <v>214</v>
      </c>
      <c r="AD50" s="8" t="s">
        <v>214</v>
      </c>
      <c r="AE50" s="8" t="s">
        <v>214</v>
      </c>
      <c r="AF50" s="8" t="s">
        <v>214</v>
      </c>
      <c r="AG50" s="8" t="s">
        <v>214</v>
      </c>
      <c r="AH50" s="8" t="s">
        <v>214</v>
      </c>
      <c r="AI50" s="8" t="s">
        <v>217</v>
      </c>
      <c r="AJ50" s="8" t="s">
        <v>214</v>
      </c>
      <c r="AK50" s="8" t="s">
        <v>214</v>
      </c>
      <c r="AL50" s="8" t="s">
        <v>217</v>
      </c>
      <c r="AM50" s="8" t="s">
        <v>214</v>
      </c>
      <c r="AN50" s="8" t="s">
        <v>214</v>
      </c>
      <c r="AO50" s="8" t="s">
        <v>214</v>
      </c>
      <c r="AP50" s="8" t="s">
        <v>214</v>
      </c>
      <c r="AQ50" s="8" t="s">
        <v>214</v>
      </c>
      <c r="AR50" s="8" t="s">
        <v>214</v>
      </c>
      <c r="AS50" s="8" t="s">
        <v>214</v>
      </c>
      <c r="AT50" s="8" t="s">
        <v>214</v>
      </c>
      <c r="AU50" s="8" t="s">
        <v>214</v>
      </c>
      <c r="AV50" s="8" t="s">
        <v>214</v>
      </c>
      <c r="AW50" s="8" t="s">
        <v>214</v>
      </c>
      <c r="AX50" s="8" t="s">
        <v>214</v>
      </c>
      <c r="AY50" s="8" t="s">
        <v>214</v>
      </c>
      <c r="AZ50" s="8" t="s">
        <v>214</v>
      </c>
      <c r="BA50" s="8" t="s">
        <v>218</v>
      </c>
      <c r="BB50" s="8" t="s">
        <v>214</v>
      </c>
      <c r="BC50" s="8" t="s">
        <v>214</v>
      </c>
      <c r="BD50" s="8" t="s">
        <v>214</v>
      </c>
      <c r="BE50" s="8" t="s">
        <v>214</v>
      </c>
      <c r="BF50" s="8" t="s">
        <v>214</v>
      </c>
      <c r="BG50" s="8" t="s">
        <v>214</v>
      </c>
      <c r="BH50" s="8" t="s">
        <v>214</v>
      </c>
      <c r="BI50" s="8" t="s">
        <v>214</v>
      </c>
      <c r="BJ50" s="8" t="s">
        <v>218</v>
      </c>
      <c r="BK50" s="8" t="s">
        <v>218</v>
      </c>
      <c r="BL50" s="8" t="s">
        <v>214</v>
      </c>
      <c r="BM50" s="8" t="s">
        <v>214</v>
      </c>
      <c r="BN50" s="8" t="s">
        <v>214</v>
      </c>
      <c r="BO50" s="8" t="s">
        <v>214</v>
      </c>
      <c r="BP50" s="8" t="s">
        <v>214</v>
      </c>
      <c r="BQ50" s="8" t="s">
        <v>214</v>
      </c>
      <c r="BR50" s="8" t="s">
        <v>218</v>
      </c>
      <c r="BS50" s="8" t="s">
        <v>218</v>
      </c>
      <c r="BT50" s="8" t="s">
        <v>218</v>
      </c>
      <c r="BU50" s="8" t="s">
        <v>218</v>
      </c>
      <c r="BV50" s="8" t="s">
        <v>218</v>
      </c>
      <c r="BW50" s="8" t="s">
        <v>214</v>
      </c>
      <c r="BX50" s="8" t="s">
        <v>214</v>
      </c>
      <c r="BY50" s="8" t="s">
        <v>214</v>
      </c>
      <c r="BZ50" s="8" t="s">
        <v>214</v>
      </c>
      <c r="CA50" s="8" t="s">
        <v>214</v>
      </c>
      <c r="CB50" s="8" t="s">
        <v>214</v>
      </c>
      <c r="CC50" s="8" t="s">
        <v>214</v>
      </c>
      <c r="CD50" s="8" t="s">
        <v>214</v>
      </c>
      <c r="CE50" s="8" t="s">
        <v>214</v>
      </c>
      <c r="CF50" s="8" t="s">
        <v>214</v>
      </c>
      <c r="CG50" s="8" t="s">
        <v>214</v>
      </c>
      <c r="CH50" s="8" t="s">
        <v>214</v>
      </c>
      <c r="CI50" s="8" t="s">
        <v>214</v>
      </c>
      <c r="CJ50" s="8" t="s">
        <v>214</v>
      </c>
      <c r="CK50" s="8" t="s">
        <v>214</v>
      </c>
      <c r="CL50" s="8" t="s">
        <v>214</v>
      </c>
      <c r="CM50" s="8" t="s">
        <v>214</v>
      </c>
      <c r="CN50" s="8" t="s">
        <v>214</v>
      </c>
      <c r="CO50" s="8" t="s">
        <v>214</v>
      </c>
      <c r="CP50" s="8" t="s">
        <v>214</v>
      </c>
      <c r="CQ50" s="8" t="s">
        <v>214</v>
      </c>
      <c r="CR50" s="8" t="s">
        <v>214</v>
      </c>
      <c r="CS50" s="8" t="s">
        <v>214</v>
      </c>
      <c r="CT50" s="8" t="s">
        <v>214</v>
      </c>
      <c r="CU50" s="8" t="s">
        <v>214</v>
      </c>
      <c r="CV50" s="8" t="s">
        <v>214</v>
      </c>
      <c r="CW50" s="8" t="s">
        <v>214</v>
      </c>
      <c r="CX50" s="8" t="s">
        <v>214</v>
      </c>
      <c r="CY50" s="8" t="s">
        <v>214</v>
      </c>
      <c r="CZ50" s="8" t="s">
        <v>214</v>
      </c>
      <c r="DA50" s="8" t="s">
        <v>214</v>
      </c>
      <c r="DB50" s="8" t="s">
        <v>214</v>
      </c>
      <c r="DC50" s="8" t="s">
        <v>214</v>
      </c>
      <c r="DD50" s="8" t="s">
        <v>214</v>
      </c>
      <c r="DE50" s="8" t="s">
        <v>214</v>
      </c>
      <c r="DF50" s="8" t="s">
        <v>214</v>
      </c>
      <c r="DG50" s="8" t="s">
        <v>214</v>
      </c>
      <c r="DH50" s="8" t="s">
        <v>214</v>
      </c>
      <c r="DI50" s="8" t="s">
        <v>214</v>
      </c>
      <c r="DJ50" s="8" t="s">
        <v>214</v>
      </c>
      <c r="DK50" s="8" t="s">
        <v>214</v>
      </c>
      <c r="DL50" s="8" t="s">
        <v>214</v>
      </c>
      <c r="DM50" s="8" t="s">
        <v>214</v>
      </c>
      <c r="DN50" s="8" t="s">
        <v>214</v>
      </c>
      <c r="DO50" s="8" t="s">
        <v>214</v>
      </c>
      <c r="DP50" s="8" t="s">
        <v>214</v>
      </c>
      <c r="DQ50" s="8" t="s">
        <v>214</v>
      </c>
      <c r="DR50" s="8" t="s">
        <v>214</v>
      </c>
      <c r="DS50" s="8" t="s">
        <v>214</v>
      </c>
      <c r="DT50" s="8" t="s">
        <v>214</v>
      </c>
      <c r="DU50" s="8" t="s">
        <v>214</v>
      </c>
      <c r="DV50" s="8" t="s">
        <v>214</v>
      </c>
      <c r="DW50" s="8" t="s">
        <v>214</v>
      </c>
      <c r="DX50" s="8" t="s">
        <v>214</v>
      </c>
      <c r="DY50" s="8" t="s">
        <v>214</v>
      </c>
      <c r="DZ50" s="8" t="s">
        <v>214</v>
      </c>
      <c r="EA50" s="8" t="s">
        <v>214</v>
      </c>
      <c r="EB50" s="8" t="s">
        <v>214</v>
      </c>
      <c r="EC50" s="8" t="s">
        <v>214</v>
      </c>
      <c r="ED50" s="8" t="s">
        <v>214</v>
      </c>
      <c r="EE50" s="8" t="s">
        <v>214</v>
      </c>
      <c r="EF50" s="8" t="s">
        <v>214</v>
      </c>
      <c r="EG50" s="8" t="s">
        <v>214</v>
      </c>
      <c r="EH50" s="8" t="s">
        <v>214</v>
      </c>
      <c r="EI50" s="8" t="s">
        <v>214</v>
      </c>
      <c r="EJ50" s="8" t="s">
        <v>214</v>
      </c>
      <c r="EK50" s="8" t="s">
        <v>214</v>
      </c>
      <c r="EL50" s="8" t="s">
        <v>214</v>
      </c>
      <c r="EM50" s="8" t="s">
        <v>214</v>
      </c>
      <c r="EN50" s="8" t="s">
        <v>214</v>
      </c>
      <c r="EO50" s="8" t="s">
        <v>214</v>
      </c>
      <c r="EP50" s="8" t="s">
        <v>214</v>
      </c>
      <c r="EQ50" s="8" t="s">
        <v>214</v>
      </c>
      <c r="ER50" s="8" t="s">
        <v>214</v>
      </c>
      <c r="ES50" s="8" t="s">
        <v>214</v>
      </c>
      <c r="ET50" s="8" t="s">
        <v>214</v>
      </c>
      <c r="EU50" s="8" t="s">
        <v>214</v>
      </c>
      <c r="EV50" s="8" t="s">
        <v>214</v>
      </c>
      <c r="EW50" s="8" t="s">
        <v>214</v>
      </c>
      <c r="EX50" s="8" t="s">
        <v>214</v>
      </c>
      <c r="EY50" s="8" t="s">
        <v>214</v>
      </c>
      <c r="EZ50" s="8" t="s">
        <v>214</v>
      </c>
      <c r="FA50" s="8" t="s">
        <v>214</v>
      </c>
      <c r="FB50" s="8" t="s">
        <v>214</v>
      </c>
      <c r="FC50" s="8" t="s">
        <v>214</v>
      </c>
      <c r="FD50" s="8" t="s">
        <v>214</v>
      </c>
      <c r="FE50" s="8" t="s">
        <v>214</v>
      </c>
      <c r="FF50" s="8" t="s">
        <v>214</v>
      </c>
      <c r="FG50" s="8" t="s">
        <v>218</v>
      </c>
      <c r="FH50" s="8" t="s">
        <v>214</v>
      </c>
      <c r="FI50" s="8" t="s">
        <v>214</v>
      </c>
      <c r="FJ50" s="8" t="s">
        <v>214</v>
      </c>
      <c r="FK50" s="8" t="s">
        <v>214</v>
      </c>
      <c r="FL50" s="8" t="s">
        <v>214</v>
      </c>
    </row>
    <row r="51" spans="1:168" ht="11.45" customHeight="1" x14ac:dyDescent="0.25">
      <c r="A51" s="5" t="s">
        <v>186</v>
      </c>
      <c r="B51" s="5" t="s">
        <v>6</v>
      </c>
      <c r="C51" s="7" t="s">
        <v>214</v>
      </c>
      <c r="D51" s="7" t="s">
        <v>214</v>
      </c>
      <c r="E51" s="7" t="s">
        <v>214</v>
      </c>
      <c r="F51" s="7" t="s">
        <v>214</v>
      </c>
      <c r="G51" s="7" t="s">
        <v>214</v>
      </c>
      <c r="H51" s="7" t="s">
        <v>214</v>
      </c>
      <c r="I51" s="7" t="s">
        <v>214</v>
      </c>
      <c r="J51" s="7" t="s">
        <v>214</v>
      </c>
      <c r="K51" s="7" t="s">
        <v>214</v>
      </c>
      <c r="L51" s="7" t="s">
        <v>214</v>
      </c>
      <c r="M51" s="7" t="s">
        <v>214</v>
      </c>
      <c r="N51" s="7" t="s">
        <v>214</v>
      </c>
      <c r="O51" s="7" t="s">
        <v>214</v>
      </c>
      <c r="P51" s="7" t="s">
        <v>214</v>
      </c>
      <c r="Q51" s="7" t="s">
        <v>214</v>
      </c>
      <c r="R51" s="7" t="s">
        <v>214</v>
      </c>
      <c r="S51" s="7" t="s">
        <v>214</v>
      </c>
      <c r="T51" s="7" t="s">
        <v>214</v>
      </c>
      <c r="U51" s="7" t="s">
        <v>214</v>
      </c>
      <c r="V51" s="7" t="s">
        <v>214</v>
      </c>
      <c r="W51" s="7" t="s">
        <v>214</v>
      </c>
      <c r="X51" s="7" t="s">
        <v>214</v>
      </c>
      <c r="Y51" s="7" t="s">
        <v>214</v>
      </c>
      <c r="Z51" s="7" t="s">
        <v>214</v>
      </c>
      <c r="AA51" s="7" t="s">
        <v>214</v>
      </c>
      <c r="AB51" s="7" t="s">
        <v>214</v>
      </c>
      <c r="AC51" s="7" t="s">
        <v>214</v>
      </c>
      <c r="AD51" s="7" t="s">
        <v>214</v>
      </c>
      <c r="AE51" s="7" t="s">
        <v>214</v>
      </c>
      <c r="AF51" s="7" t="s">
        <v>214</v>
      </c>
      <c r="AG51" s="7" t="s">
        <v>214</v>
      </c>
      <c r="AH51" s="7" t="s">
        <v>214</v>
      </c>
      <c r="AI51" s="7" t="s">
        <v>214</v>
      </c>
      <c r="AJ51" s="7" t="s">
        <v>214</v>
      </c>
      <c r="AK51" s="7" t="s">
        <v>214</v>
      </c>
      <c r="AL51" s="7" t="s">
        <v>214</v>
      </c>
      <c r="AM51" s="7" t="s">
        <v>214</v>
      </c>
      <c r="AN51" s="7" t="s">
        <v>214</v>
      </c>
      <c r="AO51" s="7" t="s">
        <v>214</v>
      </c>
      <c r="AP51" s="7" t="s">
        <v>214</v>
      </c>
      <c r="AQ51" s="7" t="s">
        <v>214</v>
      </c>
      <c r="AR51" s="7" t="s">
        <v>214</v>
      </c>
      <c r="AS51" s="7" t="s">
        <v>214</v>
      </c>
      <c r="AT51" s="7" t="s">
        <v>214</v>
      </c>
      <c r="AU51" s="7" t="s">
        <v>214</v>
      </c>
      <c r="AV51" s="7" t="s">
        <v>214</v>
      </c>
      <c r="AW51" s="7" t="s">
        <v>214</v>
      </c>
      <c r="AX51" s="7" t="s">
        <v>214</v>
      </c>
      <c r="AY51" s="7" t="s">
        <v>214</v>
      </c>
      <c r="AZ51" s="7" t="s">
        <v>214</v>
      </c>
      <c r="BA51" s="7" t="s">
        <v>214</v>
      </c>
      <c r="BB51" s="7" t="s">
        <v>214</v>
      </c>
      <c r="BC51" s="7" t="s">
        <v>214</v>
      </c>
      <c r="BD51" s="7" t="s">
        <v>214</v>
      </c>
      <c r="BE51" s="7" t="s">
        <v>214</v>
      </c>
      <c r="BF51" s="7" t="s">
        <v>214</v>
      </c>
      <c r="BG51" s="7" t="s">
        <v>214</v>
      </c>
      <c r="BH51" s="7" t="s">
        <v>214</v>
      </c>
      <c r="BI51" s="7" t="s">
        <v>214</v>
      </c>
      <c r="BJ51" s="7" t="s">
        <v>214</v>
      </c>
      <c r="BK51" s="7" t="s">
        <v>214</v>
      </c>
      <c r="BL51" s="7" t="s">
        <v>214</v>
      </c>
      <c r="BM51" s="7" t="s">
        <v>214</v>
      </c>
      <c r="BN51" s="7" t="s">
        <v>214</v>
      </c>
      <c r="BO51" s="7" t="s">
        <v>214</v>
      </c>
      <c r="BP51" s="7" t="s">
        <v>214</v>
      </c>
      <c r="BQ51" s="7" t="s">
        <v>214</v>
      </c>
      <c r="BR51" s="7" t="s">
        <v>214</v>
      </c>
      <c r="BS51" s="7" t="s">
        <v>214</v>
      </c>
      <c r="BT51" s="7" t="s">
        <v>214</v>
      </c>
      <c r="BU51" s="7" t="s">
        <v>214</v>
      </c>
      <c r="BV51" s="7" t="s">
        <v>214</v>
      </c>
      <c r="BW51" s="7" t="s">
        <v>214</v>
      </c>
      <c r="BX51" s="7" t="s">
        <v>214</v>
      </c>
      <c r="BY51" s="7" t="s">
        <v>214</v>
      </c>
      <c r="BZ51" s="7" t="s">
        <v>214</v>
      </c>
      <c r="CA51" s="7" t="s">
        <v>214</v>
      </c>
      <c r="CB51" s="7" t="s">
        <v>214</v>
      </c>
      <c r="CC51" s="7" t="s">
        <v>214</v>
      </c>
      <c r="CD51" s="7" t="s">
        <v>214</v>
      </c>
      <c r="CE51" s="7" t="s">
        <v>214</v>
      </c>
      <c r="CF51" s="7" t="s">
        <v>214</v>
      </c>
      <c r="CG51" s="7" t="s">
        <v>214</v>
      </c>
      <c r="CH51" s="7" t="s">
        <v>214</v>
      </c>
      <c r="CI51" s="7" t="s">
        <v>214</v>
      </c>
      <c r="CJ51" s="7" t="s">
        <v>214</v>
      </c>
      <c r="CK51" s="7" t="s">
        <v>214</v>
      </c>
      <c r="CL51" s="7" t="s">
        <v>214</v>
      </c>
      <c r="CM51" s="7" t="s">
        <v>214</v>
      </c>
      <c r="CN51" s="7" t="s">
        <v>214</v>
      </c>
      <c r="CO51" s="7" t="s">
        <v>214</v>
      </c>
      <c r="CP51" s="7" t="s">
        <v>214</v>
      </c>
      <c r="CQ51" s="7" t="s">
        <v>214</v>
      </c>
      <c r="CR51" s="7" t="s">
        <v>214</v>
      </c>
      <c r="CS51" s="7" t="s">
        <v>214</v>
      </c>
      <c r="CT51" s="7" t="s">
        <v>214</v>
      </c>
      <c r="CU51" s="7" t="s">
        <v>214</v>
      </c>
      <c r="CV51" s="7" t="s">
        <v>214</v>
      </c>
      <c r="CW51" s="7" t="s">
        <v>214</v>
      </c>
      <c r="CX51" s="7" t="s">
        <v>214</v>
      </c>
      <c r="CY51" s="7" t="s">
        <v>214</v>
      </c>
      <c r="CZ51" s="7" t="s">
        <v>214</v>
      </c>
      <c r="DA51" s="7" t="s">
        <v>214</v>
      </c>
      <c r="DB51" s="7" t="s">
        <v>214</v>
      </c>
      <c r="DC51" s="7" t="s">
        <v>214</v>
      </c>
      <c r="DD51" s="7" t="s">
        <v>214</v>
      </c>
      <c r="DE51" s="7" t="s">
        <v>214</v>
      </c>
      <c r="DF51" s="7" t="s">
        <v>214</v>
      </c>
      <c r="DG51" s="7" t="s">
        <v>214</v>
      </c>
      <c r="DH51" s="7" t="s">
        <v>214</v>
      </c>
      <c r="DI51" s="7" t="s">
        <v>214</v>
      </c>
      <c r="DJ51" s="7" t="s">
        <v>214</v>
      </c>
      <c r="DK51" s="7" t="s">
        <v>214</v>
      </c>
      <c r="DL51" s="7" t="s">
        <v>214</v>
      </c>
      <c r="DM51" s="7" t="s">
        <v>214</v>
      </c>
      <c r="DN51" s="7" t="s">
        <v>214</v>
      </c>
      <c r="DO51" s="7" t="s">
        <v>214</v>
      </c>
      <c r="DP51" s="7" t="s">
        <v>214</v>
      </c>
      <c r="DQ51" s="7" t="s">
        <v>214</v>
      </c>
      <c r="DR51" s="7" t="s">
        <v>214</v>
      </c>
      <c r="DS51" s="7" t="s">
        <v>214</v>
      </c>
      <c r="DT51" s="7" t="s">
        <v>214</v>
      </c>
      <c r="DU51" s="7" t="s">
        <v>214</v>
      </c>
      <c r="DV51" s="7" t="s">
        <v>214</v>
      </c>
      <c r="DW51" s="7" t="s">
        <v>214</v>
      </c>
      <c r="DX51" s="7" t="s">
        <v>214</v>
      </c>
      <c r="DY51" s="7" t="s">
        <v>214</v>
      </c>
      <c r="DZ51" s="7" t="s">
        <v>214</v>
      </c>
      <c r="EA51" s="7" t="s">
        <v>214</v>
      </c>
      <c r="EB51" s="7" t="s">
        <v>214</v>
      </c>
      <c r="EC51" s="7" t="s">
        <v>214</v>
      </c>
      <c r="ED51" s="7" t="s">
        <v>214</v>
      </c>
      <c r="EE51" s="7" t="s">
        <v>214</v>
      </c>
      <c r="EF51" s="7" t="s">
        <v>214</v>
      </c>
      <c r="EG51" s="7" t="s">
        <v>214</v>
      </c>
      <c r="EH51" s="7" t="s">
        <v>214</v>
      </c>
      <c r="EI51" s="7" t="s">
        <v>214</v>
      </c>
      <c r="EJ51" s="7" t="s">
        <v>214</v>
      </c>
      <c r="EK51" s="7" t="s">
        <v>214</v>
      </c>
      <c r="EL51" s="7" t="s">
        <v>214</v>
      </c>
      <c r="EM51" s="7" t="s">
        <v>214</v>
      </c>
      <c r="EN51" s="7" t="s">
        <v>214</v>
      </c>
      <c r="EO51" s="7" t="s">
        <v>214</v>
      </c>
      <c r="EP51" s="7" t="s">
        <v>214</v>
      </c>
      <c r="EQ51" s="7" t="s">
        <v>214</v>
      </c>
      <c r="ER51" s="7" t="s">
        <v>214</v>
      </c>
      <c r="ES51" s="7" t="s">
        <v>214</v>
      </c>
      <c r="ET51" s="7" t="s">
        <v>214</v>
      </c>
      <c r="EU51" s="7" t="s">
        <v>214</v>
      </c>
      <c r="EV51" s="7" t="s">
        <v>214</v>
      </c>
      <c r="EW51" s="7" t="s">
        <v>214</v>
      </c>
      <c r="EX51" s="7" t="s">
        <v>214</v>
      </c>
      <c r="EY51" s="7" t="s">
        <v>214</v>
      </c>
      <c r="EZ51" s="7" t="s">
        <v>214</v>
      </c>
      <c r="FA51" s="7" t="s">
        <v>214</v>
      </c>
      <c r="FB51" s="7" t="s">
        <v>214</v>
      </c>
      <c r="FC51" s="7" t="s">
        <v>214</v>
      </c>
      <c r="FD51" s="7" t="s">
        <v>214</v>
      </c>
      <c r="FE51" s="7" t="s">
        <v>214</v>
      </c>
      <c r="FF51" s="7" t="s">
        <v>214</v>
      </c>
      <c r="FG51" s="7" t="s">
        <v>214</v>
      </c>
      <c r="FH51" s="7" t="s">
        <v>214</v>
      </c>
      <c r="FI51" s="7" t="s">
        <v>214</v>
      </c>
      <c r="FJ51" s="7" t="s">
        <v>214</v>
      </c>
      <c r="FK51" s="7" t="s">
        <v>214</v>
      </c>
      <c r="FL51" s="7" t="s">
        <v>214</v>
      </c>
    </row>
    <row r="52" spans="1:168" ht="11.45" customHeight="1" x14ac:dyDescent="0.25">
      <c r="A52" s="5" t="s">
        <v>186</v>
      </c>
      <c r="B52" s="5" t="s">
        <v>7</v>
      </c>
      <c r="C52" s="8" t="s">
        <v>214</v>
      </c>
      <c r="D52" s="8" t="s">
        <v>214</v>
      </c>
      <c r="E52" s="8" t="s">
        <v>214</v>
      </c>
      <c r="F52" s="8" t="s">
        <v>214</v>
      </c>
      <c r="G52" s="8" t="s">
        <v>214</v>
      </c>
      <c r="H52" s="8" t="s">
        <v>214</v>
      </c>
      <c r="I52" s="8" t="s">
        <v>214</v>
      </c>
      <c r="J52" s="8" t="s">
        <v>214</v>
      </c>
      <c r="K52" s="8" t="s">
        <v>214</v>
      </c>
      <c r="L52" s="8" t="s">
        <v>214</v>
      </c>
      <c r="M52" s="8" t="s">
        <v>214</v>
      </c>
      <c r="N52" s="8" t="s">
        <v>214</v>
      </c>
      <c r="O52" s="8" t="s">
        <v>214</v>
      </c>
      <c r="P52" s="8" t="s">
        <v>214</v>
      </c>
      <c r="Q52" s="8" t="s">
        <v>214</v>
      </c>
      <c r="R52" s="8" t="s">
        <v>214</v>
      </c>
      <c r="S52" s="8" t="s">
        <v>214</v>
      </c>
      <c r="T52" s="8" t="s">
        <v>214</v>
      </c>
      <c r="U52" s="8" t="s">
        <v>214</v>
      </c>
      <c r="V52" s="8" t="s">
        <v>214</v>
      </c>
      <c r="W52" s="8" t="s">
        <v>214</v>
      </c>
      <c r="X52" s="8" t="s">
        <v>214</v>
      </c>
      <c r="Y52" s="8" t="s">
        <v>214</v>
      </c>
      <c r="Z52" s="8" t="s">
        <v>214</v>
      </c>
      <c r="AA52" s="8" t="s">
        <v>214</v>
      </c>
      <c r="AB52" s="8" t="s">
        <v>214</v>
      </c>
      <c r="AC52" s="8" t="s">
        <v>214</v>
      </c>
      <c r="AD52" s="8" t="s">
        <v>214</v>
      </c>
      <c r="AE52" s="8" t="s">
        <v>214</v>
      </c>
      <c r="AF52" s="8" t="s">
        <v>214</v>
      </c>
      <c r="AG52" s="8" t="s">
        <v>214</v>
      </c>
      <c r="AH52" s="8" t="s">
        <v>214</v>
      </c>
      <c r="AI52" s="8" t="s">
        <v>214</v>
      </c>
      <c r="AJ52" s="8" t="s">
        <v>217</v>
      </c>
      <c r="AK52" s="8" t="s">
        <v>214</v>
      </c>
      <c r="AL52" s="8" t="s">
        <v>214</v>
      </c>
      <c r="AM52" s="8" t="s">
        <v>214</v>
      </c>
      <c r="AN52" s="8" t="s">
        <v>214</v>
      </c>
      <c r="AO52" s="8" t="s">
        <v>214</v>
      </c>
      <c r="AP52" s="8" t="s">
        <v>214</v>
      </c>
      <c r="AQ52" s="8" t="s">
        <v>214</v>
      </c>
      <c r="AR52" s="8" t="s">
        <v>214</v>
      </c>
      <c r="AS52" s="8" t="s">
        <v>214</v>
      </c>
      <c r="AT52" s="8" t="s">
        <v>214</v>
      </c>
      <c r="AU52" s="8" t="s">
        <v>214</v>
      </c>
      <c r="AV52" s="8" t="s">
        <v>214</v>
      </c>
      <c r="AW52" s="8" t="s">
        <v>214</v>
      </c>
      <c r="AX52" s="8" t="s">
        <v>214</v>
      </c>
      <c r="AY52" s="8" t="s">
        <v>214</v>
      </c>
      <c r="AZ52" s="8" t="s">
        <v>214</v>
      </c>
      <c r="BA52" s="8" t="s">
        <v>214</v>
      </c>
      <c r="BB52" s="8" t="s">
        <v>214</v>
      </c>
      <c r="BC52" s="8" t="s">
        <v>214</v>
      </c>
      <c r="BD52" s="8" t="s">
        <v>214</v>
      </c>
      <c r="BE52" s="8" t="s">
        <v>214</v>
      </c>
      <c r="BF52" s="8" t="s">
        <v>214</v>
      </c>
      <c r="BG52" s="8" t="s">
        <v>214</v>
      </c>
      <c r="BH52" s="8" t="s">
        <v>214</v>
      </c>
      <c r="BI52" s="8" t="s">
        <v>214</v>
      </c>
      <c r="BJ52" s="8" t="s">
        <v>214</v>
      </c>
      <c r="BK52" s="8" t="s">
        <v>214</v>
      </c>
      <c r="BL52" s="8" t="s">
        <v>214</v>
      </c>
      <c r="BM52" s="8" t="s">
        <v>214</v>
      </c>
      <c r="BN52" s="8" t="s">
        <v>214</v>
      </c>
      <c r="BO52" s="8" t="s">
        <v>217</v>
      </c>
      <c r="BP52" s="8" t="s">
        <v>214</v>
      </c>
      <c r="BQ52" s="8" t="s">
        <v>214</v>
      </c>
      <c r="BR52" s="8" t="s">
        <v>214</v>
      </c>
      <c r="BS52" s="8" t="s">
        <v>214</v>
      </c>
      <c r="BT52" s="8" t="s">
        <v>214</v>
      </c>
      <c r="BU52" s="8" t="s">
        <v>214</v>
      </c>
      <c r="BV52" s="8" t="s">
        <v>214</v>
      </c>
      <c r="BW52" s="8" t="s">
        <v>214</v>
      </c>
      <c r="BX52" s="8" t="s">
        <v>214</v>
      </c>
      <c r="BY52" s="8" t="s">
        <v>214</v>
      </c>
      <c r="BZ52" s="8" t="s">
        <v>214</v>
      </c>
      <c r="CA52" s="8" t="s">
        <v>214</v>
      </c>
      <c r="CB52" s="8" t="s">
        <v>214</v>
      </c>
      <c r="CC52" s="8" t="s">
        <v>214</v>
      </c>
      <c r="CD52" s="8" t="s">
        <v>214</v>
      </c>
      <c r="CE52" s="8" t="s">
        <v>214</v>
      </c>
      <c r="CF52" s="8" t="s">
        <v>214</v>
      </c>
      <c r="CG52" s="8" t="s">
        <v>214</v>
      </c>
      <c r="CH52" s="8" t="s">
        <v>214</v>
      </c>
      <c r="CI52" s="8" t="s">
        <v>214</v>
      </c>
      <c r="CJ52" s="8" t="s">
        <v>214</v>
      </c>
      <c r="CK52" s="8" t="s">
        <v>214</v>
      </c>
      <c r="CL52" s="8" t="s">
        <v>214</v>
      </c>
      <c r="CM52" s="8" t="s">
        <v>214</v>
      </c>
      <c r="CN52" s="8" t="s">
        <v>214</v>
      </c>
      <c r="CO52" s="8" t="s">
        <v>214</v>
      </c>
      <c r="CP52" s="8" t="s">
        <v>214</v>
      </c>
      <c r="CQ52" s="8" t="s">
        <v>214</v>
      </c>
      <c r="CR52" s="8" t="s">
        <v>214</v>
      </c>
      <c r="CS52" s="8" t="s">
        <v>214</v>
      </c>
      <c r="CT52" s="8" t="s">
        <v>214</v>
      </c>
      <c r="CU52" s="8" t="s">
        <v>214</v>
      </c>
      <c r="CV52" s="8" t="s">
        <v>214</v>
      </c>
      <c r="CW52" s="8" t="s">
        <v>214</v>
      </c>
      <c r="CX52" s="8" t="s">
        <v>214</v>
      </c>
      <c r="CY52" s="8" t="s">
        <v>214</v>
      </c>
      <c r="CZ52" s="8" t="s">
        <v>214</v>
      </c>
      <c r="DA52" s="8" t="s">
        <v>214</v>
      </c>
      <c r="DB52" s="8" t="s">
        <v>214</v>
      </c>
      <c r="DC52" s="8" t="s">
        <v>214</v>
      </c>
      <c r="DD52" s="8" t="s">
        <v>214</v>
      </c>
      <c r="DE52" s="8" t="s">
        <v>214</v>
      </c>
      <c r="DF52" s="8" t="s">
        <v>214</v>
      </c>
      <c r="DG52" s="8" t="s">
        <v>214</v>
      </c>
      <c r="DH52" s="8" t="s">
        <v>214</v>
      </c>
      <c r="DI52" s="8" t="s">
        <v>214</v>
      </c>
      <c r="DJ52" s="8" t="s">
        <v>214</v>
      </c>
      <c r="DK52" s="8" t="s">
        <v>214</v>
      </c>
      <c r="DL52" s="8" t="s">
        <v>214</v>
      </c>
      <c r="DM52" s="8" t="s">
        <v>214</v>
      </c>
      <c r="DN52" s="8" t="s">
        <v>214</v>
      </c>
      <c r="DO52" s="8" t="s">
        <v>214</v>
      </c>
      <c r="DP52" s="8" t="s">
        <v>214</v>
      </c>
      <c r="DQ52" s="8" t="s">
        <v>214</v>
      </c>
      <c r="DR52" s="8" t="s">
        <v>214</v>
      </c>
      <c r="DS52" s="8" t="s">
        <v>214</v>
      </c>
      <c r="DT52" s="8" t="s">
        <v>214</v>
      </c>
      <c r="DU52" s="8" t="s">
        <v>214</v>
      </c>
      <c r="DV52" s="8" t="s">
        <v>214</v>
      </c>
      <c r="DW52" s="8" t="s">
        <v>214</v>
      </c>
      <c r="DX52" s="8" t="s">
        <v>214</v>
      </c>
      <c r="DY52" s="8" t="s">
        <v>214</v>
      </c>
      <c r="DZ52" s="8" t="s">
        <v>214</v>
      </c>
      <c r="EA52" s="8" t="s">
        <v>214</v>
      </c>
      <c r="EB52" s="8" t="s">
        <v>214</v>
      </c>
      <c r="EC52" s="8" t="s">
        <v>214</v>
      </c>
      <c r="ED52" s="8" t="s">
        <v>214</v>
      </c>
      <c r="EE52" s="8" t="s">
        <v>217</v>
      </c>
      <c r="EF52" s="8" t="s">
        <v>214</v>
      </c>
      <c r="EG52" s="8" t="s">
        <v>214</v>
      </c>
      <c r="EH52" s="8" t="s">
        <v>214</v>
      </c>
      <c r="EI52" s="8" t="s">
        <v>217</v>
      </c>
      <c r="EJ52" s="8" t="s">
        <v>214</v>
      </c>
      <c r="EK52" s="8" t="s">
        <v>214</v>
      </c>
      <c r="EL52" s="8" t="s">
        <v>214</v>
      </c>
      <c r="EM52" s="8" t="s">
        <v>214</v>
      </c>
      <c r="EN52" s="8" t="s">
        <v>214</v>
      </c>
      <c r="EO52" s="8" t="s">
        <v>214</v>
      </c>
      <c r="EP52" s="8" t="s">
        <v>214</v>
      </c>
      <c r="EQ52" s="8" t="s">
        <v>214</v>
      </c>
      <c r="ER52" s="8" t="s">
        <v>214</v>
      </c>
      <c r="ES52" s="8" t="s">
        <v>214</v>
      </c>
      <c r="ET52" s="8" t="s">
        <v>214</v>
      </c>
      <c r="EU52" s="8" t="s">
        <v>214</v>
      </c>
      <c r="EV52" s="8" t="s">
        <v>214</v>
      </c>
      <c r="EW52" s="8" t="s">
        <v>214</v>
      </c>
      <c r="EX52" s="8" t="s">
        <v>214</v>
      </c>
      <c r="EY52" s="8" t="s">
        <v>214</v>
      </c>
      <c r="EZ52" s="8" t="s">
        <v>214</v>
      </c>
      <c r="FA52" s="8" t="s">
        <v>214</v>
      </c>
      <c r="FB52" s="8" t="s">
        <v>214</v>
      </c>
      <c r="FC52" s="8" t="s">
        <v>214</v>
      </c>
      <c r="FD52" s="8" t="s">
        <v>214</v>
      </c>
      <c r="FE52" s="8" t="s">
        <v>214</v>
      </c>
      <c r="FF52" s="8" t="s">
        <v>214</v>
      </c>
      <c r="FG52" s="8" t="s">
        <v>214</v>
      </c>
      <c r="FH52" s="8" t="s">
        <v>214</v>
      </c>
      <c r="FI52" s="8" t="s">
        <v>214</v>
      </c>
      <c r="FJ52" s="8" t="s">
        <v>214</v>
      </c>
      <c r="FK52" s="8" t="s">
        <v>214</v>
      </c>
      <c r="FL52" s="8" t="s">
        <v>214</v>
      </c>
    </row>
    <row r="53" spans="1:168" ht="11.45" customHeight="1" x14ac:dyDescent="0.25">
      <c r="A53" s="5" t="s">
        <v>186</v>
      </c>
      <c r="B53" s="5" t="s">
        <v>8</v>
      </c>
      <c r="C53" s="7" t="s">
        <v>214</v>
      </c>
      <c r="D53" s="7" t="s">
        <v>214</v>
      </c>
      <c r="E53" s="7" t="s">
        <v>214</v>
      </c>
      <c r="F53" s="7" t="s">
        <v>214</v>
      </c>
      <c r="G53" s="7" t="s">
        <v>214</v>
      </c>
      <c r="H53" s="7" t="s">
        <v>214</v>
      </c>
      <c r="I53" s="7" t="s">
        <v>214</v>
      </c>
      <c r="J53" s="7" t="s">
        <v>214</v>
      </c>
      <c r="K53" s="7" t="s">
        <v>214</v>
      </c>
      <c r="L53" s="7" t="s">
        <v>214</v>
      </c>
      <c r="M53" s="7" t="s">
        <v>214</v>
      </c>
      <c r="N53" s="7" t="s">
        <v>214</v>
      </c>
      <c r="O53" s="7" t="s">
        <v>214</v>
      </c>
      <c r="P53" s="7" t="s">
        <v>214</v>
      </c>
      <c r="Q53" s="7" t="s">
        <v>214</v>
      </c>
      <c r="R53" s="7" t="s">
        <v>214</v>
      </c>
      <c r="S53" s="7" t="s">
        <v>214</v>
      </c>
      <c r="T53" s="7" t="s">
        <v>214</v>
      </c>
      <c r="U53" s="7" t="s">
        <v>214</v>
      </c>
      <c r="V53" s="7" t="s">
        <v>214</v>
      </c>
      <c r="W53" s="7" t="s">
        <v>214</v>
      </c>
      <c r="X53" s="7" t="s">
        <v>214</v>
      </c>
      <c r="Y53" s="7" t="s">
        <v>214</v>
      </c>
      <c r="Z53" s="7" t="s">
        <v>214</v>
      </c>
      <c r="AA53" s="7" t="s">
        <v>214</v>
      </c>
      <c r="AB53" s="7" t="s">
        <v>214</v>
      </c>
      <c r="AC53" s="7" t="s">
        <v>214</v>
      </c>
      <c r="AD53" s="7" t="s">
        <v>214</v>
      </c>
      <c r="AE53" s="7" t="s">
        <v>214</v>
      </c>
      <c r="AF53" s="7" t="s">
        <v>214</v>
      </c>
      <c r="AG53" s="7" t="s">
        <v>214</v>
      </c>
      <c r="AH53" s="7" t="s">
        <v>214</v>
      </c>
      <c r="AI53" s="7" t="s">
        <v>214</v>
      </c>
      <c r="AJ53" s="7" t="s">
        <v>217</v>
      </c>
      <c r="AK53" s="7" t="s">
        <v>214</v>
      </c>
      <c r="AL53" s="7" t="s">
        <v>214</v>
      </c>
      <c r="AM53" s="7" t="s">
        <v>214</v>
      </c>
      <c r="AN53" s="7" t="s">
        <v>214</v>
      </c>
      <c r="AO53" s="7" t="s">
        <v>214</v>
      </c>
      <c r="AP53" s="7" t="s">
        <v>214</v>
      </c>
      <c r="AQ53" s="7" t="s">
        <v>214</v>
      </c>
      <c r="AR53" s="7" t="s">
        <v>214</v>
      </c>
      <c r="AS53" s="7" t="s">
        <v>214</v>
      </c>
      <c r="AT53" s="7" t="s">
        <v>214</v>
      </c>
      <c r="AU53" s="7" t="s">
        <v>214</v>
      </c>
      <c r="AV53" s="7" t="s">
        <v>214</v>
      </c>
      <c r="AW53" s="7" t="s">
        <v>214</v>
      </c>
      <c r="AX53" s="7" t="s">
        <v>214</v>
      </c>
      <c r="AY53" s="7" t="s">
        <v>214</v>
      </c>
      <c r="AZ53" s="7" t="s">
        <v>214</v>
      </c>
      <c r="BA53" s="7" t="s">
        <v>214</v>
      </c>
      <c r="BB53" s="7" t="s">
        <v>214</v>
      </c>
      <c r="BC53" s="7" t="s">
        <v>214</v>
      </c>
      <c r="BD53" s="7" t="s">
        <v>214</v>
      </c>
      <c r="BE53" s="7" t="s">
        <v>214</v>
      </c>
      <c r="BF53" s="7" t="s">
        <v>214</v>
      </c>
      <c r="BG53" s="7" t="s">
        <v>214</v>
      </c>
      <c r="BH53" s="7" t="s">
        <v>214</v>
      </c>
      <c r="BI53" s="7" t="s">
        <v>214</v>
      </c>
      <c r="BJ53" s="7" t="s">
        <v>214</v>
      </c>
      <c r="BK53" s="7" t="s">
        <v>214</v>
      </c>
      <c r="BL53" s="7" t="s">
        <v>214</v>
      </c>
      <c r="BM53" s="7" t="s">
        <v>214</v>
      </c>
      <c r="BN53" s="7" t="s">
        <v>214</v>
      </c>
      <c r="BO53" s="7" t="s">
        <v>214</v>
      </c>
      <c r="BP53" s="7" t="s">
        <v>214</v>
      </c>
      <c r="BQ53" s="7" t="s">
        <v>214</v>
      </c>
      <c r="BR53" s="7" t="s">
        <v>214</v>
      </c>
      <c r="BS53" s="7" t="s">
        <v>214</v>
      </c>
      <c r="BT53" s="7" t="s">
        <v>214</v>
      </c>
      <c r="BU53" s="7" t="s">
        <v>218</v>
      </c>
      <c r="BV53" s="7" t="s">
        <v>214</v>
      </c>
      <c r="BW53" s="7" t="s">
        <v>214</v>
      </c>
      <c r="BX53" s="7" t="s">
        <v>214</v>
      </c>
      <c r="BY53" s="7" t="s">
        <v>214</v>
      </c>
      <c r="BZ53" s="7" t="s">
        <v>214</v>
      </c>
      <c r="CA53" s="7" t="s">
        <v>214</v>
      </c>
      <c r="CB53" s="7" t="s">
        <v>214</v>
      </c>
      <c r="CC53" s="7" t="s">
        <v>214</v>
      </c>
      <c r="CD53" s="7" t="s">
        <v>214</v>
      </c>
      <c r="CE53" s="7" t="s">
        <v>214</v>
      </c>
      <c r="CF53" s="7" t="s">
        <v>214</v>
      </c>
      <c r="CG53" s="7" t="s">
        <v>214</v>
      </c>
      <c r="CH53" s="7" t="s">
        <v>214</v>
      </c>
      <c r="CI53" s="7" t="s">
        <v>214</v>
      </c>
      <c r="CJ53" s="7" t="s">
        <v>214</v>
      </c>
      <c r="CK53" s="7" t="s">
        <v>214</v>
      </c>
      <c r="CL53" s="7" t="s">
        <v>214</v>
      </c>
      <c r="CM53" s="7" t="s">
        <v>214</v>
      </c>
      <c r="CN53" s="7" t="s">
        <v>214</v>
      </c>
      <c r="CO53" s="7" t="s">
        <v>214</v>
      </c>
      <c r="CP53" s="7" t="s">
        <v>214</v>
      </c>
      <c r="CQ53" s="7" t="s">
        <v>214</v>
      </c>
      <c r="CR53" s="7" t="s">
        <v>214</v>
      </c>
      <c r="CS53" s="7" t="s">
        <v>214</v>
      </c>
      <c r="CT53" s="7" t="s">
        <v>214</v>
      </c>
      <c r="CU53" s="7" t="s">
        <v>214</v>
      </c>
      <c r="CV53" s="7" t="s">
        <v>214</v>
      </c>
      <c r="CW53" s="7" t="s">
        <v>214</v>
      </c>
      <c r="CX53" s="7" t="s">
        <v>214</v>
      </c>
      <c r="CY53" s="7" t="s">
        <v>214</v>
      </c>
      <c r="CZ53" s="7" t="s">
        <v>214</v>
      </c>
      <c r="DA53" s="7" t="s">
        <v>214</v>
      </c>
      <c r="DB53" s="7" t="s">
        <v>214</v>
      </c>
      <c r="DC53" s="7" t="s">
        <v>214</v>
      </c>
      <c r="DD53" s="7" t="s">
        <v>214</v>
      </c>
      <c r="DE53" s="7" t="s">
        <v>214</v>
      </c>
      <c r="DF53" s="7" t="s">
        <v>214</v>
      </c>
      <c r="DG53" s="7" t="s">
        <v>214</v>
      </c>
      <c r="DH53" s="7" t="s">
        <v>214</v>
      </c>
      <c r="DI53" s="7" t="s">
        <v>214</v>
      </c>
      <c r="DJ53" s="7" t="s">
        <v>214</v>
      </c>
      <c r="DK53" s="7" t="s">
        <v>214</v>
      </c>
      <c r="DL53" s="7" t="s">
        <v>214</v>
      </c>
      <c r="DM53" s="7" t="s">
        <v>214</v>
      </c>
      <c r="DN53" s="7" t="s">
        <v>214</v>
      </c>
      <c r="DO53" s="7" t="s">
        <v>214</v>
      </c>
      <c r="DP53" s="7" t="s">
        <v>214</v>
      </c>
      <c r="DQ53" s="7" t="s">
        <v>214</v>
      </c>
      <c r="DR53" s="7" t="s">
        <v>214</v>
      </c>
      <c r="DS53" s="7" t="s">
        <v>214</v>
      </c>
      <c r="DT53" s="7" t="s">
        <v>214</v>
      </c>
      <c r="DU53" s="7" t="s">
        <v>214</v>
      </c>
      <c r="DV53" s="7" t="s">
        <v>214</v>
      </c>
      <c r="DW53" s="7" t="s">
        <v>214</v>
      </c>
      <c r="DX53" s="7" t="s">
        <v>214</v>
      </c>
      <c r="DY53" s="7" t="s">
        <v>214</v>
      </c>
      <c r="DZ53" s="7" t="s">
        <v>214</v>
      </c>
      <c r="EA53" s="7" t="s">
        <v>214</v>
      </c>
      <c r="EB53" s="7" t="s">
        <v>214</v>
      </c>
      <c r="EC53" s="7" t="s">
        <v>214</v>
      </c>
      <c r="ED53" s="7" t="s">
        <v>214</v>
      </c>
      <c r="EE53" s="7" t="s">
        <v>217</v>
      </c>
      <c r="EF53" s="7" t="s">
        <v>217</v>
      </c>
      <c r="EG53" s="7" t="s">
        <v>214</v>
      </c>
      <c r="EH53" s="7" t="s">
        <v>214</v>
      </c>
      <c r="EI53" s="7" t="s">
        <v>214</v>
      </c>
      <c r="EJ53" s="7" t="s">
        <v>214</v>
      </c>
      <c r="EK53" s="7" t="s">
        <v>214</v>
      </c>
      <c r="EL53" s="7" t="s">
        <v>214</v>
      </c>
      <c r="EM53" s="7" t="s">
        <v>214</v>
      </c>
      <c r="EN53" s="7" t="s">
        <v>214</v>
      </c>
      <c r="EO53" s="7" t="s">
        <v>214</v>
      </c>
      <c r="EP53" s="7" t="s">
        <v>214</v>
      </c>
      <c r="EQ53" s="7" t="s">
        <v>214</v>
      </c>
      <c r="ER53" s="7" t="s">
        <v>214</v>
      </c>
      <c r="ES53" s="7" t="s">
        <v>214</v>
      </c>
      <c r="ET53" s="7" t="s">
        <v>214</v>
      </c>
      <c r="EU53" s="7" t="s">
        <v>214</v>
      </c>
      <c r="EV53" s="7" t="s">
        <v>214</v>
      </c>
      <c r="EW53" s="7" t="s">
        <v>214</v>
      </c>
      <c r="EX53" s="7" t="s">
        <v>214</v>
      </c>
      <c r="EY53" s="7" t="s">
        <v>214</v>
      </c>
      <c r="EZ53" s="7" t="s">
        <v>214</v>
      </c>
      <c r="FA53" s="7" t="s">
        <v>214</v>
      </c>
      <c r="FB53" s="7" t="s">
        <v>214</v>
      </c>
      <c r="FC53" s="7" t="s">
        <v>214</v>
      </c>
      <c r="FD53" s="7" t="s">
        <v>214</v>
      </c>
      <c r="FE53" s="7" t="s">
        <v>214</v>
      </c>
      <c r="FF53" s="7" t="s">
        <v>214</v>
      </c>
      <c r="FG53" s="7" t="s">
        <v>214</v>
      </c>
      <c r="FH53" s="7" t="s">
        <v>214</v>
      </c>
      <c r="FI53" s="7" t="s">
        <v>214</v>
      </c>
      <c r="FJ53" s="7" t="s">
        <v>214</v>
      </c>
      <c r="FK53" s="7" t="s">
        <v>214</v>
      </c>
      <c r="FL53" s="7" t="s">
        <v>214</v>
      </c>
    </row>
    <row r="54" spans="1:168" ht="11.45" customHeight="1" x14ac:dyDescent="0.25">
      <c r="A54" s="5" t="s">
        <v>186</v>
      </c>
      <c r="B54" s="5" t="s">
        <v>9</v>
      </c>
      <c r="C54" s="8" t="s">
        <v>214</v>
      </c>
      <c r="D54" s="8" t="s">
        <v>214</v>
      </c>
      <c r="E54" s="8" t="s">
        <v>214</v>
      </c>
      <c r="F54" s="8" t="s">
        <v>214</v>
      </c>
      <c r="G54" s="8" t="s">
        <v>214</v>
      </c>
      <c r="H54" s="8" t="s">
        <v>214</v>
      </c>
      <c r="I54" s="8" t="s">
        <v>214</v>
      </c>
      <c r="J54" s="8" t="s">
        <v>214</v>
      </c>
      <c r="K54" s="8" t="s">
        <v>214</v>
      </c>
      <c r="L54" s="8" t="s">
        <v>214</v>
      </c>
      <c r="M54" s="8" t="s">
        <v>214</v>
      </c>
      <c r="N54" s="8" t="s">
        <v>214</v>
      </c>
      <c r="O54" s="8" t="s">
        <v>214</v>
      </c>
      <c r="P54" s="8" t="s">
        <v>214</v>
      </c>
      <c r="Q54" s="8" t="s">
        <v>214</v>
      </c>
      <c r="R54" s="8" t="s">
        <v>214</v>
      </c>
      <c r="S54" s="8" t="s">
        <v>214</v>
      </c>
      <c r="T54" s="8" t="s">
        <v>214</v>
      </c>
      <c r="U54" s="8" t="s">
        <v>214</v>
      </c>
      <c r="V54" s="8" t="s">
        <v>214</v>
      </c>
      <c r="W54" s="8" t="s">
        <v>214</v>
      </c>
      <c r="X54" s="8" t="s">
        <v>214</v>
      </c>
      <c r="Y54" s="8" t="s">
        <v>214</v>
      </c>
      <c r="Z54" s="8" t="s">
        <v>214</v>
      </c>
      <c r="AA54" s="8" t="s">
        <v>214</v>
      </c>
      <c r="AB54" s="8" t="s">
        <v>214</v>
      </c>
      <c r="AC54" s="8" t="s">
        <v>214</v>
      </c>
      <c r="AD54" s="8" t="s">
        <v>214</v>
      </c>
      <c r="AE54" s="8" t="s">
        <v>214</v>
      </c>
      <c r="AF54" s="8" t="s">
        <v>214</v>
      </c>
      <c r="AG54" s="8" t="s">
        <v>214</v>
      </c>
      <c r="AH54" s="8" t="s">
        <v>214</v>
      </c>
      <c r="AI54" s="8" t="s">
        <v>214</v>
      </c>
      <c r="AJ54" s="8" t="s">
        <v>217</v>
      </c>
      <c r="AK54" s="8" t="s">
        <v>214</v>
      </c>
      <c r="AL54" s="8" t="s">
        <v>214</v>
      </c>
      <c r="AM54" s="8" t="s">
        <v>214</v>
      </c>
      <c r="AN54" s="8" t="s">
        <v>214</v>
      </c>
      <c r="AO54" s="8" t="s">
        <v>214</v>
      </c>
      <c r="AP54" s="8" t="s">
        <v>214</v>
      </c>
      <c r="AQ54" s="8" t="s">
        <v>214</v>
      </c>
      <c r="AR54" s="8" t="s">
        <v>214</v>
      </c>
      <c r="AS54" s="8" t="s">
        <v>214</v>
      </c>
      <c r="AT54" s="8" t="s">
        <v>214</v>
      </c>
      <c r="AU54" s="8" t="s">
        <v>214</v>
      </c>
      <c r="AV54" s="8" t="s">
        <v>214</v>
      </c>
      <c r="AW54" s="8" t="s">
        <v>214</v>
      </c>
      <c r="AX54" s="8" t="s">
        <v>214</v>
      </c>
      <c r="AY54" s="8" t="s">
        <v>214</v>
      </c>
      <c r="AZ54" s="8" t="s">
        <v>214</v>
      </c>
      <c r="BA54" s="8" t="s">
        <v>214</v>
      </c>
      <c r="BB54" s="8" t="s">
        <v>214</v>
      </c>
      <c r="BC54" s="8" t="s">
        <v>214</v>
      </c>
      <c r="BD54" s="8" t="s">
        <v>214</v>
      </c>
      <c r="BE54" s="8" t="s">
        <v>214</v>
      </c>
      <c r="BF54" s="8" t="s">
        <v>214</v>
      </c>
      <c r="BG54" s="8" t="s">
        <v>214</v>
      </c>
      <c r="BH54" s="8" t="s">
        <v>214</v>
      </c>
      <c r="BI54" s="8" t="s">
        <v>214</v>
      </c>
      <c r="BJ54" s="8" t="s">
        <v>214</v>
      </c>
      <c r="BK54" s="8" t="s">
        <v>214</v>
      </c>
      <c r="BL54" s="8" t="s">
        <v>214</v>
      </c>
      <c r="BM54" s="8" t="s">
        <v>214</v>
      </c>
      <c r="BN54" s="8" t="s">
        <v>214</v>
      </c>
      <c r="BO54" s="8" t="s">
        <v>214</v>
      </c>
      <c r="BP54" s="8" t="s">
        <v>214</v>
      </c>
      <c r="BQ54" s="8" t="s">
        <v>214</v>
      </c>
      <c r="BR54" s="8" t="s">
        <v>214</v>
      </c>
      <c r="BS54" s="8" t="s">
        <v>214</v>
      </c>
      <c r="BT54" s="8" t="s">
        <v>214</v>
      </c>
      <c r="BU54" s="8" t="s">
        <v>218</v>
      </c>
      <c r="BV54" s="8" t="s">
        <v>214</v>
      </c>
      <c r="BW54" s="8" t="s">
        <v>214</v>
      </c>
      <c r="BX54" s="8" t="s">
        <v>214</v>
      </c>
      <c r="BY54" s="8" t="s">
        <v>214</v>
      </c>
      <c r="BZ54" s="8" t="s">
        <v>214</v>
      </c>
      <c r="CA54" s="8" t="s">
        <v>214</v>
      </c>
      <c r="CB54" s="8" t="s">
        <v>214</v>
      </c>
      <c r="CC54" s="8" t="s">
        <v>214</v>
      </c>
      <c r="CD54" s="8" t="s">
        <v>214</v>
      </c>
      <c r="CE54" s="8" t="s">
        <v>214</v>
      </c>
      <c r="CF54" s="8" t="s">
        <v>214</v>
      </c>
      <c r="CG54" s="8" t="s">
        <v>214</v>
      </c>
      <c r="CH54" s="8" t="s">
        <v>214</v>
      </c>
      <c r="CI54" s="8" t="s">
        <v>214</v>
      </c>
      <c r="CJ54" s="8" t="s">
        <v>214</v>
      </c>
      <c r="CK54" s="8" t="s">
        <v>214</v>
      </c>
      <c r="CL54" s="8" t="s">
        <v>214</v>
      </c>
      <c r="CM54" s="8" t="s">
        <v>214</v>
      </c>
      <c r="CN54" s="8" t="s">
        <v>214</v>
      </c>
      <c r="CO54" s="8" t="s">
        <v>214</v>
      </c>
      <c r="CP54" s="8" t="s">
        <v>214</v>
      </c>
      <c r="CQ54" s="8" t="s">
        <v>214</v>
      </c>
      <c r="CR54" s="8" t="s">
        <v>214</v>
      </c>
      <c r="CS54" s="8" t="s">
        <v>214</v>
      </c>
      <c r="CT54" s="8" t="s">
        <v>214</v>
      </c>
      <c r="CU54" s="8" t="s">
        <v>214</v>
      </c>
      <c r="CV54" s="8" t="s">
        <v>214</v>
      </c>
      <c r="CW54" s="8" t="s">
        <v>214</v>
      </c>
      <c r="CX54" s="8" t="s">
        <v>214</v>
      </c>
      <c r="CY54" s="8" t="s">
        <v>214</v>
      </c>
      <c r="CZ54" s="8" t="s">
        <v>214</v>
      </c>
      <c r="DA54" s="8" t="s">
        <v>214</v>
      </c>
      <c r="DB54" s="8" t="s">
        <v>214</v>
      </c>
      <c r="DC54" s="8" t="s">
        <v>214</v>
      </c>
      <c r="DD54" s="8" t="s">
        <v>214</v>
      </c>
      <c r="DE54" s="8" t="s">
        <v>214</v>
      </c>
      <c r="DF54" s="8" t="s">
        <v>214</v>
      </c>
      <c r="DG54" s="8" t="s">
        <v>214</v>
      </c>
      <c r="DH54" s="8" t="s">
        <v>214</v>
      </c>
      <c r="DI54" s="8" t="s">
        <v>214</v>
      </c>
      <c r="DJ54" s="8" t="s">
        <v>214</v>
      </c>
      <c r="DK54" s="8" t="s">
        <v>214</v>
      </c>
      <c r="DL54" s="8" t="s">
        <v>214</v>
      </c>
      <c r="DM54" s="8" t="s">
        <v>214</v>
      </c>
      <c r="DN54" s="8" t="s">
        <v>214</v>
      </c>
      <c r="DO54" s="8" t="s">
        <v>214</v>
      </c>
      <c r="DP54" s="8" t="s">
        <v>214</v>
      </c>
      <c r="DQ54" s="8" t="s">
        <v>214</v>
      </c>
      <c r="DR54" s="8" t="s">
        <v>214</v>
      </c>
      <c r="DS54" s="8" t="s">
        <v>214</v>
      </c>
      <c r="DT54" s="8" t="s">
        <v>214</v>
      </c>
      <c r="DU54" s="8" t="s">
        <v>214</v>
      </c>
      <c r="DV54" s="8" t="s">
        <v>214</v>
      </c>
      <c r="DW54" s="8" t="s">
        <v>214</v>
      </c>
      <c r="DX54" s="8" t="s">
        <v>214</v>
      </c>
      <c r="DY54" s="8" t="s">
        <v>214</v>
      </c>
      <c r="DZ54" s="8" t="s">
        <v>214</v>
      </c>
      <c r="EA54" s="8" t="s">
        <v>214</v>
      </c>
      <c r="EB54" s="8" t="s">
        <v>214</v>
      </c>
      <c r="EC54" s="8" t="s">
        <v>214</v>
      </c>
      <c r="ED54" s="8" t="s">
        <v>214</v>
      </c>
      <c r="EE54" s="8" t="s">
        <v>214</v>
      </c>
      <c r="EF54" s="8" t="s">
        <v>214</v>
      </c>
      <c r="EG54" s="8" t="s">
        <v>214</v>
      </c>
      <c r="EH54" s="8" t="s">
        <v>214</v>
      </c>
      <c r="EI54" s="8" t="s">
        <v>214</v>
      </c>
      <c r="EJ54" s="8" t="s">
        <v>214</v>
      </c>
      <c r="EK54" s="8" t="s">
        <v>214</v>
      </c>
      <c r="EL54" s="8" t="s">
        <v>214</v>
      </c>
      <c r="EM54" s="8" t="s">
        <v>214</v>
      </c>
      <c r="EN54" s="8" t="s">
        <v>214</v>
      </c>
      <c r="EO54" s="8" t="s">
        <v>214</v>
      </c>
      <c r="EP54" s="8" t="s">
        <v>214</v>
      </c>
      <c r="EQ54" s="8" t="s">
        <v>214</v>
      </c>
      <c r="ER54" s="8" t="s">
        <v>214</v>
      </c>
      <c r="ES54" s="8" t="s">
        <v>214</v>
      </c>
      <c r="ET54" s="8" t="s">
        <v>214</v>
      </c>
      <c r="EU54" s="8" t="s">
        <v>214</v>
      </c>
      <c r="EV54" s="8" t="s">
        <v>214</v>
      </c>
      <c r="EW54" s="8" t="s">
        <v>214</v>
      </c>
      <c r="EX54" s="8" t="s">
        <v>214</v>
      </c>
      <c r="EY54" s="8" t="s">
        <v>214</v>
      </c>
      <c r="EZ54" s="8" t="s">
        <v>214</v>
      </c>
      <c r="FA54" s="8" t="s">
        <v>214</v>
      </c>
      <c r="FB54" s="8" t="s">
        <v>214</v>
      </c>
      <c r="FC54" s="8" t="s">
        <v>214</v>
      </c>
      <c r="FD54" s="8" t="s">
        <v>214</v>
      </c>
      <c r="FE54" s="8" t="s">
        <v>214</v>
      </c>
      <c r="FF54" s="8" t="s">
        <v>214</v>
      </c>
      <c r="FG54" s="8" t="s">
        <v>214</v>
      </c>
      <c r="FH54" s="8" t="s">
        <v>214</v>
      </c>
      <c r="FI54" s="8" t="s">
        <v>214</v>
      </c>
      <c r="FJ54" s="8" t="s">
        <v>214</v>
      </c>
      <c r="FK54" s="8" t="s">
        <v>214</v>
      </c>
      <c r="FL54" s="8" t="s">
        <v>214</v>
      </c>
    </row>
    <row r="55" spans="1:168" ht="11.45" customHeight="1" x14ac:dyDescent="0.25">
      <c r="A55" s="5" t="s">
        <v>187</v>
      </c>
      <c r="B55" s="5" t="s">
        <v>6</v>
      </c>
      <c r="C55" s="7" t="s">
        <v>214</v>
      </c>
      <c r="D55" s="7" t="s">
        <v>214</v>
      </c>
      <c r="E55" s="7" t="s">
        <v>214</v>
      </c>
      <c r="F55" s="7" t="s">
        <v>214</v>
      </c>
      <c r="G55" s="7" t="s">
        <v>214</v>
      </c>
      <c r="H55" s="7" t="s">
        <v>214</v>
      </c>
      <c r="I55" s="7" t="s">
        <v>214</v>
      </c>
      <c r="J55" s="7" t="s">
        <v>214</v>
      </c>
      <c r="K55" s="7" t="s">
        <v>214</v>
      </c>
      <c r="L55" s="7" t="s">
        <v>214</v>
      </c>
      <c r="M55" s="7" t="s">
        <v>214</v>
      </c>
      <c r="N55" s="7" t="s">
        <v>214</v>
      </c>
      <c r="O55" s="7" t="s">
        <v>214</v>
      </c>
      <c r="P55" s="7" t="s">
        <v>214</v>
      </c>
      <c r="Q55" s="7" t="s">
        <v>214</v>
      </c>
      <c r="R55" s="7" t="s">
        <v>214</v>
      </c>
      <c r="S55" s="7" t="s">
        <v>214</v>
      </c>
      <c r="T55" s="7" t="s">
        <v>214</v>
      </c>
      <c r="U55" s="7" t="s">
        <v>214</v>
      </c>
      <c r="V55" s="7" t="s">
        <v>214</v>
      </c>
      <c r="W55" s="7" t="s">
        <v>214</v>
      </c>
      <c r="X55" s="7" t="s">
        <v>214</v>
      </c>
      <c r="Y55" s="7" t="s">
        <v>214</v>
      </c>
      <c r="Z55" s="7" t="s">
        <v>214</v>
      </c>
      <c r="AA55" s="7" t="s">
        <v>214</v>
      </c>
      <c r="AB55" s="7" t="s">
        <v>214</v>
      </c>
      <c r="AC55" s="7" t="s">
        <v>214</v>
      </c>
      <c r="AD55" s="7" t="s">
        <v>214</v>
      </c>
      <c r="AE55" s="7" t="s">
        <v>214</v>
      </c>
      <c r="AF55" s="7" t="s">
        <v>214</v>
      </c>
      <c r="AG55" s="7" t="s">
        <v>214</v>
      </c>
      <c r="AH55" s="7" t="s">
        <v>217</v>
      </c>
      <c r="AI55" s="7" t="s">
        <v>214</v>
      </c>
      <c r="AJ55" s="7" t="s">
        <v>214</v>
      </c>
      <c r="AK55" s="7" t="s">
        <v>214</v>
      </c>
      <c r="AL55" s="7" t="s">
        <v>214</v>
      </c>
      <c r="AM55" s="7" t="s">
        <v>214</v>
      </c>
      <c r="AN55" s="7" t="s">
        <v>214</v>
      </c>
      <c r="AO55" s="7" t="s">
        <v>214</v>
      </c>
      <c r="AP55" s="7" t="s">
        <v>214</v>
      </c>
      <c r="AQ55" s="7" t="s">
        <v>214</v>
      </c>
      <c r="AR55" s="7" t="s">
        <v>219</v>
      </c>
      <c r="AS55" s="7" t="s">
        <v>214</v>
      </c>
      <c r="AT55" s="7" t="s">
        <v>214</v>
      </c>
      <c r="AU55" s="7" t="s">
        <v>214</v>
      </c>
      <c r="AV55" s="7" t="s">
        <v>214</v>
      </c>
      <c r="AW55" s="7" t="s">
        <v>214</v>
      </c>
      <c r="AX55" s="7" t="s">
        <v>214</v>
      </c>
      <c r="AY55" s="7" t="s">
        <v>214</v>
      </c>
      <c r="AZ55" s="7" t="s">
        <v>214</v>
      </c>
      <c r="BA55" s="7" t="s">
        <v>214</v>
      </c>
      <c r="BB55" s="7" t="s">
        <v>214</v>
      </c>
      <c r="BC55" s="7" t="s">
        <v>214</v>
      </c>
      <c r="BD55" s="7" t="s">
        <v>214</v>
      </c>
      <c r="BE55" s="7" t="s">
        <v>214</v>
      </c>
      <c r="BF55" s="7" t="s">
        <v>214</v>
      </c>
      <c r="BG55" s="7" t="s">
        <v>214</v>
      </c>
      <c r="BH55" s="7" t="s">
        <v>214</v>
      </c>
      <c r="BI55" s="7" t="s">
        <v>214</v>
      </c>
      <c r="BJ55" s="7" t="s">
        <v>214</v>
      </c>
      <c r="BK55" s="7" t="s">
        <v>214</v>
      </c>
      <c r="BL55" s="7" t="s">
        <v>214</v>
      </c>
      <c r="BM55" s="7" t="s">
        <v>214</v>
      </c>
      <c r="BN55" s="7" t="s">
        <v>214</v>
      </c>
      <c r="BO55" s="7" t="s">
        <v>214</v>
      </c>
      <c r="BP55" s="7" t="s">
        <v>214</v>
      </c>
      <c r="BQ55" s="7" t="s">
        <v>214</v>
      </c>
      <c r="BR55" s="7" t="s">
        <v>214</v>
      </c>
      <c r="BS55" s="7" t="s">
        <v>214</v>
      </c>
      <c r="BT55" s="7" t="s">
        <v>214</v>
      </c>
      <c r="BU55" s="7" t="s">
        <v>214</v>
      </c>
      <c r="BV55" s="7" t="s">
        <v>214</v>
      </c>
      <c r="BW55" s="7" t="s">
        <v>214</v>
      </c>
      <c r="BX55" s="7" t="s">
        <v>214</v>
      </c>
      <c r="BY55" s="7" t="s">
        <v>214</v>
      </c>
      <c r="BZ55" s="7" t="s">
        <v>214</v>
      </c>
      <c r="CA55" s="7" t="s">
        <v>214</v>
      </c>
      <c r="CB55" s="7" t="s">
        <v>214</v>
      </c>
      <c r="CC55" s="7" t="s">
        <v>214</v>
      </c>
      <c r="CD55" s="7" t="s">
        <v>214</v>
      </c>
      <c r="CE55" s="7" t="s">
        <v>214</v>
      </c>
      <c r="CF55" s="7" t="s">
        <v>214</v>
      </c>
      <c r="CG55" s="7" t="s">
        <v>214</v>
      </c>
      <c r="CH55" s="7" t="s">
        <v>214</v>
      </c>
      <c r="CI55" s="7" t="s">
        <v>214</v>
      </c>
      <c r="CJ55" s="7" t="s">
        <v>214</v>
      </c>
      <c r="CK55" s="7" t="s">
        <v>214</v>
      </c>
      <c r="CL55" s="7" t="s">
        <v>214</v>
      </c>
      <c r="CM55" s="7" t="s">
        <v>214</v>
      </c>
      <c r="CN55" s="7" t="s">
        <v>214</v>
      </c>
      <c r="CO55" s="7" t="s">
        <v>214</v>
      </c>
      <c r="CP55" s="7" t="s">
        <v>214</v>
      </c>
      <c r="CQ55" s="7" t="s">
        <v>214</v>
      </c>
      <c r="CR55" s="7" t="s">
        <v>214</v>
      </c>
      <c r="CS55" s="7" t="s">
        <v>214</v>
      </c>
      <c r="CT55" s="7" t="s">
        <v>214</v>
      </c>
      <c r="CU55" s="7" t="s">
        <v>214</v>
      </c>
      <c r="CV55" s="7" t="s">
        <v>214</v>
      </c>
      <c r="CW55" s="7" t="s">
        <v>214</v>
      </c>
      <c r="CX55" s="7" t="s">
        <v>214</v>
      </c>
      <c r="CY55" s="7" t="s">
        <v>214</v>
      </c>
      <c r="CZ55" s="7" t="s">
        <v>214</v>
      </c>
      <c r="DA55" s="7" t="s">
        <v>214</v>
      </c>
      <c r="DB55" s="7" t="s">
        <v>214</v>
      </c>
      <c r="DC55" s="7" t="s">
        <v>214</v>
      </c>
      <c r="DD55" s="7" t="s">
        <v>214</v>
      </c>
      <c r="DE55" s="7" t="s">
        <v>214</v>
      </c>
      <c r="DF55" s="7" t="s">
        <v>218</v>
      </c>
      <c r="DG55" s="7" t="s">
        <v>214</v>
      </c>
      <c r="DH55" s="7" t="s">
        <v>214</v>
      </c>
      <c r="DI55" s="7" t="s">
        <v>214</v>
      </c>
      <c r="DJ55" s="7" t="s">
        <v>214</v>
      </c>
      <c r="DK55" s="7" t="s">
        <v>214</v>
      </c>
      <c r="DL55" s="7" t="s">
        <v>214</v>
      </c>
      <c r="DM55" s="7" t="s">
        <v>214</v>
      </c>
      <c r="DN55" s="7" t="s">
        <v>214</v>
      </c>
      <c r="DO55" s="7" t="s">
        <v>214</v>
      </c>
      <c r="DP55" s="7" t="s">
        <v>218</v>
      </c>
      <c r="DQ55" s="7" t="s">
        <v>214</v>
      </c>
      <c r="DR55" s="7" t="s">
        <v>214</v>
      </c>
      <c r="DS55" s="7" t="s">
        <v>214</v>
      </c>
      <c r="DT55" s="7" t="s">
        <v>214</v>
      </c>
      <c r="DU55" s="7" t="s">
        <v>214</v>
      </c>
      <c r="DV55" s="7" t="s">
        <v>214</v>
      </c>
      <c r="DW55" s="7" t="s">
        <v>214</v>
      </c>
      <c r="DX55" s="7" t="s">
        <v>214</v>
      </c>
      <c r="DY55" s="7" t="s">
        <v>214</v>
      </c>
      <c r="DZ55" s="7" t="s">
        <v>214</v>
      </c>
      <c r="EA55" s="7" t="s">
        <v>214</v>
      </c>
      <c r="EB55" s="7" t="s">
        <v>214</v>
      </c>
      <c r="EC55" s="7" t="s">
        <v>214</v>
      </c>
      <c r="ED55" s="7" t="s">
        <v>214</v>
      </c>
      <c r="EE55" s="7" t="s">
        <v>214</v>
      </c>
      <c r="EF55" s="7" t="s">
        <v>214</v>
      </c>
      <c r="EG55" s="7" t="s">
        <v>214</v>
      </c>
      <c r="EH55" s="7" t="s">
        <v>214</v>
      </c>
      <c r="EI55" s="7" t="s">
        <v>214</v>
      </c>
      <c r="EJ55" s="7" t="s">
        <v>214</v>
      </c>
      <c r="EK55" s="7" t="s">
        <v>214</v>
      </c>
      <c r="EL55" s="7" t="s">
        <v>214</v>
      </c>
      <c r="EM55" s="7" t="s">
        <v>214</v>
      </c>
      <c r="EN55" s="7" t="s">
        <v>214</v>
      </c>
      <c r="EO55" s="7" t="s">
        <v>214</v>
      </c>
      <c r="EP55" s="7" t="s">
        <v>214</v>
      </c>
      <c r="EQ55" s="7" t="s">
        <v>214</v>
      </c>
      <c r="ER55" s="7" t="s">
        <v>214</v>
      </c>
      <c r="ES55" s="7" t="s">
        <v>214</v>
      </c>
      <c r="ET55" s="7" t="s">
        <v>214</v>
      </c>
      <c r="EU55" s="7" t="s">
        <v>214</v>
      </c>
      <c r="EV55" s="7" t="s">
        <v>214</v>
      </c>
      <c r="EW55" s="7" t="s">
        <v>214</v>
      </c>
      <c r="EX55" s="7" t="s">
        <v>214</v>
      </c>
      <c r="EY55" s="7" t="s">
        <v>214</v>
      </c>
      <c r="EZ55" s="7" t="s">
        <v>214</v>
      </c>
      <c r="FA55" s="7" t="s">
        <v>214</v>
      </c>
      <c r="FB55" s="7" t="s">
        <v>214</v>
      </c>
      <c r="FC55" s="7" t="s">
        <v>214</v>
      </c>
      <c r="FD55" s="7" t="s">
        <v>214</v>
      </c>
      <c r="FE55" s="7" t="s">
        <v>214</v>
      </c>
      <c r="FF55" s="7" t="s">
        <v>214</v>
      </c>
      <c r="FG55" s="7" t="s">
        <v>214</v>
      </c>
      <c r="FH55" s="7" t="s">
        <v>214</v>
      </c>
      <c r="FI55" s="7" t="s">
        <v>214</v>
      </c>
      <c r="FJ55" s="7" t="s">
        <v>214</v>
      </c>
      <c r="FK55" s="7" t="s">
        <v>214</v>
      </c>
      <c r="FL55" s="7" t="s">
        <v>214</v>
      </c>
    </row>
    <row r="56" spans="1:168" ht="11.45" customHeight="1" x14ac:dyDescent="0.25">
      <c r="A56" s="5" t="s">
        <v>187</v>
      </c>
      <c r="B56" s="5" t="s">
        <v>7</v>
      </c>
      <c r="C56" s="8" t="s">
        <v>217</v>
      </c>
      <c r="D56" s="8" t="s">
        <v>217</v>
      </c>
      <c r="E56" s="8" t="s">
        <v>214</v>
      </c>
      <c r="F56" s="8" t="s">
        <v>214</v>
      </c>
      <c r="G56" s="8" t="s">
        <v>214</v>
      </c>
      <c r="H56" s="8" t="s">
        <v>214</v>
      </c>
      <c r="I56" s="8" t="s">
        <v>214</v>
      </c>
      <c r="J56" s="8" t="s">
        <v>214</v>
      </c>
      <c r="K56" s="8" t="s">
        <v>214</v>
      </c>
      <c r="L56" s="8" t="s">
        <v>214</v>
      </c>
      <c r="M56" s="8" t="s">
        <v>214</v>
      </c>
      <c r="N56" s="8" t="s">
        <v>214</v>
      </c>
      <c r="O56" s="8" t="s">
        <v>214</v>
      </c>
      <c r="P56" s="8" t="s">
        <v>214</v>
      </c>
      <c r="Q56" s="8" t="s">
        <v>214</v>
      </c>
      <c r="R56" s="8" t="s">
        <v>214</v>
      </c>
      <c r="S56" s="8" t="s">
        <v>214</v>
      </c>
      <c r="T56" s="8" t="s">
        <v>214</v>
      </c>
      <c r="U56" s="8" t="s">
        <v>214</v>
      </c>
      <c r="V56" s="8" t="s">
        <v>214</v>
      </c>
      <c r="W56" s="8" t="s">
        <v>214</v>
      </c>
      <c r="X56" s="8" t="s">
        <v>214</v>
      </c>
      <c r="Y56" s="8" t="s">
        <v>214</v>
      </c>
      <c r="Z56" s="8" t="s">
        <v>214</v>
      </c>
      <c r="AA56" s="8" t="s">
        <v>214</v>
      </c>
      <c r="AB56" s="8" t="s">
        <v>214</v>
      </c>
      <c r="AC56" s="8" t="s">
        <v>214</v>
      </c>
      <c r="AD56" s="8" t="s">
        <v>214</v>
      </c>
      <c r="AE56" s="8" t="s">
        <v>214</v>
      </c>
      <c r="AF56" s="8" t="s">
        <v>214</v>
      </c>
      <c r="AG56" s="8" t="s">
        <v>214</v>
      </c>
      <c r="AH56" s="8" t="s">
        <v>217</v>
      </c>
      <c r="AI56" s="8" t="s">
        <v>214</v>
      </c>
      <c r="AJ56" s="8" t="s">
        <v>217</v>
      </c>
      <c r="AK56" s="8" t="s">
        <v>214</v>
      </c>
      <c r="AL56" s="8" t="s">
        <v>214</v>
      </c>
      <c r="AM56" s="8" t="s">
        <v>214</v>
      </c>
      <c r="AN56" s="8" t="s">
        <v>214</v>
      </c>
      <c r="AO56" s="8" t="s">
        <v>214</v>
      </c>
      <c r="AP56" s="8" t="s">
        <v>214</v>
      </c>
      <c r="AQ56" s="8" t="s">
        <v>214</v>
      </c>
      <c r="AR56" s="8" t="s">
        <v>219</v>
      </c>
      <c r="AS56" s="8" t="s">
        <v>214</v>
      </c>
      <c r="AT56" s="8" t="s">
        <v>214</v>
      </c>
      <c r="AU56" s="8" t="s">
        <v>214</v>
      </c>
      <c r="AV56" s="8" t="s">
        <v>214</v>
      </c>
      <c r="AW56" s="8" t="s">
        <v>214</v>
      </c>
      <c r="AX56" s="8" t="s">
        <v>214</v>
      </c>
      <c r="AY56" s="8" t="s">
        <v>214</v>
      </c>
      <c r="AZ56" s="8" t="s">
        <v>214</v>
      </c>
      <c r="BA56" s="8" t="s">
        <v>214</v>
      </c>
      <c r="BB56" s="8" t="s">
        <v>214</v>
      </c>
      <c r="BC56" s="8" t="s">
        <v>214</v>
      </c>
      <c r="BD56" s="8" t="s">
        <v>214</v>
      </c>
      <c r="BE56" s="8" t="s">
        <v>214</v>
      </c>
      <c r="BF56" s="8" t="s">
        <v>214</v>
      </c>
      <c r="BG56" s="8" t="s">
        <v>214</v>
      </c>
      <c r="BH56" s="8" t="s">
        <v>217</v>
      </c>
      <c r="BI56" s="8" t="s">
        <v>214</v>
      </c>
      <c r="BJ56" s="8" t="s">
        <v>214</v>
      </c>
      <c r="BK56" s="8" t="s">
        <v>214</v>
      </c>
      <c r="BL56" s="8" t="s">
        <v>214</v>
      </c>
      <c r="BM56" s="8" t="s">
        <v>214</v>
      </c>
      <c r="BN56" s="8" t="s">
        <v>214</v>
      </c>
      <c r="BO56" s="8" t="s">
        <v>214</v>
      </c>
      <c r="BP56" s="8" t="s">
        <v>214</v>
      </c>
      <c r="BQ56" s="8" t="s">
        <v>214</v>
      </c>
      <c r="BR56" s="8" t="s">
        <v>214</v>
      </c>
      <c r="BS56" s="8" t="s">
        <v>214</v>
      </c>
      <c r="BT56" s="8" t="s">
        <v>214</v>
      </c>
      <c r="BU56" s="8" t="s">
        <v>214</v>
      </c>
      <c r="BV56" s="8" t="s">
        <v>214</v>
      </c>
      <c r="BW56" s="8" t="s">
        <v>214</v>
      </c>
      <c r="BX56" s="8" t="s">
        <v>214</v>
      </c>
      <c r="BY56" s="8" t="s">
        <v>214</v>
      </c>
      <c r="BZ56" s="8" t="s">
        <v>214</v>
      </c>
      <c r="CA56" s="8" t="s">
        <v>214</v>
      </c>
      <c r="CB56" s="8" t="s">
        <v>214</v>
      </c>
      <c r="CC56" s="8" t="s">
        <v>214</v>
      </c>
      <c r="CD56" s="8" t="s">
        <v>214</v>
      </c>
      <c r="CE56" s="8" t="s">
        <v>214</v>
      </c>
      <c r="CF56" s="8" t="s">
        <v>214</v>
      </c>
      <c r="CG56" s="8" t="s">
        <v>214</v>
      </c>
      <c r="CH56" s="8" t="s">
        <v>214</v>
      </c>
      <c r="CI56" s="8" t="s">
        <v>214</v>
      </c>
      <c r="CJ56" s="8" t="s">
        <v>214</v>
      </c>
      <c r="CK56" s="8" t="s">
        <v>218</v>
      </c>
      <c r="CL56" s="8" t="s">
        <v>214</v>
      </c>
      <c r="CM56" s="8" t="s">
        <v>214</v>
      </c>
      <c r="CN56" s="8" t="s">
        <v>214</v>
      </c>
      <c r="CO56" s="8" t="s">
        <v>214</v>
      </c>
      <c r="CP56" s="8" t="s">
        <v>214</v>
      </c>
      <c r="CQ56" s="8" t="s">
        <v>214</v>
      </c>
      <c r="CR56" s="8" t="s">
        <v>214</v>
      </c>
      <c r="CS56" s="8" t="s">
        <v>214</v>
      </c>
      <c r="CT56" s="8" t="s">
        <v>214</v>
      </c>
      <c r="CU56" s="8" t="s">
        <v>214</v>
      </c>
      <c r="CV56" s="8" t="s">
        <v>214</v>
      </c>
      <c r="CW56" s="8" t="s">
        <v>214</v>
      </c>
      <c r="CX56" s="8" t="s">
        <v>214</v>
      </c>
      <c r="CY56" s="8" t="s">
        <v>214</v>
      </c>
      <c r="CZ56" s="8" t="s">
        <v>214</v>
      </c>
      <c r="DA56" s="8" t="s">
        <v>214</v>
      </c>
      <c r="DB56" s="8" t="s">
        <v>214</v>
      </c>
      <c r="DC56" s="8" t="s">
        <v>214</v>
      </c>
      <c r="DD56" s="8" t="s">
        <v>214</v>
      </c>
      <c r="DE56" s="8" t="s">
        <v>214</v>
      </c>
      <c r="DF56" s="8" t="s">
        <v>214</v>
      </c>
      <c r="DG56" s="8" t="s">
        <v>214</v>
      </c>
      <c r="DH56" s="8" t="s">
        <v>214</v>
      </c>
      <c r="DI56" s="8" t="s">
        <v>214</v>
      </c>
      <c r="DJ56" s="8" t="s">
        <v>214</v>
      </c>
      <c r="DK56" s="8" t="s">
        <v>214</v>
      </c>
      <c r="DL56" s="8" t="s">
        <v>214</v>
      </c>
      <c r="DM56" s="8" t="s">
        <v>214</v>
      </c>
      <c r="DN56" s="8" t="s">
        <v>214</v>
      </c>
      <c r="DO56" s="8" t="s">
        <v>218</v>
      </c>
      <c r="DP56" s="8" t="s">
        <v>218</v>
      </c>
      <c r="DQ56" s="8" t="s">
        <v>214</v>
      </c>
      <c r="DR56" s="8" t="s">
        <v>214</v>
      </c>
      <c r="DS56" s="8" t="s">
        <v>214</v>
      </c>
      <c r="DT56" s="8" t="s">
        <v>214</v>
      </c>
      <c r="DU56" s="8" t="s">
        <v>214</v>
      </c>
      <c r="DV56" s="8" t="s">
        <v>214</v>
      </c>
      <c r="DW56" s="8" t="s">
        <v>214</v>
      </c>
      <c r="DX56" s="8" t="s">
        <v>214</v>
      </c>
      <c r="DY56" s="8" t="s">
        <v>214</v>
      </c>
      <c r="DZ56" s="8" t="s">
        <v>214</v>
      </c>
      <c r="EA56" s="8" t="s">
        <v>214</v>
      </c>
      <c r="EB56" s="8" t="s">
        <v>214</v>
      </c>
      <c r="EC56" s="8" t="s">
        <v>214</v>
      </c>
      <c r="ED56" s="8" t="s">
        <v>214</v>
      </c>
      <c r="EE56" s="8" t="s">
        <v>214</v>
      </c>
      <c r="EF56" s="8" t="s">
        <v>214</v>
      </c>
      <c r="EG56" s="8" t="s">
        <v>214</v>
      </c>
      <c r="EH56" s="8" t="s">
        <v>214</v>
      </c>
      <c r="EI56" s="8" t="s">
        <v>214</v>
      </c>
      <c r="EJ56" s="8" t="s">
        <v>214</v>
      </c>
      <c r="EK56" s="8" t="s">
        <v>214</v>
      </c>
      <c r="EL56" s="8" t="s">
        <v>214</v>
      </c>
      <c r="EM56" s="8" t="s">
        <v>214</v>
      </c>
      <c r="EN56" s="8" t="s">
        <v>214</v>
      </c>
      <c r="EO56" s="8" t="s">
        <v>214</v>
      </c>
      <c r="EP56" s="8" t="s">
        <v>214</v>
      </c>
      <c r="EQ56" s="8" t="s">
        <v>214</v>
      </c>
      <c r="ER56" s="8" t="s">
        <v>214</v>
      </c>
      <c r="ES56" s="8" t="s">
        <v>214</v>
      </c>
      <c r="ET56" s="8" t="s">
        <v>214</v>
      </c>
      <c r="EU56" s="8" t="s">
        <v>214</v>
      </c>
      <c r="EV56" s="8" t="s">
        <v>214</v>
      </c>
      <c r="EW56" s="8" t="s">
        <v>214</v>
      </c>
      <c r="EX56" s="8" t="s">
        <v>214</v>
      </c>
      <c r="EY56" s="8" t="s">
        <v>214</v>
      </c>
      <c r="EZ56" s="8" t="s">
        <v>214</v>
      </c>
      <c r="FA56" s="8" t="s">
        <v>214</v>
      </c>
      <c r="FB56" s="8" t="s">
        <v>214</v>
      </c>
      <c r="FC56" s="8" t="s">
        <v>214</v>
      </c>
      <c r="FD56" s="8" t="s">
        <v>214</v>
      </c>
      <c r="FE56" s="8" t="s">
        <v>214</v>
      </c>
      <c r="FF56" s="8" t="s">
        <v>214</v>
      </c>
      <c r="FG56" s="8" t="s">
        <v>214</v>
      </c>
      <c r="FH56" s="8" t="s">
        <v>214</v>
      </c>
      <c r="FI56" s="8" t="s">
        <v>214</v>
      </c>
      <c r="FJ56" s="8" t="s">
        <v>214</v>
      </c>
      <c r="FK56" s="8" t="s">
        <v>214</v>
      </c>
      <c r="FL56" s="8" t="s">
        <v>214</v>
      </c>
    </row>
    <row r="57" spans="1:168" ht="15" x14ac:dyDescent="0.25">
      <c r="A57" s="5" t="s">
        <v>187</v>
      </c>
      <c r="B57" s="5" t="s">
        <v>8</v>
      </c>
      <c r="C57" s="7" t="s">
        <v>217</v>
      </c>
      <c r="D57" s="7" t="s">
        <v>217</v>
      </c>
      <c r="E57" s="7" t="s">
        <v>214</v>
      </c>
      <c r="F57" s="7" t="s">
        <v>214</v>
      </c>
      <c r="G57" s="7" t="s">
        <v>214</v>
      </c>
      <c r="H57" s="7" t="s">
        <v>214</v>
      </c>
      <c r="I57" s="7" t="s">
        <v>214</v>
      </c>
      <c r="J57" s="7" t="s">
        <v>214</v>
      </c>
      <c r="K57" s="7" t="s">
        <v>214</v>
      </c>
      <c r="L57" s="7" t="s">
        <v>214</v>
      </c>
      <c r="M57" s="7" t="s">
        <v>214</v>
      </c>
      <c r="N57" s="7" t="s">
        <v>214</v>
      </c>
      <c r="O57" s="7" t="s">
        <v>214</v>
      </c>
      <c r="P57" s="7" t="s">
        <v>214</v>
      </c>
      <c r="Q57" s="7" t="s">
        <v>214</v>
      </c>
      <c r="R57" s="7" t="s">
        <v>214</v>
      </c>
      <c r="S57" s="7" t="s">
        <v>214</v>
      </c>
      <c r="T57" s="7" t="s">
        <v>214</v>
      </c>
      <c r="U57" s="7" t="s">
        <v>214</v>
      </c>
      <c r="V57" s="7" t="s">
        <v>214</v>
      </c>
      <c r="W57" s="7" t="s">
        <v>214</v>
      </c>
      <c r="X57" s="7" t="s">
        <v>214</v>
      </c>
      <c r="Y57" s="7" t="s">
        <v>214</v>
      </c>
      <c r="Z57" s="7" t="s">
        <v>214</v>
      </c>
      <c r="AA57" s="7" t="s">
        <v>214</v>
      </c>
      <c r="AB57" s="7" t="s">
        <v>214</v>
      </c>
      <c r="AC57" s="7" t="s">
        <v>214</v>
      </c>
      <c r="AD57" s="7" t="s">
        <v>214</v>
      </c>
      <c r="AE57" s="7" t="s">
        <v>214</v>
      </c>
      <c r="AF57" s="7" t="s">
        <v>214</v>
      </c>
      <c r="AG57" s="7" t="s">
        <v>214</v>
      </c>
      <c r="AH57" s="7" t="s">
        <v>217</v>
      </c>
      <c r="AI57" s="7" t="s">
        <v>214</v>
      </c>
      <c r="AJ57" s="7" t="s">
        <v>217</v>
      </c>
      <c r="AK57" s="7" t="s">
        <v>214</v>
      </c>
      <c r="AL57" s="7" t="s">
        <v>214</v>
      </c>
      <c r="AM57" s="7" t="s">
        <v>214</v>
      </c>
      <c r="AN57" s="7" t="s">
        <v>214</v>
      </c>
      <c r="AO57" s="7" t="s">
        <v>214</v>
      </c>
      <c r="AP57" s="7" t="s">
        <v>214</v>
      </c>
      <c r="AQ57" s="7" t="s">
        <v>214</v>
      </c>
      <c r="AR57" s="7" t="s">
        <v>219</v>
      </c>
      <c r="AS57" s="7" t="s">
        <v>214</v>
      </c>
      <c r="AT57" s="7" t="s">
        <v>217</v>
      </c>
      <c r="AU57" s="7" t="s">
        <v>214</v>
      </c>
      <c r="AV57" s="7" t="s">
        <v>214</v>
      </c>
      <c r="AW57" s="7" t="s">
        <v>214</v>
      </c>
      <c r="AX57" s="7" t="s">
        <v>214</v>
      </c>
      <c r="AY57" s="7" t="s">
        <v>214</v>
      </c>
      <c r="AZ57" s="7" t="s">
        <v>217</v>
      </c>
      <c r="BA57" s="7" t="s">
        <v>214</v>
      </c>
      <c r="BB57" s="7" t="s">
        <v>214</v>
      </c>
      <c r="BC57" s="7" t="s">
        <v>214</v>
      </c>
      <c r="BD57" s="7" t="s">
        <v>214</v>
      </c>
      <c r="BE57" s="7" t="s">
        <v>214</v>
      </c>
      <c r="BF57" s="7" t="s">
        <v>214</v>
      </c>
      <c r="BG57" s="7" t="s">
        <v>214</v>
      </c>
      <c r="BH57" s="7" t="s">
        <v>217</v>
      </c>
      <c r="BI57" s="7" t="s">
        <v>214</v>
      </c>
      <c r="BJ57" s="7" t="s">
        <v>214</v>
      </c>
      <c r="BK57" s="7" t="s">
        <v>214</v>
      </c>
      <c r="BL57" s="7" t="s">
        <v>214</v>
      </c>
      <c r="BM57" s="7" t="s">
        <v>214</v>
      </c>
      <c r="BN57" s="7" t="s">
        <v>214</v>
      </c>
      <c r="BO57" s="7" t="s">
        <v>214</v>
      </c>
      <c r="BP57" s="7" t="s">
        <v>214</v>
      </c>
      <c r="BQ57" s="7" t="s">
        <v>214</v>
      </c>
      <c r="BR57" s="7" t="s">
        <v>214</v>
      </c>
      <c r="BS57" s="7" t="s">
        <v>218</v>
      </c>
      <c r="BT57" s="7" t="s">
        <v>218</v>
      </c>
      <c r="BU57" s="7" t="s">
        <v>218</v>
      </c>
      <c r="BV57" s="7" t="s">
        <v>218</v>
      </c>
      <c r="BW57" s="7" t="s">
        <v>214</v>
      </c>
      <c r="BX57" s="7" t="s">
        <v>214</v>
      </c>
      <c r="BY57" s="7" t="s">
        <v>214</v>
      </c>
      <c r="BZ57" s="7" t="s">
        <v>214</v>
      </c>
      <c r="CA57" s="7" t="s">
        <v>214</v>
      </c>
      <c r="CB57" s="7" t="s">
        <v>214</v>
      </c>
      <c r="CC57" s="7" t="s">
        <v>214</v>
      </c>
      <c r="CD57" s="7" t="s">
        <v>214</v>
      </c>
      <c r="CE57" s="7" t="s">
        <v>214</v>
      </c>
      <c r="CF57" s="7" t="s">
        <v>214</v>
      </c>
      <c r="CG57" s="7" t="s">
        <v>214</v>
      </c>
      <c r="CH57" s="7" t="s">
        <v>214</v>
      </c>
      <c r="CI57" s="7" t="s">
        <v>214</v>
      </c>
      <c r="CJ57" s="7" t="s">
        <v>214</v>
      </c>
      <c r="CK57" s="7" t="s">
        <v>218</v>
      </c>
      <c r="CL57" s="7" t="s">
        <v>214</v>
      </c>
      <c r="CM57" s="7" t="s">
        <v>214</v>
      </c>
      <c r="CN57" s="7" t="s">
        <v>214</v>
      </c>
      <c r="CO57" s="7" t="s">
        <v>214</v>
      </c>
      <c r="CP57" s="7" t="s">
        <v>214</v>
      </c>
      <c r="CQ57" s="7" t="s">
        <v>214</v>
      </c>
      <c r="CR57" s="7" t="s">
        <v>214</v>
      </c>
      <c r="CS57" s="7" t="s">
        <v>214</v>
      </c>
      <c r="CT57" s="7" t="s">
        <v>214</v>
      </c>
      <c r="CU57" s="7" t="s">
        <v>214</v>
      </c>
      <c r="CV57" s="7" t="s">
        <v>214</v>
      </c>
      <c r="CW57" s="7" t="s">
        <v>214</v>
      </c>
      <c r="CX57" s="7" t="s">
        <v>214</v>
      </c>
      <c r="CY57" s="7" t="s">
        <v>214</v>
      </c>
      <c r="CZ57" s="7" t="s">
        <v>214</v>
      </c>
      <c r="DA57" s="7" t="s">
        <v>214</v>
      </c>
      <c r="DB57" s="7" t="s">
        <v>214</v>
      </c>
      <c r="DC57" s="7" t="s">
        <v>214</v>
      </c>
      <c r="DD57" s="7" t="s">
        <v>214</v>
      </c>
      <c r="DE57" s="7" t="s">
        <v>214</v>
      </c>
      <c r="DF57" s="7" t="s">
        <v>218</v>
      </c>
      <c r="DG57" s="7" t="s">
        <v>214</v>
      </c>
      <c r="DH57" s="7" t="s">
        <v>214</v>
      </c>
      <c r="DI57" s="7" t="s">
        <v>218</v>
      </c>
      <c r="DJ57" s="7" t="s">
        <v>218</v>
      </c>
      <c r="DK57" s="7" t="s">
        <v>214</v>
      </c>
      <c r="DL57" s="7" t="s">
        <v>218</v>
      </c>
      <c r="DM57" s="7" t="s">
        <v>214</v>
      </c>
      <c r="DN57" s="7" t="s">
        <v>214</v>
      </c>
      <c r="DO57" s="7" t="s">
        <v>214</v>
      </c>
      <c r="DP57" s="7" t="s">
        <v>218</v>
      </c>
      <c r="DQ57" s="7" t="s">
        <v>214</v>
      </c>
      <c r="DR57" s="7" t="s">
        <v>214</v>
      </c>
      <c r="DS57" s="7" t="s">
        <v>214</v>
      </c>
      <c r="DT57" s="7" t="s">
        <v>214</v>
      </c>
      <c r="DU57" s="7" t="s">
        <v>214</v>
      </c>
      <c r="DV57" s="7" t="s">
        <v>214</v>
      </c>
      <c r="DW57" s="7" t="s">
        <v>214</v>
      </c>
      <c r="DX57" s="7" t="s">
        <v>214</v>
      </c>
      <c r="DY57" s="7" t="s">
        <v>214</v>
      </c>
      <c r="DZ57" s="7" t="s">
        <v>214</v>
      </c>
      <c r="EA57" s="7" t="s">
        <v>214</v>
      </c>
      <c r="EB57" s="7" t="s">
        <v>214</v>
      </c>
      <c r="EC57" s="7" t="s">
        <v>214</v>
      </c>
      <c r="ED57" s="7" t="s">
        <v>214</v>
      </c>
      <c r="EE57" s="7" t="s">
        <v>214</v>
      </c>
      <c r="EF57" s="7" t="s">
        <v>214</v>
      </c>
      <c r="EG57" s="7" t="s">
        <v>214</v>
      </c>
      <c r="EH57" s="7" t="s">
        <v>214</v>
      </c>
      <c r="EI57" s="7" t="s">
        <v>214</v>
      </c>
      <c r="EJ57" s="7" t="s">
        <v>214</v>
      </c>
      <c r="EK57" s="7" t="s">
        <v>214</v>
      </c>
      <c r="EL57" s="7" t="s">
        <v>214</v>
      </c>
      <c r="EM57" s="7" t="s">
        <v>214</v>
      </c>
      <c r="EN57" s="7" t="s">
        <v>214</v>
      </c>
      <c r="EO57" s="7" t="s">
        <v>214</v>
      </c>
      <c r="EP57" s="7" t="s">
        <v>214</v>
      </c>
      <c r="EQ57" s="7" t="s">
        <v>214</v>
      </c>
      <c r="ER57" s="7" t="s">
        <v>214</v>
      </c>
      <c r="ES57" s="7" t="s">
        <v>214</v>
      </c>
      <c r="ET57" s="7" t="s">
        <v>214</v>
      </c>
      <c r="EU57" s="7" t="s">
        <v>214</v>
      </c>
      <c r="EV57" s="7" t="s">
        <v>214</v>
      </c>
      <c r="EW57" s="7" t="s">
        <v>214</v>
      </c>
      <c r="EX57" s="7" t="s">
        <v>214</v>
      </c>
      <c r="EY57" s="7" t="s">
        <v>214</v>
      </c>
      <c r="EZ57" s="7" t="s">
        <v>214</v>
      </c>
      <c r="FA57" s="7" t="s">
        <v>214</v>
      </c>
      <c r="FB57" s="7" t="s">
        <v>214</v>
      </c>
      <c r="FC57" s="7" t="s">
        <v>214</v>
      </c>
      <c r="FD57" s="7" t="s">
        <v>214</v>
      </c>
      <c r="FE57" s="7" t="s">
        <v>214</v>
      </c>
      <c r="FF57" s="7" t="s">
        <v>214</v>
      </c>
      <c r="FG57" s="7" t="s">
        <v>214</v>
      </c>
      <c r="FH57" s="7" t="s">
        <v>214</v>
      </c>
      <c r="FI57" s="7" t="s">
        <v>214</v>
      </c>
      <c r="FJ57" s="7" t="s">
        <v>214</v>
      </c>
      <c r="FK57" s="7" t="s">
        <v>214</v>
      </c>
      <c r="FL57" s="7" t="s">
        <v>214</v>
      </c>
    </row>
    <row r="58" spans="1:168" ht="15" x14ac:dyDescent="0.25">
      <c r="A58" s="5" t="s">
        <v>187</v>
      </c>
      <c r="B58" s="5" t="s">
        <v>9</v>
      </c>
      <c r="C58" s="8" t="s">
        <v>217</v>
      </c>
      <c r="D58" s="8" t="s">
        <v>217</v>
      </c>
      <c r="E58" s="8" t="s">
        <v>214</v>
      </c>
      <c r="F58" s="8" t="s">
        <v>214</v>
      </c>
      <c r="G58" s="8" t="s">
        <v>214</v>
      </c>
      <c r="H58" s="8" t="s">
        <v>214</v>
      </c>
      <c r="I58" s="8" t="s">
        <v>214</v>
      </c>
      <c r="J58" s="8" t="s">
        <v>214</v>
      </c>
      <c r="K58" s="8" t="s">
        <v>214</v>
      </c>
      <c r="L58" s="8" t="s">
        <v>214</v>
      </c>
      <c r="M58" s="8" t="s">
        <v>214</v>
      </c>
      <c r="N58" s="8" t="s">
        <v>214</v>
      </c>
      <c r="O58" s="8" t="s">
        <v>214</v>
      </c>
      <c r="P58" s="8" t="s">
        <v>214</v>
      </c>
      <c r="Q58" s="8" t="s">
        <v>214</v>
      </c>
      <c r="R58" s="8" t="s">
        <v>214</v>
      </c>
      <c r="S58" s="8" t="s">
        <v>214</v>
      </c>
      <c r="T58" s="8" t="s">
        <v>214</v>
      </c>
      <c r="U58" s="8" t="s">
        <v>214</v>
      </c>
      <c r="V58" s="8" t="s">
        <v>214</v>
      </c>
      <c r="W58" s="8" t="s">
        <v>214</v>
      </c>
      <c r="X58" s="8" t="s">
        <v>214</v>
      </c>
      <c r="Y58" s="8" t="s">
        <v>214</v>
      </c>
      <c r="Z58" s="8" t="s">
        <v>214</v>
      </c>
      <c r="AA58" s="8" t="s">
        <v>214</v>
      </c>
      <c r="AB58" s="8" t="s">
        <v>214</v>
      </c>
      <c r="AC58" s="8" t="s">
        <v>214</v>
      </c>
      <c r="AD58" s="8" t="s">
        <v>214</v>
      </c>
      <c r="AE58" s="8" t="s">
        <v>214</v>
      </c>
      <c r="AF58" s="8" t="s">
        <v>214</v>
      </c>
      <c r="AG58" s="8" t="s">
        <v>214</v>
      </c>
      <c r="AH58" s="8" t="s">
        <v>217</v>
      </c>
      <c r="AI58" s="8" t="s">
        <v>214</v>
      </c>
      <c r="AJ58" s="8" t="s">
        <v>217</v>
      </c>
      <c r="AK58" s="8" t="s">
        <v>214</v>
      </c>
      <c r="AL58" s="8" t="s">
        <v>214</v>
      </c>
      <c r="AM58" s="8" t="s">
        <v>214</v>
      </c>
      <c r="AN58" s="8" t="s">
        <v>214</v>
      </c>
      <c r="AO58" s="8" t="s">
        <v>214</v>
      </c>
      <c r="AP58" s="8" t="s">
        <v>214</v>
      </c>
      <c r="AQ58" s="8" t="s">
        <v>214</v>
      </c>
      <c r="AR58" s="8" t="s">
        <v>219</v>
      </c>
      <c r="AS58" s="8" t="s">
        <v>214</v>
      </c>
      <c r="AT58" s="8" t="s">
        <v>214</v>
      </c>
      <c r="AU58" s="8" t="s">
        <v>214</v>
      </c>
      <c r="AV58" s="8" t="s">
        <v>214</v>
      </c>
      <c r="AW58" s="8" t="s">
        <v>214</v>
      </c>
      <c r="AX58" s="8" t="s">
        <v>214</v>
      </c>
      <c r="AY58" s="8" t="s">
        <v>214</v>
      </c>
      <c r="AZ58" s="8" t="s">
        <v>214</v>
      </c>
      <c r="BA58" s="8" t="s">
        <v>218</v>
      </c>
      <c r="BB58" s="8" t="s">
        <v>214</v>
      </c>
      <c r="BC58" s="8" t="s">
        <v>214</v>
      </c>
      <c r="BD58" s="8" t="s">
        <v>214</v>
      </c>
      <c r="BE58" s="8" t="s">
        <v>214</v>
      </c>
      <c r="BF58" s="8" t="s">
        <v>214</v>
      </c>
      <c r="BG58" s="8" t="s">
        <v>214</v>
      </c>
      <c r="BH58" s="8" t="s">
        <v>214</v>
      </c>
      <c r="BI58" s="8" t="s">
        <v>214</v>
      </c>
      <c r="BJ58" s="8" t="s">
        <v>214</v>
      </c>
      <c r="BK58" s="8" t="s">
        <v>214</v>
      </c>
      <c r="BL58" s="8" t="s">
        <v>214</v>
      </c>
      <c r="BM58" s="8" t="s">
        <v>214</v>
      </c>
      <c r="BN58" s="8" t="s">
        <v>214</v>
      </c>
      <c r="BO58" s="8" t="s">
        <v>214</v>
      </c>
      <c r="BP58" s="8" t="s">
        <v>214</v>
      </c>
      <c r="BQ58" s="8" t="s">
        <v>214</v>
      </c>
      <c r="BR58" s="8" t="s">
        <v>214</v>
      </c>
      <c r="BS58" s="8" t="s">
        <v>218</v>
      </c>
      <c r="BT58" s="8" t="s">
        <v>218</v>
      </c>
      <c r="BU58" s="8" t="s">
        <v>218</v>
      </c>
      <c r="BV58" s="8" t="s">
        <v>218</v>
      </c>
      <c r="BW58" s="8" t="s">
        <v>214</v>
      </c>
      <c r="BX58" s="8" t="s">
        <v>214</v>
      </c>
      <c r="BY58" s="8" t="s">
        <v>214</v>
      </c>
      <c r="BZ58" s="8" t="s">
        <v>214</v>
      </c>
      <c r="CA58" s="8" t="s">
        <v>214</v>
      </c>
      <c r="CB58" s="8" t="s">
        <v>214</v>
      </c>
      <c r="CC58" s="8" t="s">
        <v>214</v>
      </c>
      <c r="CD58" s="8" t="s">
        <v>214</v>
      </c>
      <c r="CE58" s="8" t="s">
        <v>214</v>
      </c>
      <c r="CF58" s="8" t="s">
        <v>214</v>
      </c>
      <c r="CG58" s="8" t="s">
        <v>214</v>
      </c>
      <c r="CH58" s="8" t="s">
        <v>214</v>
      </c>
      <c r="CI58" s="8" t="s">
        <v>214</v>
      </c>
      <c r="CJ58" s="8" t="s">
        <v>214</v>
      </c>
      <c r="CK58" s="8" t="s">
        <v>218</v>
      </c>
      <c r="CL58" s="8" t="s">
        <v>214</v>
      </c>
      <c r="CM58" s="8" t="s">
        <v>214</v>
      </c>
      <c r="CN58" s="8" t="s">
        <v>214</v>
      </c>
      <c r="CO58" s="8" t="s">
        <v>214</v>
      </c>
      <c r="CP58" s="8" t="s">
        <v>214</v>
      </c>
      <c r="CQ58" s="8" t="s">
        <v>214</v>
      </c>
      <c r="CR58" s="8" t="s">
        <v>214</v>
      </c>
      <c r="CS58" s="8" t="s">
        <v>214</v>
      </c>
      <c r="CT58" s="8" t="s">
        <v>214</v>
      </c>
      <c r="CU58" s="8" t="s">
        <v>214</v>
      </c>
      <c r="CV58" s="8" t="s">
        <v>214</v>
      </c>
      <c r="CW58" s="8" t="s">
        <v>214</v>
      </c>
      <c r="CX58" s="8" t="s">
        <v>214</v>
      </c>
      <c r="CY58" s="8" t="s">
        <v>214</v>
      </c>
      <c r="CZ58" s="8" t="s">
        <v>214</v>
      </c>
      <c r="DA58" s="8" t="s">
        <v>214</v>
      </c>
      <c r="DB58" s="8" t="s">
        <v>214</v>
      </c>
      <c r="DC58" s="8" t="s">
        <v>214</v>
      </c>
      <c r="DD58" s="8" t="s">
        <v>214</v>
      </c>
      <c r="DE58" s="8" t="s">
        <v>214</v>
      </c>
      <c r="DF58" s="8" t="s">
        <v>218</v>
      </c>
      <c r="DG58" s="8" t="s">
        <v>214</v>
      </c>
      <c r="DH58" s="8" t="s">
        <v>214</v>
      </c>
      <c r="DI58" s="8" t="s">
        <v>218</v>
      </c>
      <c r="DJ58" s="8" t="s">
        <v>218</v>
      </c>
      <c r="DK58" s="8" t="s">
        <v>214</v>
      </c>
      <c r="DL58" s="8" t="s">
        <v>218</v>
      </c>
      <c r="DM58" s="8" t="s">
        <v>214</v>
      </c>
      <c r="DN58" s="8" t="s">
        <v>214</v>
      </c>
      <c r="DO58" s="8" t="s">
        <v>214</v>
      </c>
      <c r="DP58" s="8" t="s">
        <v>218</v>
      </c>
      <c r="DQ58" s="8" t="s">
        <v>214</v>
      </c>
      <c r="DR58" s="8" t="s">
        <v>214</v>
      </c>
      <c r="DS58" s="8" t="s">
        <v>214</v>
      </c>
      <c r="DT58" s="8" t="s">
        <v>214</v>
      </c>
      <c r="DU58" s="8" t="s">
        <v>214</v>
      </c>
      <c r="DV58" s="8" t="s">
        <v>214</v>
      </c>
      <c r="DW58" s="8" t="s">
        <v>214</v>
      </c>
      <c r="DX58" s="8" t="s">
        <v>214</v>
      </c>
      <c r="DY58" s="8" t="s">
        <v>214</v>
      </c>
      <c r="DZ58" s="8" t="s">
        <v>214</v>
      </c>
      <c r="EA58" s="8" t="s">
        <v>214</v>
      </c>
      <c r="EB58" s="8" t="s">
        <v>214</v>
      </c>
      <c r="EC58" s="8" t="s">
        <v>214</v>
      </c>
      <c r="ED58" s="8" t="s">
        <v>214</v>
      </c>
      <c r="EE58" s="8" t="s">
        <v>214</v>
      </c>
      <c r="EF58" s="8" t="s">
        <v>214</v>
      </c>
      <c r="EG58" s="8" t="s">
        <v>214</v>
      </c>
      <c r="EH58" s="8" t="s">
        <v>214</v>
      </c>
      <c r="EI58" s="8" t="s">
        <v>214</v>
      </c>
      <c r="EJ58" s="8" t="s">
        <v>214</v>
      </c>
      <c r="EK58" s="8" t="s">
        <v>214</v>
      </c>
      <c r="EL58" s="8" t="s">
        <v>214</v>
      </c>
      <c r="EM58" s="8" t="s">
        <v>214</v>
      </c>
      <c r="EN58" s="8" t="s">
        <v>214</v>
      </c>
      <c r="EO58" s="8" t="s">
        <v>214</v>
      </c>
      <c r="EP58" s="8" t="s">
        <v>214</v>
      </c>
      <c r="EQ58" s="8" t="s">
        <v>214</v>
      </c>
      <c r="ER58" s="8" t="s">
        <v>214</v>
      </c>
      <c r="ES58" s="8" t="s">
        <v>214</v>
      </c>
      <c r="ET58" s="8" t="s">
        <v>214</v>
      </c>
      <c r="EU58" s="8" t="s">
        <v>214</v>
      </c>
      <c r="EV58" s="8" t="s">
        <v>214</v>
      </c>
      <c r="EW58" s="8" t="s">
        <v>214</v>
      </c>
      <c r="EX58" s="8" t="s">
        <v>214</v>
      </c>
      <c r="EY58" s="8" t="s">
        <v>214</v>
      </c>
      <c r="EZ58" s="8" t="s">
        <v>214</v>
      </c>
      <c r="FA58" s="8" t="s">
        <v>214</v>
      </c>
      <c r="FB58" s="8" t="s">
        <v>214</v>
      </c>
      <c r="FC58" s="8" t="s">
        <v>214</v>
      </c>
      <c r="FD58" s="8" t="s">
        <v>214</v>
      </c>
      <c r="FE58" s="8" t="s">
        <v>218</v>
      </c>
      <c r="FF58" s="8" t="s">
        <v>214</v>
      </c>
      <c r="FG58" s="8" t="s">
        <v>214</v>
      </c>
      <c r="FH58" s="8" t="s">
        <v>214</v>
      </c>
      <c r="FI58" s="8" t="s">
        <v>214</v>
      </c>
      <c r="FJ58" s="8" t="s">
        <v>214</v>
      </c>
      <c r="FK58" s="8" t="s">
        <v>214</v>
      </c>
      <c r="FL58" s="8" t="s">
        <v>214</v>
      </c>
    </row>
    <row r="59" spans="1:168" ht="15" x14ac:dyDescent="0.25">
      <c r="A59" s="5" t="s">
        <v>188</v>
      </c>
      <c r="B59" s="5" t="s">
        <v>6</v>
      </c>
      <c r="C59" s="7" t="s">
        <v>214</v>
      </c>
      <c r="D59" s="7" t="s">
        <v>214</v>
      </c>
      <c r="E59" s="7" t="s">
        <v>214</v>
      </c>
      <c r="F59" s="7" t="s">
        <v>214</v>
      </c>
      <c r="G59" s="7" t="s">
        <v>214</v>
      </c>
      <c r="H59" s="7" t="s">
        <v>214</v>
      </c>
      <c r="I59" s="7" t="s">
        <v>214</v>
      </c>
      <c r="J59" s="7" t="s">
        <v>214</v>
      </c>
      <c r="K59" s="7" t="s">
        <v>214</v>
      </c>
      <c r="L59" s="7" t="s">
        <v>214</v>
      </c>
      <c r="M59" s="7" t="s">
        <v>214</v>
      </c>
      <c r="N59" s="7" t="s">
        <v>214</v>
      </c>
      <c r="O59" s="7" t="s">
        <v>214</v>
      </c>
      <c r="P59" s="7" t="s">
        <v>214</v>
      </c>
      <c r="Q59" s="7" t="s">
        <v>214</v>
      </c>
      <c r="R59" s="7" t="s">
        <v>214</v>
      </c>
      <c r="S59" s="7" t="s">
        <v>214</v>
      </c>
      <c r="T59" s="7" t="s">
        <v>214</v>
      </c>
      <c r="U59" s="7" t="s">
        <v>214</v>
      </c>
      <c r="V59" s="7" t="s">
        <v>214</v>
      </c>
      <c r="W59" s="7" t="s">
        <v>214</v>
      </c>
      <c r="X59" s="7" t="s">
        <v>214</v>
      </c>
      <c r="Y59" s="7" t="s">
        <v>214</v>
      </c>
      <c r="Z59" s="7" t="s">
        <v>214</v>
      </c>
      <c r="AA59" s="7" t="s">
        <v>214</v>
      </c>
      <c r="AB59" s="7" t="s">
        <v>214</v>
      </c>
      <c r="AC59" s="7" t="s">
        <v>214</v>
      </c>
      <c r="AD59" s="7" t="s">
        <v>214</v>
      </c>
      <c r="AE59" s="7" t="s">
        <v>214</v>
      </c>
      <c r="AF59" s="7" t="s">
        <v>214</v>
      </c>
      <c r="AG59" s="7" t="s">
        <v>214</v>
      </c>
      <c r="AH59" s="7" t="s">
        <v>214</v>
      </c>
      <c r="AI59" s="7" t="s">
        <v>214</v>
      </c>
      <c r="AJ59" s="7" t="s">
        <v>214</v>
      </c>
      <c r="AK59" s="7" t="s">
        <v>214</v>
      </c>
      <c r="AL59" s="7" t="s">
        <v>214</v>
      </c>
      <c r="AM59" s="7" t="s">
        <v>214</v>
      </c>
      <c r="AN59" s="7" t="s">
        <v>214</v>
      </c>
      <c r="AO59" s="7" t="s">
        <v>214</v>
      </c>
      <c r="AP59" s="7" t="s">
        <v>214</v>
      </c>
      <c r="AQ59" s="7" t="s">
        <v>214</v>
      </c>
      <c r="AR59" s="7" t="s">
        <v>214</v>
      </c>
      <c r="AS59" s="7" t="s">
        <v>214</v>
      </c>
      <c r="AT59" s="7" t="s">
        <v>214</v>
      </c>
      <c r="AU59" s="7" t="s">
        <v>214</v>
      </c>
      <c r="AV59" s="7" t="s">
        <v>214</v>
      </c>
      <c r="AW59" s="7" t="s">
        <v>214</v>
      </c>
      <c r="AX59" s="7" t="s">
        <v>214</v>
      </c>
      <c r="AY59" s="7" t="s">
        <v>214</v>
      </c>
      <c r="AZ59" s="7" t="s">
        <v>214</v>
      </c>
      <c r="BA59" s="7" t="s">
        <v>214</v>
      </c>
      <c r="BB59" s="7" t="s">
        <v>214</v>
      </c>
      <c r="BC59" s="7" t="s">
        <v>214</v>
      </c>
      <c r="BD59" s="7" t="s">
        <v>214</v>
      </c>
      <c r="BE59" s="7" t="s">
        <v>214</v>
      </c>
      <c r="BF59" s="7" t="s">
        <v>214</v>
      </c>
      <c r="BG59" s="7" t="s">
        <v>214</v>
      </c>
      <c r="BH59" s="7" t="s">
        <v>214</v>
      </c>
      <c r="BI59" s="7" t="s">
        <v>214</v>
      </c>
      <c r="BJ59" s="7" t="s">
        <v>214</v>
      </c>
      <c r="BK59" s="7" t="s">
        <v>214</v>
      </c>
      <c r="BL59" s="7" t="s">
        <v>214</v>
      </c>
      <c r="BM59" s="7" t="s">
        <v>214</v>
      </c>
      <c r="BN59" s="7" t="s">
        <v>214</v>
      </c>
      <c r="BO59" s="7" t="s">
        <v>214</v>
      </c>
      <c r="BP59" s="7" t="s">
        <v>214</v>
      </c>
      <c r="BQ59" s="7" t="s">
        <v>214</v>
      </c>
      <c r="BR59" s="7" t="s">
        <v>214</v>
      </c>
      <c r="BS59" s="7" t="s">
        <v>214</v>
      </c>
      <c r="BT59" s="7" t="s">
        <v>214</v>
      </c>
      <c r="BU59" s="7" t="s">
        <v>214</v>
      </c>
      <c r="BV59" s="7" t="s">
        <v>214</v>
      </c>
      <c r="BW59" s="7" t="s">
        <v>214</v>
      </c>
      <c r="BX59" s="7" t="s">
        <v>214</v>
      </c>
      <c r="BY59" s="7" t="s">
        <v>214</v>
      </c>
      <c r="BZ59" s="7" t="s">
        <v>214</v>
      </c>
      <c r="CA59" s="7" t="s">
        <v>214</v>
      </c>
      <c r="CB59" s="7" t="s">
        <v>214</v>
      </c>
      <c r="CC59" s="7" t="s">
        <v>214</v>
      </c>
      <c r="CD59" s="7" t="s">
        <v>214</v>
      </c>
      <c r="CE59" s="7" t="s">
        <v>214</v>
      </c>
      <c r="CF59" s="7" t="s">
        <v>214</v>
      </c>
      <c r="CG59" s="7" t="s">
        <v>214</v>
      </c>
      <c r="CH59" s="7" t="s">
        <v>214</v>
      </c>
      <c r="CI59" s="7" t="s">
        <v>214</v>
      </c>
      <c r="CJ59" s="7" t="s">
        <v>214</v>
      </c>
      <c r="CK59" s="7" t="s">
        <v>218</v>
      </c>
      <c r="CL59" s="7" t="s">
        <v>214</v>
      </c>
      <c r="CM59" s="7" t="s">
        <v>214</v>
      </c>
      <c r="CN59" s="7" t="s">
        <v>214</v>
      </c>
      <c r="CO59" s="7" t="s">
        <v>214</v>
      </c>
      <c r="CP59" s="7" t="s">
        <v>214</v>
      </c>
      <c r="CQ59" s="7" t="s">
        <v>214</v>
      </c>
      <c r="CR59" s="7" t="s">
        <v>214</v>
      </c>
      <c r="CS59" s="7" t="s">
        <v>214</v>
      </c>
      <c r="CT59" s="7" t="s">
        <v>214</v>
      </c>
      <c r="CU59" s="7" t="s">
        <v>214</v>
      </c>
      <c r="CV59" s="7" t="s">
        <v>214</v>
      </c>
      <c r="CW59" s="7" t="s">
        <v>214</v>
      </c>
      <c r="CX59" s="7" t="s">
        <v>214</v>
      </c>
      <c r="CY59" s="7" t="s">
        <v>214</v>
      </c>
      <c r="CZ59" s="7" t="s">
        <v>214</v>
      </c>
      <c r="DA59" s="7" t="s">
        <v>214</v>
      </c>
      <c r="DB59" s="7" t="s">
        <v>214</v>
      </c>
      <c r="DC59" s="7" t="s">
        <v>214</v>
      </c>
      <c r="DD59" s="7" t="s">
        <v>214</v>
      </c>
      <c r="DE59" s="7" t="s">
        <v>214</v>
      </c>
      <c r="DF59" s="7" t="s">
        <v>214</v>
      </c>
      <c r="DG59" s="7" t="s">
        <v>214</v>
      </c>
      <c r="DH59" s="7" t="s">
        <v>214</v>
      </c>
      <c r="DI59" s="7" t="s">
        <v>214</v>
      </c>
      <c r="DJ59" s="7" t="s">
        <v>214</v>
      </c>
      <c r="DK59" s="7" t="s">
        <v>214</v>
      </c>
      <c r="DL59" s="7" t="s">
        <v>214</v>
      </c>
      <c r="DM59" s="7" t="s">
        <v>214</v>
      </c>
      <c r="DN59" s="7" t="s">
        <v>214</v>
      </c>
      <c r="DO59" s="7" t="s">
        <v>214</v>
      </c>
      <c r="DP59" s="7" t="s">
        <v>214</v>
      </c>
      <c r="DQ59" s="7" t="s">
        <v>214</v>
      </c>
      <c r="DR59" s="7" t="s">
        <v>214</v>
      </c>
      <c r="DS59" s="7" t="s">
        <v>214</v>
      </c>
      <c r="DT59" s="7" t="s">
        <v>214</v>
      </c>
      <c r="DU59" s="7" t="s">
        <v>214</v>
      </c>
      <c r="DV59" s="7" t="s">
        <v>214</v>
      </c>
      <c r="DW59" s="7" t="s">
        <v>214</v>
      </c>
      <c r="DX59" s="7" t="s">
        <v>214</v>
      </c>
      <c r="DY59" s="7" t="s">
        <v>214</v>
      </c>
      <c r="DZ59" s="7" t="s">
        <v>214</v>
      </c>
      <c r="EA59" s="7" t="s">
        <v>214</v>
      </c>
      <c r="EB59" s="7" t="s">
        <v>214</v>
      </c>
      <c r="EC59" s="7" t="s">
        <v>214</v>
      </c>
      <c r="ED59" s="7" t="s">
        <v>214</v>
      </c>
      <c r="EE59" s="7" t="s">
        <v>214</v>
      </c>
      <c r="EF59" s="7" t="s">
        <v>214</v>
      </c>
      <c r="EG59" s="7" t="s">
        <v>214</v>
      </c>
      <c r="EH59" s="7" t="s">
        <v>214</v>
      </c>
      <c r="EI59" s="7" t="s">
        <v>214</v>
      </c>
      <c r="EJ59" s="7" t="s">
        <v>214</v>
      </c>
      <c r="EK59" s="7" t="s">
        <v>214</v>
      </c>
      <c r="EL59" s="7" t="s">
        <v>214</v>
      </c>
      <c r="EM59" s="7" t="s">
        <v>214</v>
      </c>
      <c r="EN59" s="7" t="s">
        <v>214</v>
      </c>
      <c r="EO59" s="7" t="s">
        <v>214</v>
      </c>
      <c r="EP59" s="7" t="s">
        <v>214</v>
      </c>
      <c r="EQ59" s="7" t="s">
        <v>214</v>
      </c>
      <c r="ER59" s="7" t="s">
        <v>214</v>
      </c>
      <c r="ES59" s="7" t="s">
        <v>214</v>
      </c>
      <c r="ET59" s="7" t="s">
        <v>214</v>
      </c>
      <c r="EU59" s="7" t="s">
        <v>214</v>
      </c>
      <c r="EV59" s="7" t="s">
        <v>214</v>
      </c>
      <c r="EW59" s="7" t="s">
        <v>214</v>
      </c>
      <c r="EX59" s="7" t="s">
        <v>214</v>
      </c>
      <c r="EY59" s="7" t="s">
        <v>214</v>
      </c>
      <c r="EZ59" s="7" t="s">
        <v>214</v>
      </c>
      <c r="FA59" s="7" t="s">
        <v>214</v>
      </c>
      <c r="FB59" s="7" t="s">
        <v>214</v>
      </c>
      <c r="FC59" s="7" t="s">
        <v>214</v>
      </c>
      <c r="FD59" s="7" t="s">
        <v>214</v>
      </c>
      <c r="FE59" s="7" t="s">
        <v>214</v>
      </c>
      <c r="FF59" s="7" t="s">
        <v>214</v>
      </c>
      <c r="FG59" s="7" t="s">
        <v>214</v>
      </c>
      <c r="FH59" s="7" t="s">
        <v>214</v>
      </c>
      <c r="FI59" s="7" t="s">
        <v>214</v>
      </c>
      <c r="FJ59" s="7" t="s">
        <v>214</v>
      </c>
      <c r="FK59" s="7" t="s">
        <v>218</v>
      </c>
      <c r="FL59" s="7" t="s">
        <v>214</v>
      </c>
    </row>
    <row r="60" spans="1:168" ht="15" x14ac:dyDescent="0.25">
      <c r="A60" s="5" t="s">
        <v>188</v>
      </c>
      <c r="B60" s="5" t="s">
        <v>7</v>
      </c>
      <c r="C60" s="8" t="s">
        <v>217</v>
      </c>
      <c r="D60" s="8" t="s">
        <v>217</v>
      </c>
      <c r="E60" s="8" t="s">
        <v>214</v>
      </c>
      <c r="F60" s="8" t="s">
        <v>214</v>
      </c>
      <c r="G60" s="8" t="s">
        <v>214</v>
      </c>
      <c r="H60" s="8" t="s">
        <v>214</v>
      </c>
      <c r="I60" s="8" t="s">
        <v>214</v>
      </c>
      <c r="J60" s="8" t="s">
        <v>214</v>
      </c>
      <c r="K60" s="8" t="s">
        <v>214</v>
      </c>
      <c r="L60" s="8" t="s">
        <v>214</v>
      </c>
      <c r="M60" s="8" t="s">
        <v>214</v>
      </c>
      <c r="N60" s="8" t="s">
        <v>214</v>
      </c>
      <c r="O60" s="8" t="s">
        <v>214</v>
      </c>
      <c r="P60" s="8" t="s">
        <v>214</v>
      </c>
      <c r="Q60" s="8" t="s">
        <v>214</v>
      </c>
      <c r="R60" s="8" t="s">
        <v>214</v>
      </c>
      <c r="S60" s="8" t="s">
        <v>214</v>
      </c>
      <c r="T60" s="8" t="s">
        <v>214</v>
      </c>
      <c r="U60" s="8" t="s">
        <v>214</v>
      </c>
      <c r="V60" s="8" t="s">
        <v>214</v>
      </c>
      <c r="W60" s="8" t="s">
        <v>214</v>
      </c>
      <c r="X60" s="8" t="s">
        <v>214</v>
      </c>
      <c r="Y60" s="8" t="s">
        <v>214</v>
      </c>
      <c r="Z60" s="8" t="s">
        <v>214</v>
      </c>
      <c r="AA60" s="8" t="s">
        <v>214</v>
      </c>
      <c r="AB60" s="8" t="s">
        <v>214</v>
      </c>
      <c r="AC60" s="8" t="s">
        <v>214</v>
      </c>
      <c r="AD60" s="8" t="s">
        <v>214</v>
      </c>
      <c r="AE60" s="8" t="s">
        <v>214</v>
      </c>
      <c r="AF60" s="8" t="s">
        <v>214</v>
      </c>
      <c r="AG60" s="8" t="s">
        <v>214</v>
      </c>
      <c r="AH60" s="8" t="s">
        <v>214</v>
      </c>
      <c r="AI60" s="8" t="s">
        <v>214</v>
      </c>
      <c r="AJ60" s="8" t="s">
        <v>214</v>
      </c>
      <c r="AK60" s="8" t="s">
        <v>214</v>
      </c>
      <c r="AL60" s="8" t="s">
        <v>214</v>
      </c>
      <c r="AM60" s="8" t="s">
        <v>214</v>
      </c>
      <c r="AN60" s="8" t="s">
        <v>214</v>
      </c>
      <c r="AO60" s="8" t="s">
        <v>214</v>
      </c>
      <c r="AP60" s="8" t="s">
        <v>214</v>
      </c>
      <c r="AQ60" s="8" t="s">
        <v>214</v>
      </c>
      <c r="AR60" s="8" t="s">
        <v>214</v>
      </c>
      <c r="AS60" s="8" t="s">
        <v>214</v>
      </c>
      <c r="AT60" s="8" t="s">
        <v>214</v>
      </c>
      <c r="AU60" s="8" t="s">
        <v>214</v>
      </c>
      <c r="AV60" s="8" t="s">
        <v>214</v>
      </c>
      <c r="AW60" s="8" t="s">
        <v>214</v>
      </c>
      <c r="AX60" s="8" t="s">
        <v>214</v>
      </c>
      <c r="AY60" s="8" t="s">
        <v>214</v>
      </c>
      <c r="AZ60" s="8" t="s">
        <v>214</v>
      </c>
      <c r="BA60" s="8" t="s">
        <v>214</v>
      </c>
      <c r="BB60" s="8" t="s">
        <v>214</v>
      </c>
      <c r="BC60" s="8" t="s">
        <v>214</v>
      </c>
      <c r="BD60" s="8" t="s">
        <v>214</v>
      </c>
      <c r="BE60" s="8" t="s">
        <v>214</v>
      </c>
      <c r="BF60" s="8" t="s">
        <v>214</v>
      </c>
      <c r="BG60" s="8" t="s">
        <v>214</v>
      </c>
      <c r="BH60" s="8" t="s">
        <v>214</v>
      </c>
      <c r="BI60" s="8" t="s">
        <v>214</v>
      </c>
      <c r="BJ60" s="8" t="s">
        <v>218</v>
      </c>
      <c r="BK60" s="8" t="s">
        <v>214</v>
      </c>
      <c r="BL60" s="8" t="s">
        <v>214</v>
      </c>
      <c r="BM60" s="8" t="s">
        <v>214</v>
      </c>
      <c r="BN60" s="8" t="s">
        <v>214</v>
      </c>
      <c r="BO60" s="8" t="s">
        <v>218</v>
      </c>
      <c r="BP60" s="8" t="s">
        <v>217</v>
      </c>
      <c r="BQ60" s="8" t="s">
        <v>214</v>
      </c>
      <c r="BR60" s="8" t="s">
        <v>214</v>
      </c>
      <c r="BS60" s="8" t="s">
        <v>214</v>
      </c>
      <c r="BT60" s="8" t="s">
        <v>214</v>
      </c>
      <c r="BU60" s="8" t="s">
        <v>214</v>
      </c>
      <c r="BV60" s="8" t="s">
        <v>214</v>
      </c>
      <c r="BW60" s="8" t="s">
        <v>214</v>
      </c>
      <c r="BX60" s="8" t="s">
        <v>214</v>
      </c>
      <c r="BY60" s="8" t="s">
        <v>214</v>
      </c>
      <c r="BZ60" s="8" t="s">
        <v>214</v>
      </c>
      <c r="CA60" s="8" t="s">
        <v>214</v>
      </c>
      <c r="CB60" s="8" t="s">
        <v>214</v>
      </c>
      <c r="CC60" s="8" t="s">
        <v>214</v>
      </c>
      <c r="CD60" s="8" t="s">
        <v>214</v>
      </c>
      <c r="CE60" s="8" t="s">
        <v>214</v>
      </c>
      <c r="CF60" s="8" t="s">
        <v>214</v>
      </c>
      <c r="CG60" s="8" t="s">
        <v>214</v>
      </c>
      <c r="CH60" s="8" t="s">
        <v>214</v>
      </c>
      <c r="CI60" s="8" t="s">
        <v>214</v>
      </c>
      <c r="CJ60" s="8" t="s">
        <v>214</v>
      </c>
      <c r="CK60" s="8" t="s">
        <v>218</v>
      </c>
      <c r="CL60" s="8" t="s">
        <v>214</v>
      </c>
      <c r="CM60" s="8" t="s">
        <v>214</v>
      </c>
      <c r="CN60" s="8" t="s">
        <v>214</v>
      </c>
      <c r="CO60" s="8" t="s">
        <v>214</v>
      </c>
      <c r="CP60" s="8" t="s">
        <v>214</v>
      </c>
      <c r="CQ60" s="8" t="s">
        <v>214</v>
      </c>
      <c r="CR60" s="8" t="s">
        <v>214</v>
      </c>
      <c r="CS60" s="8" t="s">
        <v>214</v>
      </c>
      <c r="CT60" s="8" t="s">
        <v>214</v>
      </c>
      <c r="CU60" s="8" t="s">
        <v>214</v>
      </c>
      <c r="CV60" s="8" t="s">
        <v>214</v>
      </c>
      <c r="CW60" s="8" t="s">
        <v>214</v>
      </c>
      <c r="CX60" s="8" t="s">
        <v>214</v>
      </c>
      <c r="CY60" s="8" t="s">
        <v>214</v>
      </c>
      <c r="CZ60" s="8" t="s">
        <v>214</v>
      </c>
      <c r="DA60" s="8" t="s">
        <v>214</v>
      </c>
      <c r="DB60" s="8" t="s">
        <v>214</v>
      </c>
      <c r="DC60" s="8" t="s">
        <v>214</v>
      </c>
      <c r="DD60" s="8" t="s">
        <v>214</v>
      </c>
      <c r="DE60" s="8" t="s">
        <v>214</v>
      </c>
      <c r="DF60" s="8" t="s">
        <v>214</v>
      </c>
      <c r="DG60" s="8" t="s">
        <v>214</v>
      </c>
      <c r="DH60" s="8" t="s">
        <v>214</v>
      </c>
      <c r="DI60" s="8" t="s">
        <v>214</v>
      </c>
      <c r="DJ60" s="8" t="s">
        <v>214</v>
      </c>
      <c r="DK60" s="8" t="s">
        <v>214</v>
      </c>
      <c r="DL60" s="8" t="s">
        <v>214</v>
      </c>
      <c r="DM60" s="8" t="s">
        <v>214</v>
      </c>
      <c r="DN60" s="8" t="s">
        <v>214</v>
      </c>
      <c r="DO60" s="8" t="s">
        <v>214</v>
      </c>
      <c r="DP60" s="8" t="s">
        <v>214</v>
      </c>
      <c r="DQ60" s="8" t="s">
        <v>214</v>
      </c>
      <c r="DR60" s="8" t="s">
        <v>214</v>
      </c>
      <c r="DS60" s="8" t="s">
        <v>214</v>
      </c>
      <c r="DT60" s="8" t="s">
        <v>214</v>
      </c>
      <c r="DU60" s="8" t="s">
        <v>214</v>
      </c>
      <c r="DV60" s="8" t="s">
        <v>214</v>
      </c>
      <c r="DW60" s="8" t="s">
        <v>214</v>
      </c>
      <c r="DX60" s="8" t="s">
        <v>214</v>
      </c>
      <c r="DY60" s="8" t="s">
        <v>214</v>
      </c>
      <c r="DZ60" s="8" t="s">
        <v>214</v>
      </c>
      <c r="EA60" s="8" t="s">
        <v>214</v>
      </c>
      <c r="EB60" s="8" t="s">
        <v>214</v>
      </c>
      <c r="EC60" s="8" t="s">
        <v>214</v>
      </c>
      <c r="ED60" s="8" t="s">
        <v>214</v>
      </c>
      <c r="EE60" s="8" t="s">
        <v>214</v>
      </c>
      <c r="EF60" s="8" t="s">
        <v>214</v>
      </c>
      <c r="EG60" s="8" t="s">
        <v>214</v>
      </c>
      <c r="EH60" s="8" t="s">
        <v>214</v>
      </c>
      <c r="EI60" s="8" t="s">
        <v>214</v>
      </c>
      <c r="EJ60" s="8" t="s">
        <v>214</v>
      </c>
      <c r="EK60" s="8" t="s">
        <v>214</v>
      </c>
      <c r="EL60" s="8" t="s">
        <v>214</v>
      </c>
      <c r="EM60" s="8" t="s">
        <v>214</v>
      </c>
      <c r="EN60" s="8" t="s">
        <v>214</v>
      </c>
      <c r="EO60" s="8" t="s">
        <v>214</v>
      </c>
      <c r="EP60" s="8" t="s">
        <v>214</v>
      </c>
      <c r="EQ60" s="8" t="s">
        <v>214</v>
      </c>
      <c r="ER60" s="8" t="s">
        <v>214</v>
      </c>
      <c r="ES60" s="8" t="s">
        <v>214</v>
      </c>
      <c r="ET60" s="8" t="s">
        <v>214</v>
      </c>
      <c r="EU60" s="8" t="s">
        <v>214</v>
      </c>
      <c r="EV60" s="8" t="s">
        <v>214</v>
      </c>
      <c r="EW60" s="8" t="s">
        <v>214</v>
      </c>
      <c r="EX60" s="8" t="s">
        <v>214</v>
      </c>
      <c r="EY60" s="8" t="s">
        <v>214</v>
      </c>
      <c r="EZ60" s="8" t="s">
        <v>214</v>
      </c>
      <c r="FA60" s="8" t="s">
        <v>214</v>
      </c>
      <c r="FB60" s="8" t="s">
        <v>214</v>
      </c>
      <c r="FC60" s="8" t="s">
        <v>214</v>
      </c>
      <c r="FD60" s="8" t="s">
        <v>214</v>
      </c>
      <c r="FE60" s="8" t="s">
        <v>214</v>
      </c>
      <c r="FF60" s="8" t="s">
        <v>214</v>
      </c>
      <c r="FG60" s="8" t="s">
        <v>214</v>
      </c>
      <c r="FH60" s="8" t="s">
        <v>214</v>
      </c>
      <c r="FI60" s="8" t="s">
        <v>214</v>
      </c>
      <c r="FJ60" s="8" t="s">
        <v>214</v>
      </c>
      <c r="FK60" s="8" t="s">
        <v>218</v>
      </c>
      <c r="FL60" s="8" t="s">
        <v>214</v>
      </c>
    </row>
    <row r="61" spans="1:168" ht="15" x14ac:dyDescent="0.25">
      <c r="A61" s="5" t="s">
        <v>188</v>
      </c>
      <c r="B61" s="5" t="s">
        <v>8</v>
      </c>
      <c r="C61" s="7" t="s">
        <v>214</v>
      </c>
      <c r="D61" s="7" t="s">
        <v>214</v>
      </c>
      <c r="E61" s="7" t="s">
        <v>214</v>
      </c>
      <c r="F61" s="7" t="s">
        <v>214</v>
      </c>
      <c r="G61" s="7" t="s">
        <v>214</v>
      </c>
      <c r="H61" s="7" t="s">
        <v>214</v>
      </c>
      <c r="I61" s="7" t="s">
        <v>214</v>
      </c>
      <c r="J61" s="7" t="s">
        <v>214</v>
      </c>
      <c r="K61" s="7" t="s">
        <v>214</v>
      </c>
      <c r="L61" s="7" t="s">
        <v>214</v>
      </c>
      <c r="M61" s="7" t="s">
        <v>214</v>
      </c>
      <c r="N61" s="7" t="s">
        <v>214</v>
      </c>
      <c r="O61" s="7" t="s">
        <v>214</v>
      </c>
      <c r="P61" s="7" t="s">
        <v>214</v>
      </c>
      <c r="Q61" s="7" t="s">
        <v>214</v>
      </c>
      <c r="R61" s="7" t="s">
        <v>214</v>
      </c>
      <c r="S61" s="7" t="s">
        <v>214</v>
      </c>
      <c r="T61" s="7" t="s">
        <v>214</v>
      </c>
      <c r="U61" s="7" t="s">
        <v>214</v>
      </c>
      <c r="V61" s="7" t="s">
        <v>214</v>
      </c>
      <c r="W61" s="7" t="s">
        <v>214</v>
      </c>
      <c r="X61" s="7" t="s">
        <v>214</v>
      </c>
      <c r="Y61" s="7" t="s">
        <v>214</v>
      </c>
      <c r="Z61" s="7" t="s">
        <v>214</v>
      </c>
      <c r="AA61" s="7" t="s">
        <v>214</v>
      </c>
      <c r="AB61" s="7" t="s">
        <v>214</v>
      </c>
      <c r="AC61" s="7" t="s">
        <v>214</v>
      </c>
      <c r="AD61" s="7" t="s">
        <v>214</v>
      </c>
      <c r="AE61" s="7" t="s">
        <v>214</v>
      </c>
      <c r="AF61" s="7" t="s">
        <v>214</v>
      </c>
      <c r="AG61" s="7" t="s">
        <v>214</v>
      </c>
      <c r="AH61" s="7" t="s">
        <v>214</v>
      </c>
      <c r="AI61" s="7" t="s">
        <v>214</v>
      </c>
      <c r="AJ61" s="7" t="s">
        <v>214</v>
      </c>
      <c r="AK61" s="7" t="s">
        <v>214</v>
      </c>
      <c r="AL61" s="7" t="s">
        <v>214</v>
      </c>
      <c r="AM61" s="7" t="s">
        <v>214</v>
      </c>
      <c r="AN61" s="7" t="s">
        <v>214</v>
      </c>
      <c r="AO61" s="7" t="s">
        <v>214</v>
      </c>
      <c r="AP61" s="7" t="s">
        <v>214</v>
      </c>
      <c r="AQ61" s="7" t="s">
        <v>214</v>
      </c>
      <c r="AR61" s="7" t="s">
        <v>214</v>
      </c>
      <c r="AS61" s="7" t="s">
        <v>214</v>
      </c>
      <c r="AT61" s="7" t="s">
        <v>214</v>
      </c>
      <c r="AU61" s="7" t="s">
        <v>214</v>
      </c>
      <c r="AV61" s="7" t="s">
        <v>214</v>
      </c>
      <c r="AW61" s="7" t="s">
        <v>214</v>
      </c>
      <c r="AX61" s="7" t="s">
        <v>214</v>
      </c>
      <c r="AY61" s="7" t="s">
        <v>214</v>
      </c>
      <c r="AZ61" s="7" t="s">
        <v>214</v>
      </c>
      <c r="BA61" s="7" t="s">
        <v>218</v>
      </c>
      <c r="BB61" s="7" t="s">
        <v>214</v>
      </c>
      <c r="BC61" s="7" t="s">
        <v>214</v>
      </c>
      <c r="BD61" s="7" t="s">
        <v>214</v>
      </c>
      <c r="BE61" s="7" t="s">
        <v>214</v>
      </c>
      <c r="BF61" s="7" t="s">
        <v>214</v>
      </c>
      <c r="BG61" s="7" t="s">
        <v>214</v>
      </c>
      <c r="BH61" s="7" t="s">
        <v>214</v>
      </c>
      <c r="BI61" s="7" t="s">
        <v>214</v>
      </c>
      <c r="BJ61" s="7" t="s">
        <v>218</v>
      </c>
      <c r="BK61" s="7" t="s">
        <v>214</v>
      </c>
      <c r="BL61" s="7" t="s">
        <v>214</v>
      </c>
      <c r="BM61" s="7" t="s">
        <v>214</v>
      </c>
      <c r="BN61" s="7" t="s">
        <v>214</v>
      </c>
      <c r="BO61" s="7" t="s">
        <v>214</v>
      </c>
      <c r="BP61" s="7" t="s">
        <v>214</v>
      </c>
      <c r="BQ61" s="7" t="s">
        <v>214</v>
      </c>
      <c r="BR61" s="7" t="s">
        <v>214</v>
      </c>
      <c r="BS61" s="7" t="s">
        <v>214</v>
      </c>
      <c r="BT61" s="7" t="s">
        <v>218</v>
      </c>
      <c r="BU61" s="7" t="s">
        <v>218</v>
      </c>
      <c r="BV61" s="7" t="s">
        <v>214</v>
      </c>
      <c r="BW61" s="7" t="s">
        <v>214</v>
      </c>
      <c r="BX61" s="7" t="s">
        <v>214</v>
      </c>
      <c r="BY61" s="7" t="s">
        <v>214</v>
      </c>
      <c r="BZ61" s="7" t="s">
        <v>214</v>
      </c>
      <c r="CA61" s="7" t="s">
        <v>214</v>
      </c>
      <c r="CB61" s="7" t="s">
        <v>214</v>
      </c>
      <c r="CC61" s="7" t="s">
        <v>214</v>
      </c>
      <c r="CD61" s="7" t="s">
        <v>214</v>
      </c>
      <c r="CE61" s="7" t="s">
        <v>214</v>
      </c>
      <c r="CF61" s="7" t="s">
        <v>214</v>
      </c>
      <c r="CG61" s="7" t="s">
        <v>214</v>
      </c>
      <c r="CH61" s="7" t="s">
        <v>214</v>
      </c>
      <c r="CI61" s="7" t="s">
        <v>214</v>
      </c>
      <c r="CJ61" s="7" t="s">
        <v>214</v>
      </c>
      <c r="CK61" s="7" t="s">
        <v>218</v>
      </c>
      <c r="CL61" s="7" t="s">
        <v>214</v>
      </c>
      <c r="CM61" s="7" t="s">
        <v>214</v>
      </c>
      <c r="CN61" s="7" t="s">
        <v>214</v>
      </c>
      <c r="CO61" s="7" t="s">
        <v>214</v>
      </c>
      <c r="CP61" s="7" t="s">
        <v>214</v>
      </c>
      <c r="CQ61" s="7" t="s">
        <v>214</v>
      </c>
      <c r="CR61" s="7" t="s">
        <v>214</v>
      </c>
      <c r="CS61" s="7" t="s">
        <v>214</v>
      </c>
      <c r="CT61" s="7" t="s">
        <v>214</v>
      </c>
      <c r="CU61" s="7" t="s">
        <v>214</v>
      </c>
      <c r="CV61" s="7" t="s">
        <v>214</v>
      </c>
      <c r="CW61" s="7" t="s">
        <v>214</v>
      </c>
      <c r="CX61" s="7" t="s">
        <v>214</v>
      </c>
      <c r="CY61" s="7" t="s">
        <v>214</v>
      </c>
      <c r="CZ61" s="7" t="s">
        <v>214</v>
      </c>
      <c r="DA61" s="7" t="s">
        <v>214</v>
      </c>
      <c r="DB61" s="7" t="s">
        <v>214</v>
      </c>
      <c r="DC61" s="7" t="s">
        <v>214</v>
      </c>
      <c r="DD61" s="7" t="s">
        <v>214</v>
      </c>
      <c r="DE61" s="7" t="s">
        <v>214</v>
      </c>
      <c r="DF61" s="7" t="s">
        <v>214</v>
      </c>
      <c r="DG61" s="7" t="s">
        <v>214</v>
      </c>
      <c r="DH61" s="7" t="s">
        <v>214</v>
      </c>
      <c r="DI61" s="7" t="s">
        <v>214</v>
      </c>
      <c r="DJ61" s="7" t="s">
        <v>214</v>
      </c>
      <c r="DK61" s="7" t="s">
        <v>214</v>
      </c>
      <c r="DL61" s="7" t="s">
        <v>214</v>
      </c>
      <c r="DM61" s="7" t="s">
        <v>214</v>
      </c>
      <c r="DN61" s="7" t="s">
        <v>214</v>
      </c>
      <c r="DO61" s="7" t="s">
        <v>214</v>
      </c>
      <c r="DP61" s="7" t="s">
        <v>214</v>
      </c>
      <c r="DQ61" s="7" t="s">
        <v>214</v>
      </c>
      <c r="DR61" s="7" t="s">
        <v>214</v>
      </c>
      <c r="DS61" s="7" t="s">
        <v>214</v>
      </c>
      <c r="DT61" s="7" t="s">
        <v>214</v>
      </c>
      <c r="DU61" s="7" t="s">
        <v>214</v>
      </c>
      <c r="DV61" s="7" t="s">
        <v>214</v>
      </c>
      <c r="DW61" s="7" t="s">
        <v>214</v>
      </c>
      <c r="DX61" s="7" t="s">
        <v>214</v>
      </c>
      <c r="DY61" s="7" t="s">
        <v>214</v>
      </c>
      <c r="DZ61" s="7" t="s">
        <v>214</v>
      </c>
      <c r="EA61" s="7" t="s">
        <v>214</v>
      </c>
      <c r="EB61" s="7" t="s">
        <v>214</v>
      </c>
      <c r="EC61" s="7" t="s">
        <v>214</v>
      </c>
      <c r="ED61" s="7" t="s">
        <v>214</v>
      </c>
      <c r="EE61" s="7" t="s">
        <v>214</v>
      </c>
      <c r="EF61" s="7" t="s">
        <v>214</v>
      </c>
      <c r="EG61" s="7" t="s">
        <v>214</v>
      </c>
      <c r="EH61" s="7" t="s">
        <v>214</v>
      </c>
      <c r="EI61" s="7" t="s">
        <v>214</v>
      </c>
      <c r="EJ61" s="7" t="s">
        <v>214</v>
      </c>
      <c r="EK61" s="7" t="s">
        <v>214</v>
      </c>
      <c r="EL61" s="7" t="s">
        <v>214</v>
      </c>
      <c r="EM61" s="7" t="s">
        <v>214</v>
      </c>
      <c r="EN61" s="7" t="s">
        <v>214</v>
      </c>
      <c r="EO61" s="7" t="s">
        <v>214</v>
      </c>
      <c r="EP61" s="7" t="s">
        <v>214</v>
      </c>
      <c r="EQ61" s="7" t="s">
        <v>214</v>
      </c>
      <c r="ER61" s="7" t="s">
        <v>214</v>
      </c>
      <c r="ES61" s="7" t="s">
        <v>214</v>
      </c>
      <c r="ET61" s="7" t="s">
        <v>214</v>
      </c>
      <c r="EU61" s="7" t="s">
        <v>214</v>
      </c>
      <c r="EV61" s="7" t="s">
        <v>214</v>
      </c>
      <c r="EW61" s="7" t="s">
        <v>214</v>
      </c>
      <c r="EX61" s="7" t="s">
        <v>214</v>
      </c>
      <c r="EY61" s="7" t="s">
        <v>214</v>
      </c>
      <c r="EZ61" s="7" t="s">
        <v>214</v>
      </c>
      <c r="FA61" s="7" t="s">
        <v>214</v>
      </c>
      <c r="FB61" s="7" t="s">
        <v>214</v>
      </c>
      <c r="FC61" s="7" t="s">
        <v>214</v>
      </c>
      <c r="FD61" s="7" t="s">
        <v>214</v>
      </c>
      <c r="FE61" s="7" t="s">
        <v>214</v>
      </c>
      <c r="FF61" s="7" t="s">
        <v>214</v>
      </c>
      <c r="FG61" s="7" t="s">
        <v>214</v>
      </c>
      <c r="FH61" s="7" t="s">
        <v>214</v>
      </c>
      <c r="FI61" s="7" t="s">
        <v>214</v>
      </c>
      <c r="FJ61" s="7" t="s">
        <v>214</v>
      </c>
      <c r="FK61" s="7" t="s">
        <v>218</v>
      </c>
      <c r="FL61" s="7" t="s">
        <v>214</v>
      </c>
    </row>
    <row r="62" spans="1:168" ht="15" x14ac:dyDescent="0.25">
      <c r="A62" s="5" t="s">
        <v>188</v>
      </c>
      <c r="B62" s="5" t="s">
        <v>9</v>
      </c>
      <c r="C62" s="8" t="s">
        <v>217</v>
      </c>
      <c r="D62" s="8" t="s">
        <v>217</v>
      </c>
      <c r="E62" s="8" t="s">
        <v>214</v>
      </c>
      <c r="F62" s="8" t="s">
        <v>214</v>
      </c>
      <c r="G62" s="8" t="s">
        <v>214</v>
      </c>
      <c r="H62" s="8" t="s">
        <v>214</v>
      </c>
      <c r="I62" s="8" t="s">
        <v>214</v>
      </c>
      <c r="J62" s="8" t="s">
        <v>214</v>
      </c>
      <c r="K62" s="8" t="s">
        <v>214</v>
      </c>
      <c r="L62" s="8" t="s">
        <v>214</v>
      </c>
      <c r="M62" s="8" t="s">
        <v>214</v>
      </c>
      <c r="N62" s="8" t="s">
        <v>214</v>
      </c>
      <c r="O62" s="8" t="s">
        <v>214</v>
      </c>
      <c r="P62" s="8" t="s">
        <v>214</v>
      </c>
      <c r="Q62" s="8" t="s">
        <v>214</v>
      </c>
      <c r="R62" s="8" t="s">
        <v>214</v>
      </c>
      <c r="S62" s="8" t="s">
        <v>214</v>
      </c>
      <c r="T62" s="8" t="s">
        <v>214</v>
      </c>
      <c r="U62" s="8" t="s">
        <v>214</v>
      </c>
      <c r="V62" s="8" t="s">
        <v>214</v>
      </c>
      <c r="W62" s="8" t="s">
        <v>214</v>
      </c>
      <c r="X62" s="8" t="s">
        <v>214</v>
      </c>
      <c r="Y62" s="8" t="s">
        <v>214</v>
      </c>
      <c r="Z62" s="8" t="s">
        <v>214</v>
      </c>
      <c r="AA62" s="8" t="s">
        <v>214</v>
      </c>
      <c r="AB62" s="8" t="s">
        <v>214</v>
      </c>
      <c r="AC62" s="8" t="s">
        <v>214</v>
      </c>
      <c r="AD62" s="8" t="s">
        <v>214</v>
      </c>
      <c r="AE62" s="8" t="s">
        <v>214</v>
      </c>
      <c r="AF62" s="8" t="s">
        <v>214</v>
      </c>
      <c r="AG62" s="8" t="s">
        <v>214</v>
      </c>
      <c r="AH62" s="8" t="s">
        <v>214</v>
      </c>
      <c r="AI62" s="8" t="s">
        <v>214</v>
      </c>
      <c r="AJ62" s="8" t="s">
        <v>214</v>
      </c>
      <c r="AK62" s="8" t="s">
        <v>214</v>
      </c>
      <c r="AL62" s="8" t="s">
        <v>214</v>
      </c>
      <c r="AM62" s="8" t="s">
        <v>214</v>
      </c>
      <c r="AN62" s="8" t="s">
        <v>214</v>
      </c>
      <c r="AO62" s="8" t="s">
        <v>214</v>
      </c>
      <c r="AP62" s="8" t="s">
        <v>214</v>
      </c>
      <c r="AQ62" s="8" t="s">
        <v>214</v>
      </c>
      <c r="AR62" s="8" t="s">
        <v>214</v>
      </c>
      <c r="AS62" s="8" t="s">
        <v>214</v>
      </c>
      <c r="AT62" s="8" t="s">
        <v>214</v>
      </c>
      <c r="AU62" s="8" t="s">
        <v>214</v>
      </c>
      <c r="AV62" s="8" t="s">
        <v>214</v>
      </c>
      <c r="AW62" s="8" t="s">
        <v>214</v>
      </c>
      <c r="AX62" s="8" t="s">
        <v>214</v>
      </c>
      <c r="AY62" s="8" t="s">
        <v>214</v>
      </c>
      <c r="AZ62" s="8" t="s">
        <v>214</v>
      </c>
      <c r="BA62" s="8" t="s">
        <v>218</v>
      </c>
      <c r="BB62" s="8" t="s">
        <v>214</v>
      </c>
      <c r="BC62" s="8" t="s">
        <v>214</v>
      </c>
      <c r="BD62" s="8" t="s">
        <v>214</v>
      </c>
      <c r="BE62" s="8" t="s">
        <v>214</v>
      </c>
      <c r="BF62" s="8" t="s">
        <v>214</v>
      </c>
      <c r="BG62" s="8" t="s">
        <v>214</v>
      </c>
      <c r="BH62" s="8" t="s">
        <v>214</v>
      </c>
      <c r="BI62" s="8" t="s">
        <v>214</v>
      </c>
      <c r="BJ62" s="8" t="s">
        <v>218</v>
      </c>
      <c r="BK62" s="8" t="s">
        <v>214</v>
      </c>
      <c r="BL62" s="8" t="s">
        <v>214</v>
      </c>
      <c r="BM62" s="8" t="s">
        <v>214</v>
      </c>
      <c r="BN62" s="8" t="s">
        <v>214</v>
      </c>
      <c r="BO62" s="8" t="s">
        <v>214</v>
      </c>
      <c r="BP62" s="8" t="s">
        <v>214</v>
      </c>
      <c r="BQ62" s="8" t="s">
        <v>214</v>
      </c>
      <c r="BR62" s="8" t="s">
        <v>214</v>
      </c>
      <c r="BS62" s="8" t="s">
        <v>214</v>
      </c>
      <c r="BT62" s="8" t="s">
        <v>218</v>
      </c>
      <c r="BU62" s="8" t="s">
        <v>218</v>
      </c>
      <c r="BV62" s="8" t="s">
        <v>214</v>
      </c>
      <c r="BW62" s="8" t="s">
        <v>214</v>
      </c>
      <c r="BX62" s="8" t="s">
        <v>214</v>
      </c>
      <c r="BY62" s="8" t="s">
        <v>214</v>
      </c>
      <c r="BZ62" s="8" t="s">
        <v>214</v>
      </c>
      <c r="CA62" s="8" t="s">
        <v>214</v>
      </c>
      <c r="CB62" s="8" t="s">
        <v>214</v>
      </c>
      <c r="CC62" s="8" t="s">
        <v>214</v>
      </c>
      <c r="CD62" s="8" t="s">
        <v>214</v>
      </c>
      <c r="CE62" s="8" t="s">
        <v>214</v>
      </c>
      <c r="CF62" s="8" t="s">
        <v>214</v>
      </c>
      <c r="CG62" s="8" t="s">
        <v>214</v>
      </c>
      <c r="CH62" s="8" t="s">
        <v>214</v>
      </c>
      <c r="CI62" s="8" t="s">
        <v>214</v>
      </c>
      <c r="CJ62" s="8" t="s">
        <v>214</v>
      </c>
      <c r="CK62" s="8" t="s">
        <v>218</v>
      </c>
      <c r="CL62" s="8" t="s">
        <v>214</v>
      </c>
      <c r="CM62" s="8" t="s">
        <v>214</v>
      </c>
      <c r="CN62" s="8" t="s">
        <v>214</v>
      </c>
      <c r="CO62" s="8" t="s">
        <v>214</v>
      </c>
      <c r="CP62" s="8" t="s">
        <v>214</v>
      </c>
      <c r="CQ62" s="8" t="s">
        <v>214</v>
      </c>
      <c r="CR62" s="8" t="s">
        <v>214</v>
      </c>
      <c r="CS62" s="8" t="s">
        <v>214</v>
      </c>
      <c r="CT62" s="8" t="s">
        <v>214</v>
      </c>
      <c r="CU62" s="8" t="s">
        <v>214</v>
      </c>
      <c r="CV62" s="8" t="s">
        <v>214</v>
      </c>
      <c r="CW62" s="8" t="s">
        <v>214</v>
      </c>
      <c r="CX62" s="8" t="s">
        <v>214</v>
      </c>
      <c r="CY62" s="8" t="s">
        <v>214</v>
      </c>
      <c r="CZ62" s="8" t="s">
        <v>214</v>
      </c>
      <c r="DA62" s="8" t="s">
        <v>214</v>
      </c>
      <c r="DB62" s="8" t="s">
        <v>214</v>
      </c>
      <c r="DC62" s="8" t="s">
        <v>214</v>
      </c>
      <c r="DD62" s="8" t="s">
        <v>214</v>
      </c>
      <c r="DE62" s="8" t="s">
        <v>214</v>
      </c>
      <c r="DF62" s="8" t="s">
        <v>214</v>
      </c>
      <c r="DG62" s="8" t="s">
        <v>214</v>
      </c>
      <c r="DH62" s="8" t="s">
        <v>214</v>
      </c>
      <c r="DI62" s="8" t="s">
        <v>214</v>
      </c>
      <c r="DJ62" s="8" t="s">
        <v>214</v>
      </c>
      <c r="DK62" s="8" t="s">
        <v>214</v>
      </c>
      <c r="DL62" s="8" t="s">
        <v>214</v>
      </c>
      <c r="DM62" s="8" t="s">
        <v>214</v>
      </c>
      <c r="DN62" s="8" t="s">
        <v>214</v>
      </c>
      <c r="DO62" s="8" t="s">
        <v>214</v>
      </c>
      <c r="DP62" s="8" t="s">
        <v>214</v>
      </c>
      <c r="DQ62" s="8" t="s">
        <v>214</v>
      </c>
      <c r="DR62" s="8" t="s">
        <v>214</v>
      </c>
      <c r="DS62" s="8" t="s">
        <v>214</v>
      </c>
      <c r="DT62" s="8" t="s">
        <v>214</v>
      </c>
      <c r="DU62" s="8" t="s">
        <v>214</v>
      </c>
      <c r="DV62" s="8" t="s">
        <v>214</v>
      </c>
      <c r="DW62" s="8" t="s">
        <v>214</v>
      </c>
      <c r="DX62" s="8" t="s">
        <v>214</v>
      </c>
      <c r="DY62" s="8" t="s">
        <v>214</v>
      </c>
      <c r="DZ62" s="8" t="s">
        <v>214</v>
      </c>
      <c r="EA62" s="8" t="s">
        <v>214</v>
      </c>
      <c r="EB62" s="8" t="s">
        <v>214</v>
      </c>
      <c r="EC62" s="8" t="s">
        <v>214</v>
      </c>
      <c r="ED62" s="8" t="s">
        <v>214</v>
      </c>
      <c r="EE62" s="8" t="s">
        <v>214</v>
      </c>
      <c r="EF62" s="8" t="s">
        <v>214</v>
      </c>
      <c r="EG62" s="8" t="s">
        <v>214</v>
      </c>
      <c r="EH62" s="8" t="s">
        <v>214</v>
      </c>
      <c r="EI62" s="8" t="s">
        <v>214</v>
      </c>
      <c r="EJ62" s="8" t="s">
        <v>214</v>
      </c>
      <c r="EK62" s="8" t="s">
        <v>214</v>
      </c>
      <c r="EL62" s="8" t="s">
        <v>214</v>
      </c>
      <c r="EM62" s="8" t="s">
        <v>214</v>
      </c>
      <c r="EN62" s="8" t="s">
        <v>214</v>
      </c>
      <c r="EO62" s="8" t="s">
        <v>214</v>
      </c>
      <c r="EP62" s="8" t="s">
        <v>214</v>
      </c>
      <c r="EQ62" s="8" t="s">
        <v>214</v>
      </c>
      <c r="ER62" s="8" t="s">
        <v>214</v>
      </c>
      <c r="ES62" s="8" t="s">
        <v>214</v>
      </c>
      <c r="ET62" s="8" t="s">
        <v>214</v>
      </c>
      <c r="EU62" s="8" t="s">
        <v>214</v>
      </c>
      <c r="EV62" s="8" t="s">
        <v>214</v>
      </c>
      <c r="EW62" s="8" t="s">
        <v>214</v>
      </c>
      <c r="EX62" s="8" t="s">
        <v>214</v>
      </c>
      <c r="EY62" s="8" t="s">
        <v>214</v>
      </c>
      <c r="EZ62" s="8" t="s">
        <v>214</v>
      </c>
      <c r="FA62" s="8" t="s">
        <v>214</v>
      </c>
      <c r="FB62" s="8" t="s">
        <v>214</v>
      </c>
      <c r="FC62" s="8" t="s">
        <v>214</v>
      </c>
      <c r="FD62" s="8" t="s">
        <v>214</v>
      </c>
      <c r="FE62" s="8" t="s">
        <v>214</v>
      </c>
      <c r="FF62" s="8" t="s">
        <v>214</v>
      </c>
      <c r="FG62" s="8" t="s">
        <v>214</v>
      </c>
      <c r="FH62" s="8" t="s">
        <v>214</v>
      </c>
      <c r="FI62" s="8" t="s">
        <v>214</v>
      </c>
      <c r="FJ62" s="8" t="s">
        <v>214</v>
      </c>
      <c r="FK62" s="8" t="s">
        <v>218</v>
      </c>
      <c r="FL62" s="8" t="s">
        <v>214</v>
      </c>
    </row>
    <row r="63" spans="1:168" ht="15" x14ac:dyDescent="0.25">
      <c r="A63" s="5" t="s">
        <v>189</v>
      </c>
      <c r="B63" s="5" t="s">
        <v>6</v>
      </c>
      <c r="C63" s="7" t="s">
        <v>214</v>
      </c>
      <c r="D63" s="7" t="s">
        <v>214</v>
      </c>
      <c r="E63" s="7" t="s">
        <v>214</v>
      </c>
      <c r="F63" s="7" t="s">
        <v>214</v>
      </c>
      <c r="G63" s="7" t="s">
        <v>214</v>
      </c>
      <c r="H63" s="7" t="s">
        <v>214</v>
      </c>
      <c r="I63" s="7" t="s">
        <v>214</v>
      </c>
      <c r="J63" s="7" t="s">
        <v>214</v>
      </c>
      <c r="K63" s="7" t="s">
        <v>214</v>
      </c>
      <c r="L63" s="7" t="s">
        <v>214</v>
      </c>
      <c r="M63" s="7" t="s">
        <v>214</v>
      </c>
      <c r="N63" s="7" t="s">
        <v>214</v>
      </c>
      <c r="O63" s="7" t="s">
        <v>214</v>
      </c>
      <c r="P63" s="7" t="s">
        <v>214</v>
      </c>
      <c r="Q63" s="7" t="s">
        <v>214</v>
      </c>
      <c r="R63" s="7" t="s">
        <v>214</v>
      </c>
      <c r="S63" s="7" t="s">
        <v>214</v>
      </c>
      <c r="T63" s="7" t="s">
        <v>214</v>
      </c>
      <c r="U63" s="7" t="s">
        <v>214</v>
      </c>
      <c r="V63" s="7" t="s">
        <v>214</v>
      </c>
      <c r="W63" s="7" t="s">
        <v>214</v>
      </c>
      <c r="X63" s="7" t="s">
        <v>214</v>
      </c>
      <c r="Y63" s="7" t="s">
        <v>214</v>
      </c>
      <c r="Z63" s="7" t="s">
        <v>214</v>
      </c>
      <c r="AA63" s="7" t="s">
        <v>214</v>
      </c>
      <c r="AB63" s="7" t="s">
        <v>214</v>
      </c>
      <c r="AC63" s="7" t="s">
        <v>214</v>
      </c>
      <c r="AD63" s="7" t="s">
        <v>214</v>
      </c>
      <c r="AE63" s="7" t="s">
        <v>214</v>
      </c>
      <c r="AF63" s="7" t="s">
        <v>214</v>
      </c>
      <c r="AG63" s="7" t="s">
        <v>214</v>
      </c>
      <c r="AH63" s="7" t="s">
        <v>214</v>
      </c>
      <c r="AI63" s="7" t="s">
        <v>214</v>
      </c>
      <c r="AJ63" s="7" t="s">
        <v>214</v>
      </c>
      <c r="AK63" s="7" t="s">
        <v>214</v>
      </c>
      <c r="AL63" s="7" t="s">
        <v>214</v>
      </c>
      <c r="AM63" s="7" t="s">
        <v>214</v>
      </c>
      <c r="AN63" s="7" t="s">
        <v>214</v>
      </c>
      <c r="AO63" s="7" t="s">
        <v>214</v>
      </c>
      <c r="AP63" s="7" t="s">
        <v>214</v>
      </c>
      <c r="AQ63" s="7" t="s">
        <v>214</v>
      </c>
      <c r="AR63" s="7" t="s">
        <v>214</v>
      </c>
      <c r="AS63" s="7" t="s">
        <v>214</v>
      </c>
      <c r="AT63" s="7" t="s">
        <v>214</v>
      </c>
      <c r="AU63" s="7" t="s">
        <v>214</v>
      </c>
      <c r="AV63" s="7" t="s">
        <v>214</v>
      </c>
      <c r="AW63" s="7" t="s">
        <v>214</v>
      </c>
      <c r="AX63" s="7" t="s">
        <v>214</v>
      </c>
      <c r="AY63" s="7" t="s">
        <v>214</v>
      </c>
      <c r="AZ63" s="7" t="s">
        <v>214</v>
      </c>
      <c r="BA63" s="7" t="s">
        <v>214</v>
      </c>
      <c r="BB63" s="7" t="s">
        <v>214</v>
      </c>
      <c r="BC63" s="7" t="s">
        <v>214</v>
      </c>
      <c r="BD63" s="7" t="s">
        <v>214</v>
      </c>
      <c r="BE63" s="7" t="s">
        <v>214</v>
      </c>
      <c r="BF63" s="7" t="s">
        <v>214</v>
      </c>
      <c r="BG63" s="7" t="s">
        <v>214</v>
      </c>
      <c r="BH63" s="7" t="s">
        <v>214</v>
      </c>
      <c r="BI63" s="7" t="s">
        <v>214</v>
      </c>
      <c r="BJ63" s="7" t="s">
        <v>214</v>
      </c>
      <c r="BK63" s="7" t="s">
        <v>214</v>
      </c>
      <c r="BL63" s="7" t="s">
        <v>214</v>
      </c>
      <c r="BM63" s="7" t="s">
        <v>214</v>
      </c>
      <c r="BN63" s="7" t="s">
        <v>214</v>
      </c>
      <c r="BO63" s="7" t="s">
        <v>214</v>
      </c>
      <c r="BP63" s="7" t="s">
        <v>214</v>
      </c>
      <c r="BQ63" s="7" t="s">
        <v>214</v>
      </c>
      <c r="BR63" s="7" t="s">
        <v>214</v>
      </c>
      <c r="BS63" s="7" t="s">
        <v>214</v>
      </c>
      <c r="BT63" s="7" t="s">
        <v>214</v>
      </c>
      <c r="BU63" s="7" t="s">
        <v>214</v>
      </c>
      <c r="BV63" s="7" t="s">
        <v>214</v>
      </c>
      <c r="BW63" s="7" t="s">
        <v>214</v>
      </c>
      <c r="BX63" s="7" t="s">
        <v>214</v>
      </c>
      <c r="BY63" s="7" t="s">
        <v>214</v>
      </c>
      <c r="BZ63" s="7" t="s">
        <v>214</v>
      </c>
      <c r="CA63" s="7" t="s">
        <v>214</v>
      </c>
      <c r="CB63" s="7" t="s">
        <v>214</v>
      </c>
      <c r="CC63" s="7" t="s">
        <v>214</v>
      </c>
      <c r="CD63" s="7" t="s">
        <v>214</v>
      </c>
      <c r="CE63" s="7" t="s">
        <v>214</v>
      </c>
      <c r="CF63" s="7" t="s">
        <v>214</v>
      </c>
      <c r="CG63" s="7" t="s">
        <v>214</v>
      </c>
      <c r="CH63" s="7" t="s">
        <v>214</v>
      </c>
      <c r="CI63" s="7" t="s">
        <v>214</v>
      </c>
      <c r="CJ63" s="7" t="s">
        <v>214</v>
      </c>
      <c r="CK63" s="7" t="s">
        <v>214</v>
      </c>
      <c r="CL63" s="7" t="s">
        <v>214</v>
      </c>
      <c r="CM63" s="7" t="s">
        <v>214</v>
      </c>
      <c r="CN63" s="7" t="s">
        <v>214</v>
      </c>
      <c r="CO63" s="7" t="s">
        <v>214</v>
      </c>
      <c r="CP63" s="7" t="s">
        <v>214</v>
      </c>
      <c r="CQ63" s="7" t="s">
        <v>214</v>
      </c>
      <c r="CR63" s="7" t="s">
        <v>214</v>
      </c>
      <c r="CS63" s="7" t="s">
        <v>214</v>
      </c>
      <c r="CT63" s="7" t="s">
        <v>214</v>
      </c>
      <c r="CU63" s="7" t="s">
        <v>214</v>
      </c>
      <c r="CV63" s="7" t="s">
        <v>214</v>
      </c>
      <c r="CW63" s="7" t="s">
        <v>214</v>
      </c>
      <c r="CX63" s="7" t="s">
        <v>214</v>
      </c>
      <c r="CY63" s="7" t="s">
        <v>214</v>
      </c>
      <c r="CZ63" s="7" t="s">
        <v>214</v>
      </c>
      <c r="DA63" s="7" t="s">
        <v>214</v>
      </c>
      <c r="DB63" s="7" t="s">
        <v>214</v>
      </c>
      <c r="DC63" s="7" t="s">
        <v>214</v>
      </c>
      <c r="DD63" s="7" t="s">
        <v>214</v>
      </c>
      <c r="DE63" s="7" t="s">
        <v>214</v>
      </c>
      <c r="DF63" s="7" t="s">
        <v>218</v>
      </c>
      <c r="DG63" s="7" t="s">
        <v>214</v>
      </c>
      <c r="DH63" s="7" t="s">
        <v>214</v>
      </c>
      <c r="DI63" s="7" t="s">
        <v>214</v>
      </c>
      <c r="DJ63" s="7" t="s">
        <v>214</v>
      </c>
      <c r="DK63" s="7" t="s">
        <v>214</v>
      </c>
      <c r="DL63" s="7" t="s">
        <v>214</v>
      </c>
      <c r="DM63" s="7" t="s">
        <v>214</v>
      </c>
      <c r="DN63" s="7" t="s">
        <v>214</v>
      </c>
      <c r="DO63" s="7" t="s">
        <v>214</v>
      </c>
      <c r="DP63" s="7" t="s">
        <v>218</v>
      </c>
      <c r="DQ63" s="7" t="s">
        <v>214</v>
      </c>
      <c r="DR63" s="7" t="s">
        <v>214</v>
      </c>
      <c r="DS63" s="7" t="s">
        <v>214</v>
      </c>
      <c r="DT63" s="7" t="s">
        <v>214</v>
      </c>
      <c r="DU63" s="7" t="s">
        <v>214</v>
      </c>
      <c r="DV63" s="7" t="s">
        <v>214</v>
      </c>
      <c r="DW63" s="7" t="s">
        <v>214</v>
      </c>
      <c r="DX63" s="7" t="s">
        <v>214</v>
      </c>
      <c r="DY63" s="7" t="s">
        <v>214</v>
      </c>
      <c r="DZ63" s="7" t="s">
        <v>214</v>
      </c>
      <c r="EA63" s="7" t="s">
        <v>214</v>
      </c>
      <c r="EB63" s="7" t="s">
        <v>214</v>
      </c>
      <c r="EC63" s="7" t="s">
        <v>214</v>
      </c>
      <c r="ED63" s="7" t="s">
        <v>214</v>
      </c>
      <c r="EE63" s="7" t="s">
        <v>214</v>
      </c>
      <c r="EF63" s="7" t="s">
        <v>214</v>
      </c>
      <c r="EG63" s="7" t="s">
        <v>214</v>
      </c>
      <c r="EH63" s="7" t="s">
        <v>214</v>
      </c>
      <c r="EI63" s="7" t="s">
        <v>214</v>
      </c>
      <c r="EJ63" s="7" t="s">
        <v>214</v>
      </c>
      <c r="EK63" s="7" t="s">
        <v>214</v>
      </c>
      <c r="EL63" s="7" t="s">
        <v>214</v>
      </c>
      <c r="EM63" s="7" t="s">
        <v>214</v>
      </c>
      <c r="EN63" s="7" t="s">
        <v>214</v>
      </c>
      <c r="EO63" s="7" t="s">
        <v>214</v>
      </c>
      <c r="EP63" s="7" t="s">
        <v>214</v>
      </c>
      <c r="EQ63" s="7" t="s">
        <v>214</v>
      </c>
      <c r="ER63" s="7" t="s">
        <v>214</v>
      </c>
      <c r="ES63" s="7" t="s">
        <v>214</v>
      </c>
      <c r="ET63" s="7" t="s">
        <v>214</v>
      </c>
      <c r="EU63" s="7" t="s">
        <v>214</v>
      </c>
      <c r="EV63" s="7" t="s">
        <v>214</v>
      </c>
      <c r="EW63" s="7" t="s">
        <v>214</v>
      </c>
      <c r="EX63" s="7" t="s">
        <v>214</v>
      </c>
      <c r="EY63" s="7" t="s">
        <v>214</v>
      </c>
      <c r="EZ63" s="7" t="s">
        <v>214</v>
      </c>
      <c r="FA63" s="7" t="s">
        <v>214</v>
      </c>
      <c r="FB63" s="7" t="s">
        <v>214</v>
      </c>
      <c r="FC63" s="7" t="s">
        <v>214</v>
      </c>
      <c r="FD63" s="7" t="s">
        <v>214</v>
      </c>
      <c r="FE63" s="7" t="s">
        <v>214</v>
      </c>
      <c r="FF63" s="7" t="s">
        <v>214</v>
      </c>
      <c r="FG63" s="7" t="s">
        <v>214</v>
      </c>
      <c r="FH63" s="7" t="s">
        <v>214</v>
      </c>
      <c r="FI63" s="7" t="s">
        <v>214</v>
      </c>
      <c r="FJ63" s="7" t="s">
        <v>214</v>
      </c>
      <c r="FK63" s="7" t="s">
        <v>214</v>
      </c>
      <c r="FL63" s="7" t="s">
        <v>214</v>
      </c>
    </row>
    <row r="64" spans="1:168" ht="15" x14ac:dyDescent="0.25">
      <c r="A64" s="5" t="s">
        <v>189</v>
      </c>
      <c r="B64" s="5" t="s">
        <v>7</v>
      </c>
      <c r="C64" s="8" t="s">
        <v>217</v>
      </c>
      <c r="D64" s="8" t="s">
        <v>217</v>
      </c>
      <c r="E64" s="8" t="s">
        <v>214</v>
      </c>
      <c r="F64" s="8" t="s">
        <v>214</v>
      </c>
      <c r="G64" s="8" t="s">
        <v>214</v>
      </c>
      <c r="H64" s="8" t="s">
        <v>214</v>
      </c>
      <c r="I64" s="8" t="s">
        <v>214</v>
      </c>
      <c r="J64" s="8" t="s">
        <v>214</v>
      </c>
      <c r="K64" s="8" t="s">
        <v>214</v>
      </c>
      <c r="L64" s="8" t="s">
        <v>214</v>
      </c>
      <c r="M64" s="8" t="s">
        <v>214</v>
      </c>
      <c r="N64" s="8" t="s">
        <v>214</v>
      </c>
      <c r="O64" s="8" t="s">
        <v>214</v>
      </c>
      <c r="P64" s="8" t="s">
        <v>214</v>
      </c>
      <c r="Q64" s="8" t="s">
        <v>214</v>
      </c>
      <c r="R64" s="8" t="s">
        <v>214</v>
      </c>
      <c r="S64" s="8" t="s">
        <v>214</v>
      </c>
      <c r="T64" s="8" t="s">
        <v>214</v>
      </c>
      <c r="U64" s="8" t="s">
        <v>214</v>
      </c>
      <c r="V64" s="8" t="s">
        <v>214</v>
      </c>
      <c r="W64" s="8" t="s">
        <v>214</v>
      </c>
      <c r="X64" s="8" t="s">
        <v>214</v>
      </c>
      <c r="Y64" s="8" t="s">
        <v>214</v>
      </c>
      <c r="Z64" s="8" t="s">
        <v>214</v>
      </c>
      <c r="AA64" s="8" t="s">
        <v>214</v>
      </c>
      <c r="AB64" s="8" t="s">
        <v>214</v>
      </c>
      <c r="AC64" s="8" t="s">
        <v>214</v>
      </c>
      <c r="AD64" s="8" t="s">
        <v>214</v>
      </c>
      <c r="AE64" s="8" t="s">
        <v>214</v>
      </c>
      <c r="AF64" s="8" t="s">
        <v>214</v>
      </c>
      <c r="AG64" s="8" t="s">
        <v>214</v>
      </c>
      <c r="AH64" s="8" t="s">
        <v>214</v>
      </c>
      <c r="AI64" s="8" t="s">
        <v>214</v>
      </c>
      <c r="AJ64" s="8" t="s">
        <v>214</v>
      </c>
      <c r="AK64" s="8" t="s">
        <v>214</v>
      </c>
      <c r="AL64" s="8" t="s">
        <v>214</v>
      </c>
      <c r="AM64" s="8" t="s">
        <v>214</v>
      </c>
      <c r="AN64" s="8" t="s">
        <v>214</v>
      </c>
      <c r="AO64" s="8" t="s">
        <v>214</v>
      </c>
      <c r="AP64" s="8" t="s">
        <v>214</v>
      </c>
      <c r="AQ64" s="8" t="s">
        <v>214</v>
      </c>
      <c r="AR64" s="8" t="s">
        <v>214</v>
      </c>
      <c r="AS64" s="8" t="s">
        <v>214</v>
      </c>
      <c r="AT64" s="8" t="s">
        <v>214</v>
      </c>
      <c r="AU64" s="8" t="s">
        <v>214</v>
      </c>
      <c r="AV64" s="8" t="s">
        <v>214</v>
      </c>
      <c r="AW64" s="8" t="s">
        <v>214</v>
      </c>
      <c r="AX64" s="8" t="s">
        <v>214</v>
      </c>
      <c r="AY64" s="8" t="s">
        <v>214</v>
      </c>
      <c r="AZ64" s="8" t="s">
        <v>214</v>
      </c>
      <c r="BA64" s="8" t="s">
        <v>214</v>
      </c>
      <c r="BB64" s="8" t="s">
        <v>214</v>
      </c>
      <c r="BC64" s="8" t="s">
        <v>214</v>
      </c>
      <c r="BD64" s="8" t="s">
        <v>214</v>
      </c>
      <c r="BE64" s="8" t="s">
        <v>214</v>
      </c>
      <c r="BF64" s="8" t="s">
        <v>214</v>
      </c>
      <c r="BG64" s="8" t="s">
        <v>214</v>
      </c>
      <c r="BH64" s="8" t="s">
        <v>214</v>
      </c>
      <c r="BI64" s="8" t="s">
        <v>214</v>
      </c>
      <c r="BJ64" s="8" t="s">
        <v>218</v>
      </c>
      <c r="BK64" s="8" t="s">
        <v>214</v>
      </c>
      <c r="BL64" s="8" t="s">
        <v>214</v>
      </c>
      <c r="BM64" s="8" t="s">
        <v>214</v>
      </c>
      <c r="BN64" s="8" t="s">
        <v>214</v>
      </c>
      <c r="BO64" s="8" t="s">
        <v>214</v>
      </c>
      <c r="BP64" s="8" t="s">
        <v>214</v>
      </c>
      <c r="BQ64" s="8" t="s">
        <v>214</v>
      </c>
      <c r="BR64" s="8" t="s">
        <v>218</v>
      </c>
      <c r="BS64" s="8" t="s">
        <v>214</v>
      </c>
      <c r="BT64" s="8" t="s">
        <v>214</v>
      </c>
      <c r="BU64" s="8" t="s">
        <v>214</v>
      </c>
      <c r="BV64" s="8" t="s">
        <v>214</v>
      </c>
      <c r="BW64" s="8" t="s">
        <v>214</v>
      </c>
      <c r="BX64" s="8" t="s">
        <v>214</v>
      </c>
      <c r="BY64" s="8" t="s">
        <v>214</v>
      </c>
      <c r="BZ64" s="8" t="s">
        <v>214</v>
      </c>
      <c r="CA64" s="8" t="s">
        <v>214</v>
      </c>
      <c r="CB64" s="8" t="s">
        <v>214</v>
      </c>
      <c r="CC64" s="8" t="s">
        <v>214</v>
      </c>
      <c r="CD64" s="8" t="s">
        <v>214</v>
      </c>
      <c r="CE64" s="8" t="s">
        <v>214</v>
      </c>
      <c r="CF64" s="8" t="s">
        <v>214</v>
      </c>
      <c r="CG64" s="8" t="s">
        <v>214</v>
      </c>
      <c r="CH64" s="8" t="s">
        <v>214</v>
      </c>
      <c r="CI64" s="8" t="s">
        <v>214</v>
      </c>
      <c r="CJ64" s="8" t="s">
        <v>218</v>
      </c>
      <c r="CK64" s="8" t="s">
        <v>218</v>
      </c>
      <c r="CL64" s="8" t="s">
        <v>214</v>
      </c>
      <c r="CM64" s="8" t="s">
        <v>214</v>
      </c>
      <c r="CN64" s="8" t="s">
        <v>214</v>
      </c>
      <c r="CO64" s="8" t="s">
        <v>214</v>
      </c>
      <c r="CP64" s="8" t="s">
        <v>214</v>
      </c>
      <c r="CQ64" s="8" t="s">
        <v>214</v>
      </c>
      <c r="CR64" s="8" t="s">
        <v>214</v>
      </c>
      <c r="CS64" s="8" t="s">
        <v>214</v>
      </c>
      <c r="CT64" s="8" t="s">
        <v>214</v>
      </c>
      <c r="CU64" s="8" t="s">
        <v>214</v>
      </c>
      <c r="CV64" s="8" t="s">
        <v>214</v>
      </c>
      <c r="CW64" s="8" t="s">
        <v>214</v>
      </c>
      <c r="CX64" s="8" t="s">
        <v>214</v>
      </c>
      <c r="CY64" s="8" t="s">
        <v>214</v>
      </c>
      <c r="CZ64" s="8" t="s">
        <v>214</v>
      </c>
      <c r="DA64" s="8" t="s">
        <v>214</v>
      </c>
      <c r="DB64" s="8" t="s">
        <v>214</v>
      </c>
      <c r="DC64" s="8" t="s">
        <v>214</v>
      </c>
      <c r="DD64" s="8" t="s">
        <v>214</v>
      </c>
      <c r="DE64" s="8" t="s">
        <v>214</v>
      </c>
      <c r="DF64" s="8" t="s">
        <v>214</v>
      </c>
      <c r="DG64" s="8" t="s">
        <v>214</v>
      </c>
      <c r="DH64" s="8" t="s">
        <v>214</v>
      </c>
      <c r="DI64" s="8" t="s">
        <v>214</v>
      </c>
      <c r="DJ64" s="8" t="s">
        <v>214</v>
      </c>
      <c r="DK64" s="8" t="s">
        <v>214</v>
      </c>
      <c r="DL64" s="8" t="s">
        <v>214</v>
      </c>
      <c r="DM64" s="8" t="s">
        <v>214</v>
      </c>
      <c r="DN64" s="8" t="s">
        <v>214</v>
      </c>
      <c r="DO64" s="8" t="s">
        <v>214</v>
      </c>
      <c r="DP64" s="8" t="s">
        <v>218</v>
      </c>
      <c r="DQ64" s="8" t="s">
        <v>214</v>
      </c>
      <c r="DR64" s="8" t="s">
        <v>214</v>
      </c>
      <c r="DS64" s="8" t="s">
        <v>214</v>
      </c>
      <c r="DT64" s="8" t="s">
        <v>214</v>
      </c>
      <c r="DU64" s="8" t="s">
        <v>214</v>
      </c>
      <c r="DV64" s="8" t="s">
        <v>214</v>
      </c>
      <c r="DW64" s="8" t="s">
        <v>214</v>
      </c>
      <c r="DX64" s="8" t="s">
        <v>214</v>
      </c>
      <c r="DY64" s="8" t="s">
        <v>214</v>
      </c>
      <c r="DZ64" s="8" t="s">
        <v>214</v>
      </c>
      <c r="EA64" s="8" t="s">
        <v>214</v>
      </c>
      <c r="EB64" s="8" t="s">
        <v>214</v>
      </c>
      <c r="EC64" s="8" t="s">
        <v>214</v>
      </c>
      <c r="ED64" s="8" t="s">
        <v>214</v>
      </c>
      <c r="EE64" s="8" t="s">
        <v>214</v>
      </c>
      <c r="EF64" s="8" t="s">
        <v>214</v>
      </c>
      <c r="EG64" s="8" t="s">
        <v>214</v>
      </c>
      <c r="EH64" s="8" t="s">
        <v>214</v>
      </c>
      <c r="EI64" s="8" t="s">
        <v>214</v>
      </c>
      <c r="EJ64" s="8" t="s">
        <v>214</v>
      </c>
      <c r="EK64" s="8" t="s">
        <v>214</v>
      </c>
      <c r="EL64" s="8" t="s">
        <v>214</v>
      </c>
      <c r="EM64" s="8" t="s">
        <v>214</v>
      </c>
      <c r="EN64" s="8" t="s">
        <v>214</v>
      </c>
      <c r="EO64" s="8" t="s">
        <v>214</v>
      </c>
      <c r="EP64" s="8" t="s">
        <v>214</v>
      </c>
      <c r="EQ64" s="8" t="s">
        <v>218</v>
      </c>
      <c r="ER64" s="8" t="s">
        <v>214</v>
      </c>
      <c r="ES64" s="8" t="s">
        <v>214</v>
      </c>
      <c r="ET64" s="8" t="s">
        <v>214</v>
      </c>
      <c r="EU64" s="8" t="s">
        <v>214</v>
      </c>
      <c r="EV64" s="8" t="s">
        <v>214</v>
      </c>
      <c r="EW64" s="8" t="s">
        <v>214</v>
      </c>
      <c r="EX64" s="8" t="s">
        <v>214</v>
      </c>
      <c r="EY64" s="8" t="s">
        <v>214</v>
      </c>
      <c r="EZ64" s="8" t="s">
        <v>214</v>
      </c>
      <c r="FA64" s="8" t="s">
        <v>214</v>
      </c>
      <c r="FB64" s="8" t="s">
        <v>214</v>
      </c>
      <c r="FC64" s="8" t="s">
        <v>214</v>
      </c>
      <c r="FD64" s="8" t="s">
        <v>214</v>
      </c>
      <c r="FE64" s="8" t="s">
        <v>214</v>
      </c>
      <c r="FF64" s="8" t="s">
        <v>214</v>
      </c>
      <c r="FG64" s="8" t="s">
        <v>214</v>
      </c>
      <c r="FH64" s="8" t="s">
        <v>214</v>
      </c>
      <c r="FI64" s="8" t="s">
        <v>214</v>
      </c>
      <c r="FJ64" s="8" t="s">
        <v>214</v>
      </c>
      <c r="FK64" s="8" t="s">
        <v>214</v>
      </c>
      <c r="FL64" s="8" t="s">
        <v>214</v>
      </c>
    </row>
    <row r="65" spans="1:168" ht="15" x14ac:dyDescent="0.25">
      <c r="A65" s="5" t="s">
        <v>189</v>
      </c>
      <c r="B65" s="5" t="s">
        <v>8</v>
      </c>
      <c r="C65" s="7" t="s">
        <v>217</v>
      </c>
      <c r="D65" s="7" t="s">
        <v>217</v>
      </c>
      <c r="E65" s="7" t="s">
        <v>214</v>
      </c>
      <c r="F65" s="7" t="s">
        <v>214</v>
      </c>
      <c r="G65" s="7" t="s">
        <v>214</v>
      </c>
      <c r="H65" s="7" t="s">
        <v>214</v>
      </c>
      <c r="I65" s="7" t="s">
        <v>214</v>
      </c>
      <c r="J65" s="7" t="s">
        <v>214</v>
      </c>
      <c r="K65" s="7" t="s">
        <v>214</v>
      </c>
      <c r="L65" s="7" t="s">
        <v>214</v>
      </c>
      <c r="M65" s="7" t="s">
        <v>214</v>
      </c>
      <c r="N65" s="7" t="s">
        <v>214</v>
      </c>
      <c r="O65" s="7" t="s">
        <v>214</v>
      </c>
      <c r="P65" s="7" t="s">
        <v>214</v>
      </c>
      <c r="Q65" s="7" t="s">
        <v>214</v>
      </c>
      <c r="R65" s="7" t="s">
        <v>214</v>
      </c>
      <c r="S65" s="7" t="s">
        <v>214</v>
      </c>
      <c r="T65" s="7" t="s">
        <v>214</v>
      </c>
      <c r="U65" s="7" t="s">
        <v>214</v>
      </c>
      <c r="V65" s="7" t="s">
        <v>214</v>
      </c>
      <c r="W65" s="7" t="s">
        <v>214</v>
      </c>
      <c r="X65" s="7" t="s">
        <v>214</v>
      </c>
      <c r="Y65" s="7" t="s">
        <v>214</v>
      </c>
      <c r="Z65" s="7" t="s">
        <v>214</v>
      </c>
      <c r="AA65" s="7" t="s">
        <v>214</v>
      </c>
      <c r="AB65" s="7" t="s">
        <v>214</v>
      </c>
      <c r="AC65" s="7" t="s">
        <v>214</v>
      </c>
      <c r="AD65" s="7" t="s">
        <v>214</v>
      </c>
      <c r="AE65" s="7" t="s">
        <v>214</v>
      </c>
      <c r="AF65" s="7" t="s">
        <v>214</v>
      </c>
      <c r="AG65" s="7" t="s">
        <v>214</v>
      </c>
      <c r="AH65" s="7" t="s">
        <v>214</v>
      </c>
      <c r="AI65" s="7" t="s">
        <v>214</v>
      </c>
      <c r="AJ65" s="7" t="s">
        <v>214</v>
      </c>
      <c r="AK65" s="7" t="s">
        <v>214</v>
      </c>
      <c r="AL65" s="7" t="s">
        <v>214</v>
      </c>
      <c r="AM65" s="7" t="s">
        <v>214</v>
      </c>
      <c r="AN65" s="7" t="s">
        <v>214</v>
      </c>
      <c r="AO65" s="7" t="s">
        <v>214</v>
      </c>
      <c r="AP65" s="7" t="s">
        <v>214</v>
      </c>
      <c r="AQ65" s="7" t="s">
        <v>214</v>
      </c>
      <c r="AR65" s="7" t="s">
        <v>214</v>
      </c>
      <c r="AS65" s="7" t="s">
        <v>214</v>
      </c>
      <c r="AT65" s="7" t="s">
        <v>214</v>
      </c>
      <c r="AU65" s="7" t="s">
        <v>214</v>
      </c>
      <c r="AV65" s="7" t="s">
        <v>214</v>
      </c>
      <c r="AW65" s="7" t="s">
        <v>214</v>
      </c>
      <c r="AX65" s="7" t="s">
        <v>214</v>
      </c>
      <c r="AY65" s="7" t="s">
        <v>214</v>
      </c>
      <c r="AZ65" s="7" t="s">
        <v>214</v>
      </c>
      <c r="BA65" s="7" t="s">
        <v>214</v>
      </c>
      <c r="BB65" s="7" t="s">
        <v>214</v>
      </c>
      <c r="BC65" s="7" t="s">
        <v>214</v>
      </c>
      <c r="BD65" s="7" t="s">
        <v>214</v>
      </c>
      <c r="BE65" s="7" t="s">
        <v>214</v>
      </c>
      <c r="BF65" s="7" t="s">
        <v>214</v>
      </c>
      <c r="BG65" s="7" t="s">
        <v>214</v>
      </c>
      <c r="BH65" s="7" t="s">
        <v>214</v>
      </c>
      <c r="BI65" s="7" t="s">
        <v>214</v>
      </c>
      <c r="BJ65" s="7" t="s">
        <v>218</v>
      </c>
      <c r="BK65" s="7" t="s">
        <v>214</v>
      </c>
      <c r="BL65" s="7" t="s">
        <v>214</v>
      </c>
      <c r="BM65" s="7" t="s">
        <v>214</v>
      </c>
      <c r="BN65" s="7" t="s">
        <v>214</v>
      </c>
      <c r="BO65" s="7" t="s">
        <v>214</v>
      </c>
      <c r="BP65" s="7" t="s">
        <v>214</v>
      </c>
      <c r="BQ65" s="7" t="s">
        <v>214</v>
      </c>
      <c r="BR65" s="7" t="s">
        <v>218</v>
      </c>
      <c r="BS65" s="7" t="s">
        <v>214</v>
      </c>
      <c r="BT65" s="7" t="s">
        <v>214</v>
      </c>
      <c r="BU65" s="7" t="s">
        <v>218</v>
      </c>
      <c r="BV65" s="7" t="s">
        <v>214</v>
      </c>
      <c r="BW65" s="7" t="s">
        <v>214</v>
      </c>
      <c r="BX65" s="7" t="s">
        <v>214</v>
      </c>
      <c r="BY65" s="7" t="s">
        <v>214</v>
      </c>
      <c r="BZ65" s="7" t="s">
        <v>214</v>
      </c>
      <c r="CA65" s="7" t="s">
        <v>214</v>
      </c>
      <c r="CB65" s="7" t="s">
        <v>214</v>
      </c>
      <c r="CC65" s="7" t="s">
        <v>214</v>
      </c>
      <c r="CD65" s="7" t="s">
        <v>214</v>
      </c>
      <c r="CE65" s="7" t="s">
        <v>214</v>
      </c>
      <c r="CF65" s="7" t="s">
        <v>214</v>
      </c>
      <c r="CG65" s="7" t="s">
        <v>214</v>
      </c>
      <c r="CH65" s="7" t="s">
        <v>214</v>
      </c>
      <c r="CI65" s="7" t="s">
        <v>214</v>
      </c>
      <c r="CJ65" s="7" t="s">
        <v>218</v>
      </c>
      <c r="CK65" s="7" t="s">
        <v>218</v>
      </c>
      <c r="CL65" s="7" t="s">
        <v>214</v>
      </c>
      <c r="CM65" s="7" t="s">
        <v>214</v>
      </c>
      <c r="CN65" s="7" t="s">
        <v>214</v>
      </c>
      <c r="CO65" s="7" t="s">
        <v>214</v>
      </c>
      <c r="CP65" s="7" t="s">
        <v>214</v>
      </c>
      <c r="CQ65" s="7" t="s">
        <v>214</v>
      </c>
      <c r="CR65" s="7" t="s">
        <v>214</v>
      </c>
      <c r="CS65" s="7" t="s">
        <v>214</v>
      </c>
      <c r="CT65" s="7" t="s">
        <v>214</v>
      </c>
      <c r="CU65" s="7" t="s">
        <v>214</v>
      </c>
      <c r="CV65" s="7" t="s">
        <v>214</v>
      </c>
      <c r="CW65" s="7" t="s">
        <v>214</v>
      </c>
      <c r="CX65" s="7" t="s">
        <v>214</v>
      </c>
      <c r="CY65" s="7" t="s">
        <v>214</v>
      </c>
      <c r="CZ65" s="7" t="s">
        <v>214</v>
      </c>
      <c r="DA65" s="7" t="s">
        <v>214</v>
      </c>
      <c r="DB65" s="7" t="s">
        <v>218</v>
      </c>
      <c r="DC65" s="7" t="s">
        <v>214</v>
      </c>
      <c r="DD65" s="7" t="s">
        <v>214</v>
      </c>
      <c r="DE65" s="7" t="s">
        <v>214</v>
      </c>
      <c r="DF65" s="7" t="s">
        <v>218</v>
      </c>
      <c r="DG65" s="7" t="s">
        <v>214</v>
      </c>
      <c r="DH65" s="7" t="s">
        <v>214</v>
      </c>
      <c r="DI65" s="7" t="s">
        <v>214</v>
      </c>
      <c r="DJ65" s="7" t="s">
        <v>214</v>
      </c>
      <c r="DK65" s="7" t="s">
        <v>214</v>
      </c>
      <c r="DL65" s="7" t="s">
        <v>218</v>
      </c>
      <c r="DM65" s="7" t="s">
        <v>214</v>
      </c>
      <c r="DN65" s="7" t="s">
        <v>214</v>
      </c>
      <c r="DO65" s="7" t="s">
        <v>214</v>
      </c>
      <c r="DP65" s="7" t="s">
        <v>218</v>
      </c>
      <c r="DQ65" s="7" t="s">
        <v>214</v>
      </c>
      <c r="DR65" s="7" t="s">
        <v>214</v>
      </c>
      <c r="DS65" s="7" t="s">
        <v>214</v>
      </c>
      <c r="DT65" s="7" t="s">
        <v>214</v>
      </c>
      <c r="DU65" s="7" t="s">
        <v>217</v>
      </c>
      <c r="DV65" s="7" t="s">
        <v>214</v>
      </c>
      <c r="DW65" s="7" t="s">
        <v>214</v>
      </c>
      <c r="DX65" s="7" t="s">
        <v>214</v>
      </c>
      <c r="DY65" s="7" t="s">
        <v>214</v>
      </c>
      <c r="DZ65" s="7" t="s">
        <v>214</v>
      </c>
      <c r="EA65" s="7" t="s">
        <v>214</v>
      </c>
      <c r="EB65" s="7" t="s">
        <v>214</v>
      </c>
      <c r="EC65" s="7" t="s">
        <v>214</v>
      </c>
      <c r="ED65" s="7" t="s">
        <v>214</v>
      </c>
      <c r="EE65" s="7" t="s">
        <v>214</v>
      </c>
      <c r="EF65" s="7" t="s">
        <v>214</v>
      </c>
      <c r="EG65" s="7" t="s">
        <v>214</v>
      </c>
      <c r="EH65" s="7" t="s">
        <v>214</v>
      </c>
      <c r="EI65" s="7" t="s">
        <v>214</v>
      </c>
      <c r="EJ65" s="7" t="s">
        <v>214</v>
      </c>
      <c r="EK65" s="7" t="s">
        <v>214</v>
      </c>
      <c r="EL65" s="7" t="s">
        <v>214</v>
      </c>
      <c r="EM65" s="7" t="s">
        <v>214</v>
      </c>
      <c r="EN65" s="7" t="s">
        <v>214</v>
      </c>
      <c r="EO65" s="7" t="s">
        <v>214</v>
      </c>
      <c r="EP65" s="7" t="s">
        <v>214</v>
      </c>
      <c r="EQ65" s="7" t="s">
        <v>218</v>
      </c>
      <c r="ER65" s="7" t="s">
        <v>214</v>
      </c>
      <c r="ES65" s="7" t="s">
        <v>214</v>
      </c>
      <c r="ET65" s="7" t="s">
        <v>214</v>
      </c>
      <c r="EU65" s="7" t="s">
        <v>214</v>
      </c>
      <c r="EV65" s="7" t="s">
        <v>214</v>
      </c>
      <c r="EW65" s="7" t="s">
        <v>214</v>
      </c>
      <c r="EX65" s="7" t="s">
        <v>214</v>
      </c>
      <c r="EY65" s="7" t="s">
        <v>214</v>
      </c>
      <c r="EZ65" s="7" t="s">
        <v>214</v>
      </c>
      <c r="FA65" s="7" t="s">
        <v>214</v>
      </c>
      <c r="FB65" s="7" t="s">
        <v>214</v>
      </c>
      <c r="FC65" s="7" t="s">
        <v>214</v>
      </c>
      <c r="FD65" s="7" t="s">
        <v>214</v>
      </c>
      <c r="FE65" s="7" t="s">
        <v>214</v>
      </c>
      <c r="FF65" s="7" t="s">
        <v>214</v>
      </c>
      <c r="FG65" s="7" t="s">
        <v>214</v>
      </c>
      <c r="FH65" s="7" t="s">
        <v>214</v>
      </c>
      <c r="FI65" s="7" t="s">
        <v>214</v>
      </c>
      <c r="FJ65" s="7" t="s">
        <v>214</v>
      </c>
      <c r="FK65" s="7" t="s">
        <v>214</v>
      </c>
      <c r="FL65" s="7" t="s">
        <v>214</v>
      </c>
    </row>
    <row r="66" spans="1:168" ht="15" x14ac:dyDescent="0.25">
      <c r="A66" s="5" t="s">
        <v>189</v>
      </c>
      <c r="B66" s="5" t="s">
        <v>9</v>
      </c>
      <c r="C66" s="8" t="s">
        <v>217</v>
      </c>
      <c r="D66" s="8" t="s">
        <v>217</v>
      </c>
      <c r="E66" s="8" t="s">
        <v>214</v>
      </c>
      <c r="F66" s="8" t="s">
        <v>214</v>
      </c>
      <c r="G66" s="8" t="s">
        <v>214</v>
      </c>
      <c r="H66" s="8" t="s">
        <v>214</v>
      </c>
      <c r="I66" s="8" t="s">
        <v>214</v>
      </c>
      <c r="J66" s="8" t="s">
        <v>214</v>
      </c>
      <c r="K66" s="8" t="s">
        <v>214</v>
      </c>
      <c r="L66" s="8" t="s">
        <v>214</v>
      </c>
      <c r="M66" s="8" t="s">
        <v>214</v>
      </c>
      <c r="N66" s="8" t="s">
        <v>214</v>
      </c>
      <c r="O66" s="8" t="s">
        <v>214</v>
      </c>
      <c r="P66" s="8" t="s">
        <v>214</v>
      </c>
      <c r="Q66" s="8" t="s">
        <v>214</v>
      </c>
      <c r="R66" s="8" t="s">
        <v>214</v>
      </c>
      <c r="S66" s="8" t="s">
        <v>214</v>
      </c>
      <c r="T66" s="8" t="s">
        <v>214</v>
      </c>
      <c r="U66" s="8" t="s">
        <v>214</v>
      </c>
      <c r="V66" s="8" t="s">
        <v>214</v>
      </c>
      <c r="W66" s="8" t="s">
        <v>214</v>
      </c>
      <c r="X66" s="8" t="s">
        <v>214</v>
      </c>
      <c r="Y66" s="8" t="s">
        <v>214</v>
      </c>
      <c r="Z66" s="8" t="s">
        <v>214</v>
      </c>
      <c r="AA66" s="8" t="s">
        <v>214</v>
      </c>
      <c r="AB66" s="8" t="s">
        <v>214</v>
      </c>
      <c r="AC66" s="8" t="s">
        <v>214</v>
      </c>
      <c r="AD66" s="8" t="s">
        <v>214</v>
      </c>
      <c r="AE66" s="8" t="s">
        <v>214</v>
      </c>
      <c r="AF66" s="8" t="s">
        <v>214</v>
      </c>
      <c r="AG66" s="8" t="s">
        <v>214</v>
      </c>
      <c r="AH66" s="8" t="s">
        <v>214</v>
      </c>
      <c r="AI66" s="8" t="s">
        <v>214</v>
      </c>
      <c r="AJ66" s="8" t="s">
        <v>214</v>
      </c>
      <c r="AK66" s="8" t="s">
        <v>214</v>
      </c>
      <c r="AL66" s="8" t="s">
        <v>214</v>
      </c>
      <c r="AM66" s="8" t="s">
        <v>214</v>
      </c>
      <c r="AN66" s="8" t="s">
        <v>214</v>
      </c>
      <c r="AO66" s="8" t="s">
        <v>214</v>
      </c>
      <c r="AP66" s="8" t="s">
        <v>214</v>
      </c>
      <c r="AQ66" s="8" t="s">
        <v>214</v>
      </c>
      <c r="AR66" s="8" t="s">
        <v>214</v>
      </c>
      <c r="AS66" s="8" t="s">
        <v>214</v>
      </c>
      <c r="AT66" s="8" t="s">
        <v>214</v>
      </c>
      <c r="AU66" s="8" t="s">
        <v>214</v>
      </c>
      <c r="AV66" s="8" t="s">
        <v>214</v>
      </c>
      <c r="AW66" s="8" t="s">
        <v>214</v>
      </c>
      <c r="AX66" s="8" t="s">
        <v>214</v>
      </c>
      <c r="AY66" s="8" t="s">
        <v>214</v>
      </c>
      <c r="AZ66" s="8" t="s">
        <v>214</v>
      </c>
      <c r="BA66" s="8" t="s">
        <v>214</v>
      </c>
      <c r="BB66" s="8" t="s">
        <v>214</v>
      </c>
      <c r="BC66" s="8" t="s">
        <v>214</v>
      </c>
      <c r="BD66" s="8" t="s">
        <v>214</v>
      </c>
      <c r="BE66" s="8" t="s">
        <v>214</v>
      </c>
      <c r="BF66" s="8" t="s">
        <v>214</v>
      </c>
      <c r="BG66" s="8" t="s">
        <v>214</v>
      </c>
      <c r="BH66" s="8" t="s">
        <v>214</v>
      </c>
      <c r="BI66" s="8" t="s">
        <v>214</v>
      </c>
      <c r="BJ66" s="8" t="s">
        <v>218</v>
      </c>
      <c r="BK66" s="8" t="s">
        <v>218</v>
      </c>
      <c r="BL66" s="8" t="s">
        <v>214</v>
      </c>
      <c r="BM66" s="8" t="s">
        <v>214</v>
      </c>
      <c r="BN66" s="8" t="s">
        <v>214</v>
      </c>
      <c r="BO66" s="8" t="s">
        <v>214</v>
      </c>
      <c r="BP66" s="8" t="s">
        <v>214</v>
      </c>
      <c r="BQ66" s="8" t="s">
        <v>214</v>
      </c>
      <c r="BR66" s="8" t="s">
        <v>218</v>
      </c>
      <c r="BS66" s="8" t="s">
        <v>214</v>
      </c>
      <c r="BT66" s="8" t="s">
        <v>214</v>
      </c>
      <c r="BU66" s="8" t="s">
        <v>218</v>
      </c>
      <c r="BV66" s="8" t="s">
        <v>214</v>
      </c>
      <c r="BW66" s="8" t="s">
        <v>214</v>
      </c>
      <c r="BX66" s="8" t="s">
        <v>214</v>
      </c>
      <c r="BY66" s="8" t="s">
        <v>214</v>
      </c>
      <c r="BZ66" s="8" t="s">
        <v>214</v>
      </c>
      <c r="CA66" s="8" t="s">
        <v>214</v>
      </c>
      <c r="CB66" s="8" t="s">
        <v>214</v>
      </c>
      <c r="CC66" s="8" t="s">
        <v>214</v>
      </c>
      <c r="CD66" s="8" t="s">
        <v>214</v>
      </c>
      <c r="CE66" s="8" t="s">
        <v>214</v>
      </c>
      <c r="CF66" s="8" t="s">
        <v>214</v>
      </c>
      <c r="CG66" s="8" t="s">
        <v>214</v>
      </c>
      <c r="CH66" s="8" t="s">
        <v>214</v>
      </c>
      <c r="CI66" s="8" t="s">
        <v>214</v>
      </c>
      <c r="CJ66" s="8" t="s">
        <v>214</v>
      </c>
      <c r="CK66" s="8" t="s">
        <v>218</v>
      </c>
      <c r="CL66" s="8" t="s">
        <v>214</v>
      </c>
      <c r="CM66" s="8" t="s">
        <v>214</v>
      </c>
      <c r="CN66" s="8" t="s">
        <v>214</v>
      </c>
      <c r="CO66" s="8" t="s">
        <v>214</v>
      </c>
      <c r="CP66" s="8" t="s">
        <v>214</v>
      </c>
      <c r="CQ66" s="8" t="s">
        <v>214</v>
      </c>
      <c r="CR66" s="8" t="s">
        <v>214</v>
      </c>
      <c r="CS66" s="8" t="s">
        <v>214</v>
      </c>
      <c r="CT66" s="8" t="s">
        <v>214</v>
      </c>
      <c r="CU66" s="8" t="s">
        <v>214</v>
      </c>
      <c r="CV66" s="8" t="s">
        <v>214</v>
      </c>
      <c r="CW66" s="8" t="s">
        <v>214</v>
      </c>
      <c r="CX66" s="8" t="s">
        <v>214</v>
      </c>
      <c r="CY66" s="8" t="s">
        <v>214</v>
      </c>
      <c r="CZ66" s="8" t="s">
        <v>214</v>
      </c>
      <c r="DA66" s="8" t="s">
        <v>214</v>
      </c>
      <c r="DB66" s="8" t="s">
        <v>214</v>
      </c>
      <c r="DC66" s="8" t="s">
        <v>214</v>
      </c>
      <c r="DD66" s="8" t="s">
        <v>214</v>
      </c>
      <c r="DE66" s="8" t="s">
        <v>214</v>
      </c>
      <c r="DF66" s="8" t="s">
        <v>218</v>
      </c>
      <c r="DG66" s="8" t="s">
        <v>214</v>
      </c>
      <c r="DH66" s="8" t="s">
        <v>214</v>
      </c>
      <c r="DI66" s="8" t="s">
        <v>214</v>
      </c>
      <c r="DJ66" s="8" t="s">
        <v>214</v>
      </c>
      <c r="DK66" s="8" t="s">
        <v>214</v>
      </c>
      <c r="DL66" s="8" t="s">
        <v>218</v>
      </c>
      <c r="DM66" s="8" t="s">
        <v>214</v>
      </c>
      <c r="DN66" s="8" t="s">
        <v>214</v>
      </c>
      <c r="DO66" s="8" t="s">
        <v>214</v>
      </c>
      <c r="DP66" s="8" t="s">
        <v>218</v>
      </c>
      <c r="DQ66" s="8" t="s">
        <v>214</v>
      </c>
      <c r="DR66" s="8" t="s">
        <v>214</v>
      </c>
      <c r="DS66" s="8" t="s">
        <v>214</v>
      </c>
      <c r="DT66" s="8" t="s">
        <v>214</v>
      </c>
      <c r="DU66" s="8" t="s">
        <v>217</v>
      </c>
      <c r="DV66" s="8" t="s">
        <v>214</v>
      </c>
      <c r="DW66" s="8" t="s">
        <v>214</v>
      </c>
      <c r="DX66" s="8" t="s">
        <v>214</v>
      </c>
      <c r="DY66" s="8" t="s">
        <v>214</v>
      </c>
      <c r="DZ66" s="8" t="s">
        <v>214</v>
      </c>
      <c r="EA66" s="8" t="s">
        <v>214</v>
      </c>
      <c r="EB66" s="8" t="s">
        <v>214</v>
      </c>
      <c r="EC66" s="8" t="s">
        <v>214</v>
      </c>
      <c r="ED66" s="8" t="s">
        <v>214</v>
      </c>
      <c r="EE66" s="8" t="s">
        <v>214</v>
      </c>
      <c r="EF66" s="8" t="s">
        <v>214</v>
      </c>
      <c r="EG66" s="8" t="s">
        <v>214</v>
      </c>
      <c r="EH66" s="8" t="s">
        <v>214</v>
      </c>
      <c r="EI66" s="8" t="s">
        <v>214</v>
      </c>
      <c r="EJ66" s="8" t="s">
        <v>214</v>
      </c>
      <c r="EK66" s="8" t="s">
        <v>214</v>
      </c>
      <c r="EL66" s="8" t="s">
        <v>214</v>
      </c>
      <c r="EM66" s="8" t="s">
        <v>214</v>
      </c>
      <c r="EN66" s="8" t="s">
        <v>214</v>
      </c>
      <c r="EO66" s="8" t="s">
        <v>214</v>
      </c>
      <c r="EP66" s="8" t="s">
        <v>214</v>
      </c>
      <c r="EQ66" s="8" t="s">
        <v>214</v>
      </c>
      <c r="ER66" s="8" t="s">
        <v>214</v>
      </c>
      <c r="ES66" s="8" t="s">
        <v>214</v>
      </c>
      <c r="ET66" s="8" t="s">
        <v>214</v>
      </c>
      <c r="EU66" s="8" t="s">
        <v>214</v>
      </c>
      <c r="EV66" s="8" t="s">
        <v>214</v>
      </c>
      <c r="EW66" s="8" t="s">
        <v>214</v>
      </c>
      <c r="EX66" s="8" t="s">
        <v>214</v>
      </c>
      <c r="EY66" s="8" t="s">
        <v>214</v>
      </c>
      <c r="EZ66" s="8" t="s">
        <v>214</v>
      </c>
      <c r="FA66" s="8" t="s">
        <v>214</v>
      </c>
      <c r="FB66" s="8" t="s">
        <v>214</v>
      </c>
      <c r="FC66" s="8" t="s">
        <v>214</v>
      </c>
      <c r="FD66" s="8" t="s">
        <v>214</v>
      </c>
      <c r="FE66" s="8" t="s">
        <v>214</v>
      </c>
      <c r="FF66" s="8" t="s">
        <v>214</v>
      </c>
      <c r="FG66" s="8" t="s">
        <v>214</v>
      </c>
      <c r="FH66" s="8" t="s">
        <v>214</v>
      </c>
      <c r="FI66" s="8" t="s">
        <v>214</v>
      </c>
      <c r="FJ66" s="8" t="s">
        <v>214</v>
      </c>
      <c r="FK66" s="8" t="s">
        <v>214</v>
      </c>
      <c r="FL66" s="8" t="s">
        <v>214</v>
      </c>
    </row>
    <row r="67" spans="1:168" ht="15" x14ac:dyDescent="0.25">
      <c r="A67" s="5" t="s">
        <v>190</v>
      </c>
      <c r="B67" s="5" t="s">
        <v>6</v>
      </c>
      <c r="C67" s="7" t="s">
        <v>214</v>
      </c>
      <c r="D67" s="7" t="s">
        <v>214</v>
      </c>
      <c r="E67" s="7" t="s">
        <v>214</v>
      </c>
      <c r="F67" s="7" t="s">
        <v>214</v>
      </c>
      <c r="G67" s="7" t="s">
        <v>214</v>
      </c>
      <c r="H67" s="7" t="s">
        <v>214</v>
      </c>
      <c r="I67" s="7" t="s">
        <v>214</v>
      </c>
      <c r="J67" s="7" t="s">
        <v>214</v>
      </c>
      <c r="K67" s="7" t="s">
        <v>214</v>
      </c>
      <c r="L67" s="7" t="s">
        <v>214</v>
      </c>
      <c r="M67" s="7" t="s">
        <v>214</v>
      </c>
      <c r="N67" s="7" t="s">
        <v>214</v>
      </c>
      <c r="O67" s="7" t="s">
        <v>214</v>
      </c>
      <c r="P67" s="7" t="s">
        <v>214</v>
      </c>
      <c r="Q67" s="7" t="s">
        <v>214</v>
      </c>
      <c r="R67" s="7" t="s">
        <v>214</v>
      </c>
      <c r="S67" s="7" t="s">
        <v>214</v>
      </c>
      <c r="T67" s="7" t="s">
        <v>214</v>
      </c>
      <c r="U67" s="7" t="s">
        <v>214</v>
      </c>
      <c r="V67" s="7" t="s">
        <v>214</v>
      </c>
      <c r="W67" s="7" t="s">
        <v>214</v>
      </c>
      <c r="X67" s="7" t="s">
        <v>214</v>
      </c>
      <c r="Y67" s="7" t="s">
        <v>214</v>
      </c>
      <c r="Z67" s="7" t="s">
        <v>214</v>
      </c>
      <c r="AA67" s="7" t="s">
        <v>214</v>
      </c>
      <c r="AB67" s="7" t="s">
        <v>214</v>
      </c>
      <c r="AC67" s="7" t="s">
        <v>214</v>
      </c>
      <c r="AD67" s="7" t="s">
        <v>214</v>
      </c>
      <c r="AE67" s="7" t="s">
        <v>214</v>
      </c>
      <c r="AF67" s="7" t="s">
        <v>214</v>
      </c>
      <c r="AG67" s="7" t="s">
        <v>214</v>
      </c>
      <c r="AH67" s="7" t="s">
        <v>214</v>
      </c>
      <c r="AI67" s="7" t="s">
        <v>214</v>
      </c>
      <c r="AJ67" s="7" t="s">
        <v>214</v>
      </c>
      <c r="AK67" s="7" t="s">
        <v>214</v>
      </c>
      <c r="AL67" s="7" t="s">
        <v>214</v>
      </c>
      <c r="AM67" s="7" t="s">
        <v>214</v>
      </c>
      <c r="AN67" s="7" t="s">
        <v>214</v>
      </c>
      <c r="AO67" s="7" t="s">
        <v>214</v>
      </c>
      <c r="AP67" s="7" t="s">
        <v>214</v>
      </c>
      <c r="AQ67" s="7" t="s">
        <v>214</v>
      </c>
      <c r="AR67" s="7" t="s">
        <v>218</v>
      </c>
      <c r="AS67" s="7" t="s">
        <v>214</v>
      </c>
      <c r="AT67" s="7" t="s">
        <v>214</v>
      </c>
      <c r="AU67" s="7" t="s">
        <v>214</v>
      </c>
      <c r="AV67" s="7" t="s">
        <v>214</v>
      </c>
      <c r="AW67" s="7" t="s">
        <v>214</v>
      </c>
      <c r="AX67" s="7" t="s">
        <v>214</v>
      </c>
      <c r="AY67" s="7" t="s">
        <v>214</v>
      </c>
      <c r="AZ67" s="7" t="s">
        <v>214</v>
      </c>
      <c r="BA67" s="7" t="s">
        <v>214</v>
      </c>
      <c r="BB67" s="7" t="s">
        <v>214</v>
      </c>
      <c r="BC67" s="7" t="s">
        <v>214</v>
      </c>
      <c r="BD67" s="7" t="s">
        <v>214</v>
      </c>
      <c r="BE67" s="7" t="s">
        <v>214</v>
      </c>
      <c r="BF67" s="7" t="s">
        <v>214</v>
      </c>
      <c r="BG67" s="7" t="s">
        <v>214</v>
      </c>
      <c r="BH67" s="7" t="s">
        <v>214</v>
      </c>
      <c r="BI67" s="7" t="s">
        <v>214</v>
      </c>
      <c r="BJ67" s="7" t="s">
        <v>214</v>
      </c>
      <c r="BK67" s="7" t="s">
        <v>214</v>
      </c>
      <c r="BL67" s="7" t="s">
        <v>214</v>
      </c>
      <c r="BM67" s="7" t="s">
        <v>214</v>
      </c>
      <c r="BN67" s="7" t="s">
        <v>214</v>
      </c>
      <c r="BO67" s="7" t="s">
        <v>214</v>
      </c>
      <c r="BP67" s="7" t="s">
        <v>214</v>
      </c>
      <c r="BQ67" s="7" t="s">
        <v>214</v>
      </c>
      <c r="BR67" s="7" t="s">
        <v>214</v>
      </c>
      <c r="BS67" s="7" t="s">
        <v>214</v>
      </c>
      <c r="BT67" s="7" t="s">
        <v>214</v>
      </c>
      <c r="BU67" s="7" t="s">
        <v>214</v>
      </c>
      <c r="BV67" s="7" t="s">
        <v>214</v>
      </c>
      <c r="BW67" s="7" t="s">
        <v>214</v>
      </c>
      <c r="BX67" s="7" t="s">
        <v>214</v>
      </c>
      <c r="BY67" s="7" t="s">
        <v>214</v>
      </c>
      <c r="BZ67" s="7" t="s">
        <v>214</v>
      </c>
      <c r="CA67" s="7" t="s">
        <v>214</v>
      </c>
      <c r="CB67" s="7" t="s">
        <v>214</v>
      </c>
      <c r="CC67" s="7" t="s">
        <v>214</v>
      </c>
      <c r="CD67" s="7" t="s">
        <v>214</v>
      </c>
      <c r="CE67" s="7" t="s">
        <v>214</v>
      </c>
      <c r="CF67" s="7" t="s">
        <v>214</v>
      </c>
      <c r="CG67" s="7" t="s">
        <v>214</v>
      </c>
      <c r="CH67" s="7" t="s">
        <v>214</v>
      </c>
      <c r="CI67" s="7" t="s">
        <v>214</v>
      </c>
      <c r="CJ67" s="7" t="s">
        <v>214</v>
      </c>
      <c r="CK67" s="7" t="s">
        <v>214</v>
      </c>
      <c r="CL67" s="7" t="s">
        <v>214</v>
      </c>
      <c r="CM67" s="7" t="s">
        <v>214</v>
      </c>
      <c r="CN67" s="7" t="s">
        <v>214</v>
      </c>
      <c r="CO67" s="7" t="s">
        <v>214</v>
      </c>
      <c r="CP67" s="7" t="s">
        <v>214</v>
      </c>
      <c r="CQ67" s="7" t="s">
        <v>214</v>
      </c>
      <c r="CR67" s="7" t="s">
        <v>214</v>
      </c>
      <c r="CS67" s="7" t="s">
        <v>214</v>
      </c>
      <c r="CT67" s="7" t="s">
        <v>214</v>
      </c>
      <c r="CU67" s="7" t="s">
        <v>214</v>
      </c>
      <c r="CV67" s="7" t="s">
        <v>214</v>
      </c>
      <c r="CW67" s="7" t="s">
        <v>214</v>
      </c>
      <c r="CX67" s="7" t="s">
        <v>214</v>
      </c>
      <c r="CY67" s="7" t="s">
        <v>214</v>
      </c>
      <c r="CZ67" s="7" t="s">
        <v>214</v>
      </c>
      <c r="DA67" s="7" t="s">
        <v>214</v>
      </c>
      <c r="DB67" s="7" t="s">
        <v>214</v>
      </c>
      <c r="DC67" s="7" t="s">
        <v>214</v>
      </c>
      <c r="DD67" s="7" t="s">
        <v>214</v>
      </c>
      <c r="DE67" s="7" t="s">
        <v>214</v>
      </c>
      <c r="DF67" s="7" t="s">
        <v>214</v>
      </c>
      <c r="DG67" s="7" t="s">
        <v>214</v>
      </c>
      <c r="DH67" s="7" t="s">
        <v>214</v>
      </c>
      <c r="DI67" s="7" t="s">
        <v>214</v>
      </c>
      <c r="DJ67" s="7" t="s">
        <v>214</v>
      </c>
      <c r="DK67" s="7" t="s">
        <v>214</v>
      </c>
      <c r="DL67" s="7" t="s">
        <v>214</v>
      </c>
      <c r="DM67" s="7" t="s">
        <v>214</v>
      </c>
      <c r="DN67" s="7" t="s">
        <v>214</v>
      </c>
      <c r="DO67" s="7" t="s">
        <v>214</v>
      </c>
      <c r="DP67" s="7" t="s">
        <v>214</v>
      </c>
      <c r="DQ67" s="7" t="s">
        <v>214</v>
      </c>
      <c r="DR67" s="7" t="s">
        <v>214</v>
      </c>
      <c r="DS67" s="7" t="s">
        <v>214</v>
      </c>
      <c r="DT67" s="7" t="s">
        <v>214</v>
      </c>
      <c r="DU67" s="7" t="s">
        <v>214</v>
      </c>
      <c r="DV67" s="7" t="s">
        <v>214</v>
      </c>
      <c r="DW67" s="7" t="s">
        <v>214</v>
      </c>
      <c r="DX67" s="7" t="s">
        <v>214</v>
      </c>
      <c r="DY67" s="7" t="s">
        <v>214</v>
      </c>
      <c r="DZ67" s="7" t="s">
        <v>214</v>
      </c>
      <c r="EA67" s="7" t="s">
        <v>214</v>
      </c>
      <c r="EB67" s="7" t="s">
        <v>214</v>
      </c>
      <c r="EC67" s="7" t="s">
        <v>214</v>
      </c>
      <c r="ED67" s="7" t="s">
        <v>214</v>
      </c>
      <c r="EE67" s="7" t="s">
        <v>214</v>
      </c>
      <c r="EF67" s="7" t="s">
        <v>214</v>
      </c>
      <c r="EG67" s="7" t="s">
        <v>214</v>
      </c>
      <c r="EH67" s="7" t="s">
        <v>214</v>
      </c>
      <c r="EI67" s="7" t="s">
        <v>214</v>
      </c>
      <c r="EJ67" s="7" t="s">
        <v>214</v>
      </c>
      <c r="EK67" s="7" t="s">
        <v>214</v>
      </c>
      <c r="EL67" s="7" t="s">
        <v>214</v>
      </c>
      <c r="EM67" s="7" t="s">
        <v>214</v>
      </c>
      <c r="EN67" s="7" t="s">
        <v>214</v>
      </c>
      <c r="EO67" s="7" t="s">
        <v>214</v>
      </c>
      <c r="EP67" s="7" t="s">
        <v>214</v>
      </c>
      <c r="EQ67" s="7" t="s">
        <v>218</v>
      </c>
      <c r="ER67" s="7" t="s">
        <v>214</v>
      </c>
      <c r="ES67" s="7" t="s">
        <v>214</v>
      </c>
      <c r="ET67" s="7" t="s">
        <v>214</v>
      </c>
      <c r="EU67" s="7" t="s">
        <v>214</v>
      </c>
      <c r="EV67" s="7" t="s">
        <v>214</v>
      </c>
      <c r="EW67" s="7" t="s">
        <v>214</v>
      </c>
      <c r="EX67" s="7" t="s">
        <v>214</v>
      </c>
      <c r="EY67" s="7" t="s">
        <v>214</v>
      </c>
      <c r="EZ67" s="7" t="s">
        <v>214</v>
      </c>
      <c r="FA67" s="7" t="s">
        <v>214</v>
      </c>
      <c r="FB67" s="7" t="s">
        <v>214</v>
      </c>
      <c r="FC67" s="7" t="s">
        <v>214</v>
      </c>
      <c r="FD67" s="7" t="s">
        <v>214</v>
      </c>
      <c r="FE67" s="7" t="s">
        <v>214</v>
      </c>
      <c r="FF67" s="7" t="s">
        <v>214</v>
      </c>
      <c r="FG67" s="7" t="s">
        <v>214</v>
      </c>
      <c r="FH67" s="7" t="s">
        <v>214</v>
      </c>
      <c r="FI67" s="7" t="s">
        <v>214</v>
      </c>
      <c r="FJ67" s="7" t="s">
        <v>214</v>
      </c>
      <c r="FK67" s="7" t="s">
        <v>214</v>
      </c>
      <c r="FL67" s="7" t="s">
        <v>214</v>
      </c>
    </row>
    <row r="68" spans="1:168" ht="15" x14ac:dyDescent="0.25">
      <c r="A68" s="5" t="s">
        <v>190</v>
      </c>
      <c r="B68" s="5" t="s">
        <v>7</v>
      </c>
      <c r="C68" s="8" t="s">
        <v>217</v>
      </c>
      <c r="D68" s="8" t="s">
        <v>217</v>
      </c>
      <c r="E68" s="8" t="s">
        <v>214</v>
      </c>
      <c r="F68" s="8" t="s">
        <v>214</v>
      </c>
      <c r="G68" s="8" t="s">
        <v>214</v>
      </c>
      <c r="H68" s="8" t="s">
        <v>214</v>
      </c>
      <c r="I68" s="8" t="s">
        <v>214</v>
      </c>
      <c r="J68" s="8" t="s">
        <v>214</v>
      </c>
      <c r="K68" s="8" t="s">
        <v>214</v>
      </c>
      <c r="L68" s="8" t="s">
        <v>214</v>
      </c>
      <c r="M68" s="8" t="s">
        <v>214</v>
      </c>
      <c r="N68" s="8" t="s">
        <v>214</v>
      </c>
      <c r="O68" s="8" t="s">
        <v>214</v>
      </c>
      <c r="P68" s="8" t="s">
        <v>214</v>
      </c>
      <c r="Q68" s="8" t="s">
        <v>214</v>
      </c>
      <c r="R68" s="8" t="s">
        <v>214</v>
      </c>
      <c r="S68" s="8" t="s">
        <v>214</v>
      </c>
      <c r="T68" s="8" t="s">
        <v>214</v>
      </c>
      <c r="U68" s="8" t="s">
        <v>214</v>
      </c>
      <c r="V68" s="8" t="s">
        <v>214</v>
      </c>
      <c r="W68" s="8" t="s">
        <v>214</v>
      </c>
      <c r="X68" s="8" t="s">
        <v>214</v>
      </c>
      <c r="Y68" s="8" t="s">
        <v>214</v>
      </c>
      <c r="Z68" s="8" t="s">
        <v>214</v>
      </c>
      <c r="AA68" s="8" t="s">
        <v>214</v>
      </c>
      <c r="AB68" s="8" t="s">
        <v>214</v>
      </c>
      <c r="AC68" s="8" t="s">
        <v>214</v>
      </c>
      <c r="AD68" s="8" t="s">
        <v>214</v>
      </c>
      <c r="AE68" s="8" t="s">
        <v>214</v>
      </c>
      <c r="AF68" s="8" t="s">
        <v>214</v>
      </c>
      <c r="AG68" s="8" t="s">
        <v>214</v>
      </c>
      <c r="AH68" s="8" t="s">
        <v>214</v>
      </c>
      <c r="AI68" s="8" t="s">
        <v>214</v>
      </c>
      <c r="AJ68" s="8" t="s">
        <v>214</v>
      </c>
      <c r="AK68" s="8" t="s">
        <v>214</v>
      </c>
      <c r="AL68" s="8" t="s">
        <v>214</v>
      </c>
      <c r="AM68" s="8" t="s">
        <v>214</v>
      </c>
      <c r="AN68" s="8" t="s">
        <v>214</v>
      </c>
      <c r="AO68" s="8" t="s">
        <v>214</v>
      </c>
      <c r="AP68" s="8" t="s">
        <v>214</v>
      </c>
      <c r="AQ68" s="8" t="s">
        <v>214</v>
      </c>
      <c r="AR68" s="8" t="s">
        <v>218</v>
      </c>
      <c r="AS68" s="8" t="s">
        <v>214</v>
      </c>
      <c r="AT68" s="8" t="s">
        <v>214</v>
      </c>
      <c r="AU68" s="8" t="s">
        <v>214</v>
      </c>
      <c r="AV68" s="8" t="s">
        <v>214</v>
      </c>
      <c r="AW68" s="8" t="s">
        <v>214</v>
      </c>
      <c r="AX68" s="8" t="s">
        <v>214</v>
      </c>
      <c r="AY68" s="8" t="s">
        <v>214</v>
      </c>
      <c r="AZ68" s="8" t="s">
        <v>214</v>
      </c>
      <c r="BA68" s="8" t="s">
        <v>214</v>
      </c>
      <c r="BB68" s="8" t="s">
        <v>214</v>
      </c>
      <c r="BC68" s="8" t="s">
        <v>214</v>
      </c>
      <c r="BD68" s="8" t="s">
        <v>214</v>
      </c>
      <c r="BE68" s="8" t="s">
        <v>214</v>
      </c>
      <c r="BF68" s="8" t="s">
        <v>214</v>
      </c>
      <c r="BG68" s="8" t="s">
        <v>214</v>
      </c>
      <c r="BH68" s="8" t="s">
        <v>214</v>
      </c>
      <c r="BI68" s="8" t="s">
        <v>214</v>
      </c>
      <c r="BJ68" s="8" t="s">
        <v>214</v>
      </c>
      <c r="BK68" s="8" t="s">
        <v>214</v>
      </c>
      <c r="BL68" s="8" t="s">
        <v>214</v>
      </c>
      <c r="BM68" s="8" t="s">
        <v>214</v>
      </c>
      <c r="BN68" s="8" t="s">
        <v>214</v>
      </c>
      <c r="BO68" s="8" t="s">
        <v>214</v>
      </c>
      <c r="BP68" s="8" t="s">
        <v>214</v>
      </c>
      <c r="BQ68" s="8" t="s">
        <v>214</v>
      </c>
      <c r="BR68" s="8" t="s">
        <v>214</v>
      </c>
      <c r="BS68" s="8" t="s">
        <v>214</v>
      </c>
      <c r="BT68" s="8" t="s">
        <v>214</v>
      </c>
      <c r="BU68" s="8" t="s">
        <v>214</v>
      </c>
      <c r="BV68" s="8" t="s">
        <v>214</v>
      </c>
      <c r="BW68" s="8" t="s">
        <v>214</v>
      </c>
      <c r="BX68" s="8" t="s">
        <v>214</v>
      </c>
      <c r="BY68" s="8" t="s">
        <v>214</v>
      </c>
      <c r="BZ68" s="8" t="s">
        <v>214</v>
      </c>
      <c r="CA68" s="8" t="s">
        <v>214</v>
      </c>
      <c r="CB68" s="8" t="s">
        <v>214</v>
      </c>
      <c r="CC68" s="8" t="s">
        <v>214</v>
      </c>
      <c r="CD68" s="8" t="s">
        <v>214</v>
      </c>
      <c r="CE68" s="8" t="s">
        <v>214</v>
      </c>
      <c r="CF68" s="8" t="s">
        <v>214</v>
      </c>
      <c r="CG68" s="8" t="s">
        <v>214</v>
      </c>
      <c r="CH68" s="8" t="s">
        <v>214</v>
      </c>
      <c r="CI68" s="8" t="s">
        <v>214</v>
      </c>
      <c r="CJ68" s="8" t="s">
        <v>214</v>
      </c>
      <c r="CK68" s="8" t="s">
        <v>214</v>
      </c>
      <c r="CL68" s="8" t="s">
        <v>214</v>
      </c>
      <c r="CM68" s="8" t="s">
        <v>214</v>
      </c>
      <c r="CN68" s="8" t="s">
        <v>214</v>
      </c>
      <c r="CO68" s="8" t="s">
        <v>214</v>
      </c>
      <c r="CP68" s="8" t="s">
        <v>214</v>
      </c>
      <c r="CQ68" s="8" t="s">
        <v>214</v>
      </c>
      <c r="CR68" s="8" t="s">
        <v>214</v>
      </c>
      <c r="CS68" s="8" t="s">
        <v>214</v>
      </c>
      <c r="CT68" s="8" t="s">
        <v>214</v>
      </c>
      <c r="CU68" s="8" t="s">
        <v>214</v>
      </c>
      <c r="CV68" s="8" t="s">
        <v>214</v>
      </c>
      <c r="CW68" s="8" t="s">
        <v>214</v>
      </c>
      <c r="CX68" s="8" t="s">
        <v>214</v>
      </c>
      <c r="CY68" s="8" t="s">
        <v>214</v>
      </c>
      <c r="CZ68" s="8" t="s">
        <v>214</v>
      </c>
      <c r="DA68" s="8" t="s">
        <v>214</v>
      </c>
      <c r="DB68" s="8" t="s">
        <v>214</v>
      </c>
      <c r="DC68" s="8" t="s">
        <v>214</v>
      </c>
      <c r="DD68" s="8" t="s">
        <v>214</v>
      </c>
      <c r="DE68" s="8" t="s">
        <v>214</v>
      </c>
      <c r="DF68" s="8" t="s">
        <v>214</v>
      </c>
      <c r="DG68" s="8" t="s">
        <v>214</v>
      </c>
      <c r="DH68" s="8" t="s">
        <v>214</v>
      </c>
      <c r="DI68" s="8" t="s">
        <v>214</v>
      </c>
      <c r="DJ68" s="8" t="s">
        <v>214</v>
      </c>
      <c r="DK68" s="8" t="s">
        <v>214</v>
      </c>
      <c r="DL68" s="8" t="s">
        <v>214</v>
      </c>
      <c r="DM68" s="8" t="s">
        <v>214</v>
      </c>
      <c r="DN68" s="8" t="s">
        <v>214</v>
      </c>
      <c r="DO68" s="8" t="s">
        <v>214</v>
      </c>
      <c r="DP68" s="8" t="s">
        <v>214</v>
      </c>
      <c r="DQ68" s="8" t="s">
        <v>214</v>
      </c>
      <c r="DR68" s="8" t="s">
        <v>214</v>
      </c>
      <c r="DS68" s="8" t="s">
        <v>214</v>
      </c>
      <c r="DT68" s="8" t="s">
        <v>214</v>
      </c>
      <c r="DU68" s="8" t="s">
        <v>214</v>
      </c>
      <c r="DV68" s="8" t="s">
        <v>214</v>
      </c>
      <c r="DW68" s="8" t="s">
        <v>217</v>
      </c>
      <c r="DX68" s="8" t="s">
        <v>214</v>
      </c>
      <c r="DY68" s="8" t="s">
        <v>214</v>
      </c>
      <c r="DZ68" s="8" t="s">
        <v>214</v>
      </c>
      <c r="EA68" s="8" t="s">
        <v>217</v>
      </c>
      <c r="EB68" s="8" t="s">
        <v>214</v>
      </c>
      <c r="EC68" s="8" t="s">
        <v>214</v>
      </c>
      <c r="ED68" s="8" t="s">
        <v>214</v>
      </c>
      <c r="EE68" s="8" t="s">
        <v>214</v>
      </c>
      <c r="EF68" s="8" t="s">
        <v>214</v>
      </c>
      <c r="EG68" s="8" t="s">
        <v>214</v>
      </c>
      <c r="EH68" s="8" t="s">
        <v>214</v>
      </c>
      <c r="EI68" s="8" t="s">
        <v>214</v>
      </c>
      <c r="EJ68" s="8" t="s">
        <v>214</v>
      </c>
      <c r="EK68" s="8" t="s">
        <v>214</v>
      </c>
      <c r="EL68" s="8" t="s">
        <v>214</v>
      </c>
      <c r="EM68" s="8" t="s">
        <v>214</v>
      </c>
      <c r="EN68" s="8" t="s">
        <v>214</v>
      </c>
      <c r="EO68" s="8" t="s">
        <v>214</v>
      </c>
      <c r="EP68" s="8" t="s">
        <v>214</v>
      </c>
      <c r="EQ68" s="8" t="s">
        <v>218</v>
      </c>
      <c r="ER68" s="8" t="s">
        <v>214</v>
      </c>
      <c r="ES68" s="8" t="s">
        <v>214</v>
      </c>
      <c r="ET68" s="8" t="s">
        <v>214</v>
      </c>
      <c r="EU68" s="8" t="s">
        <v>214</v>
      </c>
      <c r="EV68" s="8" t="s">
        <v>214</v>
      </c>
      <c r="EW68" s="8" t="s">
        <v>214</v>
      </c>
      <c r="EX68" s="8" t="s">
        <v>214</v>
      </c>
      <c r="EY68" s="8" t="s">
        <v>214</v>
      </c>
      <c r="EZ68" s="8" t="s">
        <v>214</v>
      </c>
      <c r="FA68" s="8" t="s">
        <v>214</v>
      </c>
      <c r="FB68" s="8" t="s">
        <v>214</v>
      </c>
      <c r="FC68" s="8" t="s">
        <v>214</v>
      </c>
      <c r="FD68" s="8" t="s">
        <v>214</v>
      </c>
      <c r="FE68" s="8" t="s">
        <v>214</v>
      </c>
      <c r="FF68" s="8" t="s">
        <v>214</v>
      </c>
      <c r="FG68" s="8" t="s">
        <v>214</v>
      </c>
      <c r="FH68" s="8" t="s">
        <v>218</v>
      </c>
      <c r="FI68" s="8" t="s">
        <v>218</v>
      </c>
      <c r="FJ68" s="8" t="s">
        <v>218</v>
      </c>
      <c r="FK68" s="8" t="s">
        <v>218</v>
      </c>
      <c r="FL68" s="8" t="s">
        <v>214</v>
      </c>
    </row>
    <row r="69" spans="1:168" ht="15" x14ac:dyDescent="0.25">
      <c r="A69" s="5" t="s">
        <v>190</v>
      </c>
      <c r="B69" s="5" t="s">
        <v>8</v>
      </c>
      <c r="C69" s="7" t="s">
        <v>217</v>
      </c>
      <c r="D69" s="7" t="s">
        <v>214</v>
      </c>
      <c r="E69" s="7" t="s">
        <v>214</v>
      </c>
      <c r="F69" s="7" t="s">
        <v>214</v>
      </c>
      <c r="G69" s="7" t="s">
        <v>214</v>
      </c>
      <c r="H69" s="7" t="s">
        <v>214</v>
      </c>
      <c r="I69" s="7" t="s">
        <v>214</v>
      </c>
      <c r="J69" s="7" t="s">
        <v>214</v>
      </c>
      <c r="K69" s="7" t="s">
        <v>214</v>
      </c>
      <c r="L69" s="7" t="s">
        <v>214</v>
      </c>
      <c r="M69" s="7" t="s">
        <v>214</v>
      </c>
      <c r="N69" s="7" t="s">
        <v>214</v>
      </c>
      <c r="O69" s="7" t="s">
        <v>214</v>
      </c>
      <c r="P69" s="7" t="s">
        <v>214</v>
      </c>
      <c r="Q69" s="7" t="s">
        <v>214</v>
      </c>
      <c r="R69" s="7" t="s">
        <v>214</v>
      </c>
      <c r="S69" s="7" t="s">
        <v>214</v>
      </c>
      <c r="T69" s="7" t="s">
        <v>214</v>
      </c>
      <c r="U69" s="7" t="s">
        <v>214</v>
      </c>
      <c r="V69" s="7" t="s">
        <v>214</v>
      </c>
      <c r="W69" s="7" t="s">
        <v>214</v>
      </c>
      <c r="X69" s="7" t="s">
        <v>214</v>
      </c>
      <c r="Y69" s="7" t="s">
        <v>214</v>
      </c>
      <c r="Z69" s="7" t="s">
        <v>214</v>
      </c>
      <c r="AA69" s="7" t="s">
        <v>214</v>
      </c>
      <c r="AB69" s="7" t="s">
        <v>214</v>
      </c>
      <c r="AC69" s="7" t="s">
        <v>214</v>
      </c>
      <c r="AD69" s="7" t="s">
        <v>214</v>
      </c>
      <c r="AE69" s="7" t="s">
        <v>214</v>
      </c>
      <c r="AF69" s="7" t="s">
        <v>214</v>
      </c>
      <c r="AG69" s="7" t="s">
        <v>214</v>
      </c>
      <c r="AH69" s="7" t="s">
        <v>214</v>
      </c>
      <c r="AI69" s="7" t="s">
        <v>214</v>
      </c>
      <c r="AJ69" s="7" t="s">
        <v>214</v>
      </c>
      <c r="AK69" s="7" t="s">
        <v>214</v>
      </c>
      <c r="AL69" s="7" t="s">
        <v>214</v>
      </c>
      <c r="AM69" s="7" t="s">
        <v>214</v>
      </c>
      <c r="AN69" s="7" t="s">
        <v>214</v>
      </c>
      <c r="AO69" s="7" t="s">
        <v>214</v>
      </c>
      <c r="AP69" s="7" t="s">
        <v>214</v>
      </c>
      <c r="AQ69" s="7" t="s">
        <v>214</v>
      </c>
      <c r="AR69" s="7" t="s">
        <v>218</v>
      </c>
      <c r="AS69" s="7" t="s">
        <v>214</v>
      </c>
      <c r="AT69" s="7" t="s">
        <v>214</v>
      </c>
      <c r="AU69" s="7" t="s">
        <v>214</v>
      </c>
      <c r="AV69" s="7" t="s">
        <v>214</v>
      </c>
      <c r="AW69" s="7" t="s">
        <v>214</v>
      </c>
      <c r="AX69" s="7" t="s">
        <v>214</v>
      </c>
      <c r="AY69" s="7" t="s">
        <v>214</v>
      </c>
      <c r="AZ69" s="7" t="s">
        <v>214</v>
      </c>
      <c r="BA69" s="7" t="s">
        <v>214</v>
      </c>
      <c r="BB69" s="7" t="s">
        <v>214</v>
      </c>
      <c r="BC69" s="7" t="s">
        <v>214</v>
      </c>
      <c r="BD69" s="7" t="s">
        <v>214</v>
      </c>
      <c r="BE69" s="7" t="s">
        <v>214</v>
      </c>
      <c r="BF69" s="7" t="s">
        <v>214</v>
      </c>
      <c r="BG69" s="7" t="s">
        <v>214</v>
      </c>
      <c r="BH69" s="7" t="s">
        <v>214</v>
      </c>
      <c r="BI69" s="7" t="s">
        <v>214</v>
      </c>
      <c r="BJ69" s="7" t="s">
        <v>214</v>
      </c>
      <c r="BK69" s="7" t="s">
        <v>214</v>
      </c>
      <c r="BL69" s="7" t="s">
        <v>214</v>
      </c>
      <c r="BM69" s="7" t="s">
        <v>214</v>
      </c>
      <c r="BN69" s="7" t="s">
        <v>214</v>
      </c>
      <c r="BO69" s="7" t="s">
        <v>214</v>
      </c>
      <c r="BP69" s="7" t="s">
        <v>214</v>
      </c>
      <c r="BQ69" s="7" t="s">
        <v>214</v>
      </c>
      <c r="BR69" s="7" t="s">
        <v>214</v>
      </c>
      <c r="BS69" s="7" t="s">
        <v>214</v>
      </c>
      <c r="BT69" s="7" t="s">
        <v>214</v>
      </c>
      <c r="BU69" s="7" t="s">
        <v>214</v>
      </c>
      <c r="BV69" s="7" t="s">
        <v>214</v>
      </c>
      <c r="BW69" s="7" t="s">
        <v>214</v>
      </c>
      <c r="BX69" s="7" t="s">
        <v>214</v>
      </c>
      <c r="BY69" s="7" t="s">
        <v>214</v>
      </c>
      <c r="BZ69" s="7" t="s">
        <v>214</v>
      </c>
      <c r="CA69" s="7" t="s">
        <v>214</v>
      </c>
      <c r="CB69" s="7" t="s">
        <v>214</v>
      </c>
      <c r="CC69" s="7" t="s">
        <v>214</v>
      </c>
      <c r="CD69" s="7" t="s">
        <v>214</v>
      </c>
      <c r="CE69" s="7" t="s">
        <v>214</v>
      </c>
      <c r="CF69" s="7" t="s">
        <v>214</v>
      </c>
      <c r="CG69" s="7" t="s">
        <v>214</v>
      </c>
      <c r="CH69" s="7" t="s">
        <v>214</v>
      </c>
      <c r="CI69" s="7" t="s">
        <v>214</v>
      </c>
      <c r="CJ69" s="7" t="s">
        <v>214</v>
      </c>
      <c r="CK69" s="7" t="s">
        <v>214</v>
      </c>
      <c r="CL69" s="7" t="s">
        <v>214</v>
      </c>
      <c r="CM69" s="7" t="s">
        <v>214</v>
      </c>
      <c r="CN69" s="7" t="s">
        <v>214</v>
      </c>
      <c r="CO69" s="7" t="s">
        <v>214</v>
      </c>
      <c r="CP69" s="7" t="s">
        <v>214</v>
      </c>
      <c r="CQ69" s="7" t="s">
        <v>214</v>
      </c>
      <c r="CR69" s="7" t="s">
        <v>214</v>
      </c>
      <c r="CS69" s="7" t="s">
        <v>214</v>
      </c>
      <c r="CT69" s="7" t="s">
        <v>214</v>
      </c>
      <c r="CU69" s="7" t="s">
        <v>214</v>
      </c>
      <c r="CV69" s="7" t="s">
        <v>214</v>
      </c>
      <c r="CW69" s="7" t="s">
        <v>214</v>
      </c>
      <c r="CX69" s="7" t="s">
        <v>214</v>
      </c>
      <c r="CY69" s="7" t="s">
        <v>214</v>
      </c>
      <c r="CZ69" s="7" t="s">
        <v>214</v>
      </c>
      <c r="DA69" s="7" t="s">
        <v>214</v>
      </c>
      <c r="DB69" s="7" t="s">
        <v>218</v>
      </c>
      <c r="DC69" s="7" t="s">
        <v>214</v>
      </c>
      <c r="DD69" s="7" t="s">
        <v>214</v>
      </c>
      <c r="DE69" s="7" t="s">
        <v>214</v>
      </c>
      <c r="DF69" s="7" t="s">
        <v>214</v>
      </c>
      <c r="DG69" s="7" t="s">
        <v>214</v>
      </c>
      <c r="DH69" s="7" t="s">
        <v>214</v>
      </c>
      <c r="DI69" s="7" t="s">
        <v>214</v>
      </c>
      <c r="DJ69" s="7" t="s">
        <v>214</v>
      </c>
      <c r="DK69" s="7" t="s">
        <v>214</v>
      </c>
      <c r="DL69" s="7" t="s">
        <v>214</v>
      </c>
      <c r="DM69" s="7" t="s">
        <v>214</v>
      </c>
      <c r="DN69" s="7" t="s">
        <v>214</v>
      </c>
      <c r="DO69" s="7" t="s">
        <v>214</v>
      </c>
      <c r="DP69" s="7" t="s">
        <v>214</v>
      </c>
      <c r="DQ69" s="7" t="s">
        <v>214</v>
      </c>
      <c r="DR69" s="7" t="s">
        <v>214</v>
      </c>
      <c r="DS69" s="7" t="s">
        <v>214</v>
      </c>
      <c r="DT69" s="7" t="s">
        <v>214</v>
      </c>
      <c r="DU69" s="7" t="s">
        <v>214</v>
      </c>
      <c r="DV69" s="7" t="s">
        <v>214</v>
      </c>
      <c r="DW69" s="7" t="s">
        <v>214</v>
      </c>
      <c r="DX69" s="7" t="s">
        <v>214</v>
      </c>
      <c r="DY69" s="7" t="s">
        <v>214</v>
      </c>
      <c r="DZ69" s="7" t="s">
        <v>214</v>
      </c>
      <c r="EA69" s="7" t="s">
        <v>214</v>
      </c>
      <c r="EB69" s="7" t="s">
        <v>214</v>
      </c>
      <c r="EC69" s="7" t="s">
        <v>214</v>
      </c>
      <c r="ED69" s="7" t="s">
        <v>214</v>
      </c>
      <c r="EE69" s="7" t="s">
        <v>214</v>
      </c>
      <c r="EF69" s="7" t="s">
        <v>214</v>
      </c>
      <c r="EG69" s="7" t="s">
        <v>214</v>
      </c>
      <c r="EH69" s="7" t="s">
        <v>214</v>
      </c>
      <c r="EI69" s="7" t="s">
        <v>214</v>
      </c>
      <c r="EJ69" s="7" t="s">
        <v>214</v>
      </c>
      <c r="EK69" s="7" t="s">
        <v>214</v>
      </c>
      <c r="EL69" s="7" t="s">
        <v>214</v>
      </c>
      <c r="EM69" s="7" t="s">
        <v>214</v>
      </c>
      <c r="EN69" s="7" t="s">
        <v>214</v>
      </c>
      <c r="EO69" s="7" t="s">
        <v>214</v>
      </c>
      <c r="EP69" s="7" t="s">
        <v>214</v>
      </c>
      <c r="EQ69" s="7" t="s">
        <v>218</v>
      </c>
      <c r="ER69" s="7" t="s">
        <v>214</v>
      </c>
      <c r="ES69" s="7" t="s">
        <v>214</v>
      </c>
      <c r="ET69" s="7" t="s">
        <v>214</v>
      </c>
      <c r="EU69" s="7" t="s">
        <v>214</v>
      </c>
      <c r="EV69" s="7" t="s">
        <v>214</v>
      </c>
      <c r="EW69" s="7" t="s">
        <v>214</v>
      </c>
      <c r="EX69" s="7" t="s">
        <v>214</v>
      </c>
      <c r="EY69" s="7" t="s">
        <v>214</v>
      </c>
      <c r="EZ69" s="7" t="s">
        <v>214</v>
      </c>
      <c r="FA69" s="7" t="s">
        <v>214</v>
      </c>
      <c r="FB69" s="7" t="s">
        <v>214</v>
      </c>
      <c r="FC69" s="7" t="s">
        <v>214</v>
      </c>
      <c r="FD69" s="7" t="s">
        <v>214</v>
      </c>
      <c r="FE69" s="7" t="s">
        <v>214</v>
      </c>
      <c r="FF69" s="7" t="s">
        <v>218</v>
      </c>
      <c r="FG69" s="7" t="s">
        <v>214</v>
      </c>
      <c r="FH69" s="7" t="s">
        <v>214</v>
      </c>
      <c r="FI69" s="7" t="s">
        <v>214</v>
      </c>
      <c r="FJ69" s="7" t="s">
        <v>214</v>
      </c>
      <c r="FK69" s="7" t="s">
        <v>218</v>
      </c>
      <c r="FL69" s="7" t="s">
        <v>214</v>
      </c>
    </row>
    <row r="70" spans="1:168" ht="15" x14ac:dyDescent="0.25">
      <c r="A70" s="5" t="s">
        <v>190</v>
      </c>
      <c r="B70" s="5" t="s">
        <v>9</v>
      </c>
      <c r="C70" s="8" t="s">
        <v>217</v>
      </c>
      <c r="D70" s="8" t="s">
        <v>217</v>
      </c>
      <c r="E70" s="8" t="s">
        <v>214</v>
      </c>
      <c r="F70" s="8" t="s">
        <v>214</v>
      </c>
      <c r="G70" s="8" t="s">
        <v>214</v>
      </c>
      <c r="H70" s="8" t="s">
        <v>214</v>
      </c>
      <c r="I70" s="8" t="s">
        <v>214</v>
      </c>
      <c r="J70" s="8" t="s">
        <v>214</v>
      </c>
      <c r="K70" s="8" t="s">
        <v>214</v>
      </c>
      <c r="L70" s="8" t="s">
        <v>214</v>
      </c>
      <c r="M70" s="8" t="s">
        <v>214</v>
      </c>
      <c r="N70" s="8" t="s">
        <v>214</v>
      </c>
      <c r="O70" s="8" t="s">
        <v>214</v>
      </c>
      <c r="P70" s="8" t="s">
        <v>214</v>
      </c>
      <c r="Q70" s="8" t="s">
        <v>214</v>
      </c>
      <c r="R70" s="8" t="s">
        <v>214</v>
      </c>
      <c r="S70" s="8" t="s">
        <v>214</v>
      </c>
      <c r="T70" s="8" t="s">
        <v>214</v>
      </c>
      <c r="U70" s="8" t="s">
        <v>214</v>
      </c>
      <c r="V70" s="8" t="s">
        <v>214</v>
      </c>
      <c r="W70" s="8" t="s">
        <v>214</v>
      </c>
      <c r="X70" s="8" t="s">
        <v>214</v>
      </c>
      <c r="Y70" s="8" t="s">
        <v>214</v>
      </c>
      <c r="Z70" s="8" t="s">
        <v>214</v>
      </c>
      <c r="AA70" s="8" t="s">
        <v>214</v>
      </c>
      <c r="AB70" s="8" t="s">
        <v>214</v>
      </c>
      <c r="AC70" s="8" t="s">
        <v>214</v>
      </c>
      <c r="AD70" s="8" t="s">
        <v>214</v>
      </c>
      <c r="AE70" s="8" t="s">
        <v>214</v>
      </c>
      <c r="AF70" s="8" t="s">
        <v>214</v>
      </c>
      <c r="AG70" s="8" t="s">
        <v>214</v>
      </c>
      <c r="AH70" s="8" t="s">
        <v>214</v>
      </c>
      <c r="AI70" s="8" t="s">
        <v>214</v>
      </c>
      <c r="AJ70" s="8" t="s">
        <v>214</v>
      </c>
      <c r="AK70" s="8" t="s">
        <v>214</v>
      </c>
      <c r="AL70" s="8" t="s">
        <v>214</v>
      </c>
      <c r="AM70" s="8" t="s">
        <v>214</v>
      </c>
      <c r="AN70" s="8" t="s">
        <v>214</v>
      </c>
      <c r="AO70" s="8" t="s">
        <v>214</v>
      </c>
      <c r="AP70" s="8" t="s">
        <v>214</v>
      </c>
      <c r="AQ70" s="8" t="s">
        <v>214</v>
      </c>
      <c r="AR70" s="8" t="s">
        <v>218</v>
      </c>
      <c r="AS70" s="8" t="s">
        <v>214</v>
      </c>
      <c r="AT70" s="8" t="s">
        <v>214</v>
      </c>
      <c r="AU70" s="8" t="s">
        <v>214</v>
      </c>
      <c r="AV70" s="8" t="s">
        <v>214</v>
      </c>
      <c r="AW70" s="8" t="s">
        <v>214</v>
      </c>
      <c r="AX70" s="8" t="s">
        <v>214</v>
      </c>
      <c r="AY70" s="8" t="s">
        <v>214</v>
      </c>
      <c r="AZ70" s="8" t="s">
        <v>214</v>
      </c>
      <c r="BA70" s="8" t="s">
        <v>214</v>
      </c>
      <c r="BB70" s="8" t="s">
        <v>214</v>
      </c>
      <c r="BC70" s="8" t="s">
        <v>214</v>
      </c>
      <c r="BD70" s="8" t="s">
        <v>214</v>
      </c>
      <c r="BE70" s="8" t="s">
        <v>214</v>
      </c>
      <c r="BF70" s="8" t="s">
        <v>214</v>
      </c>
      <c r="BG70" s="8" t="s">
        <v>214</v>
      </c>
      <c r="BH70" s="8" t="s">
        <v>214</v>
      </c>
      <c r="BI70" s="8" t="s">
        <v>214</v>
      </c>
      <c r="BJ70" s="8" t="s">
        <v>214</v>
      </c>
      <c r="BK70" s="8" t="s">
        <v>214</v>
      </c>
      <c r="BL70" s="8" t="s">
        <v>214</v>
      </c>
      <c r="BM70" s="8" t="s">
        <v>214</v>
      </c>
      <c r="BN70" s="8" t="s">
        <v>214</v>
      </c>
      <c r="BO70" s="8" t="s">
        <v>214</v>
      </c>
      <c r="BP70" s="8" t="s">
        <v>214</v>
      </c>
      <c r="BQ70" s="8" t="s">
        <v>214</v>
      </c>
      <c r="BR70" s="8" t="s">
        <v>214</v>
      </c>
      <c r="BS70" s="8" t="s">
        <v>214</v>
      </c>
      <c r="BT70" s="8" t="s">
        <v>214</v>
      </c>
      <c r="BU70" s="8" t="s">
        <v>214</v>
      </c>
      <c r="BV70" s="8" t="s">
        <v>214</v>
      </c>
      <c r="BW70" s="8" t="s">
        <v>214</v>
      </c>
      <c r="BX70" s="8" t="s">
        <v>214</v>
      </c>
      <c r="BY70" s="8" t="s">
        <v>214</v>
      </c>
      <c r="BZ70" s="8" t="s">
        <v>214</v>
      </c>
      <c r="CA70" s="8" t="s">
        <v>214</v>
      </c>
      <c r="CB70" s="8" t="s">
        <v>214</v>
      </c>
      <c r="CC70" s="8" t="s">
        <v>214</v>
      </c>
      <c r="CD70" s="8" t="s">
        <v>214</v>
      </c>
      <c r="CE70" s="8" t="s">
        <v>214</v>
      </c>
      <c r="CF70" s="8" t="s">
        <v>214</v>
      </c>
      <c r="CG70" s="8" t="s">
        <v>214</v>
      </c>
      <c r="CH70" s="8" t="s">
        <v>214</v>
      </c>
      <c r="CI70" s="8" t="s">
        <v>214</v>
      </c>
      <c r="CJ70" s="8" t="s">
        <v>214</v>
      </c>
      <c r="CK70" s="8" t="s">
        <v>214</v>
      </c>
      <c r="CL70" s="8" t="s">
        <v>214</v>
      </c>
      <c r="CM70" s="8" t="s">
        <v>214</v>
      </c>
      <c r="CN70" s="8" t="s">
        <v>214</v>
      </c>
      <c r="CO70" s="8" t="s">
        <v>214</v>
      </c>
      <c r="CP70" s="8" t="s">
        <v>214</v>
      </c>
      <c r="CQ70" s="8" t="s">
        <v>214</v>
      </c>
      <c r="CR70" s="8" t="s">
        <v>214</v>
      </c>
      <c r="CS70" s="8" t="s">
        <v>214</v>
      </c>
      <c r="CT70" s="8" t="s">
        <v>214</v>
      </c>
      <c r="CU70" s="8" t="s">
        <v>214</v>
      </c>
      <c r="CV70" s="8" t="s">
        <v>214</v>
      </c>
      <c r="CW70" s="8" t="s">
        <v>214</v>
      </c>
      <c r="CX70" s="8" t="s">
        <v>214</v>
      </c>
      <c r="CY70" s="8" t="s">
        <v>214</v>
      </c>
      <c r="CZ70" s="8" t="s">
        <v>214</v>
      </c>
      <c r="DA70" s="8" t="s">
        <v>214</v>
      </c>
      <c r="DB70" s="8" t="s">
        <v>214</v>
      </c>
      <c r="DC70" s="8" t="s">
        <v>214</v>
      </c>
      <c r="DD70" s="8" t="s">
        <v>214</v>
      </c>
      <c r="DE70" s="8" t="s">
        <v>214</v>
      </c>
      <c r="DF70" s="8" t="s">
        <v>214</v>
      </c>
      <c r="DG70" s="8" t="s">
        <v>214</v>
      </c>
      <c r="DH70" s="8" t="s">
        <v>214</v>
      </c>
      <c r="DI70" s="8" t="s">
        <v>214</v>
      </c>
      <c r="DJ70" s="8" t="s">
        <v>214</v>
      </c>
      <c r="DK70" s="8" t="s">
        <v>214</v>
      </c>
      <c r="DL70" s="8" t="s">
        <v>214</v>
      </c>
      <c r="DM70" s="8" t="s">
        <v>214</v>
      </c>
      <c r="DN70" s="8" t="s">
        <v>214</v>
      </c>
      <c r="DO70" s="8" t="s">
        <v>214</v>
      </c>
      <c r="DP70" s="8" t="s">
        <v>214</v>
      </c>
      <c r="DQ70" s="8" t="s">
        <v>214</v>
      </c>
      <c r="DR70" s="8" t="s">
        <v>214</v>
      </c>
      <c r="DS70" s="8" t="s">
        <v>214</v>
      </c>
      <c r="DT70" s="8" t="s">
        <v>214</v>
      </c>
      <c r="DU70" s="8" t="s">
        <v>214</v>
      </c>
      <c r="DV70" s="8" t="s">
        <v>214</v>
      </c>
      <c r="DW70" s="8" t="s">
        <v>214</v>
      </c>
      <c r="DX70" s="8" t="s">
        <v>214</v>
      </c>
      <c r="DY70" s="8" t="s">
        <v>214</v>
      </c>
      <c r="DZ70" s="8" t="s">
        <v>214</v>
      </c>
      <c r="EA70" s="8" t="s">
        <v>214</v>
      </c>
      <c r="EB70" s="8" t="s">
        <v>214</v>
      </c>
      <c r="EC70" s="8" t="s">
        <v>217</v>
      </c>
      <c r="ED70" s="8" t="s">
        <v>214</v>
      </c>
      <c r="EE70" s="8" t="s">
        <v>214</v>
      </c>
      <c r="EF70" s="8" t="s">
        <v>214</v>
      </c>
      <c r="EG70" s="8" t="s">
        <v>214</v>
      </c>
      <c r="EH70" s="8" t="s">
        <v>214</v>
      </c>
      <c r="EI70" s="8" t="s">
        <v>214</v>
      </c>
      <c r="EJ70" s="8" t="s">
        <v>214</v>
      </c>
      <c r="EK70" s="8" t="s">
        <v>214</v>
      </c>
      <c r="EL70" s="8" t="s">
        <v>214</v>
      </c>
      <c r="EM70" s="8" t="s">
        <v>214</v>
      </c>
      <c r="EN70" s="8" t="s">
        <v>214</v>
      </c>
      <c r="EO70" s="8" t="s">
        <v>214</v>
      </c>
      <c r="EP70" s="8" t="s">
        <v>214</v>
      </c>
      <c r="EQ70" s="8" t="s">
        <v>218</v>
      </c>
      <c r="ER70" s="8" t="s">
        <v>214</v>
      </c>
      <c r="ES70" s="8" t="s">
        <v>214</v>
      </c>
      <c r="ET70" s="8" t="s">
        <v>214</v>
      </c>
      <c r="EU70" s="8" t="s">
        <v>214</v>
      </c>
      <c r="EV70" s="8" t="s">
        <v>214</v>
      </c>
      <c r="EW70" s="8" t="s">
        <v>214</v>
      </c>
      <c r="EX70" s="8" t="s">
        <v>214</v>
      </c>
      <c r="EY70" s="8" t="s">
        <v>214</v>
      </c>
      <c r="EZ70" s="8" t="s">
        <v>214</v>
      </c>
      <c r="FA70" s="8" t="s">
        <v>214</v>
      </c>
      <c r="FB70" s="8" t="s">
        <v>214</v>
      </c>
      <c r="FC70" s="8" t="s">
        <v>214</v>
      </c>
      <c r="FD70" s="8" t="s">
        <v>214</v>
      </c>
      <c r="FE70" s="8" t="s">
        <v>214</v>
      </c>
      <c r="FF70" s="8" t="s">
        <v>218</v>
      </c>
      <c r="FG70" s="8" t="s">
        <v>214</v>
      </c>
      <c r="FH70" s="8" t="s">
        <v>214</v>
      </c>
      <c r="FI70" s="8" t="s">
        <v>214</v>
      </c>
      <c r="FJ70" s="8" t="s">
        <v>214</v>
      </c>
      <c r="FK70" s="8" t="s">
        <v>218</v>
      </c>
      <c r="FL70" s="8" t="s">
        <v>214</v>
      </c>
    </row>
    <row r="71" spans="1:168" ht="15" x14ac:dyDescent="0.25">
      <c r="A71" s="5" t="s">
        <v>191</v>
      </c>
      <c r="B71" s="5" t="s">
        <v>6</v>
      </c>
      <c r="C71" s="7" t="s">
        <v>214</v>
      </c>
      <c r="D71" s="7" t="s">
        <v>214</v>
      </c>
      <c r="E71" s="7" t="s">
        <v>214</v>
      </c>
      <c r="F71" s="7" t="s">
        <v>214</v>
      </c>
      <c r="G71" s="7" t="s">
        <v>214</v>
      </c>
      <c r="H71" s="7" t="s">
        <v>214</v>
      </c>
      <c r="I71" s="7" t="s">
        <v>214</v>
      </c>
      <c r="J71" s="7" t="s">
        <v>214</v>
      </c>
      <c r="K71" s="7" t="s">
        <v>214</v>
      </c>
      <c r="L71" s="7" t="s">
        <v>214</v>
      </c>
      <c r="M71" s="7" t="s">
        <v>214</v>
      </c>
      <c r="N71" s="7" t="s">
        <v>214</v>
      </c>
      <c r="O71" s="7" t="s">
        <v>214</v>
      </c>
      <c r="P71" s="7" t="s">
        <v>214</v>
      </c>
      <c r="Q71" s="7" t="s">
        <v>214</v>
      </c>
      <c r="R71" s="7" t="s">
        <v>214</v>
      </c>
      <c r="S71" s="7" t="s">
        <v>214</v>
      </c>
      <c r="T71" s="7" t="s">
        <v>214</v>
      </c>
      <c r="U71" s="7" t="s">
        <v>214</v>
      </c>
      <c r="V71" s="7" t="s">
        <v>214</v>
      </c>
      <c r="W71" s="7" t="s">
        <v>214</v>
      </c>
      <c r="X71" s="7" t="s">
        <v>214</v>
      </c>
      <c r="Y71" s="7" t="s">
        <v>214</v>
      </c>
      <c r="Z71" s="7" t="s">
        <v>214</v>
      </c>
      <c r="AA71" s="7" t="s">
        <v>214</v>
      </c>
      <c r="AB71" s="7" t="s">
        <v>214</v>
      </c>
      <c r="AC71" s="7" t="s">
        <v>214</v>
      </c>
      <c r="AD71" s="7" t="s">
        <v>214</v>
      </c>
      <c r="AE71" s="7" t="s">
        <v>214</v>
      </c>
      <c r="AF71" s="7" t="s">
        <v>214</v>
      </c>
      <c r="AG71" s="7" t="s">
        <v>214</v>
      </c>
      <c r="AH71" s="7" t="s">
        <v>214</v>
      </c>
      <c r="AI71" s="7" t="s">
        <v>214</v>
      </c>
      <c r="AJ71" s="7" t="s">
        <v>214</v>
      </c>
      <c r="AK71" s="7" t="s">
        <v>214</v>
      </c>
      <c r="AL71" s="7" t="s">
        <v>214</v>
      </c>
      <c r="AM71" s="7" t="s">
        <v>214</v>
      </c>
      <c r="AN71" s="7" t="s">
        <v>214</v>
      </c>
      <c r="AO71" s="7" t="s">
        <v>214</v>
      </c>
      <c r="AP71" s="7" t="s">
        <v>214</v>
      </c>
      <c r="AQ71" s="7" t="s">
        <v>214</v>
      </c>
      <c r="AR71" s="7" t="s">
        <v>214</v>
      </c>
      <c r="AS71" s="7" t="s">
        <v>214</v>
      </c>
      <c r="AT71" s="7" t="s">
        <v>214</v>
      </c>
      <c r="AU71" s="7" t="s">
        <v>214</v>
      </c>
      <c r="AV71" s="7" t="s">
        <v>214</v>
      </c>
      <c r="AW71" s="7" t="s">
        <v>214</v>
      </c>
      <c r="AX71" s="7" t="s">
        <v>214</v>
      </c>
      <c r="AY71" s="7" t="s">
        <v>214</v>
      </c>
      <c r="AZ71" s="7" t="s">
        <v>214</v>
      </c>
      <c r="BA71" s="7" t="s">
        <v>214</v>
      </c>
      <c r="BB71" s="7" t="s">
        <v>214</v>
      </c>
      <c r="BC71" s="7" t="s">
        <v>214</v>
      </c>
      <c r="BD71" s="7" t="s">
        <v>214</v>
      </c>
      <c r="BE71" s="7" t="s">
        <v>214</v>
      </c>
      <c r="BF71" s="7" t="s">
        <v>214</v>
      </c>
      <c r="BG71" s="7" t="s">
        <v>214</v>
      </c>
      <c r="BH71" s="7" t="s">
        <v>214</v>
      </c>
      <c r="BI71" s="7" t="s">
        <v>214</v>
      </c>
      <c r="BJ71" s="7" t="s">
        <v>214</v>
      </c>
      <c r="BK71" s="7" t="s">
        <v>214</v>
      </c>
      <c r="BL71" s="7" t="s">
        <v>214</v>
      </c>
      <c r="BM71" s="7" t="s">
        <v>214</v>
      </c>
      <c r="BN71" s="7" t="s">
        <v>214</v>
      </c>
      <c r="BO71" s="7" t="s">
        <v>214</v>
      </c>
      <c r="BP71" s="7" t="s">
        <v>214</v>
      </c>
      <c r="BQ71" s="7" t="s">
        <v>214</v>
      </c>
      <c r="BR71" s="7" t="s">
        <v>214</v>
      </c>
      <c r="BS71" s="7" t="s">
        <v>214</v>
      </c>
      <c r="BT71" s="7" t="s">
        <v>214</v>
      </c>
      <c r="BU71" s="7" t="s">
        <v>214</v>
      </c>
      <c r="BV71" s="7" t="s">
        <v>214</v>
      </c>
      <c r="BW71" s="7" t="s">
        <v>214</v>
      </c>
      <c r="BX71" s="7" t="s">
        <v>214</v>
      </c>
      <c r="BY71" s="7" t="s">
        <v>214</v>
      </c>
      <c r="BZ71" s="7" t="s">
        <v>214</v>
      </c>
      <c r="CA71" s="7" t="s">
        <v>214</v>
      </c>
      <c r="CB71" s="7" t="s">
        <v>214</v>
      </c>
      <c r="CC71" s="7" t="s">
        <v>214</v>
      </c>
      <c r="CD71" s="7" t="s">
        <v>214</v>
      </c>
      <c r="CE71" s="7" t="s">
        <v>214</v>
      </c>
      <c r="CF71" s="7" t="s">
        <v>214</v>
      </c>
      <c r="CG71" s="7" t="s">
        <v>214</v>
      </c>
      <c r="CH71" s="7" t="s">
        <v>214</v>
      </c>
      <c r="CI71" s="7" t="s">
        <v>214</v>
      </c>
      <c r="CJ71" s="7" t="s">
        <v>214</v>
      </c>
      <c r="CK71" s="7" t="s">
        <v>214</v>
      </c>
      <c r="CL71" s="7" t="s">
        <v>214</v>
      </c>
      <c r="CM71" s="7" t="s">
        <v>214</v>
      </c>
      <c r="CN71" s="7" t="s">
        <v>214</v>
      </c>
      <c r="CO71" s="7" t="s">
        <v>214</v>
      </c>
      <c r="CP71" s="7" t="s">
        <v>214</v>
      </c>
      <c r="CQ71" s="7" t="s">
        <v>214</v>
      </c>
      <c r="CR71" s="7" t="s">
        <v>214</v>
      </c>
      <c r="CS71" s="7" t="s">
        <v>214</v>
      </c>
      <c r="CT71" s="7" t="s">
        <v>214</v>
      </c>
      <c r="CU71" s="7" t="s">
        <v>214</v>
      </c>
      <c r="CV71" s="7" t="s">
        <v>214</v>
      </c>
      <c r="CW71" s="7" t="s">
        <v>214</v>
      </c>
      <c r="CX71" s="7" t="s">
        <v>214</v>
      </c>
      <c r="CY71" s="7" t="s">
        <v>214</v>
      </c>
      <c r="CZ71" s="7" t="s">
        <v>214</v>
      </c>
      <c r="DA71" s="7" t="s">
        <v>214</v>
      </c>
      <c r="DB71" s="7" t="s">
        <v>214</v>
      </c>
      <c r="DC71" s="7" t="s">
        <v>214</v>
      </c>
      <c r="DD71" s="7" t="s">
        <v>214</v>
      </c>
      <c r="DE71" s="7" t="s">
        <v>214</v>
      </c>
      <c r="DF71" s="7" t="s">
        <v>214</v>
      </c>
      <c r="DG71" s="7" t="s">
        <v>214</v>
      </c>
      <c r="DH71" s="7" t="s">
        <v>214</v>
      </c>
      <c r="DI71" s="7" t="s">
        <v>214</v>
      </c>
      <c r="DJ71" s="7" t="s">
        <v>214</v>
      </c>
      <c r="DK71" s="7" t="s">
        <v>214</v>
      </c>
      <c r="DL71" s="7" t="s">
        <v>214</v>
      </c>
      <c r="DM71" s="7" t="s">
        <v>214</v>
      </c>
      <c r="DN71" s="7" t="s">
        <v>214</v>
      </c>
      <c r="DO71" s="7" t="s">
        <v>214</v>
      </c>
      <c r="DP71" s="7" t="s">
        <v>214</v>
      </c>
      <c r="DQ71" s="7" t="s">
        <v>214</v>
      </c>
      <c r="DR71" s="7" t="s">
        <v>214</v>
      </c>
      <c r="DS71" s="7" t="s">
        <v>214</v>
      </c>
      <c r="DT71" s="7" t="s">
        <v>214</v>
      </c>
      <c r="DU71" s="7" t="s">
        <v>214</v>
      </c>
      <c r="DV71" s="7" t="s">
        <v>214</v>
      </c>
      <c r="DW71" s="7" t="s">
        <v>214</v>
      </c>
      <c r="DX71" s="7" t="s">
        <v>214</v>
      </c>
      <c r="DY71" s="7" t="s">
        <v>214</v>
      </c>
      <c r="DZ71" s="7" t="s">
        <v>214</v>
      </c>
      <c r="EA71" s="7" t="s">
        <v>214</v>
      </c>
      <c r="EB71" s="7" t="s">
        <v>214</v>
      </c>
      <c r="EC71" s="7" t="s">
        <v>214</v>
      </c>
      <c r="ED71" s="7" t="s">
        <v>214</v>
      </c>
      <c r="EE71" s="7" t="s">
        <v>214</v>
      </c>
      <c r="EF71" s="7" t="s">
        <v>214</v>
      </c>
      <c r="EG71" s="7" t="s">
        <v>214</v>
      </c>
      <c r="EH71" s="7" t="s">
        <v>214</v>
      </c>
      <c r="EI71" s="7" t="s">
        <v>214</v>
      </c>
      <c r="EJ71" s="7" t="s">
        <v>214</v>
      </c>
      <c r="EK71" s="7" t="s">
        <v>214</v>
      </c>
      <c r="EL71" s="7" t="s">
        <v>214</v>
      </c>
      <c r="EM71" s="7" t="s">
        <v>214</v>
      </c>
      <c r="EN71" s="7" t="s">
        <v>214</v>
      </c>
      <c r="EO71" s="7" t="s">
        <v>214</v>
      </c>
      <c r="EP71" s="7" t="s">
        <v>214</v>
      </c>
      <c r="EQ71" s="7" t="s">
        <v>218</v>
      </c>
      <c r="ER71" s="7" t="s">
        <v>214</v>
      </c>
      <c r="ES71" s="7" t="s">
        <v>214</v>
      </c>
      <c r="ET71" s="7" t="s">
        <v>214</v>
      </c>
      <c r="EU71" s="7" t="s">
        <v>214</v>
      </c>
      <c r="EV71" s="7" t="s">
        <v>214</v>
      </c>
      <c r="EW71" s="7" t="s">
        <v>214</v>
      </c>
      <c r="EX71" s="7" t="s">
        <v>214</v>
      </c>
      <c r="EY71" s="7" t="s">
        <v>214</v>
      </c>
      <c r="EZ71" s="7" t="s">
        <v>214</v>
      </c>
      <c r="FA71" s="7" t="s">
        <v>214</v>
      </c>
      <c r="FB71" s="7" t="s">
        <v>214</v>
      </c>
      <c r="FC71" s="7" t="s">
        <v>214</v>
      </c>
      <c r="FD71" s="7" t="s">
        <v>214</v>
      </c>
      <c r="FE71" s="7" t="s">
        <v>214</v>
      </c>
      <c r="FF71" s="7" t="s">
        <v>214</v>
      </c>
      <c r="FG71" s="7" t="s">
        <v>214</v>
      </c>
      <c r="FH71" s="7" t="s">
        <v>214</v>
      </c>
      <c r="FI71" s="7" t="s">
        <v>214</v>
      </c>
      <c r="FJ71" s="7" t="s">
        <v>214</v>
      </c>
      <c r="FK71" s="7" t="s">
        <v>214</v>
      </c>
      <c r="FL71" s="7" t="s">
        <v>214</v>
      </c>
    </row>
    <row r="72" spans="1:168" ht="15" x14ac:dyDescent="0.25">
      <c r="A72" s="5" t="s">
        <v>191</v>
      </c>
      <c r="B72" s="5" t="s">
        <v>7</v>
      </c>
      <c r="C72" s="8" t="s">
        <v>217</v>
      </c>
      <c r="D72" s="8" t="s">
        <v>214</v>
      </c>
      <c r="E72" s="8" t="s">
        <v>214</v>
      </c>
      <c r="F72" s="8" t="s">
        <v>214</v>
      </c>
      <c r="G72" s="8" t="s">
        <v>214</v>
      </c>
      <c r="H72" s="8" t="s">
        <v>214</v>
      </c>
      <c r="I72" s="8" t="s">
        <v>214</v>
      </c>
      <c r="J72" s="8" t="s">
        <v>214</v>
      </c>
      <c r="K72" s="8" t="s">
        <v>214</v>
      </c>
      <c r="L72" s="8" t="s">
        <v>214</v>
      </c>
      <c r="M72" s="8" t="s">
        <v>214</v>
      </c>
      <c r="N72" s="8" t="s">
        <v>214</v>
      </c>
      <c r="O72" s="8" t="s">
        <v>214</v>
      </c>
      <c r="P72" s="8" t="s">
        <v>214</v>
      </c>
      <c r="Q72" s="8" t="s">
        <v>214</v>
      </c>
      <c r="R72" s="8" t="s">
        <v>214</v>
      </c>
      <c r="S72" s="8" t="s">
        <v>214</v>
      </c>
      <c r="T72" s="8" t="s">
        <v>214</v>
      </c>
      <c r="U72" s="8" t="s">
        <v>214</v>
      </c>
      <c r="V72" s="8" t="s">
        <v>214</v>
      </c>
      <c r="W72" s="8" t="s">
        <v>214</v>
      </c>
      <c r="X72" s="8" t="s">
        <v>214</v>
      </c>
      <c r="Y72" s="8" t="s">
        <v>214</v>
      </c>
      <c r="Z72" s="8" t="s">
        <v>214</v>
      </c>
      <c r="AA72" s="8" t="s">
        <v>214</v>
      </c>
      <c r="AB72" s="8" t="s">
        <v>214</v>
      </c>
      <c r="AC72" s="8" t="s">
        <v>214</v>
      </c>
      <c r="AD72" s="8" t="s">
        <v>214</v>
      </c>
      <c r="AE72" s="8" t="s">
        <v>214</v>
      </c>
      <c r="AF72" s="8" t="s">
        <v>214</v>
      </c>
      <c r="AG72" s="8" t="s">
        <v>214</v>
      </c>
      <c r="AH72" s="8" t="s">
        <v>214</v>
      </c>
      <c r="AI72" s="8" t="s">
        <v>214</v>
      </c>
      <c r="AJ72" s="8" t="s">
        <v>214</v>
      </c>
      <c r="AK72" s="8" t="s">
        <v>214</v>
      </c>
      <c r="AL72" s="8" t="s">
        <v>214</v>
      </c>
      <c r="AM72" s="8" t="s">
        <v>214</v>
      </c>
      <c r="AN72" s="8" t="s">
        <v>214</v>
      </c>
      <c r="AO72" s="8" t="s">
        <v>214</v>
      </c>
      <c r="AP72" s="8" t="s">
        <v>214</v>
      </c>
      <c r="AQ72" s="8" t="s">
        <v>214</v>
      </c>
      <c r="AR72" s="8" t="s">
        <v>214</v>
      </c>
      <c r="AS72" s="8" t="s">
        <v>214</v>
      </c>
      <c r="AT72" s="8" t="s">
        <v>214</v>
      </c>
      <c r="AU72" s="8" t="s">
        <v>214</v>
      </c>
      <c r="AV72" s="8" t="s">
        <v>214</v>
      </c>
      <c r="AW72" s="8" t="s">
        <v>214</v>
      </c>
      <c r="AX72" s="8" t="s">
        <v>214</v>
      </c>
      <c r="AY72" s="8" t="s">
        <v>214</v>
      </c>
      <c r="AZ72" s="8" t="s">
        <v>214</v>
      </c>
      <c r="BA72" s="8" t="s">
        <v>214</v>
      </c>
      <c r="BB72" s="8" t="s">
        <v>214</v>
      </c>
      <c r="BC72" s="8" t="s">
        <v>214</v>
      </c>
      <c r="BD72" s="8" t="s">
        <v>214</v>
      </c>
      <c r="BE72" s="8" t="s">
        <v>214</v>
      </c>
      <c r="BF72" s="8" t="s">
        <v>214</v>
      </c>
      <c r="BG72" s="8" t="s">
        <v>214</v>
      </c>
      <c r="BH72" s="8" t="s">
        <v>214</v>
      </c>
      <c r="BI72" s="8" t="s">
        <v>214</v>
      </c>
      <c r="BJ72" s="8" t="s">
        <v>214</v>
      </c>
      <c r="BK72" s="8" t="s">
        <v>214</v>
      </c>
      <c r="BL72" s="8" t="s">
        <v>214</v>
      </c>
      <c r="BM72" s="8" t="s">
        <v>214</v>
      </c>
      <c r="BN72" s="8" t="s">
        <v>214</v>
      </c>
      <c r="BO72" s="8" t="s">
        <v>214</v>
      </c>
      <c r="BP72" s="8" t="s">
        <v>214</v>
      </c>
      <c r="BQ72" s="8" t="s">
        <v>214</v>
      </c>
      <c r="BR72" s="8" t="s">
        <v>214</v>
      </c>
      <c r="BS72" s="8" t="s">
        <v>214</v>
      </c>
      <c r="BT72" s="8" t="s">
        <v>214</v>
      </c>
      <c r="BU72" s="8" t="s">
        <v>214</v>
      </c>
      <c r="BV72" s="8" t="s">
        <v>214</v>
      </c>
      <c r="BW72" s="8" t="s">
        <v>214</v>
      </c>
      <c r="BX72" s="8" t="s">
        <v>214</v>
      </c>
      <c r="BY72" s="8" t="s">
        <v>214</v>
      </c>
      <c r="BZ72" s="8" t="s">
        <v>214</v>
      </c>
      <c r="CA72" s="8" t="s">
        <v>214</v>
      </c>
      <c r="CB72" s="8" t="s">
        <v>214</v>
      </c>
      <c r="CC72" s="8" t="s">
        <v>214</v>
      </c>
      <c r="CD72" s="8" t="s">
        <v>214</v>
      </c>
      <c r="CE72" s="8" t="s">
        <v>214</v>
      </c>
      <c r="CF72" s="8" t="s">
        <v>214</v>
      </c>
      <c r="CG72" s="8" t="s">
        <v>214</v>
      </c>
      <c r="CH72" s="8" t="s">
        <v>214</v>
      </c>
      <c r="CI72" s="8" t="s">
        <v>214</v>
      </c>
      <c r="CJ72" s="8" t="s">
        <v>214</v>
      </c>
      <c r="CK72" s="8" t="s">
        <v>214</v>
      </c>
      <c r="CL72" s="8" t="s">
        <v>214</v>
      </c>
      <c r="CM72" s="8" t="s">
        <v>214</v>
      </c>
      <c r="CN72" s="8" t="s">
        <v>214</v>
      </c>
      <c r="CO72" s="8" t="s">
        <v>214</v>
      </c>
      <c r="CP72" s="8" t="s">
        <v>214</v>
      </c>
      <c r="CQ72" s="8" t="s">
        <v>214</v>
      </c>
      <c r="CR72" s="8" t="s">
        <v>214</v>
      </c>
      <c r="CS72" s="8" t="s">
        <v>214</v>
      </c>
      <c r="CT72" s="8" t="s">
        <v>214</v>
      </c>
      <c r="CU72" s="8" t="s">
        <v>214</v>
      </c>
      <c r="CV72" s="8" t="s">
        <v>214</v>
      </c>
      <c r="CW72" s="8" t="s">
        <v>214</v>
      </c>
      <c r="CX72" s="8" t="s">
        <v>214</v>
      </c>
      <c r="CY72" s="8" t="s">
        <v>214</v>
      </c>
      <c r="CZ72" s="8" t="s">
        <v>214</v>
      </c>
      <c r="DA72" s="8" t="s">
        <v>214</v>
      </c>
      <c r="DB72" s="8" t="s">
        <v>214</v>
      </c>
      <c r="DC72" s="8" t="s">
        <v>214</v>
      </c>
      <c r="DD72" s="8" t="s">
        <v>214</v>
      </c>
      <c r="DE72" s="8" t="s">
        <v>214</v>
      </c>
      <c r="DF72" s="8" t="s">
        <v>214</v>
      </c>
      <c r="DG72" s="8" t="s">
        <v>214</v>
      </c>
      <c r="DH72" s="8" t="s">
        <v>214</v>
      </c>
      <c r="DI72" s="8" t="s">
        <v>214</v>
      </c>
      <c r="DJ72" s="8" t="s">
        <v>214</v>
      </c>
      <c r="DK72" s="8" t="s">
        <v>214</v>
      </c>
      <c r="DL72" s="8" t="s">
        <v>214</v>
      </c>
      <c r="DM72" s="8" t="s">
        <v>214</v>
      </c>
      <c r="DN72" s="8" t="s">
        <v>214</v>
      </c>
      <c r="DO72" s="8" t="s">
        <v>214</v>
      </c>
      <c r="DP72" s="8" t="s">
        <v>214</v>
      </c>
      <c r="DQ72" s="8" t="s">
        <v>214</v>
      </c>
      <c r="DR72" s="8" t="s">
        <v>214</v>
      </c>
      <c r="DS72" s="8" t="s">
        <v>214</v>
      </c>
      <c r="DT72" s="8" t="s">
        <v>214</v>
      </c>
      <c r="DU72" s="8" t="s">
        <v>214</v>
      </c>
      <c r="DV72" s="8" t="s">
        <v>214</v>
      </c>
      <c r="DW72" s="8" t="s">
        <v>214</v>
      </c>
      <c r="DX72" s="8" t="s">
        <v>214</v>
      </c>
      <c r="DY72" s="8" t="s">
        <v>214</v>
      </c>
      <c r="DZ72" s="8" t="s">
        <v>214</v>
      </c>
      <c r="EA72" s="8" t="s">
        <v>214</v>
      </c>
      <c r="EB72" s="8" t="s">
        <v>214</v>
      </c>
      <c r="EC72" s="8" t="s">
        <v>214</v>
      </c>
      <c r="ED72" s="8" t="s">
        <v>214</v>
      </c>
      <c r="EE72" s="8" t="s">
        <v>217</v>
      </c>
      <c r="EF72" s="8" t="s">
        <v>214</v>
      </c>
      <c r="EG72" s="8" t="s">
        <v>214</v>
      </c>
      <c r="EH72" s="8" t="s">
        <v>214</v>
      </c>
      <c r="EI72" s="8" t="s">
        <v>214</v>
      </c>
      <c r="EJ72" s="8" t="s">
        <v>214</v>
      </c>
      <c r="EK72" s="8" t="s">
        <v>214</v>
      </c>
      <c r="EL72" s="8" t="s">
        <v>214</v>
      </c>
      <c r="EM72" s="8" t="s">
        <v>214</v>
      </c>
      <c r="EN72" s="8" t="s">
        <v>214</v>
      </c>
      <c r="EO72" s="8" t="s">
        <v>214</v>
      </c>
      <c r="EP72" s="8" t="s">
        <v>214</v>
      </c>
      <c r="EQ72" s="8" t="s">
        <v>218</v>
      </c>
      <c r="ER72" s="8" t="s">
        <v>214</v>
      </c>
      <c r="ES72" s="8" t="s">
        <v>214</v>
      </c>
      <c r="ET72" s="8" t="s">
        <v>214</v>
      </c>
      <c r="EU72" s="8" t="s">
        <v>214</v>
      </c>
      <c r="EV72" s="8" t="s">
        <v>214</v>
      </c>
      <c r="EW72" s="8" t="s">
        <v>214</v>
      </c>
      <c r="EX72" s="8" t="s">
        <v>214</v>
      </c>
      <c r="EY72" s="8" t="s">
        <v>214</v>
      </c>
      <c r="EZ72" s="8" t="s">
        <v>214</v>
      </c>
      <c r="FA72" s="8" t="s">
        <v>214</v>
      </c>
      <c r="FB72" s="8" t="s">
        <v>214</v>
      </c>
      <c r="FC72" s="8" t="s">
        <v>214</v>
      </c>
      <c r="FD72" s="8" t="s">
        <v>214</v>
      </c>
      <c r="FE72" s="8" t="s">
        <v>214</v>
      </c>
      <c r="FF72" s="8" t="s">
        <v>214</v>
      </c>
      <c r="FG72" s="8" t="s">
        <v>214</v>
      </c>
      <c r="FH72" s="8" t="s">
        <v>214</v>
      </c>
      <c r="FI72" s="8" t="s">
        <v>214</v>
      </c>
      <c r="FJ72" s="8" t="s">
        <v>214</v>
      </c>
      <c r="FK72" s="8" t="s">
        <v>214</v>
      </c>
      <c r="FL72" s="8" t="s">
        <v>214</v>
      </c>
    </row>
    <row r="73" spans="1:168" ht="15" x14ac:dyDescent="0.25">
      <c r="A73" s="5" t="s">
        <v>191</v>
      </c>
      <c r="B73" s="5" t="s">
        <v>8</v>
      </c>
      <c r="C73" s="7" t="s">
        <v>217</v>
      </c>
      <c r="D73" s="7" t="s">
        <v>217</v>
      </c>
      <c r="E73" s="7" t="s">
        <v>214</v>
      </c>
      <c r="F73" s="7" t="s">
        <v>214</v>
      </c>
      <c r="G73" s="7" t="s">
        <v>214</v>
      </c>
      <c r="H73" s="7" t="s">
        <v>214</v>
      </c>
      <c r="I73" s="7" t="s">
        <v>214</v>
      </c>
      <c r="J73" s="7" t="s">
        <v>214</v>
      </c>
      <c r="K73" s="7" t="s">
        <v>214</v>
      </c>
      <c r="L73" s="7" t="s">
        <v>214</v>
      </c>
      <c r="M73" s="7" t="s">
        <v>214</v>
      </c>
      <c r="N73" s="7" t="s">
        <v>214</v>
      </c>
      <c r="O73" s="7" t="s">
        <v>214</v>
      </c>
      <c r="P73" s="7" t="s">
        <v>214</v>
      </c>
      <c r="Q73" s="7" t="s">
        <v>214</v>
      </c>
      <c r="R73" s="7" t="s">
        <v>214</v>
      </c>
      <c r="S73" s="7" t="s">
        <v>214</v>
      </c>
      <c r="T73" s="7" t="s">
        <v>214</v>
      </c>
      <c r="U73" s="7" t="s">
        <v>214</v>
      </c>
      <c r="V73" s="7" t="s">
        <v>214</v>
      </c>
      <c r="W73" s="7" t="s">
        <v>214</v>
      </c>
      <c r="X73" s="7" t="s">
        <v>214</v>
      </c>
      <c r="Y73" s="7" t="s">
        <v>214</v>
      </c>
      <c r="Z73" s="7" t="s">
        <v>214</v>
      </c>
      <c r="AA73" s="7" t="s">
        <v>214</v>
      </c>
      <c r="AB73" s="7" t="s">
        <v>214</v>
      </c>
      <c r="AC73" s="7" t="s">
        <v>214</v>
      </c>
      <c r="AD73" s="7" t="s">
        <v>214</v>
      </c>
      <c r="AE73" s="7" t="s">
        <v>214</v>
      </c>
      <c r="AF73" s="7" t="s">
        <v>214</v>
      </c>
      <c r="AG73" s="7" t="s">
        <v>214</v>
      </c>
      <c r="AH73" s="7" t="s">
        <v>214</v>
      </c>
      <c r="AI73" s="7" t="s">
        <v>214</v>
      </c>
      <c r="AJ73" s="7" t="s">
        <v>214</v>
      </c>
      <c r="AK73" s="7" t="s">
        <v>214</v>
      </c>
      <c r="AL73" s="7" t="s">
        <v>214</v>
      </c>
      <c r="AM73" s="7" t="s">
        <v>214</v>
      </c>
      <c r="AN73" s="7" t="s">
        <v>214</v>
      </c>
      <c r="AO73" s="7" t="s">
        <v>214</v>
      </c>
      <c r="AP73" s="7" t="s">
        <v>214</v>
      </c>
      <c r="AQ73" s="7" t="s">
        <v>214</v>
      </c>
      <c r="AR73" s="7" t="s">
        <v>214</v>
      </c>
      <c r="AS73" s="7" t="s">
        <v>214</v>
      </c>
      <c r="AT73" s="7" t="s">
        <v>214</v>
      </c>
      <c r="AU73" s="7" t="s">
        <v>214</v>
      </c>
      <c r="AV73" s="7" t="s">
        <v>214</v>
      </c>
      <c r="AW73" s="7" t="s">
        <v>214</v>
      </c>
      <c r="AX73" s="7" t="s">
        <v>214</v>
      </c>
      <c r="AY73" s="7" t="s">
        <v>214</v>
      </c>
      <c r="AZ73" s="7" t="s">
        <v>214</v>
      </c>
      <c r="BA73" s="7" t="s">
        <v>214</v>
      </c>
      <c r="BB73" s="7" t="s">
        <v>214</v>
      </c>
      <c r="BC73" s="7" t="s">
        <v>214</v>
      </c>
      <c r="BD73" s="7" t="s">
        <v>214</v>
      </c>
      <c r="BE73" s="7" t="s">
        <v>214</v>
      </c>
      <c r="BF73" s="7" t="s">
        <v>214</v>
      </c>
      <c r="BG73" s="7" t="s">
        <v>214</v>
      </c>
      <c r="BH73" s="7" t="s">
        <v>214</v>
      </c>
      <c r="BI73" s="7" t="s">
        <v>214</v>
      </c>
      <c r="BJ73" s="7" t="s">
        <v>214</v>
      </c>
      <c r="BK73" s="7" t="s">
        <v>214</v>
      </c>
      <c r="BL73" s="7" t="s">
        <v>214</v>
      </c>
      <c r="BM73" s="7" t="s">
        <v>214</v>
      </c>
      <c r="BN73" s="7" t="s">
        <v>214</v>
      </c>
      <c r="BO73" s="7" t="s">
        <v>214</v>
      </c>
      <c r="BP73" s="7" t="s">
        <v>214</v>
      </c>
      <c r="BQ73" s="7" t="s">
        <v>214</v>
      </c>
      <c r="BR73" s="7" t="s">
        <v>214</v>
      </c>
      <c r="BS73" s="7" t="s">
        <v>214</v>
      </c>
      <c r="BT73" s="7" t="s">
        <v>214</v>
      </c>
      <c r="BU73" s="7" t="s">
        <v>214</v>
      </c>
      <c r="BV73" s="7" t="s">
        <v>214</v>
      </c>
      <c r="BW73" s="7" t="s">
        <v>214</v>
      </c>
      <c r="BX73" s="7" t="s">
        <v>214</v>
      </c>
      <c r="BY73" s="7" t="s">
        <v>214</v>
      </c>
      <c r="BZ73" s="7" t="s">
        <v>214</v>
      </c>
      <c r="CA73" s="7" t="s">
        <v>214</v>
      </c>
      <c r="CB73" s="7" t="s">
        <v>214</v>
      </c>
      <c r="CC73" s="7" t="s">
        <v>214</v>
      </c>
      <c r="CD73" s="7" t="s">
        <v>214</v>
      </c>
      <c r="CE73" s="7" t="s">
        <v>214</v>
      </c>
      <c r="CF73" s="7" t="s">
        <v>214</v>
      </c>
      <c r="CG73" s="7" t="s">
        <v>214</v>
      </c>
      <c r="CH73" s="7" t="s">
        <v>214</v>
      </c>
      <c r="CI73" s="7" t="s">
        <v>214</v>
      </c>
      <c r="CJ73" s="7" t="s">
        <v>214</v>
      </c>
      <c r="CK73" s="7" t="s">
        <v>214</v>
      </c>
      <c r="CL73" s="7" t="s">
        <v>214</v>
      </c>
      <c r="CM73" s="7" t="s">
        <v>214</v>
      </c>
      <c r="CN73" s="7" t="s">
        <v>214</v>
      </c>
      <c r="CO73" s="7" t="s">
        <v>214</v>
      </c>
      <c r="CP73" s="7" t="s">
        <v>214</v>
      </c>
      <c r="CQ73" s="7" t="s">
        <v>214</v>
      </c>
      <c r="CR73" s="7" t="s">
        <v>214</v>
      </c>
      <c r="CS73" s="7" t="s">
        <v>214</v>
      </c>
      <c r="CT73" s="7" t="s">
        <v>214</v>
      </c>
      <c r="CU73" s="7" t="s">
        <v>214</v>
      </c>
      <c r="CV73" s="7" t="s">
        <v>214</v>
      </c>
      <c r="CW73" s="7" t="s">
        <v>214</v>
      </c>
      <c r="CX73" s="7" t="s">
        <v>214</v>
      </c>
      <c r="CY73" s="7" t="s">
        <v>214</v>
      </c>
      <c r="CZ73" s="7" t="s">
        <v>214</v>
      </c>
      <c r="DA73" s="7" t="s">
        <v>214</v>
      </c>
      <c r="DB73" s="7" t="s">
        <v>214</v>
      </c>
      <c r="DC73" s="7" t="s">
        <v>218</v>
      </c>
      <c r="DD73" s="7" t="s">
        <v>214</v>
      </c>
      <c r="DE73" s="7" t="s">
        <v>214</v>
      </c>
      <c r="DF73" s="7" t="s">
        <v>214</v>
      </c>
      <c r="DG73" s="7" t="s">
        <v>214</v>
      </c>
      <c r="DH73" s="7" t="s">
        <v>214</v>
      </c>
      <c r="DI73" s="7" t="s">
        <v>214</v>
      </c>
      <c r="DJ73" s="7" t="s">
        <v>214</v>
      </c>
      <c r="DK73" s="7" t="s">
        <v>214</v>
      </c>
      <c r="DL73" s="7" t="s">
        <v>214</v>
      </c>
      <c r="DM73" s="7" t="s">
        <v>214</v>
      </c>
      <c r="DN73" s="7" t="s">
        <v>214</v>
      </c>
      <c r="DO73" s="7" t="s">
        <v>214</v>
      </c>
      <c r="DP73" s="7" t="s">
        <v>214</v>
      </c>
      <c r="DQ73" s="7" t="s">
        <v>214</v>
      </c>
      <c r="DR73" s="7" t="s">
        <v>214</v>
      </c>
      <c r="DS73" s="7" t="s">
        <v>214</v>
      </c>
      <c r="DT73" s="7" t="s">
        <v>214</v>
      </c>
      <c r="DU73" s="7" t="s">
        <v>214</v>
      </c>
      <c r="DV73" s="7" t="s">
        <v>214</v>
      </c>
      <c r="DW73" s="7" t="s">
        <v>214</v>
      </c>
      <c r="DX73" s="7" t="s">
        <v>214</v>
      </c>
      <c r="DY73" s="7" t="s">
        <v>214</v>
      </c>
      <c r="DZ73" s="7" t="s">
        <v>214</v>
      </c>
      <c r="EA73" s="7" t="s">
        <v>214</v>
      </c>
      <c r="EB73" s="7" t="s">
        <v>214</v>
      </c>
      <c r="EC73" s="7" t="s">
        <v>214</v>
      </c>
      <c r="ED73" s="7" t="s">
        <v>214</v>
      </c>
      <c r="EE73" s="7" t="s">
        <v>214</v>
      </c>
      <c r="EF73" s="7" t="s">
        <v>214</v>
      </c>
      <c r="EG73" s="7" t="s">
        <v>214</v>
      </c>
      <c r="EH73" s="7" t="s">
        <v>214</v>
      </c>
      <c r="EI73" s="7" t="s">
        <v>214</v>
      </c>
      <c r="EJ73" s="7" t="s">
        <v>214</v>
      </c>
      <c r="EK73" s="7" t="s">
        <v>214</v>
      </c>
      <c r="EL73" s="7" t="s">
        <v>214</v>
      </c>
      <c r="EM73" s="7" t="s">
        <v>214</v>
      </c>
      <c r="EN73" s="7" t="s">
        <v>214</v>
      </c>
      <c r="EO73" s="7" t="s">
        <v>214</v>
      </c>
      <c r="EP73" s="7" t="s">
        <v>214</v>
      </c>
      <c r="EQ73" s="7" t="s">
        <v>218</v>
      </c>
      <c r="ER73" s="7" t="s">
        <v>214</v>
      </c>
      <c r="ES73" s="7" t="s">
        <v>214</v>
      </c>
      <c r="ET73" s="7" t="s">
        <v>214</v>
      </c>
      <c r="EU73" s="7" t="s">
        <v>214</v>
      </c>
      <c r="EV73" s="7" t="s">
        <v>218</v>
      </c>
      <c r="EW73" s="7" t="s">
        <v>214</v>
      </c>
      <c r="EX73" s="7" t="s">
        <v>214</v>
      </c>
      <c r="EY73" s="7" t="s">
        <v>214</v>
      </c>
      <c r="EZ73" s="7" t="s">
        <v>214</v>
      </c>
      <c r="FA73" s="7" t="s">
        <v>214</v>
      </c>
      <c r="FB73" s="7" t="s">
        <v>214</v>
      </c>
      <c r="FC73" s="7" t="s">
        <v>214</v>
      </c>
      <c r="FD73" s="7" t="s">
        <v>214</v>
      </c>
      <c r="FE73" s="7" t="s">
        <v>217</v>
      </c>
      <c r="FF73" s="7" t="s">
        <v>214</v>
      </c>
      <c r="FG73" s="7" t="s">
        <v>214</v>
      </c>
      <c r="FH73" s="7" t="s">
        <v>214</v>
      </c>
      <c r="FI73" s="7" t="s">
        <v>214</v>
      </c>
      <c r="FJ73" s="7" t="s">
        <v>214</v>
      </c>
      <c r="FK73" s="7" t="s">
        <v>214</v>
      </c>
      <c r="FL73" s="7" t="s">
        <v>214</v>
      </c>
    </row>
    <row r="74" spans="1:168" ht="15" x14ac:dyDescent="0.25">
      <c r="A74" s="5" t="s">
        <v>191</v>
      </c>
      <c r="B74" s="5" t="s">
        <v>9</v>
      </c>
      <c r="C74" s="8" t="s">
        <v>217</v>
      </c>
      <c r="D74" s="8" t="s">
        <v>217</v>
      </c>
      <c r="E74" s="8" t="s">
        <v>214</v>
      </c>
      <c r="F74" s="8" t="s">
        <v>214</v>
      </c>
      <c r="G74" s="8" t="s">
        <v>214</v>
      </c>
      <c r="H74" s="8" t="s">
        <v>214</v>
      </c>
      <c r="I74" s="8" t="s">
        <v>214</v>
      </c>
      <c r="J74" s="8" t="s">
        <v>214</v>
      </c>
      <c r="K74" s="8" t="s">
        <v>214</v>
      </c>
      <c r="L74" s="8" t="s">
        <v>214</v>
      </c>
      <c r="M74" s="8" t="s">
        <v>214</v>
      </c>
      <c r="N74" s="8" t="s">
        <v>214</v>
      </c>
      <c r="O74" s="8" t="s">
        <v>214</v>
      </c>
      <c r="P74" s="8" t="s">
        <v>214</v>
      </c>
      <c r="Q74" s="8" t="s">
        <v>214</v>
      </c>
      <c r="R74" s="8" t="s">
        <v>214</v>
      </c>
      <c r="S74" s="8" t="s">
        <v>214</v>
      </c>
      <c r="T74" s="8" t="s">
        <v>214</v>
      </c>
      <c r="U74" s="8" t="s">
        <v>214</v>
      </c>
      <c r="V74" s="8" t="s">
        <v>214</v>
      </c>
      <c r="W74" s="8" t="s">
        <v>214</v>
      </c>
      <c r="X74" s="8" t="s">
        <v>214</v>
      </c>
      <c r="Y74" s="8" t="s">
        <v>214</v>
      </c>
      <c r="Z74" s="8" t="s">
        <v>214</v>
      </c>
      <c r="AA74" s="8" t="s">
        <v>214</v>
      </c>
      <c r="AB74" s="8" t="s">
        <v>214</v>
      </c>
      <c r="AC74" s="8" t="s">
        <v>214</v>
      </c>
      <c r="AD74" s="8" t="s">
        <v>214</v>
      </c>
      <c r="AE74" s="8" t="s">
        <v>214</v>
      </c>
      <c r="AF74" s="8" t="s">
        <v>214</v>
      </c>
      <c r="AG74" s="8" t="s">
        <v>214</v>
      </c>
      <c r="AH74" s="8" t="s">
        <v>214</v>
      </c>
      <c r="AI74" s="8" t="s">
        <v>214</v>
      </c>
      <c r="AJ74" s="8" t="s">
        <v>214</v>
      </c>
      <c r="AK74" s="8" t="s">
        <v>214</v>
      </c>
      <c r="AL74" s="8" t="s">
        <v>214</v>
      </c>
      <c r="AM74" s="8" t="s">
        <v>214</v>
      </c>
      <c r="AN74" s="8" t="s">
        <v>214</v>
      </c>
      <c r="AO74" s="8" t="s">
        <v>214</v>
      </c>
      <c r="AP74" s="8" t="s">
        <v>214</v>
      </c>
      <c r="AQ74" s="8" t="s">
        <v>214</v>
      </c>
      <c r="AR74" s="8" t="s">
        <v>214</v>
      </c>
      <c r="AS74" s="8" t="s">
        <v>214</v>
      </c>
      <c r="AT74" s="8" t="s">
        <v>214</v>
      </c>
      <c r="AU74" s="8" t="s">
        <v>214</v>
      </c>
      <c r="AV74" s="8" t="s">
        <v>214</v>
      </c>
      <c r="AW74" s="8" t="s">
        <v>214</v>
      </c>
      <c r="AX74" s="8" t="s">
        <v>214</v>
      </c>
      <c r="AY74" s="8" t="s">
        <v>214</v>
      </c>
      <c r="AZ74" s="8" t="s">
        <v>214</v>
      </c>
      <c r="BA74" s="8" t="s">
        <v>214</v>
      </c>
      <c r="BB74" s="8" t="s">
        <v>214</v>
      </c>
      <c r="BC74" s="8" t="s">
        <v>214</v>
      </c>
      <c r="BD74" s="8" t="s">
        <v>214</v>
      </c>
      <c r="BE74" s="8" t="s">
        <v>214</v>
      </c>
      <c r="BF74" s="8" t="s">
        <v>214</v>
      </c>
      <c r="BG74" s="8" t="s">
        <v>214</v>
      </c>
      <c r="BH74" s="8" t="s">
        <v>214</v>
      </c>
      <c r="BI74" s="8" t="s">
        <v>214</v>
      </c>
      <c r="BJ74" s="8" t="s">
        <v>214</v>
      </c>
      <c r="BK74" s="8" t="s">
        <v>214</v>
      </c>
      <c r="BL74" s="8" t="s">
        <v>214</v>
      </c>
      <c r="BM74" s="8" t="s">
        <v>214</v>
      </c>
      <c r="BN74" s="8" t="s">
        <v>214</v>
      </c>
      <c r="BO74" s="8" t="s">
        <v>214</v>
      </c>
      <c r="BP74" s="8" t="s">
        <v>214</v>
      </c>
      <c r="BQ74" s="8" t="s">
        <v>214</v>
      </c>
      <c r="BR74" s="8" t="s">
        <v>214</v>
      </c>
      <c r="BS74" s="8" t="s">
        <v>214</v>
      </c>
      <c r="BT74" s="8" t="s">
        <v>214</v>
      </c>
      <c r="BU74" s="8" t="s">
        <v>214</v>
      </c>
      <c r="BV74" s="8" t="s">
        <v>214</v>
      </c>
      <c r="BW74" s="8" t="s">
        <v>214</v>
      </c>
      <c r="BX74" s="8" t="s">
        <v>214</v>
      </c>
      <c r="BY74" s="8" t="s">
        <v>214</v>
      </c>
      <c r="BZ74" s="8" t="s">
        <v>214</v>
      </c>
      <c r="CA74" s="8" t="s">
        <v>214</v>
      </c>
      <c r="CB74" s="8" t="s">
        <v>214</v>
      </c>
      <c r="CC74" s="8" t="s">
        <v>214</v>
      </c>
      <c r="CD74" s="8" t="s">
        <v>214</v>
      </c>
      <c r="CE74" s="8" t="s">
        <v>214</v>
      </c>
      <c r="CF74" s="8" t="s">
        <v>214</v>
      </c>
      <c r="CG74" s="8" t="s">
        <v>214</v>
      </c>
      <c r="CH74" s="8" t="s">
        <v>214</v>
      </c>
      <c r="CI74" s="8" t="s">
        <v>214</v>
      </c>
      <c r="CJ74" s="8" t="s">
        <v>214</v>
      </c>
      <c r="CK74" s="8" t="s">
        <v>214</v>
      </c>
      <c r="CL74" s="8" t="s">
        <v>214</v>
      </c>
      <c r="CM74" s="8" t="s">
        <v>214</v>
      </c>
      <c r="CN74" s="8" t="s">
        <v>214</v>
      </c>
      <c r="CO74" s="8" t="s">
        <v>214</v>
      </c>
      <c r="CP74" s="8" t="s">
        <v>214</v>
      </c>
      <c r="CQ74" s="8" t="s">
        <v>214</v>
      </c>
      <c r="CR74" s="8" t="s">
        <v>214</v>
      </c>
      <c r="CS74" s="8" t="s">
        <v>214</v>
      </c>
      <c r="CT74" s="8" t="s">
        <v>214</v>
      </c>
      <c r="CU74" s="8" t="s">
        <v>214</v>
      </c>
      <c r="CV74" s="8" t="s">
        <v>214</v>
      </c>
      <c r="CW74" s="8" t="s">
        <v>214</v>
      </c>
      <c r="CX74" s="8" t="s">
        <v>214</v>
      </c>
      <c r="CY74" s="8" t="s">
        <v>214</v>
      </c>
      <c r="CZ74" s="8" t="s">
        <v>214</v>
      </c>
      <c r="DA74" s="8" t="s">
        <v>214</v>
      </c>
      <c r="DB74" s="8" t="s">
        <v>214</v>
      </c>
      <c r="DC74" s="8" t="s">
        <v>214</v>
      </c>
      <c r="DD74" s="8" t="s">
        <v>214</v>
      </c>
      <c r="DE74" s="8" t="s">
        <v>214</v>
      </c>
      <c r="DF74" s="8" t="s">
        <v>214</v>
      </c>
      <c r="DG74" s="8" t="s">
        <v>214</v>
      </c>
      <c r="DH74" s="8" t="s">
        <v>214</v>
      </c>
      <c r="DI74" s="8" t="s">
        <v>214</v>
      </c>
      <c r="DJ74" s="8" t="s">
        <v>214</v>
      </c>
      <c r="DK74" s="8" t="s">
        <v>214</v>
      </c>
      <c r="DL74" s="8" t="s">
        <v>214</v>
      </c>
      <c r="DM74" s="8" t="s">
        <v>214</v>
      </c>
      <c r="DN74" s="8" t="s">
        <v>214</v>
      </c>
      <c r="DO74" s="8" t="s">
        <v>214</v>
      </c>
      <c r="DP74" s="8" t="s">
        <v>214</v>
      </c>
      <c r="DQ74" s="8" t="s">
        <v>214</v>
      </c>
      <c r="DR74" s="8" t="s">
        <v>214</v>
      </c>
      <c r="DS74" s="8" t="s">
        <v>214</v>
      </c>
      <c r="DT74" s="8" t="s">
        <v>214</v>
      </c>
      <c r="DU74" s="8" t="s">
        <v>214</v>
      </c>
      <c r="DV74" s="8" t="s">
        <v>214</v>
      </c>
      <c r="DW74" s="8" t="s">
        <v>214</v>
      </c>
      <c r="DX74" s="8" t="s">
        <v>214</v>
      </c>
      <c r="DY74" s="8" t="s">
        <v>214</v>
      </c>
      <c r="DZ74" s="8" t="s">
        <v>214</v>
      </c>
      <c r="EA74" s="8" t="s">
        <v>214</v>
      </c>
      <c r="EB74" s="8" t="s">
        <v>214</v>
      </c>
      <c r="EC74" s="8" t="s">
        <v>214</v>
      </c>
      <c r="ED74" s="8" t="s">
        <v>214</v>
      </c>
      <c r="EE74" s="8" t="s">
        <v>214</v>
      </c>
      <c r="EF74" s="8" t="s">
        <v>214</v>
      </c>
      <c r="EG74" s="8" t="s">
        <v>214</v>
      </c>
      <c r="EH74" s="8" t="s">
        <v>214</v>
      </c>
      <c r="EI74" s="8" t="s">
        <v>214</v>
      </c>
      <c r="EJ74" s="8" t="s">
        <v>214</v>
      </c>
      <c r="EK74" s="8" t="s">
        <v>214</v>
      </c>
      <c r="EL74" s="8" t="s">
        <v>214</v>
      </c>
      <c r="EM74" s="8" t="s">
        <v>214</v>
      </c>
      <c r="EN74" s="8" t="s">
        <v>214</v>
      </c>
      <c r="EO74" s="8" t="s">
        <v>214</v>
      </c>
      <c r="EP74" s="8" t="s">
        <v>214</v>
      </c>
      <c r="EQ74" s="8" t="s">
        <v>218</v>
      </c>
      <c r="ER74" s="8" t="s">
        <v>214</v>
      </c>
      <c r="ES74" s="8" t="s">
        <v>214</v>
      </c>
      <c r="ET74" s="8" t="s">
        <v>214</v>
      </c>
      <c r="EU74" s="8" t="s">
        <v>214</v>
      </c>
      <c r="EV74" s="8" t="s">
        <v>214</v>
      </c>
      <c r="EW74" s="8" t="s">
        <v>214</v>
      </c>
      <c r="EX74" s="8" t="s">
        <v>214</v>
      </c>
      <c r="EY74" s="8" t="s">
        <v>214</v>
      </c>
      <c r="EZ74" s="8" t="s">
        <v>214</v>
      </c>
      <c r="FA74" s="8" t="s">
        <v>214</v>
      </c>
      <c r="FB74" s="8" t="s">
        <v>214</v>
      </c>
      <c r="FC74" s="8" t="s">
        <v>214</v>
      </c>
      <c r="FD74" s="8" t="s">
        <v>214</v>
      </c>
      <c r="FE74" s="8" t="s">
        <v>217</v>
      </c>
      <c r="FF74" s="8" t="s">
        <v>214</v>
      </c>
      <c r="FG74" s="8" t="s">
        <v>214</v>
      </c>
      <c r="FH74" s="8" t="s">
        <v>214</v>
      </c>
      <c r="FI74" s="8" t="s">
        <v>214</v>
      </c>
      <c r="FJ74" s="8" t="s">
        <v>214</v>
      </c>
      <c r="FK74" s="8" t="s">
        <v>214</v>
      </c>
      <c r="FL74" s="8" t="s">
        <v>214</v>
      </c>
    </row>
    <row r="75" spans="1:168" ht="15" x14ac:dyDescent="0.25">
      <c r="A75" s="5" t="s">
        <v>192</v>
      </c>
      <c r="B75" s="5" t="s">
        <v>6</v>
      </c>
      <c r="C75" s="7" t="s">
        <v>214</v>
      </c>
      <c r="D75" s="7" t="s">
        <v>214</v>
      </c>
      <c r="E75" s="7" t="s">
        <v>214</v>
      </c>
      <c r="F75" s="7" t="s">
        <v>214</v>
      </c>
      <c r="G75" s="7" t="s">
        <v>214</v>
      </c>
      <c r="H75" s="7" t="s">
        <v>214</v>
      </c>
      <c r="I75" s="7" t="s">
        <v>214</v>
      </c>
      <c r="J75" s="7" t="s">
        <v>214</v>
      </c>
      <c r="K75" s="7" t="s">
        <v>214</v>
      </c>
      <c r="L75" s="7" t="s">
        <v>214</v>
      </c>
      <c r="M75" s="7" t="s">
        <v>214</v>
      </c>
      <c r="N75" s="7" t="s">
        <v>214</v>
      </c>
      <c r="O75" s="7" t="s">
        <v>214</v>
      </c>
      <c r="P75" s="7" t="s">
        <v>214</v>
      </c>
      <c r="Q75" s="7" t="s">
        <v>214</v>
      </c>
      <c r="R75" s="7" t="s">
        <v>214</v>
      </c>
      <c r="S75" s="7" t="s">
        <v>214</v>
      </c>
      <c r="T75" s="7" t="s">
        <v>214</v>
      </c>
      <c r="U75" s="7" t="s">
        <v>214</v>
      </c>
      <c r="V75" s="7" t="s">
        <v>214</v>
      </c>
      <c r="W75" s="7" t="s">
        <v>214</v>
      </c>
      <c r="X75" s="7" t="s">
        <v>214</v>
      </c>
      <c r="Y75" s="7" t="s">
        <v>214</v>
      </c>
      <c r="Z75" s="7" t="s">
        <v>214</v>
      </c>
      <c r="AA75" s="7" t="s">
        <v>214</v>
      </c>
      <c r="AB75" s="7" t="s">
        <v>214</v>
      </c>
      <c r="AC75" s="7" t="s">
        <v>214</v>
      </c>
      <c r="AD75" s="7" t="s">
        <v>214</v>
      </c>
      <c r="AE75" s="7" t="s">
        <v>214</v>
      </c>
      <c r="AF75" s="7" t="s">
        <v>214</v>
      </c>
      <c r="AG75" s="7" t="s">
        <v>214</v>
      </c>
      <c r="AH75" s="7" t="s">
        <v>214</v>
      </c>
      <c r="AI75" s="7" t="s">
        <v>214</v>
      </c>
      <c r="AJ75" s="7" t="s">
        <v>214</v>
      </c>
      <c r="AK75" s="7" t="s">
        <v>214</v>
      </c>
      <c r="AL75" s="7" t="s">
        <v>214</v>
      </c>
      <c r="AM75" s="7" t="s">
        <v>214</v>
      </c>
      <c r="AN75" s="7" t="s">
        <v>214</v>
      </c>
      <c r="AO75" s="7" t="s">
        <v>214</v>
      </c>
      <c r="AP75" s="7" t="s">
        <v>214</v>
      </c>
      <c r="AQ75" s="7" t="s">
        <v>214</v>
      </c>
      <c r="AR75" s="7" t="s">
        <v>214</v>
      </c>
      <c r="AS75" s="7" t="s">
        <v>214</v>
      </c>
      <c r="AT75" s="7" t="s">
        <v>214</v>
      </c>
      <c r="AU75" s="7" t="s">
        <v>214</v>
      </c>
      <c r="AV75" s="7" t="s">
        <v>214</v>
      </c>
      <c r="AW75" s="7" t="s">
        <v>214</v>
      </c>
      <c r="AX75" s="7" t="s">
        <v>214</v>
      </c>
      <c r="AY75" s="7" t="s">
        <v>214</v>
      </c>
      <c r="AZ75" s="7" t="s">
        <v>214</v>
      </c>
      <c r="BA75" s="7" t="s">
        <v>214</v>
      </c>
      <c r="BB75" s="7" t="s">
        <v>214</v>
      </c>
      <c r="BC75" s="7" t="s">
        <v>214</v>
      </c>
      <c r="BD75" s="7" t="s">
        <v>214</v>
      </c>
      <c r="BE75" s="7" t="s">
        <v>214</v>
      </c>
      <c r="BF75" s="7" t="s">
        <v>214</v>
      </c>
      <c r="BG75" s="7" t="s">
        <v>214</v>
      </c>
      <c r="BH75" s="7" t="s">
        <v>214</v>
      </c>
      <c r="BI75" s="7" t="s">
        <v>214</v>
      </c>
      <c r="BJ75" s="7" t="s">
        <v>214</v>
      </c>
      <c r="BK75" s="7" t="s">
        <v>214</v>
      </c>
      <c r="BL75" s="7" t="s">
        <v>214</v>
      </c>
      <c r="BM75" s="7" t="s">
        <v>214</v>
      </c>
      <c r="BN75" s="7" t="s">
        <v>214</v>
      </c>
      <c r="BO75" s="7" t="s">
        <v>214</v>
      </c>
      <c r="BP75" s="7" t="s">
        <v>214</v>
      </c>
      <c r="BQ75" s="7" t="s">
        <v>214</v>
      </c>
      <c r="BR75" s="7" t="s">
        <v>214</v>
      </c>
      <c r="BS75" s="7" t="s">
        <v>214</v>
      </c>
      <c r="BT75" s="7" t="s">
        <v>214</v>
      </c>
      <c r="BU75" s="7" t="s">
        <v>214</v>
      </c>
      <c r="BV75" s="7" t="s">
        <v>214</v>
      </c>
      <c r="BW75" s="7" t="s">
        <v>214</v>
      </c>
      <c r="BX75" s="7" t="s">
        <v>214</v>
      </c>
      <c r="BY75" s="7" t="s">
        <v>214</v>
      </c>
      <c r="BZ75" s="7" t="s">
        <v>214</v>
      </c>
      <c r="CA75" s="7" t="s">
        <v>214</v>
      </c>
      <c r="CB75" s="7" t="s">
        <v>214</v>
      </c>
      <c r="CC75" s="7" t="s">
        <v>214</v>
      </c>
      <c r="CD75" s="7" t="s">
        <v>214</v>
      </c>
      <c r="CE75" s="7" t="s">
        <v>214</v>
      </c>
      <c r="CF75" s="7" t="s">
        <v>214</v>
      </c>
      <c r="CG75" s="7" t="s">
        <v>214</v>
      </c>
      <c r="CH75" s="7" t="s">
        <v>214</v>
      </c>
      <c r="CI75" s="7" t="s">
        <v>214</v>
      </c>
      <c r="CJ75" s="7" t="s">
        <v>214</v>
      </c>
      <c r="CK75" s="7" t="s">
        <v>214</v>
      </c>
      <c r="CL75" s="7" t="s">
        <v>214</v>
      </c>
      <c r="CM75" s="7" t="s">
        <v>214</v>
      </c>
      <c r="CN75" s="7" t="s">
        <v>214</v>
      </c>
      <c r="CO75" s="7" t="s">
        <v>214</v>
      </c>
      <c r="CP75" s="7" t="s">
        <v>214</v>
      </c>
      <c r="CQ75" s="7" t="s">
        <v>214</v>
      </c>
      <c r="CR75" s="7" t="s">
        <v>214</v>
      </c>
      <c r="CS75" s="7" t="s">
        <v>214</v>
      </c>
      <c r="CT75" s="7" t="s">
        <v>214</v>
      </c>
      <c r="CU75" s="7" t="s">
        <v>214</v>
      </c>
      <c r="CV75" s="7" t="s">
        <v>214</v>
      </c>
      <c r="CW75" s="7" t="s">
        <v>214</v>
      </c>
      <c r="CX75" s="7" t="s">
        <v>214</v>
      </c>
      <c r="CY75" s="7" t="s">
        <v>214</v>
      </c>
      <c r="CZ75" s="7" t="s">
        <v>214</v>
      </c>
      <c r="DA75" s="7" t="s">
        <v>214</v>
      </c>
      <c r="DB75" s="7" t="s">
        <v>214</v>
      </c>
      <c r="DC75" s="7" t="s">
        <v>214</v>
      </c>
      <c r="DD75" s="7" t="s">
        <v>214</v>
      </c>
      <c r="DE75" s="7" t="s">
        <v>214</v>
      </c>
      <c r="DF75" s="7" t="s">
        <v>214</v>
      </c>
      <c r="DG75" s="7" t="s">
        <v>214</v>
      </c>
      <c r="DH75" s="7" t="s">
        <v>214</v>
      </c>
      <c r="DI75" s="7" t="s">
        <v>214</v>
      </c>
      <c r="DJ75" s="7" t="s">
        <v>214</v>
      </c>
      <c r="DK75" s="7" t="s">
        <v>214</v>
      </c>
      <c r="DL75" s="7" t="s">
        <v>214</v>
      </c>
      <c r="DM75" s="7" t="s">
        <v>214</v>
      </c>
      <c r="DN75" s="7" t="s">
        <v>214</v>
      </c>
      <c r="DO75" s="7" t="s">
        <v>214</v>
      </c>
      <c r="DP75" s="7" t="s">
        <v>214</v>
      </c>
      <c r="DQ75" s="7" t="s">
        <v>214</v>
      </c>
      <c r="DR75" s="7" t="s">
        <v>214</v>
      </c>
      <c r="DS75" s="7" t="s">
        <v>214</v>
      </c>
      <c r="DT75" s="7" t="s">
        <v>214</v>
      </c>
      <c r="DU75" s="7" t="s">
        <v>214</v>
      </c>
      <c r="DV75" s="7" t="s">
        <v>214</v>
      </c>
      <c r="DW75" s="7" t="s">
        <v>214</v>
      </c>
      <c r="DX75" s="7" t="s">
        <v>214</v>
      </c>
      <c r="DY75" s="7" t="s">
        <v>214</v>
      </c>
      <c r="DZ75" s="7" t="s">
        <v>214</v>
      </c>
      <c r="EA75" s="7" t="s">
        <v>214</v>
      </c>
      <c r="EB75" s="7" t="s">
        <v>214</v>
      </c>
      <c r="EC75" s="7" t="s">
        <v>214</v>
      </c>
      <c r="ED75" s="7" t="s">
        <v>214</v>
      </c>
      <c r="EE75" s="7" t="s">
        <v>214</v>
      </c>
      <c r="EF75" s="7" t="s">
        <v>214</v>
      </c>
      <c r="EG75" s="7" t="s">
        <v>214</v>
      </c>
      <c r="EH75" s="7" t="s">
        <v>214</v>
      </c>
      <c r="EI75" s="7" t="s">
        <v>214</v>
      </c>
      <c r="EJ75" s="7" t="s">
        <v>214</v>
      </c>
      <c r="EK75" s="7" t="s">
        <v>214</v>
      </c>
      <c r="EL75" s="7" t="s">
        <v>214</v>
      </c>
      <c r="EM75" s="7" t="s">
        <v>214</v>
      </c>
      <c r="EN75" s="7" t="s">
        <v>214</v>
      </c>
      <c r="EO75" s="7" t="s">
        <v>214</v>
      </c>
      <c r="EP75" s="7" t="s">
        <v>214</v>
      </c>
      <c r="EQ75" s="7" t="s">
        <v>214</v>
      </c>
      <c r="ER75" s="7" t="s">
        <v>214</v>
      </c>
      <c r="ES75" s="7" t="s">
        <v>214</v>
      </c>
      <c r="ET75" s="7" t="s">
        <v>214</v>
      </c>
      <c r="EU75" s="7" t="s">
        <v>214</v>
      </c>
      <c r="EV75" s="7" t="s">
        <v>214</v>
      </c>
      <c r="EW75" s="7" t="s">
        <v>214</v>
      </c>
      <c r="EX75" s="7" t="s">
        <v>214</v>
      </c>
      <c r="EY75" s="7" t="s">
        <v>214</v>
      </c>
      <c r="EZ75" s="7" t="s">
        <v>217</v>
      </c>
      <c r="FA75" s="7" t="s">
        <v>214</v>
      </c>
      <c r="FB75" s="7" t="s">
        <v>214</v>
      </c>
      <c r="FC75" s="7" t="s">
        <v>214</v>
      </c>
      <c r="FD75" s="7" t="s">
        <v>214</v>
      </c>
      <c r="FE75" s="7" t="s">
        <v>214</v>
      </c>
      <c r="FF75" s="7" t="s">
        <v>214</v>
      </c>
      <c r="FG75" s="7" t="s">
        <v>214</v>
      </c>
      <c r="FH75" s="7" t="s">
        <v>214</v>
      </c>
      <c r="FI75" s="7" t="s">
        <v>214</v>
      </c>
      <c r="FJ75" s="7" t="s">
        <v>214</v>
      </c>
      <c r="FK75" s="7" t="s">
        <v>214</v>
      </c>
      <c r="FL75" s="7" t="s">
        <v>214</v>
      </c>
    </row>
    <row r="76" spans="1:168" ht="15" x14ac:dyDescent="0.25">
      <c r="A76" s="5" t="s">
        <v>192</v>
      </c>
      <c r="B76" s="5" t="s">
        <v>7</v>
      </c>
      <c r="C76" s="8" t="s">
        <v>217</v>
      </c>
      <c r="D76" s="8" t="s">
        <v>217</v>
      </c>
      <c r="E76" s="8" t="s">
        <v>214</v>
      </c>
      <c r="F76" s="8" t="s">
        <v>214</v>
      </c>
      <c r="G76" s="8" t="s">
        <v>214</v>
      </c>
      <c r="H76" s="8" t="s">
        <v>214</v>
      </c>
      <c r="I76" s="8" t="s">
        <v>214</v>
      </c>
      <c r="J76" s="8" t="s">
        <v>214</v>
      </c>
      <c r="K76" s="8" t="s">
        <v>214</v>
      </c>
      <c r="L76" s="8" t="s">
        <v>214</v>
      </c>
      <c r="M76" s="8" t="s">
        <v>214</v>
      </c>
      <c r="N76" s="8" t="s">
        <v>214</v>
      </c>
      <c r="O76" s="8" t="s">
        <v>214</v>
      </c>
      <c r="P76" s="8" t="s">
        <v>214</v>
      </c>
      <c r="Q76" s="8" t="s">
        <v>214</v>
      </c>
      <c r="R76" s="8" t="s">
        <v>214</v>
      </c>
      <c r="S76" s="8" t="s">
        <v>214</v>
      </c>
      <c r="T76" s="8" t="s">
        <v>214</v>
      </c>
      <c r="U76" s="8" t="s">
        <v>214</v>
      </c>
      <c r="V76" s="8" t="s">
        <v>214</v>
      </c>
      <c r="W76" s="8" t="s">
        <v>214</v>
      </c>
      <c r="X76" s="8" t="s">
        <v>214</v>
      </c>
      <c r="Y76" s="8" t="s">
        <v>214</v>
      </c>
      <c r="Z76" s="8" t="s">
        <v>214</v>
      </c>
      <c r="AA76" s="8" t="s">
        <v>214</v>
      </c>
      <c r="AB76" s="8" t="s">
        <v>214</v>
      </c>
      <c r="AC76" s="8" t="s">
        <v>214</v>
      </c>
      <c r="AD76" s="8" t="s">
        <v>214</v>
      </c>
      <c r="AE76" s="8" t="s">
        <v>214</v>
      </c>
      <c r="AF76" s="8" t="s">
        <v>214</v>
      </c>
      <c r="AG76" s="8" t="s">
        <v>214</v>
      </c>
      <c r="AH76" s="8" t="s">
        <v>214</v>
      </c>
      <c r="AI76" s="8" t="s">
        <v>214</v>
      </c>
      <c r="AJ76" s="8" t="s">
        <v>214</v>
      </c>
      <c r="AK76" s="8" t="s">
        <v>214</v>
      </c>
      <c r="AL76" s="8" t="s">
        <v>214</v>
      </c>
      <c r="AM76" s="8" t="s">
        <v>214</v>
      </c>
      <c r="AN76" s="8" t="s">
        <v>214</v>
      </c>
      <c r="AO76" s="8" t="s">
        <v>214</v>
      </c>
      <c r="AP76" s="8" t="s">
        <v>214</v>
      </c>
      <c r="AQ76" s="8" t="s">
        <v>214</v>
      </c>
      <c r="AR76" s="8" t="s">
        <v>214</v>
      </c>
      <c r="AS76" s="8" t="s">
        <v>214</v>
      </c>
      <c r="AT76" s="8" t="s">
        <v>214</v>
      </c>
      <c r="AU76" s="8" t="s">
        <v>214</v>
      </c>
      <c r="AV76" s="8" t="s">
        <v>214</v>
      </c>
      <c r="AW76" s="8" t="s">
        <v>214</v>
      </c>
      <c r="AX76" s="8" t="s">
        <v>214</v>
      </c>
      <c r="AY76" s="8" t="s">
        <v>214</v>
      </c>
      <c r="AZ76" s="8" t="s">
        <v>214</v>
      </c>
      <c r="BA76" s="8" t="s">
        <v>214</v>
      </c>
      <c r="BB76" s="8" t="s">
        <v>214</v>
      </c>
      <c r="BC76" s="8" t="s">
        <v>214</v>
      </c>
      <c r="BD76" s="8" t="s">
        <v>214</v>
      </c>
      <c r="BE76" s="8" t="s">
        <v>214</v>
      </c>
      <c r="BF76" s="8" t="s">
        <v>214</v>
      </c>
      <c r="BG76" s="8" t="s">
        <v>214</v>
      </c>
      <c r="BH76" s="8" t="s">
        <v>214</v>
      </c>
      <c r="BI76" s="8" t="s">
        <v>214</v>
      </c>
      <c r="BJ76" s="8" t="s">
        <v>214</v>
      </c>
      <c r="BK76" s="8" t="s">
        <v>214</v>
      </c>
      <c r="BL76" s="8" t="s">
        <v>214</v>
      </c>
      <c r="BM76" s="8" t="s">
        <v>214</v>
      </c>
      <c r="BN76" s="8" t="s">
        <v>214</v>
      </c>
      <c r="BO76" s="8" t="s">
        <v>214</v>
      </c>
      <c r="BP76" s="8" t="s">
        <v>214</v>
      </c>
      <c r="BQ76" s="8" t="s">
        <v>214</v>
      </c>
      <c r="BR76" s="8" t="s">
        <v>214</v>
      </c>
      <c r="BS76" s="8" t="s">
        <v>214</v>
      </c>
      <c r="BT76" s="8" t="s">
        <v>214</v>
      </c>
      <c r="BU76" s="8" t="s">
        <v>214</v>
      </c>
      <c r="BV76" s="8" t="s">
        <v>214</v>
      </c>
      <c r="BW76" s="8" t="s">
        <v>214</v>
      </c>
      <c r="BX76" s="8" t="s">
        <v>214</v>
      </c>
      <c r="BY76" s="8" t="s">
        <v>214</v>
      </c>
      <c r="BZ76" s="8" t="s">
        <v>214</v>
      </c>
      <c r="CA76" s="8" t="s">
        <v>214</v>
      </c>
      <c r="CB76" s="8" t="s">
        <v>214</v>
      </c>
      <c r="CC76" s="8" t="s">
        <v>214</v>
      </c>
      <c r="CD76" s="8" t="s">
        <v>214</v>
      </c>
      <c r="CE76" s="8" t="s">
        <v>214</v>
      </c>
      <c r="CF76" s="8" t="s">
        <v>214</v>
      </c>
      <c r="CG76" s="8" t="s">
        <v>214</v>
      </c>
      <c r="CH76" s="8" t="s">
        <v>214</v>
      </c>
      <c r="CI76" s="8" t="s">
        <v>214</v>
      </c>
      <c r="CJ76" s="8" t="s">
        <v>214</v>
      </c>
      <c r="CK76" s="8" t="s">
        <v>214</v>
      </c>
      <c r="CL76" s="8" t="s">
        <v>214</v>
      </c>
      <c r="CM76" s="8" t="s">
        <v>214</v>
      </c>
      <c r="CN76" s="8" t="s">
        <v>214</v>
      </c>
      <c r="CO76" s="8" t="s">
        <v>214</v>
      </c>
      <c r="CP76" s="8" t="s">
        <v>214</v>
      </c>
      <c r="CQ76" s="8" t="s">
        <v>214</v>
      </c>
      <c r="CR76" s="8" t="s">
        <v>214</v>
      </c>
      <c r="CS76" s="8" t="s">
        <v>214</v>
      </c>
      <c r="CT76" s="8" t="s">
        <v>214</v>
      </c>
      <c r="CU76" s="8" t="s">
        <v>214</v>
      </c>
      <c r="CV76" s="8" t="s">
        <v>214</v>
      </c>
      <c r="CW76" s="8" t="s">
        <v>214</v>
      </c>
      <c r="CX76" s="8" t="s">
        <v>214</v>
      </c>
      <c r="CY76" s="8" t="s">
        <v>214</v>
      </c>
      <c r="CZ76" s="8" t="s">
        <v>214</v>
      </c>
      <c r="DA76" s="8" t="s">
        <v>214</v>
      </c>
      <c r="DB76" s="8" t="s">
        <v>214</v>
      </c>
      <c r="DC76" s="8" t="s">
        <v>214</v>
      </c>
      <c r="DD76" s="8" t="s">
        <v>214</v>
      </c>
      <c r="DE76" s="8" t="s">
        <v>214</v>
      </c>
      <c r="DF76" s="8" t="s">
        <v>214</v>
      </c>
      <c r="DG76" s="8" t="s">
        <v>214</v>
      </c>
      <c r="DH76" s="8" t="s">
        <v>214</v>
      </c>
      <c r="DI76" s="8" t="s">
        <v>214</v>
      </c>
      <c r="DJ76" s="8" t="s">
        <v>214</v>
      </c>
      <c r="DK76" s="8" t="s">
        <v>214</v>
      </c>
      <c r="DL76" s="8" t="s">
        <v>214</v>
      </c>
      <c r="DM76" s="8" t="s">
        <v>214</v>
      </c>
      <c r="DN76" s="8" t="s">
        <v>214</v>
      </c>
      <c r="DO76" s="8" t="s">
        <v>214</v>
      </c>
      <c r="DP76" s="8" t="s">
        <v>214</v>
      </c>
      <c r="DQ76" s="8" t="s">
        <v>214</v>
      </c>
      <c r="DR76" s="8" t="s">
        <v>214</v>
      </c>
      <c r="DS76" s="8" t="s">
        <v>214</v>
      </c>
      <c r="DT76" s="8" t="s">
        <v>214</v>
      </c>
      <c r="DU76" s="8" t="s">
        <v>214</v>
      </c>
      <c r="DV76" s="8" t="s">
        <v>214</v>
      </c>
      <c r="DW76" s="8" t="s">
        <v>214</v>
      </c>
      <c r="DX76" s="8" t="s">
        <v>214</v>
      </c>
      <c r="DY76" s="8" t="s">
        <v>214</v>
      </c>
      <c r="DZ76" s="8" t="s">
        <v>214</v>
      </c>
      <c r="EA76" s="8" t="s">
        <v>214</v>
      </c>
      <c r="EB76" s="8" t="s">
        <v>214</v>
      </c>
      <c r="EC76" s="8" t="s">
        <v>214</v>
      </c>
      <c r="ED76" s="8" t="s">
        <v>214</v>
      </c>
      <c r="EE76" s="8" t="s">
        <v>214</v>
      </c>
      <c r="EF76" s="8" t="s">
        <v>214</v>
      </c>
      <c r="EG76" s="8" t="s">
        <v>214</v>
      </c>
      <c r="EH76" s="8" t="s">
        <v>214</v>
      </c>
      <c r="EI76" s="8" t="s">
        <v>214</v>
      </c>
      <c r="EJ76" s="8" t="s">
        <v>214</v>
      </c>
      <c r="EK76" s="8" t="s">
        <v>214</v>
      </c>
      <c r="EL76" s="8" t="s">
        <v>214</v>
      </c>
      <c r="EM76" s="8" t="s">
        <v>214</v>
      </c>
      <c r="EN76" s="8" t="s">
        <v>214</v>
      </c>
      <c r="EO76" s="8" t="s">
        <v>214</v>
      </c>
      <c r="EP76" s="8" t="s">
        <v>214</v>
      </c>
      <c r="EQ76" s="8" t="s">
        <v>214</v>
      </c>
      <c r="ER76" s="8" t="s">
        <v>217</v>
      </c>
      <c r="ES76" s="8" t="s">
        <v>214</v>
      </c>
      <c r="ET76" s="8" t="s">
        <v>214</v>
      </c>
      <c r="EU76" s="8" t="s">
        <v>214</v>
      </c>
      <c r="EV76" s="8" t="s">
        <v>214</v>
      </c>
      <c r="EW76" s="8" t="s">
        <v>214</v>
      </c>
      <c r="EX76" s="8" t="s">
        <v>214</v>
      </c>
      <c r="EY76" s="8" t="s">
        <v>214</v>
      </c>
      <c r="EZ76" s="8" t="s">
        <v>217</v>
      </c>
      <c r="FA76" s="8" t="s">
        <v>217</v>
      </c>
      <c r="FB76" s="8" t="s">
        <v>214</v>
      </c>
      <c r="FC76" s="8" t="s">
        <v>214</v>
      </c>
      <c r="FD76" s="8" t="s">
        <v>214</v>
      </c>
      <c r="FE76" s="8" t="s">
        <v>214</v>
      </c>
      <c r="FF76" s="8" t="s">
        <v>214</v>
      </c>
      <c r="FG76" s="8" t="s">
        <v>214</v>
      </c>
      <c r="FH76" s="8" t="s">
        <v>214</v>
      </c>
      <c r="FI76" s="8" t="s">
        <v>214</v>
      </c>
      <c r="FJ76" s="8" t="s">
        <v>214</v>
      </c>
      <c r="FK76" s="8" t="s">
        <v>218</v>
      </c>
      <c r="FL76" s="8" t="s">
        <v>214</v>
      </c>
    </row>
    <row r="77" spans="1:168" ht="15" x14ac:dyDescent="0.25">
      <c r="A77" s="5" t="s">
        <v>192</v>
      </c>
      <c r="B77" s="5" t="s">
        <v>8</v>
      </c>
      <c r="C77" s="7" t="s">
        <v>217</v>
      </c>
      <c r="D77" s="7" t="s">
        <v>217</v>
      </c>
      <c r="E77" s="7" t="s">
        <v>214</v>
      </c>
      <c r="F77" s="7" t="s">
        <v>214</v>
      </c>
      <c r="G77" s="7" t="s">
        <v>214</v>
      </c>
      <c r="H77" s="7" t="s">
        <v>214</v>
      </c>
      <c r="I77" s="7" t="s">
        <v>214</v>
      </c>
      <c r="J77" s="7" t="s">
        <v>214</v>
      </c>
      <c r="K77" s="7" t="s">
        <v>214</v>
      </c>
      <c r="L77" s="7" t="s">
        <v>214</v>
      </c>
      <c r="M77" s="7" t="s">
        <v>214</v>
      </c>
      <c r="N77" s="7" t="s">
        <v>214</v>
      </c>
      <c r="O77" s="7" t="s">
        <v>214</v>
      </c>
      <c r="P77" s="7" t="s">
        <v>214</v>
      </c>
      <c r="Q77" s="7" t="s">
        <v>214</v>
      </c>
      <c r="R77" s="7" t="s">
        <v>214</v>
      </c>
      <c r="S77" s="7" t="s">
        <v>214</v>
      </c>
      <c r="T77" s="7" t="s">
        <v>214</v>
      </c>
      <c r="U77" s="7" t="s">
        <v>214</v>
      </c>
      <c r="V77" s="7" t="s">
        <v>214</v>
      </c>
      <c r="W77" s="7" t="s">
        <v>214</v>
      </c>
      <c r="X77" s="7" t="s">
        <v>214</v>
      </c>
      <c r="Y77" s="7" t="s">
        <v>214</v>
      </c>
      <c r="Z77" s="7" t="s">
        <v>214</v>
      </c>
      <c r="AA77" s="7" t="s">
        <v>214</v>
      </c>
      <c r="AB77" s="7" t="s">
        <v>214</v>
      </c>
      <c r="AC77" s="7" t="s">
        <v>214</v>
      </c>
      <c r="AD77" s="7" t="s">
        <v>214</v>
      </c>
      <c r="AE77" s="7" t="s">
        <v>214</v>
      </c>
      <c r="AF77" s="7" t="s">
        <v>214</v>
      </c>
      <c r="AG77" s="7" t="s">
        <v>214</v>
      </c>
      <c r="AH77" s="7" t="s">
        <v>214</v>
      </c>
      <c r="AI77" s="7" t="s">
        <v>214</v>
      </c>
      <c r="AJ77" s="7" t="s">
        <v>214</v>
      </c>
      <c r="AK77" s="7" t="s">
        <v>214</v>
      </c>
      <c r="AL77" s="7" t="s">
        <v>214</v>
      </c>
      <c r="AM77" s="7" t="s">
        <v>214</v>
      </c>
      <c r="AN77" s="7" t="s">
        <v>214</v>
      </c>
      <c r="AO77" s="7" t="s">
        <v>214</v>
      </c>
      <c r="AP77" s="7" t="s">
        <v>214</v>
      </c>
      <c r="AQ77" s="7" t="s">
        <v>214</v>
      </c>
      <c r="AR77" s="7" t="s">
        <v>214</v>
      </c>
      <c r="AS77" s="7" t="s">
        <v>214</v>
      </c>
      <c r="AT77" s="7" t="s">
        <v>214</v>
      </c>
      <c r="AU77" s="7" t="s">
        <v>214</v>
      </c>
      <c r="AV77" s="7" t="s">
        <v>214</v>
      </c>
      <c r="AW77" s="7" t="s">
        <v>214</v>
      </c>
      <c r="AX77" s="7" t="s">
        <v>214</v>
      </c>
      <c r="AY77" s="7" t="s">
        <v>214</v>
      </c>
      <c r="AZ77" s="7" t="s">
        <v>214</v>
      </c>
      <c r="BA77" s="7" t="s">
        <v>214</v>
      </c>
      <c r="BB77" s="7" t="s">
        <v>214</v>
      </c>
      <c r="BC77" s="7" t="s">
        <v>214</v>
      </c>
      <c r="BD77" s="7" t="s">
        <v>214</v>
      </c>
      <c r="BE77" s="7" t="s">
        <v>214</v>
      </c>
      <c r="BF77" s="7" t="s">
        <v>214</v>
      </c>
      <c r="BG77" s="7" t="s">
        <v>214</v>
      </c>
      <c r="BH77" s="7" t="s">
        <v>214</v>
      </c>
      <c r="BI77" s="7" t="s">
        <v>214</v>
      </c>
      <c r="BJ77" s="7" t="s">
        <v>214</v>
      </c>
      <c r="BK77" s="7" t="s">
        <v>214</v>
      </c>
      <c r="BL77" s="7" t="s">
        <v>214</v>
      </c>
      <c r="BM77" s="7" t="s">
        <v>214</v>
      </c>
      <c r="BN77" s="7" t="s">
        <v>214</v>
      </c>
      <c r="BO77" s="7" t="s">
        <v>214</v>
      </c>
      <c r="BP77" s="7" t="s">
        <v>214</v>
      </c>
      <c r="BQ77" s="7" t="s">
        <v>214</v>
      </c>
      <c r="BR77" s="7" t="s">
        <v>214</v>
      </c>
      <c r="BS77" s="7" t="s">
        <v>214</v>
      </c>
      <c r="BT77" s="7" t="s">
        <v>214</v>
      </c>
      <c r="BU77" s="7" t="s">
        <v>214</v>
      </c>
      <c r="BV77" s="7" t="s">
        <v>214</v>
      </c>
      <c r="BW77" s="7" t="s">
        <v>214</v>
      </c>
      <c r="BX77" s="7" t="s">
        <v>214</v>
      </c>
      <c r="BY77" s="7" t="s">
        <v>214</v>
      </c>
      <c r="BZ77" s="7" t="s">
        <v>214</v>
      </c>
      <c r="CA77" s="7" t="s">
        <v>214</v>
      </c>
      <c r="CB77" s="7" t="s">
        <v>214</v>
      </c>
      <c r="CC77" s="7" t="s">
        <v>214</v>
      </c>
      <c r="CD77" s="7" t="s">
        <v>214</v>
      </c>
      <c r="CE77" s="7" t="s">
        <v>214</v>
      </c>
      <c r="CF77" s="7" t="s">
        <v>214</v>
      </c>
      <c r="CG77" s="7" t="s">
        <v>214</v>
      </c>
      <c r="CH77" s="7" t="s">
        <v>214</v>
      </c>
      <c r="CI77" s="7" t="s">
        <v>214</v>
      </c>
      <c r="CJ77" s="7" t="s">
        <v>214</v>
      </c>
      <c r="CK77" s="7" t="s">
        <v>214</v>
      </c>
      <c r="CL77" s="7" t="s">
        <v>214</v>
      </c>
      <c r="CM77" s="7" t="s">
        <v>214</v>
      </c>
      <c r="CN77" s="7" t="s">
        <v>214</v>
      </c>
      <c r="CO77" s="7" t="s">
        <v>214</v>
      </c>
      <c r="CP77" s="7" t="s">
        <v>214</v>
      </c>
      <c r="CQ77" s="7" t="s">
        <v>214</v>
      </c>
      <c r="CR77" s="7" t="s">
        <v>214</v>
      </c>
      <c r="CS77" s="7" t="s">
        <v>214</v>
      </c>
      <c r="CT77" s="7" t="s">
        <v>214</v>
      </c>
      <c r="CU77" s="7" t="s">
        <v>214</v>
      </c>
      <c r="CV77" s="7" t="s">
        <v>214</v>
      </c>
      <c r="CW77" s="7" t="s">
        <v>214</v>
      </c>
      <c r="CX77" s="7" t="s">
        <v>214</v>
      </c>
      <c r="CY77" s="7" t="s">
        <v>214</v>
      </c>
      <c r="CZ77" s="7" t="s">
        <v>214</v>
      </c>
      <c r="DA77" s="7" t="s">
        <v>214</v>
      </c>
      <c r="DB77" s="7" t="s">
        <v>214</v>
      </c>
      <c r="DC77" s="7" t="s">
        <v>214</v>
      </c>
      <c r="DD77" s="7" t="s">
        <v>214</v>
      </c>
      <c r="DE77" s="7" t="s">
        <v>214</v>
      </c>
      <c r="DF77" s="7" t="s">
        <v>214</v>
      </c>
      <c r="DG77" s="7" t="s">
        <v>214</v>
      </c>
      <c r="DH77" s="7" t="s">
        <v>214</v>
      </c>
      <c r="DI77" s="7" t="s">
        <v>214</v>
      </c>
      <c r="DJ77" s="7" t="s">
        <v>214</v>
      </c>
      <c r="DK77" s="7" t="s">
        <v>214</v>
      </c>
      <c r="DL77" s="7" t="s">
        <v>214</v>
      </c>
      <c r="DM77" s="7" t="s">
        <v>214</v>
      </c>
      <c r="DN77" s="7" t="s">
        <v>214</v>
      </c>
      <c r="DO77" s="7" t="s">
        <v>214</v>
      </c>
      <c r="DP77" s="7" t="s">
        <v>214</v>
      </c>
      <c r="DQ77" s="7" t="s">
        <v>214</v>
      </c>
      <c r="DR77" s="7" t="s">
        <v>214</v>
      </c>
      <c r="DS77" s="7" t="s">
        <v>214</v>
      </c>
      <c r="DT77" s="7" t="s">
        <v>214</v>
      </c>
      <c r="DU77" s="7" t="s">
        <v>214</v>
      </c>
      <c r="DV77" s="7" t="s">
        <v>214</v>
      </c>
      <c r="DW77" s="7" t="s">
        <v>214</v>
      </c>
      <c r="DX77" s="7" t="s">
        <v>214</v>
      </c>
      <c r="DY77" s="7" t="s">
        <v>214</v>
      </c>
      <c r="DZ77" s="7" t="s">
        <v>214</v>
      </c>
      <c r="EA77" s="7" t="s">
        <v>214</v>
      </c>
      <c r="EB77" s="7" t="s">
        <v>214</v>
      </c>
      <c r="EC77" s="7" t="s">
        <v>214</v>
      </c>
      <c r="ED77" s="7" t="s">
        <v>214</v>
      </c>
      <c r="EE77" s="7" t="s">
        <v>214</v>
      </c>
      <c r="EF77" s="7" t="s">
        <v>214</v>
      </c>
      <c r="EG77" s="7" t="s">
        <v>214</v>
      </c>
      <c r="EH77" s="7" t="s">
        <v>214</v>
      </c>
      <c r="EI77" s="7" t="s">
        <v>214</v>
      </c>
      <c r="EJ77" s="7" t="s">
        <v>214</v>
      </c>
      <c r="EK77" s="7" t="s">
        <v>214</v>
      </c>
      <c r="EL77" s="7" t="s">
        <v>214</v>
      </c>
      <c r="EM77" s="7" t="s">
        <v>214</v>
      </c>
      <c r="EN77" s="7" t="s">
        <v>214</v>
      </c>
      <c r="EO77" s="7" t="s">
        <v>214</v>
      </c>
      <c r="EP77" s="7" t="s">
        <v>214</v>
      </c>
      <c r="EQ77" s="7" t="s">
        <v>214</v>
      </c>
      <c r="ER77" s="7" t="s">
        <v>214</v>
      </c>
      <c r="ES77" s="7" t="s">
        <v>214</v>
      </c>
      <c r="ET77" s="7" t="s">
        <v>214</v>
      </c>
      <c r="EU77" s="7" t="s">
        <v>217</v>
      </c>
      <c r="EV77" s="7" t="s">
        <v>214</v>
      </c>
      <c r="EW77" s="7" t="s">
        <v>214</v>
      </c>
      <c r="EX77" s="7" t="s">
        <v>214</v>
      </c>
      <c r="EY77" s="7" t="s">
        <v>214</v>
      </c>
      <c r="EZ77" s="7" t="s">
        <v>217</v>
      </c>
      <c r="FA77" s="7" t="s">
        <v>217</v>
      </c>
      <c r="FB77" s="7" t="s">
        <v>214</v>
      </c>
      <c r="FC77" s="7" t="s">
        <v>214</v>
      </c>
      <c r="FD77" s="7" t="s">
        <v>214</v>
      </c>
      <c r="FE77" s="7" t="s">
        <v>214</v>
      </c>
      <c r="FF77" s="7" t="s">
        <v>214</v>
      </c>
      <c r="FG77" s="7" t="s">
        <v>214</v>
      </c>
      <c r="FH77" s="7" t="s">
        <v>214</v>
      </c>
      <c r="FI77" s="7" t="s">
        <v>214</v>
      </c>
      <c r="FJ77" s="7" t="s">
        <v>214</v>
      </c>
      <c r="FK77" s="7" t="s">
        <v>218</v>
      </c>
      <c r="FL77" s="7" t="s">
        <v>214</v>
      </c>
    </row>
    <row r="78" spans="1:168" ht="15" x14ac:dyDescent="0.25">
      <c r="A78" s="5" t="s">
        <v>192</v>
      </c>
      <c r="B78" s="5" t="s">
        <v>9</v>
      </c>
      <c r="C78" s="8" t="s">
        <v>217</v>
      </c>
      <c r="D78" s="8" t="s">
        <v>217</v>
      </c>
      <c r="E78" s="8" t="s">
        <v>214</v>
      </c>
      <c r="F78" s="8" t="s">
        <v>214</v>
      </c>
      <c r="G78" s="8" t="s">
        <v>214</v>
      </c>
      <c r="H78" s="8" t="s">
        <v>214</v>
      </c>
      <c r="I78" s="8" t="s">
        <v>214</v>
      </c>
      <c r="J78" s="8" t="s">
        <v>214</v>
      </c>
      <c r="K78" s="8" t="s">
        <v>214</v>
      </c>
      <c r="L78" s="8" t="s">
        <v>214</v>
      </c>
      <c r="M78" s="8" t="s">
        <v>214</v>
      </c>
      <c r="N78" s="8" t="s">
        <v>214</v>
      </c>
      <c r="O78" s="8" t="s">
        <v>214</v>
      </c>
      <c r="P78" s="8" t="s">
        <v>214</v>
      </c>
      <c r="Q78" s="8" t="s">
        <v>214</v>
      </c>
      <c r="R78" s="8" t="s">
        <v>214</v>
      </c>
      <c r="S78" s="8" t="s">
        <v>214</v>
      </c>
      <c r="T78" s="8" t="s">
        <v>214</v>
      </c>
      <c r="U78" s="8" t="s">
        <v>214</v>
      </c>
      <c r="V78" s="8" t="s">
        <v>214</v>
      </c>
      <c r="W78" s="8" t="s">
        <v>214</v>
      </c>
      <c r="X78" s="8" t="s">
        <v>214</v>
      </c>
      <c r="Y78" s="8" t="s">
        <v>214</v>
      </c>
      <c r="Z78" s="8" t="s">
        <v>214</v>
      </c>
      <c r="AA78" s="8" t="s">
        <v>214</v>
      </c>
      <c r="AB78" s="8" t="s">
        <v>214</v>
      </c>
      <c r="AC78" s="8" t="s">
        <v>214</v>
      </c>
      <c r="AD78" s="8" t="s">
        <v>214</v>
      </c>
      <c r="AE78" s="8" t="s">
        <v>214</v>
      </c>
      <c r="AF78" s="8" t="s">
        <v>214</v>
      </c>
      <c r="AG78" s="8" t="s">
        <v>214</v>
      </c>
      <c r="AH78" s="8" t="s">
        <v>214</v>
      </c>
      <c r="AI78" s="8" t="s">
        <v>214</v>
      </c>
      <c r="AJ78" s="8" t="s">
        <v>214</v>
      </c>
      <c r="AK78" s="8" t="s">
        <v>214</v>
      </c>
      <c r="AL78" s="8" t="s">
        <v>214</v>
      </c>
      <c r="AM78" s="8" t="s">
        <v>214</v>
      </c>
      <c r="AN78" s="8" t="s">
        <v>214</v>
      </c>
      <c r="AO78" s="8" t="s">
        <v>214</v>
      </c>
      <c r="AP78" s="8" t="s">
        <v>214</v>
      </c>
      <c r="AQ78" s="8" t="s">
        <v>214</v>
      </c>
      <c r="AR78" s="8" t="s">
        <v>214</v>
      </c>
      <c r="AS78" s="8" t="s">
        <v>214</v>
      </c>
      <c r="AT78" s="8" t="s">
        <v>214</v>
      </c>
      <c r="AU78" s="8" t="s">
        <v>214</v>
      </c>
      <c r="AV78" s="8" t="s">
        <v>214</v>
      </c>
      <c r="AW78" s="8" t="s">
        <v>214</v>
      </c>
      <c r="AX78" s="8" t="s">
        <v>214</v>
      </c>
      <c r="AY78" s="8" t="s">
        <v>214</v>
      </c>
      <c r="AZ78" s="8" t="s">
        <v>214</v>
      </c>
      <c r="BA78" s="8" t="s">
        <v>214</v>
      </c>
      <c r="BB78" s="8" t="s">
        <v>214</v>
      </c>
      <c r="BC78" s="8" t="s">
        <v>214</v>
      </c>
      <c r="BD78" s="8" t="s">
        <v>214</v>
      </c>
      <c r="BE78" s="8" t="s">
        <v>214</v>
      </c>
      <c r="BF78" s="8" t="s">
        <v>214</v>
      </c>
      <c r="BG78" s="8" t="s">
        <v>214</v>
      </c>
      <c r="BH78" s="8" t="s">
        <v>214</v>
      </c>
      <c r="BI78" s="8" t="s">
        <v>214</v>
      </c>
      <c r="BJ78" s="8" t="s">
        <v>214</v>
      </c>
      <c r="BK78" s="8" t="s">
        <v>214</v>
      </c>
      <c r="BL78" s="8" t="s">
        <v>214</v>
      </c>
      <c r="BM78" s="8" t="s">
        <v>214</v>
      </c>
      <c r="BN78" s="8" t="s">
        <v>214</v>
      </c>
      <c r="BO78" s="8" t="s">
        <v>214</v>
      </c>
      <c r="BP78" s="8" t="s">
        <v>214</v>
      </c>
      <c r="BQ78" s="8" t="s">
        <v>214</v>
      </c>
      <c r="BR78" s="8" t="s">
        <v>214</v>
      </c>
      <c r="BS78" s="8" t="s">
        <v>214</v>
      </c>
      <c r="BT78" s="8" t="s">
        <v>214</v>
      </c>
      <c r="BU78" s="8" t="s">
        <v>214</v>
      </c>
      <c r="BV78" s="8" t="s">
        <v>214</v>
      </c>
      <c r="BW78" s="8" t="s">
        <v>214</v>
      </c>
      <c r="BX78" s="8" t="s">
        <v>214</v>
      </c>
      <c r="BY78" s="8" t="s">
        <v>214</v>
      </c>
      <c r="BZ78" s="8" t="s">
        <v>214</v>
      </c>
      <c r="CA78" s="8" t="s">
        <v>214</v>
      </c>
      <c r="CB78" s="8" t="s">
        <v>214</v>
      </c>
      <c r="CC78" s="8" t="s">
        <v>214</v>
      </c>
      <c r="CD78" s="8" t="s">
        <v>214</v>
      </c>
      <c r="CE78" s="8" t="s">
        <v>214</v>
      </c>
      <c r="CF78" s="8" t="s">
        <v>214</v>
      </c>
      <c r="CG78" s="8" t="s">
        <v>214</v>
      </c>
      <c r="CH78" s="8" t="s">
        <v>214</v>
      </c>
      <c r="CI78" s="8" t="s">
        <v>214</v>
      </c>
      <c r="CJ78" s="8" t="s">
        <v>214</v>
      </c>
      <c r="CK78" s="8" t="s">
        <v>214</v>
      </c>
      <c r="CL78" s="8" t="s">
        <v>214</v>
      </c>
      <c r="CM78" s="8" t="s">
        <v>214</v>
      </c>
      <c r="CN78" s="8" t="s">
        <v>214</v>
      </c>
      <c r="CO78" s="8" t="s">
        <v>214</v>
      </c>
      <c r="CP78" s="8" t="s">
        <v>214</v>
      </c>
      <c r="CQ78" s="8" t="s">
        <v>214</v>
      </c>
      <c r="CR78" s="8" t="s">
        <v>214</v>
      </c>
      <c r="CS78" s="8" t="s">
        <v>214</v>
      </c>
      <c r="CT78" s="8" t="s">
        <v>214</v>
      </c>
      <c r="CU78" s="8" t="s">
        <v>214</v>
      </c>
      <c r="CV78" s="8" t="s">
        <v>214</v>
      </c>
      <c r="CW78" s="8" t="s">
        <v>214</v>
      </c>
      <c r="CX78" s="8" t="s">
        <v>214</v>
      </c>
      <c r="CY78" s="8" t="s">
        <v>214</v>
      </c>
      <c r="CZ78" s="8" t="s">
        <v>214</v>
      </c>
      <c r="DA78" s="8" t="s">
        <v>214</v>
      </c>
      <c r="DB78" s="8" t="s">
        <v>214</v>
      </c>
      <c r="DC78" s="8" t="s">
        <v>214</v>
      </c>
      <c r="DD78" s="8" t="s">
        <v>214</v>
      </c>
      <c r="DE78" s="8" t="s">
        <v>214</v>
      </c>
      <c r="DF78" s="8" t="s">
        <v>214</v>
      </c>
      <c r="DG78" s="8" t="s">
        <v>214</v>
      </c>
      <c r="DH78" s="8" t="s">
        <v>214</v>
      </c>
      <c r="DI78" s="8" t="s">
        <v>214</v>
      </c>
      <c r="DJ78" s="8" t="s">
        <v>214</v>
      </c>
      <c r="DK78" s="8" t="s">
        <v>214</v>
      </c>
      <c r="DL78" s="8" t="s">
        <v>214</v>
      </c>
      <c r="DM78" s="8" t="s">
        <v>214</v>
      </c>
      <c r="DN78" s="8" t="s">
        <v>214</v>
      </c>
      <c r="DO78" s="8" t="s">
        <v>214</v>
      </c>
      <c r="DP78" s="8" t="s">
        <v>214</v>
      </c>
      <c r="DQ78" s="8" t="s">
        <v>214</v>
      </c>
      <c r="DR78" s="8" t="s">
        <v>214</v>
      </c>
      <c r="DS78" s="8" t="s">
        <v>214</v>
      </c>
      <c r="DT78" s="8" t="s">
        <v>214</v>
      </c>
      <c r="DU78" s="8" t="s">
        <v>214</v>
      </c>
      <c r="DV78" s="8" t="s">
        <v>214</v>
      </c>
      <c r="DW78" s="8" t="s">
        <v>214</v>
      </c>
      <c r="DX78" s="8" t="s">
        <v>214</v>
      </c>
      <c r="DY78" s="8" t="s">
        <v>214</v>
      </c>
      <c r="DZ78" s="8" t="s">
        <v>214</v>
      </c>
      <c r="EA78" s="8" t="s">
        <v>214</v>
      </c>
      <c r="EB78" s="8" t="s">
        <v>214</v>
      </c>
      <c r="EC78" s="8" t="s">
        <v>214</v>
      </c>
      <c r="ED78" s="8" t="s">
        <v>214</v>
      </c>
      <c r="EE78" s="8" t="s">
        <v>214</v>
      </c>
      <c r="EF78" s="8" t="s">
        <v>214</v>
      </c>
      <c r="EG78" s="8" t="s">
        <v>214</v>
      </c>
      <c r="EH78" s="8" t="s">
        <v>214</v>
      </c>
      <c r="EI78" s="8" t="s">
        <v>214</v>
      </c>
      <c r="EJ78" s="8" t="s">
        <v>214</v>
      </c>
      <c r="EK78" s="8" t="s">
        <v>214</v>
      </c>
      <c r="EL78" s="8" t="s">
        <v>214</v>
      </c>
      <c r="EM78" s="8" t="s">
        <v>214</v>
      </c>
      <c r="EN78" s="8" t="s">
        <v>214</v>
      </c>
      <c r="EO78" s="8" t="s">
        <v>214</v>
      </c>
      <c r="EP78" s="8" t="s">
        <v>214</v>
      </c>
      <c r="EQ78" s="8" t="s">
        <v>214</v>
      </c>
      <c r="ER78" s="8" t="s">
        <v>214</v>
      </c>
      <c r="ES78" s="8" t="s">
        <v>214</v>
      </c>
      <c r="ET78" s="8" t="s">
        <v>214</v>
      </c>
      <c r="EU78" s="8" t="s">
        <v>214</v>
      </c>
      <c r="EV78" s="8" t="s">
        <v>214</v>
      </c>
      <c r="EW78" s="8" t="s">
        <v>214</v>
      </c>
      <c r="EX78" s="8" t="s">
        <v>214</v>
      </c>
      <c r="EY78" s="8" t="s">
        <v>214</v>
      </c>
      <c r="EZ78" s="8" t="s">
        <v>217</v>
      </c>
      <c r="FA78" s="8" t="s">
        <v>217</v>
      </c>
      <c r="FB78" s="8" t="s">
        <v>214</v>
      </c>
      <c r="FC78" s="8" t="s">
        <v>214</v>
      </c>
      <c r="FD78" s="8" t="s">
        <v>214</v>
      </c>
      <c r="FE78" s="8" t="s">
        <v>214</v>
      </c>
      <c r="FF78" s="8" t="s">
        <v>214</v>
      </c>
      <c r="FG78" s="8" t="s">
        <v>214</v>
      </c>
      <c r="FH78" s="8" t="s">
        <v>214</v>
      </c>
      <c r="FI78" s="8" t="s">
        <v>214</v>
      </c>
      <c r="FJ78" s="8" t="s">
        <v>214</v>
      </c>
      <c r="FK78" s="8" t="s">
        <v>218</v>
      </c>
      <c r="FL78" s="8" t="s">
        <v>214</v>
      </c>
    </row>
    <row r="79" spans="1:168" ht="15" x14ac:dyDescent="0.25">
      <c r="A79" s="5" t="s">
        <v>193</v>
      </c>
      <c r="B79" s="5" t="s">
        <v>6</v>
      </c>
      <c r="C79" s="7" t="s">
        <v>214</v>
      </c>
      <c r="D79" s="7" t="s">
        <v>214</v>
      </c>
      <c r="E79" s="7" t="s">
        <v>214</v>
      </c>
      <c r="F79" s="7" t="s">
        <v>214</v>
      </c>
      <c r="G79" s="7" t="s">
        <v>214</v>
      </c>
      <c r="H79" s="7" t="s">
        <v>214</v>
      </c>
      <c r="I79" s="7" t="s">
        <v>214</v>
      </c>
      <c r="J79" s="7" t="s">
        <v>214</v>
      </c>
      <c r="K79" s="7" t="s">
        <v>214</v>
      </c>
      <c r="L79" s="7" t="s">
        <v>214</v>
      </c>
      <c r="M79" s="7" t="s">
        <v>214</v>
      </c>
      <c r="N79" s="7" t="s">
        <v>214</v>
      </c>
      <c r="O79" s="7" t="s">
        <v>214</v>
      </c>
      <c r="P79" s="7" t="s">
        <v>214</v>
      </c>
      <c r="Q79" s="7" t="s">
        <v>214</v>
      </c>
      <c r="R79" s="7" t="s">
        <v>214</v>
      </c>
      <c r="S79" s="7" t="s">
        <v>214</v>
      </c>
      <c r="T79" s="7" t="s">
        <v>214</v>
      </c>
      <c r="U79" s="7" t="s">
        <v>214</v>
      </c>
      <c r="V79" s="7" t="s">
        <v>214</v>
      </c>
      <c r="W79" s="7" t="s">
        <v>214</v>
      </c>
      <c r="X79" s="7" t="s">
        <v>214</v>
      </c>
      <c r="Y79" s="7" t="s">
        <v>214</v>
      </c>
      <c r="Z79" s="7" t="s">
        <v>214</v>
      </c>
      <c r="AA79" s="7" t="s">
        <v>214</v>
      </c>
      <c r="AB79" s="7" t="s">
        <v>214</v>
      </c>
      <c r="AC79" s="7" t="s">
        <v>214</v>
      </c>
      <c r="AD79" s="7" t="s">
        <v>214</v>
      </c>
      <c r="AE79" s="7" t="s">
        <v>214</v>
      </c>
      <c r="AF79" s="7" t="s">
        <v>214</v>
      </c>
      <c r="AG79" s="7" t="s">
        <v>214</v>
      </c>
      <c r="AH79" s="7" t="s">
        <v>214</v>
      </c>
      <c r="AI79" s="7" t="s">
        <v>214</v>
      </c>
      <c r="AJ79" s="7" t="s">
        <v>214</v>
      </c>
      <c r="AK79" s="7" t="s">
        <v>214</v>
      </c>
      <c r="AL79" s="7" t="s">
        <v>214</v>
      </c>
      <c r="AM79" s="7" t="s">
        <v>214</v>
      </c>
      <c r="AN79" s="7" t="s">
        <v>214</v>
      </c>
      <c r="AO79" s="7" t="s">
        <v>214</v>
      </c>
      <c r="AP79" s="7" t="s">
        <v>214</v>
      </c>
      <c r="AQ79" s="7" t="s">
        <v>214</v>
      </c>
      <c r="AR79" s="7" t="s">
        <v>214</v>
      </c>
      <c r="AS79" s="7" t="s">
        <v>214</v>
      </c>
      <c r="AT79" s="7" t="s">
        <v>214</v>
      </c>
      <c r="AU79" s="7" t="s">
        <v>214</v>
      </c>
      <c r="AV79" s="7" t="s">
        <v>214</v>
      </c>
      <c r="AW79" s="7" t="s">
        <v>214</v>
      </c>
      <c r="AX79" s="7" t="s">
        <v>214</v>
      </c>
      <c r="AY79" s="7" t="s">
        <v>214</v>
      </c>
      <c r="AZ79" s="7" t="s">
        <v>214</v>
      </c>
      <c r="BA79" s="7" t="s">
        <v>214</v>
      </c>
      <c r="BB79" s="7" t="s">
        <v>214</v>
      </c>
      <c r="BC79" s="7" t="s">
        <v>214</v>
      </c>
      <c r="BD79" s="7" t="s">
        <v>214</v>
      </c>
      <c r="BE79" s="7" t="s">
        <v>214</v>
      </c>
      <c r="BF79" s="7" t="s">
        <v>214</v>
      </c>
      <c r="BG79" s="7" t="s">
        <v>214</v>
      </c>
      <c r="BH79" s="7" t="s">
        <v>214</v>
      </c>
      <c r="BI79" s="7" t="s">
        <v>214</v>
      </c>
      <c r="BJ79" s="7" t="s">
        <v>214</v>
      </c>
      <c r="BK79" s="7" t="s">
        <v>214</v>
      </c>
      <c r="BL79" s="7" t="s">
        <v>214</v>
      </c>
      <c r="BM79" s="7" t="s">
        <v>214</v>
      </c>
      <c r="BN79" s="7" t="s">
        <v>214</v>
      </c>
      <c r="BO79" s="7" t="s">
        <v>214</v>
      </c>
      <c r="BP79" s="7" t="s">
        <v>214</v>
      </c>
      <c r="BQ79" s="7" t="s">
        <v>214</v>
      </c>
      <c r="BR79" s="7" t="s">
        <v>214</v>
      </c>
      <c r="BS79" s="7" t="s">
        <v>214</v>
      </c>
      <c r="BT79" s="7" t="s">
        <v>214</v>
      </c>
      <c r="BU79" s="7" t="s">
        <v>214</v>
      </c>
      <c r="BV79" s="7" t="s">
        <v>214</v>
      </c>
      <c r="BW79" s="7" t="s">
        <v>214</v>
      </c>
      <c r="BX79" s="7" t="s">
        <v>214</v>
      </c>
      <c r="BY79" s="7" t="s">
        <v>214</v>
      </c>
      <c r="BZ79" s="7" t="s">
        <v>214</v>
      </c>
      <c r="CA79" s="7" t="s">
        <v>214</v>
      </c>
      <c r="CB79" s="7" t="s">
        <v>214</v>
      </c>
      <c r="CC79" s="7" t="s">
        <v>214</v>
      </c>
      <c r="CD79" s="7" t="s">
        <v>214</v>
      </c>
      <c r="CE79" s="7" t="s">
        <v>214</v>
      </c>
      <c r="CF79" s="7" t="s">
        <v>214</v>
      </c>
      <c r="CG79" s="7" t="s">
        <v>214</v>
      </c>
      <c r="CH79" s="7" t="s">
        <v>214</v>
      </c>
      <c r="CI79" s="7" t="s">
        <v>214</v>
      </c>
      <c r="CJ79" s="7" t="s">
        <v>214</v>
      </c>
      <c r="CK79" s="7" t="s">
        <v>214</v>
      </c>
      <c r="CL79" s="7" t="s">
        <v>214</v>
      </c>
      <c r="CM79" s="7" t="s">
        <v>214</v>
      </c>
      <c r="CN79" s="7" t="s">
        <v>214</v>
      </c>
      <c r="CO79" s="7" t="s">
        <v>214</v>
      </c>
      <c r="CP79" s="7" t="s">
        <v>214</v>
      </c>
      <c r="CQ79" s="7" t="s">
        <v>214</v>
      </c>
      <c r="CR79" s="7" t="s">
        <v>214</v>
      </c>
      <c r="CS79" s="7" t="s">
        <v>214</v>
      </c>
      <c r="CT79" s="7" t="s">
        <v>214</v>
      </c>
      <c r="CU79" s="7" t="s">
        <v>214</v>
      </c>
      <c r="CV79" s="7" t="s">
        <v>214</v>
      </c>
      <c r="CW79" s="7" t="s">
        <v>214</v>
      </c>
      <c r="CX79" s="7" t="s">
        <v>214</v>
      </c>
      <c r="CY79" s="7" t="s">
        <v>214</v>
      </c>
      <c r="CZ79" s="7" t="s">
        <v>214</v>
      </c>
      <c r="DA79" s="7" t="s">
        <v>214</v>
      </c>
      <c r="DB79" s="7" t="s">
        <v>214</v>
      </c>
      <c r="DC79" s="7" t="s">
        <v>214</v>
      </c>
      <c r="DD79" s="7" t="s">
        <v>214</v>
      </c>
      <c r="DE79" s="7" t="s">
        <v>214</v>
      </c>
      <c r="DF79" s="7" t="s">
        <v>214</v>
      </c>
      <c r="DG79" s="7" t="s">
        <v>214</v>
      </c>
      <c r="DH79" s="7" t="s">
        <v>214</v>
      </c>
      <c r="DI79" s="7" t="s">
        <v>214</v>
      </c>
      <c r="DJ79" s="7" t="s">
        <v>214</v>
      </c>
      <c r="DK79" s="7" t="s">
        <v>214</v>
      </c>
      <c r="DL79" s="7" t="s">
        <v>214</v>
      </c>
      <c r="DM79" s="7" t="s">
        <v>214</v>
      </c>
      <c r="DN79" s="7" t="s">
        <v>214</v>
      </c>
      <c r="DO79" s="7" t="s">
        <v>214</v>
      </c>
      <c r="DP79" s="7" t="s">
        <v>214</v>
      </c>
      <c r="DQ79" s="7" t="s">
        <v>214</v>
      </c>
      <c r="DR79" s="7" t="s">
        <v>214</v>
      </c>
      <c r="DS79" s="7" t="s">
        <v>214</v>
      </c>
      <c r="DT79" s="7" t="s">
        <v>214</v>
      </c>
      <c r="DU79" s="7" t="s">
        <v>214</v>
      </c>
      <c r="DV79" s="7" t="s">
        <v>214</v>
      </c>
      <c r="DW79" s="7" t="s">
        <v>214</v>
      </c>
      <c r="DX79" s="7" t="s">
        <v>214</v>
      </c>
      <c r="DY79" s="7" t="s">
        <v>214</v>
      </c>
      <c r="DZ79" s="7" t="s">
        <v>214</v>
      </c>
      <c r="EA79" s="7" t="s">
        <v>214</v>
      </c>
      <c r="EB79" s="7" t="s">
        <v>214</v>
      </c>
      <c r="EC79" s="7" t="s">
        <v>214</v>
      </c>
      <c r="ED79" s="7" t="s">
        <v>214</v>
      </c>
      <c r="EE79" s="7" t="s">
        <v>214</v>
      </c>
      <c r="EF79" s="7" t="s">
        <v>214</v>
      </c>
      <c r="EG79" s="7" t="s">
        <v>214</v>
      </c>
      <c r="EH79" s="7" t="s">
        <v>214</v>
      </c>
      <c r="EI79" s="7" t="s">
        <v>214</v>
      </c>
      <c r="EJ79" s="7" t="s">
        <v>214</v>
      </c>
      <c r="EK79" s="7" t="s">
        <v>214</v>
      </c>
      <c r="EL79" s="7" t="s">
        <v>214</v>
      </c>
      <c r="EM79" s="7" t="s">
        <v>214</v>
      </c>
      <c r="EN79" s="7" t="s">
        <v>214</v>
      </c>
      <c r="EO79" s="7" t="s">
        <v>214</v>
      </c>
      <c r="EP79" s="7" t="s">
        <v>214</v>
      </c>
      <c r="EQ79" s="7" t="s">
        <v>218</v>
      </c>
      <c r="ER79" s="7" t="s">
        <v>214</v>
      </c>
      <c r="ES79" s="7" t="s">
        <v>214</v>
      </c>
      <c r="ET79" s="7" t="s">
        <v>214</v>
      </c>
      <c r="EU79" s="7" t="s">
        <v>214</v>
      </c>
      <c r="EV79" s="7" t="s">
        <v>214</v>
      </c>
      <c r="EW79" s="7" t="s">
        <v>214</v>
      </c>
      <c r="EX79" s="7" t="s">
        <v>214</v>
      </c>
      <c r="EY79" s="7" t="s">
        <v>214</v>
      </c>
      <c r="EZ79" s="7" t="s">
        <v>214</v>
      </c>
      <c r="FA79" s="7" t="s">
        <v>214</v>
      </c>
      <c r="FB79" s="7" t="s">
        <v>214</v>
      </c>
      <c r="FC79" s="7" t="s">
        <v>214</v>
      </c>
      <c r="FD79" s="7" t="s">
        <v>214</v>
      </c>
      <c r="FE79" s="7" t="s">
        <v>214</v>
      </c>
      <c r="FF79" s="7" t="s">
        <v>214</v>
      </c>
      <c r="FG79" s="7" t="s">
        <v>214</v>
      </c>
      <c r="FH79" s="7" t="s">
        <v>214</v>
      </c>
      <c r="FI79" s="7" t="s">
        <v>214</v>
      </c>
      <c r="FJ79" s="7" t="s">
        <v>214</v>
      </c>
      <c r="FK79" s="7" t="s">
        <v>214</v>
      </c>
      <c r="FL79" s="7" t="s">
        <v>214</v>
      </c>
    </row>
    <row r="80" spans="1:168" ht="15" x14ac:dyDescent="0.25">
      <c r="A80" s="5" t="s">
        <v>193</v>
      </c>
      <c r="B80" s="5" t="s">
        <v>7</v>
      </c>
      <c r="C80" s="8" t="s">
        <v>217</v>
      </c>
      <c r="D80" s="8" t="s">
        <v>217</v>
      </c>
      <c r="E80" s="8" t="s">
        <v>214</v>
      </c>
      <c r="F80" s="8" t="s">
        <v>214</v>
      </c>
      <c r="G80" s="8" t="s">
        <v>214</v>
      </c>
      <c r="H80" s="8" t="s">
        <v>214</v>
      </c>
      <c r="I80" s="8" t="s">
        <v>214</v>
      </c>
      <c r="J80" s="8" t="s">
        <v>214</v>
      </c>
      <c r="K80" s="8" t="s">
        <v>214</v>
      </c>
      <c r="L80" s="8" t="s">
        <v>214</v>
      </c>
      <c r="M80" s="8" t="s">
        <v>214</v>
      </c>
      <c r="N80" s="8" t="s">
        <v>214</v>
      </c>
      <c r="O80" s="8" t="s">
        <v>214</v>
      </c>
      <c r="P80" s="8" t="s">
        <v>214</v>
      </c>
      <c r="Q80" s="8" t="s">
        <v>214</v>
      </c>
      <c r="R80" s="8" t="s">
        <v>214</v>
      </c>
      <c r="S80" s="8" t="s">
        <v>214</v>
      </c>
      <c r="T80" s="8" t="s">
        <v>214</v>
      </c>
      <c r="U80" s="8" t="s">
        <v>214</v>
      </c>
      <c r="V80" s="8" t="s">
        <v>214</v>
      </c>
      <c r="W80" s="8" t="s">
        <v>214</v>
      </c>
      <c r="X80" s="8" t="s">
        <v>214</v>
      </c>
      <c r="Y80" s="8" t="s">
        <v>214</v>
      </c>
      <c r="Z80" s="8" t="s">
        <v>214</v>
      </c>
      <c r="AA80" s="8" t="s">
        <v>214</v>
      </c>
      <c r="AB80" s="8" t="s">
        <v>214</v>
      </c>
      <c r="AC80" s="8" t="s">
        <v>214</v>
      </c>
      <c r="AD80" s="8" t="s">
        <v>214</v>
      </c>
      <c r="AE80" s="8" t="s">
        <v>214</v>
      </c>
      <c r="AF80" s="8" t="s">
        <v>214</v>
      </c>
      <c r="AG80" s="8" t="s">
        <v>214</v>
      </c>
      <c r="AH80" s="8" t="s">
        <v>214</v>
      </c>
      <c r="AI80" s="8" t="s">
        <v>214</v>
      </c>
      <c r="AJ80" s="8" t="s">
        <v>214</v>
      </c>
      <c r="AK80" s="8" t="s">
        <v>214</v>
      </c>
      <c r="AL80" s="8" t="s">
        <v>214</v>
      </c>
      <c r="AM80" s="8" t="s">
        <v>214</v>
      </c>
      <c r="AN80" s="8" t="s">
        <v>214</v>
      </c>
      <c r="AO80" s="8" t="s">
        <v>214</v>
      </c>
      <c r="AP80" s="8" t="s">
        <v>214</v>
      </c>
      <c r="AQ80" s="8" t="s">
        <v>214</v>
      </c>
      <c r="AR80" s="8" t="s">
        <v>214</v>
      </c>
      <c r="AS80" s="8" t="s">
        <v>214</v>
      </c>
      <c r="AT80" s="8" t="s">
        <v>214</v>
      </c>
      <c r="AU80" s="8" t="s">
        <v>214</v>
      </c>
      <c r="AV80" s="8" t="s">
        <v>214</v>
      </c>
      <c r="AW80" s="8" t="s">
        <v>214</v>
      </c>
      <c r="AX80" s="8" t="s">
        <v>214</v>
      </c>
      <c r="AY80" s="8" t="s">
        <v>214</v>
      </c>
      <c r="AZ80" s="8" t="s">
        <v>214</v>
      </c>
      <c r="BA80" s="8" t="s">
        <v>214</v>
      </c>
      <c r="BB80" s="8" t="s">
        <v>214</v>
      </c>
      <c r="BC80" s="8" t="s">
        <v>214</v>
      </c>
      <c r="BD80" s="8" t="s">
        <v>214</v>
      </c>
      <c r="BE80" s="8" t="s">
        <v>214</v>
      </c>
      <c r="BF80" s="8" t="s">
        <v>214</v>
      </c>
      <c r="BG80" s="8" t="s">
        <v>214</v>
      </c>
      <c r="BH80" s="8" t="s">
        <v>214</v>
      </c>
      <c r="BI80" s="8" t="s">
        <v>214</v>
      </c>
      <c r="BJ80" s="8" t="s">
        <v>214</v>
      </c>
      <c r="BK80" s="8" t="s">
        <v>214</v>
      </c>
      <c r="BL80" s="8" t="s">
        <v>214</v>
      </c>
      <c r="BM80" s="8" t="s">
        <v>214</v>
      </c>
      <c r="BN80" s="8" t="s">
        <v>214</v>
      </c>
      <c r="BO80" s="8" t="s">
        <v>214</v>
      </c>
      <c r="BP80" s="8" t="s">
        <v>214</v>
      </c>
      <c r="BQ80" s="8" t="s">
        <v>214</v>
      </c>
      <c r="BR80" s="8" t="s">
        <v>214</v>
      </c>
      <c r="BS80" s="8" t="s">
        <v>214</v>
      </c>
      <c r="BT80" s="8" t="s">
        <v>214</v>
      </c>
      <c r="BU80" s="8" t="s">
        <v>214</v>
      </c>
      <c r="BV80" s="8" t="s">
        <v>214</v>
      </c>
      <c r="BW80" s="8" t="s">
        <v>214</v>
      </c>
      <c r="BX80" s="8" t="s">
        <v>214</v>
      </c>
      <c r="BY80" s="8" t="s">
        <v>214</v>
      </c>
      <c r="BZ80" s="8" t="s">
        <v>214</v>
      </c>
      <c r="CA80" s="8" t="s">
        <v>214</v>
      </c>
      <c r="CB80" s="8" t="s">
        <v>214</v>
      </c>
      <c r="CC80" s="8" t="s">
        <v>214</v>
      </c>
      <c r="CD80" s="8" t="s">
        <v>214</v>
      </c>
      <c r="CE80" s="8" t="s">
        <v>214</v>
      </c>
      <c r="CF80" s="8" t="s">
        <v>214</v>
      </c>
      <c r="CG80" s="8" t="s">
        <v>214</v>
      </c>
      <c r="CH80" s="8" t="s">
        <v>214</v>
      </c>
      <c r="CI80" s="8" t="s">
        <v>214</v>
      </c>
      <c r="CJ80" s="8" t="s">
        <v>214</v>
      </c>
      <c r="CK80" s="8" t="s">
        <v>214</v>
      </c>
      <c r="CL80" s="8" t="s">
        <v>214</v>
      </c>
      <c r="CM80" s="8" t="s">
        <v>214</v>
      </c>
      <c r="CN80" s="8" t="s">
        <v>214</v>
      </c>
      <c r="CO80" s="8" t="s">
        <v>214</v>
      </c>
      <c r="CP80" s="8" t="s">
        <v>214</v>
      </c>
      <c r="CQ80" s="8" t="s">
        <v>214</v>
      </c>
      <c r="CR80" s="8" t="s">
        <v>214</v>
      </c>
      <c r="CS80" s="8" t="s">
        <v>214</v>
      </c>
      <c r="CT80" s="8" t="s">
        <v>214</v>
      </c>
      <c r="CU80" s="8" t="s">
        <v>214</v>
      </c>
      <c r="CV80" s="8" t="s">
        <v>214</v>
      </c>
      <c r="CW80" s="8" t="s">
        <v>214</v>
      </c>
      <c r="CX80" s="8" t="s">
        <v>214</v>
      </c>
      <c r="CY80" s="8" t="s">
        <v>214</v>
      </c>
      <c r="CZ80" s="8" t="s">
        <v>214</v>
      </c>
      <c r="DA80" s="8" t="s">
        <v>214</v>
      </c>
      <c r="DB80" s="8" t="s">
        <v>214</v>
      </c>
      <c r="DC80" s="8" t="s">
        <v>214</v>
      </c>
      <c r="DD80" s="8" t="s">
        <v>214</v>
      </c>
      <c r="DE80" s="8" t="s">
        <v>214</v>
      </c>
      <c r="DF80" s="8" t="s">
        <v>214</v>
      </c>
      <c r="DG80" s="8" t="s">
        <v>214</v>
      </c>
      <c r="DH80" s="8" t="s">
        <v>214</v>
      </c>
      <c r="DI80" s="8" t="s">
        <v>214</v>
      </c>
      <c r="DJ80" s="8" t="s">
        <v>214</v>
      </c>
      <c r="DK80" s="8" t="s">
        <v>214</v>
      </c>
      <c r="DL80" s="8" t="s">
        <v>214</v>
      </c>
      <c r="DM80" s="8" t="s">
        <v>214</v>
      </c>
      <c r="DN80" s="8" t="s">
        <v>214</v>
      </c>
      <c r="DO80" s="8" t="s">
        <v>214</v>
      </c>
      <c r="DP80" s="8" t="s">
        <v>214</v>
      </c>
      <c r="DQ80" s="8" t="s">
        <v>214</v>
      </c>
      <c r="DR80" s="8" t="s">
        <v>214</v>
      </c>
      <c r="DS80" s="8" t="s">
        <v>214</v>
      </c>
      <c r="DT80" s="8" t="s">
        <v>214</v>
      </c>
      <c r="DU80" s="8" t="s">
        <v>214</v>
      </c>
      <c r="DV80" s="8" t="s">
        <v>214</v>
      </c>
      <c r="DW80" s="8" t="s">
        <v>218</v>
      </c>
      <c r="DX80" s="8" t="s">
        <v>214</v>
      </c>
      <c r="DY80" s="8" t="s">
        <v>214</v>
      </c>
      <c r="DZ80" s="8" t="s">
        <v>214</v>
      </c>
      <c r="EA80" s="8" t="s">
        <v>218</v>
      </c>
      <c r="EB80" s="8" t="s">
        <v>214</v>
      </c>
      <c r="EC80" s="8" t="s">
        <v>214</v>
      </c>
      <c r="ED80" s="8" t="s">
        <v>214</v>
      </c>
      <c r="EE80" s="8" t="s">
        <v>214</v>
      </c>
      <c r="EF80" s="8" t="s">
        <v>214</v>
      </c>
      <c r="EG80" s="8" t="s">
        <v>214</v>
      </c>
      <c r="EH80" s="8" t="s">
        <v>214</v>
      </c>
      <c r="EI80" s="8" t="s">
        <v>217</v>
      </c>
      <c r="EJ80" s="8" t="s">
        <v>214</v>
      </c>
      <c r="EK80" s="8" t="s">
        <v>214</v>
      </c>
      <c r="EL80" s="8" t="s">
        <v>214</v>
      </c>
      <c r="EM80" s="8" t="s">
        <v>214</v>
      </c>
      <c r="EN80" s="8" t="s">
        <v>214</v>
      </c>
      <c r="EO80" s="8" t="s">
        <v>214</v>
      </c>
      <c r="EP80" s="8" t="s">
        <v>214</v>
      </c>
      <c r="EQ80" s="8" t="s">
        <v>218</v>
      </c>
      <c r="ER80" s="8" t="s">
        <v>214</v>
      </c>
      <c r="ES80" s="8" t="s">
        <v>214</v>
      </c>
      <c r="ET80" s="8" t="s">
        <v>214</v>
      </c>
      <c r="EU80" s="8" t="s">
        <v>214</v>
      </c>
      <c r="EV80" s="8" t="s">
        <v>214</v>
      </c>
      <c r="EW80" s="8" t="s">
        <v>214</v>
      </c>
      <c r="EX80" s="8" t="s">
        <v>214</v>
      </c>
      <c r="EY80" s="8" t="s">
        <v>214</v>
      </c>
      <c r="EZ80" s="8" t="s">
        <v>214</v>
      </c>
      <c r="FA80" s="8" t="s">
        <v>214</v>
      </c>
      <c r="FB80" s="8" t="s">
        <v>214</v>
      </c>
      <c r="FC80" s="8" t="s">
        <v>214</v>
      </c>
      <c r="FD80" s="8" t="s">
        <v>214</v>
      </c>
      <c r="FE80" s="8" t="s">
        <v>214</v>
      </c>
      <c r="FF80" s="8" t="s">
        <v>214</v>
      </c>
      <c r="FG80" s="8" t="s">
        <v>214</v>
      </c>
      <c r="FH80" s="8" t="s">
        <v>214</v>
      </c>
      <c r="FI80" s="8" t="s">
        <v>214</v>
      </c>
      <c r="FJ80" s="8" t="s">
        <v>214</v>
      </c>
      <c r="FK80" s="8" t="s">
        <v>214</v>
      </c>
      <c r="FL80" s="8" t="s">
        <v>214</v>
      </c>
    </row>
    <row r="81" spans="1:168" ht="15" x14ac:dyDescent="0.25">
      <c r="A81" s="5" t="s">
        <v>193</v>
      </c>
      <c r="B81" s="5" t="s">
        <v>8</v>
      </c>
      <c r="C81" s="7" t="s">
        <v>217</v>
      </c>
      <c r="D81" s="7" t="s">
        <v>217</v>
      </c>
      <c r="E81" s="7" t="s">
        <v>214</v>
      </c>
      <c r="F81" s="7" t="s">
        <v>214</v>
      </c>
      <c r="G81" s="7" t="s">
        <v>214</v>
      </c>
      <c r="H81" s="7" t="s">
        <v>214</v>
      </c>
      <c r="I81" s="7" t="s">
        <v>214</v>
      </c>
      <c r="J81" s="7" t="s">
        <v>214</v>
      </c>
      <c r="K81" s="7" t="s">
        <v>214</v>
      </c>
      <c r="L81" s="7" t="s">
        <v>214</v>
      </c>
      <c r="M81" s="7" t="s">
        <v>214</v>
      </c>
      <c r="N81" s="7" t="s">
        <v>214</v>
      </c>
      <c r="O81" s="7" t="s">
        <v>214</v>
      </c>
      <c r="P81" s="7" t="s">
        <v>214</v>
      </c>
      <c r="Q81" s="7" t="s">
        <v>214</v>
      </c>
      <c r="R81" s="7" t="s">
        <v>214</v>
      </c>
      <c r="S81" s="7" t="s">
        <v>214</v>
      </c>
      <c r="T81" s="7" t="s">
        <v>214</v>
      </c>
      <c r="U81" s="7" t="s">
        <v>214</v>
      </c>
      <c r="V81" s="7" t="s">
        <v>214</v>
      </c>
      <c r="W81" s="7" t="s">
        <v>214</v>
      </c>
      <c r="X81" s="7" t="s">
        <v>214</v>
      </c>
      <c r="Y81" s="7" t="s">
        <v>214</v>
      </c>
      <c r="Z81" s="7" t="s">
        <v>214</v>
      </c>
      <c r="AA81" s="7" t="s">
        <v>214</v>
      </c>
      <c r="AB81" s="7" t="s">
        <v>214</v>
      </c>
      <c r="AC81" s="7" t="s">
        <v>214</v>
      </c>
      <c r="AD81" s="7" t="s">
        <v>214</v>
      </c>
      <c r="AE81" s="7" t="s">
        <v>214</v>
      </c>
      <c r="AF81" s="7" t="s">
        <v>214</v>
      </c>
      <c r="AG81" s="7" t="s">
        <v>214</v>
      </c>
      <c r="AH81" s="7" t="s">
        <v>214</v>
      </c>
      <c r="AI81" s="7" t="s">
        <v>214</v>
      </c>
      <c r="AJ81" s="7" t="s">
        <v>214</v>
      </c>
      <c r="AK81" s="7" t="s">
        <v>214</v>
      </c>
      <c r="AL81" s="7" t="s">
        <v>214</v>
      </c>
      <c r="AM81" s="7" t="s">
        <v>214</v>
      </c>
      <c r="AN81" s="7" t="s">
        <v>214</v>
      </c>
      <c r="AO81" s="7" t="s">
        <v>214</v>
      </c>
      <c r="AP81" s="7" t="s">
        <v>214</v>
      </c>
      <c r="AQ81" s="7" t="s">
        <v>214</v>
      </c>
      <c r="AR81" s="7" t="s">
        <v>214</v>
      </c>
      <c r="AS81" s="7" t="s">
        <v>214</v>
      </c>
      <c r="AT81" s="7" t="s">
        <v>214</v>
      </c>
      <c r="AU81" s="7" t="s">
        <v>214</v>
      </c>
      <c r="AV81" s="7" t="s">
        <v>214</v>
      </c>
      <c r="AW81" s="7" t="s">
        <v>214</v>
      </c>
      <c r="AX81" s="7" t="s">
        <v>214</v>
      </c>
      <c r="AY81" s="7" t="s">
        <v>214</v>
      </c>
      <c r="AZ81" s="7" t="s">
        <v>214</v>
      </c>
      <c r="BA81" s="7" t="s">
        <v>218</v>
      </c>
      <c r="BB81" s="7" t="s">
        <v>214</v>
      </c>
      <c r="BC81" s="7" t="s">
        <v>214</v>
      </c>
      <c r="BD81" s="7" t="s">
        <v>214</v>
      </c>
      <c r="BE81" s="7" t="s">
        <v>214</v>
      </c>
      <c r="BF81" s="7" t="s">
        <v>214</v>
      </c>
      <c r="BG81" s="7" t="s">
        <v>214</v>
      </c>
      <c r="BH81" s="7" t="s">
        <v>214</v>
      </c>
      <c r="BI81" s="7" t="s">
        <v>214</v>
      </c>
      <c r="BJ81" s="7" t="s">
        <v>218</v>
      </c>
      <c r="BK81" s="7" t="s">
        <v>214</v>
      </c>
      <c r="BL81" s="7" t="s">
        <v>214</v>
      </c>
      <c r="BM81" s="7" t="s">
        <v>214</v>
      </c>
      <c r="BN81" s="7" t="s">
        <v>214</v>
      </c>
      <c r="BO81" s="7" t="s">
        <v>214</v>
      </c>
      <c r="BP81" s="7" t="s">
        <v>214</v>
      </c>
      <c r="BQ81" s="7" t="s">
        <v>214</v>
      </c>
      <c r="BR81" s="7" t="s">
        <v>214</v>
      </c>
      <c r="BS81" s="7" t="s">
        <v>214</v>
      </c>
      <c r="BT81" s="7" t="s">
        <v>214</v>
      </c>
      <c r="BU81" s="7" t="s">
        <v>214</v>
      </c>
      <c r="BV81" s="7" t="s">
        <v>218</v>
      </c>
      <c r="BW81" s="7" t="s">
        <v>214</v>
      </c>
      <c r="BX81" s="7" t="s">
        <v>214</v>
      </c>
      <c r="BY81" s="7" t="s">
        <v>214</v>
      </c>
      <c r="BZ81" s="7" t="s">
        <v>214</v>
      </c>
      <c r="CA81" s="7" t="s">
        <v>214</v>
      </c>
      <c r="CB81" s="7" t="s">
        <v>214</v>
      </c>
      <c r="CC81" s="7" t="s">
        <v>214</v>
      </c>
      <c r="CD81" s="7" t="s">
        <v>214</v>
      </c>
      <c r="CE81" s="7" t="s">
        <v>214</v>
      </c>
      <c r="CF81" s="7" t="s">
        <v>214</v>
      </c>
      <c r="CG81" s="7" t="s">
        <v>214</v>
      </c>
      <c r="CH81" s="7" t="s">
        <v>214</v>
      </c>
      <c r="CI81" s="7" t="s">
        <v>214</v>
      </c>
      <c r="CJ81" s="7" t="s">
        <v>214</v>
      </c>
      <c r="CK81" s="7" t="s">
        <v>214</v>
      </c>
      <c r="CL81" s="7" t="s">
        <v>214</v>
      </c>
      <c r="CM81" s="7" t="s">
        <v>214</v>
      </c>
      <c r="CN81" s="7" t="s">
        <v>214</v>
      </c>
      <c r="CO81" s="7" t="s">
        <v>214</v>
      </c>
      <c r="CP81" s="7" t="s">
        <v>214</v>
      </c>
      <c r="CQ81" s="7" t="s">
        <v>214</v>
      </c>
      <c r="CR81" s="7" t="s">
        <v>214</v>
      </c>
      <c r="CS81" s="7" t="s">
        <v>214</v>
      </c>
      <c r="CT81" s="7" t="s">
        <v>214</v>
      </c>
      <c r="CU81" s="7" t="s">
        <v>214</v>
      </c>
      <c r="CV81" s="7" t="s">
        <v>214</v>
      </c>
      <c r="CW81" s="7" t="s">
        <v>214</v>
      </c>
      <c r="CX81" s="7" t="s">
        <v>214</v>
      </c>
      <c r="CY81" s="7" t="s">
        <v>214</v>
      </c>
      <c r="CZ81" s="7" t="s">
        <v>214</v>
      </c>
      <c r="DA81" s="7" t="s">
        <v>214</v>
      </c>
      <c r="DB81" s="7" t="s">
        <v>214</v>
      </c>
      <c r="DC81" s="7" t="s">
        <v>218</v>
      </c>
      <c r="DD81" s="7" t="s">
        <v>214</v>
      </c>
      <c r="DE81" s="7" t="s">
        <v>214</v>
      </c>
      <c r="DF81" s="7" t="s">
        <v>214</v>
      </c>
      <c r="DG81" s="7" t="s">
        <v>214</v>
      </c>
      <c r="DH81" s="7" t="s">
        <v>214</v>
      </c>
      <c r="DI81" s="7" t="s">
        <v>214</v>
      </c>
      <c r="DJ81" s="7" t="s">
        <v>214</v>
      </c>
      <c r="DK81" s="7" t="s">
        <v>214</v>
      </c>
      <c r="DL81" s="7" t="s">
        <v>214</v>
      </c>
      <c r="DM81" s="7" t="s">
        <v>214</v>
      </c>
      <c r="DN81" s="7" t="s">
        <v>214</v>
      </c>
      <c r="DO81" s="7" t="s">
        <v>214</v>
      </c>
      <c r="DP81" s="7" t="s">
        <v>214</v>
      </c>
      <c r="DQ81" s="7" t="s">
        <v>214</v>
      </c>
      <c r="DR81" s="7" t="s">
        <v>214</v>
      </c>
      <c r="DS81" s="7" t="s">
        <v>214</v>
      </c>
      <c r="DT81" s="7" t="s">
        <v>214</v>
      </c>
      <c r="DU81" s="7" t="s">
        <v>214</v>
      </c>
      <c r="DV81" s="7" t="s">
        <v>214</v>
      </c>
      <c r="DW81" s="7" t="s">
        <v>218</v>
      </c>
      <c r="DX81" s="7" t="s">
        <v>214</v>
      </c>
      <c r="DY81" s="7" t="s">
        <v>217</v>
      </c>
      <c r="DZ81" s="7" t="s">
        <v>214</v>
      </c>
      <c r="EA81" s="7" t="s">
        <v>218</v>
      </c>
      <c r="EB81" s="7" t="s">
        <v>214</v>
      </c>
      <c r="EC81" s="7" t="s">
        <v>217</v>
      </c>
      <c r="ED81" s="7" t="s">
        <v>217</v>
      </c>
      <c r="EE81" s="7" t="s">
        <v>214</v>
      </c>
      <c r="EF81" s="7" t="s">
        <v>214</v>
      </c>
      <c r="EG81" s="7" t="s">
        <v>217</v>
      </c>
      <c r="EH81" s="7" t="s">
        <v>217</v>
      </c>
      <c r="EI81" s="7" t="s">
        <v>217</v>
      </c>
      <c r="EJ81" s="7" t="s">
        <v>214</v>
      </c>
      <c r="EK81" s="7" t="s">
        <v>217</v>
      </c>
      <c r="EL81" s="7" t="s">
        <v>214</v>
      </c>
      <c r="EM81" s="7" t="s">
        <v>214</v>
      </c>
      <c r="EN81" s="7" t="s">
        <v>214</v>
      </c>
      <c r="EO81" s="7" t="s">
        <v>214</v>
      </c>
      <c r="EP81" s="7" t="s">
        <v>214</v>
      </c>
      <c r="EQ81" s="7" t="s">
        <v>218</v>
      </c>
      <c r="ER81" s="7" t="s">
        <v>214</v>
      </c>
      <c r="ES81" s="7" t="s">
        <v>214</v>
      </c>
      <c r="ET81" s="7" t="s">
        <v>214</v>
      </c>
      <c r="EU81" s="7" t="s">
        <v>214</v>
      </c>
      <c r="EV81" s="7" t="s">
        <v>214</v>
      </c>
      <c r="EW81" s="7" t="s">
        <v>214</v>
      </c>
      <c r="EX81" s="7" t="s">
        <v>214</v>
      </c>
      <c r="EY81" s="7" t="s">
        <v>214</v>
      </c>
      <c r="EZ81" s="7" t="s">
        <v>214</v>
      </c>
      <c r="FA81" s="7" t="s">
        <v>214</v>
      </c>
      <c r="FB81" s="7" t="s">
        <v>214</v>
      </c>
      <c r="FC81" s="7" t="s">
        <v>214</v>
      </c>
      <c r="FD81" s="7" t="s">
        <v>214</v>
      </c>
      <c r="FE81" s="7" t="s">
        <v>214</v>
      </c>
      <c r="FF81" s="7" t="s">
        <v>214</v>
      </c>
      <c r="FG81" s="7" t="s">
        <v>214</v>
      </c>
      <c r="FH81" s="7" t="s">
        <v>214</v>
      </c>
      <c r="FI81" s="7" t="s">
        <v>214</v>
      </c>
      <c r="FJ81" s="7" t="s">
        <v>214</v>
      </c>
      <c r="FK81" s="7" t="s">
        <v>214</v>
      </c>
      <c r="FL81" s="7" t="s">
        <v>214</v>
      </c>
    </row>
    <row r="82" spans="1:168" ht="15" x14ac:dyDescent="0.25">
      <c r="A82" s="5" t="s">
        <v>193</v>
      </c>
      <c r="B82" s="5" t="s">
        <v>9</v>
      </c>
      <c r="C82" s="8" t="s">
        <v>217</v>
      </c>
      <c r="D82" s="8" t="s">
        <v>217</v>
      </c>
      <c r="E82" s="8" t="s">
        <v>214</v>
      </c>
      <c r="F82" s="8" t="s">
        <v>214</v>
      </c>
      <c r="G82" s="8" t="s">
        <v>214</v>
      </c>
      <c r="H82" s="8" t="s">
        <v>214</v>
      </c>
      <c r="I82" s="8" t="s">
        <v>214</v>
      </c>
      <c r="J82" s="8" t="s">
        <v>214</v>
      </c>
      <c r="K82" s="8" t="s">
        <v>214</v>
      </c>
      <c r="L82" s="8" t="s">
        <v>214</v>
      </c>
      <c r="M82" s="8" t="s">
        <v>214</v>
      </c>
      <c r="N82" s="8" t="s">
        <v>214</v>
      </c>
      <c r="O82" s="8" t="s">
        <v>214</v>
      </c>
      <c r="P82" s="8" t="s">
        <v>214</v>
      </c>
      <c r="Q82" s="8" t="s">
        <v>214</v>
      </c>
      <c r="R82" s="8" t="s">
        <v>214</v>
      </c>
      <c r="S82" s="8" t="s">
        <v>214</v>
      </c>
      <c r="T82" s="8" t="s">
        <v>214</v>
      </c>
      <c r="U82" s="8" t="s">
        <v>214</v>
      </c>
      <c r="V82" s="8" t="s">
        <v>214</v>
      </c>
      <c r="W82" s="8" t="s">
        <v>214</v>
      </c>
      <c r="X82" s="8" t="s">
        <v>214</v>
      </c>
      <c r="Y82" s="8" t="s">
        <v>214</v>
      </c>
      <c r="Z82" s="8" t="s">
        <v>214</v>
      </c>
      <c r="AA82" s="8" t="s">
        <v>214</v>
      </c>
      <c r="AB82" s="8" t="s">
        <v>214</v>
      </c>
      <c r="AC82" s="8" t="s">
        <v>214</v>
      </c>
      <c r="AD82" s="8" t="s">
        <v>214</v>
      </c>
      <c r="AE82" s="8" t="s">
        <v>214</v>
      </c>
      <c r="AF82" s="8" t="s">
        <v>214</v>
      </c>
      <c r="AG82" s="8" t="s">
        <v>214</v>
      </c>
      <c r="AH82" s="8" t="s">
        <v>214</v>
      </c>
      <c r="AI82" s="8" t="s">
        <v>214</v>
      </c>
      <c r="AJ82" s="8" t="s">
        <v>214</v>
      </c>
      <c r="AK82" s="8" t="s">
        <v>214</v>
      </c>
      <c r="AL82" s="8" t="s">
        <v>214</v>
      </c>
      <c r="AM82" s="8" t="s">
        <v>214</v>
      </c>
      <c r="AN82" s="8" t="s">
        <v>214</v>
      </c>
      <c r="AO82" s="8" t="s">
        <v>214</v>
      </c>
      <c r="AP82" s="8" t="s">
        <v>214</v>
      </c>
      <c r="AQ82" s="8" t="s">
        <v>214</v>
      </c>
      <c r="AR82" s="8" t="s">
        <v>214</v>
      </c>
      <c r="AS82" s="8" t="s">
        <v>214</v>
      </c>
      <c r="AT82" s="8" t="s">
        <v>214</v>
      </c>
      <c r="AU82" s="8" t="s">
        <v>214</v>
      </c>
      <c r="AV82" s="8" t="s">
        <v>214</v>
      </c>
      <c r="AW82" s="8" t="s">
        <v>214</v>
      </c>
      <c r="AX82" s="8" t="s">
        <v>214</v>
      </c>
      <c r="AY82" s="8" t="s">
        <v>214</v>
      </c>
      <c r="AZ82" s="8" t="s">
        <v>214</v>
      </c>
      <c r="BA82" s="8" t="s">
        <v>218</v>
      </c>
      <c r="BB82" s="8" t="s">
        <v>214</v>
      </c>
      <c r="BC82" s="8" t="s">
        <v>214</v>
      </c>
      <c r="BD82" s="8" t="s">
        <v>214</v>
      </c>
      <c r="BE82" s="8" t="s">
        <v>214</v>
      </c>
      <c r="BF82" s="8" t="s">
        <v>214</v>
      </c>
      <c r="BG82" s="8" t="s">
        <v>214</v>
      </c>
      <c r="BH82" s="8" t="s">
        <v>214</v>
      </c>
      <c r="BI82" s="8" t="s">
        <v>214</v>
      </c>
      <c r="BJ82" s="8" t="s">
        <v>218</v>
      </c>
      <c r="BK82" s="8" t="s">
        <v>214</v>
      </c>
      <c r="BL82" s="8" t="s">
        <v>214</v>
      </c>
      <c r="BM82" s="8" t="s">
        <v>214</v>
      </c>
      <c r="BN82" s="8" t="s">
        <v>214</v>
      </c>
      <c r="BO82" s="8" t="s">
        <v>214</v>
      </c>
      <c r="BP82" s="8" t="s">
        <v>214</v>
      </c>
      <c r="BQ82" s="8" t="s">
        <v>214</v>
      </c>
      <c r="BR82" s="8" t="s">
        <v>214</v>
      </c>
      <c r="BS82" s="8" t="s">
        <v>214</v>
      </c>
      <c r="BT82" s="8" t="s">
        <v>214</v>
      </c>
      <c r="BU82" s="8" t="s">
        <v>214</v>
      </c>
      <c r="BV82" s="8" t="s">
        <v>218</v>
      </c>
      <c r="BW82" s="8" t="s">
        <v>214</v>
      </c>
      <c r="BX82" s="8" t="s">
        <v>214</v>
      </c>
      <c r="BY82" s="8" t="s">
        <v>214</v>
      </c>
      <c r="BZ82" s="8" t="s">
        <v>214</v>
      </c>
      <c r="CA82" s="8" t="s">
        <v>214</v>
      </c>
      <c r="CB82" s="8" t="s">
        <v>214</v>
      </c>
      <c r="CC82" s="8" t="s">
        <v>214</v>
      </c>
      <c r="CD82" s="8" t="s">
        <v>214</v>
      </c>
      <c r="CE82" s="8" t="s">
        <v>214</v>
      </c>
      <c r="CF82" s="8" t="s">
        <v>214</v>
      </c>
      <c r="CG82" s="8" t="s">
        <v>214</v>
      </c>
      <c r="CH82" s="8" t="s">
        <v>214</v>
      </c>
      <c r="CI82" s="8" t="s">
        <v>214</v>
      </c>
      <c r="CJ82" s="8" t="s">
        <v>214</v>
      </c>
      <c r="CK82" s="8" t="s">
        <v>214</v>
      </c>
      <c r="CL82" s="8" t="s">
        <v>214</v>
      </c>
      <c r="CM82" s="8" t="s">
        <v>214</v>
      </c>
      <c r="CN82" s="8" t="s">
        <v>214</v>
      </c>
      <c r="CO82" s="8" t="s">
        <v>214</v>
      </c>
      <c r="CP82" s="8" t="s">
        <v>214</v>
      </c>
      <c r="CQ82" s="8" t="s">
        <v>214</v>
      </c>
      <c r="CR82" s="8" t="s">
        <v>214</v>
      </c>
      <c r="CS82" s="8" t="s">
        <v>214</v>
      </c>
      <c r="CT82" s="8" t="s">
        <v>214</v>
      </c>
      <c r="CU82" s="8" t="s">
        <v>214</v>
      </c>
      <c r="CV82" s="8" t="s">
        <v>214</v>
      </c>
      <c r="CW82" s="8" t="s">
        <v>214</v>
      </c>
      <c r="CX82" s="8" t="s">
        <v>214</v>
      </c>
      <c r="CY82" s="8" t="s">
        <v>214</v>
      </c>
      <c r="CZ82" s="8" t="s">
        <v>214</v>
      </c>
      <c r="DA82" s="8" t="s">
        <v>214</v>
      </c>
      <c r="DB82" s="8" t="s">
        <v>214</v>
      </c>
      <c r="DC82" s="8" t="s">
        <v>214</v>
      </c>
      <c r="DD82" s="8" t="s">
        <v>214</v>
      </c>
      <c r="DE82" s="8" t="s">
        <v>214</v>
      </c>
      <c r="DF82" s="8" t="s">
        <v>214</v>
      </c>
      <c r="DG82" s="8" t="s">
        <v>214</v>
      </c>
      <c r="DH82" s="8" t="s">
        <v>214</v>
      </c>
      <c r="DI82" s="8" t="s">
        <v>214</v>
      </c>
      <c r="DJ82" s="8" t="s">
        <v>214</v>
      </c>
      <c r="DK82" s="8" t="s">
        <v>214</v>
      </c>
      <c r="DL82" s="8" t="s">
        <v>214</v>
      </c>
      <c r="DM82" s="8" t="s">
        <v>214</v>
      </c>
      <c r="DN82" s="8" t="s">
        <v>214</v>
      </c>
      <c r="DO82" s="8" t="s">
        <v>214</v>
      </c>
      <c r="DP82" s="8" t="s">
        <v>214</v>
      </c>
      <c r="DQ82" s="8" t="s">
        <v>214</v>
      </c>
      <c r="DR82" s="8" t="s">
        <v>214</v>
      </c>
      <c r="DS82" s="8" t="s">
        <v>214</v>
      </c>
      <c r="DT82" s="8" t="s">
        <v>214</v>
      </c>
      <c r="DU82" s="8" t="s">
        <v>214</v>
      </c>
      <c r="DV82" s="8" t="s">
        <v>214</v>
      </c>
      <c r="DW82" s="8" t="s">
        <v>218</v>
      </c>
      <c r="DX82" s="8" t="s">
        <v>214</v>
      </c>
      <c r="DY82" s="8" t="s">
        <v>214</v>
      </c>
      <c r="DZ82" s="8" t="s">
        <v>214</v>
      </c>
      <c r="EA82" s="8" t="s">
        <v>218</v>
      </c>
      <c r="EB82" s="8" t="s">
        <v>214</v>
      </c>
      <c r="EC82" s="8" t="s">
        <v>214</v>
      </c>
      <c r="ED82" s="8" t="s">
        <v>214</v>
      </c>
      <c r="EE82" s="8" t="s">
        <v>214</v>
      </c>
      <c r="EF82" s="8" t="s">
        <v>214</v>
      </c>
      <c r="EG82" s="8" t="s">
        <v>217</v>
      </c>
      <c r="EH82" s="8" t="s">
        <v>214</v>
      </c>
      <c r="EI82" s="8" t="s">
        <v>217</v>
      </c>
      <c r="EJ82" s="8" t="s">
        <v>214</v>
      </c>
      <c r="EK82" s="8" t="s">
        <v>214</v>
      </c>
      <c r="EL82" s="8" t="s">
        <v>214</v>
      </c>
      <c r="EM82" s="8" t="s">
        <v>214</v>
      </c>
      <c r="EN82" s="8" t="s">
        <v>214</v>
      </c>
      <c r="EO82" s="8" t="s">
        <v>214</v>
      </c>
      <c r="EP82" s="8" t="s">
        <v>214</v>
      </c>
      <c r="EQ82" s="8" t="s">
        <v>218</v>
      </c>
      <c r="ER82" s="8" t="s">
        <v>214</v>
      </c>
      <c r="ES82" s="8" t="s">
        <v>214</v>
      </c>
      <c r="ET82" s="8" t="s">
        <v>214</v>
      </c>
      <c r="EU82" s="8" t="s">
        <v>214</v>
      </c>
      <c r="EV82" s="8" t="s">
        <v>214</v>
      </c>
      <c r="EW82" s="8" t="s">
        <v>214</v>
      </c>
      <c r="EX82" s="8" t="s">
        <v>214</v>
      </c>
      <c r="EY82" s="8" t="s">
        <v>214</v>
      </c>
      <c r="EZ82" s="8" t="s">
        <v>214</v>
      </c>
      <c r="FA82" s="8" t="s">
        <v>214</v>
      </c>
      <c r="FB82" s="8" t="s">
        <v>214</v>
      </c>
      <c r="FC82" s="8" t="s">
        <v>214</v>
      </c>
      <c r="FD82" s="8" t="s">
        <v>214</v>
      </c>
      <c r="FE82" s="8" t="s">
        <v>214</v>
      </c>
      <c r="FF82" s="8" t="s">
        <v>214</v>
      </c>
      <c r="FG82" s="8" t="s">
        <v>214</v>
      </c>
      <c r="FH82" s="8" t="s">
        <v>214</v>
      </c>
      <c r="FI82" s="8" t="s">
        <v>214</v>
      </c>
      <c r="FJ82" s="8" t="s">
        <v>214</v>
      </c>
      <c r="FK82" s="8" t="s">
        <v>214</v>
      </c>
      <c r="FL82" s="8" t="s">
        <v>214</v>
      </c>
    </row>
    <row r="83" spans="1:168" ht="15" x14ac:dyDescent="0.25">
      <c r="A83" s="5" t="s">
        <v>194</v>
      </c>
      <c r="B83" s="5" t="s">
        <v>6</v>
      </c>
      <c r="C83" s="7" t="s">
        <v>214</v>
      </c>
      <c r="D83" s="7" t="s">
        <v>214</v>
      </c>
      <c r="E83" s="7" t="s">
        <v>214</v>
      </c>
      <c r="F83" s="7" t="s">
        <v>214</v>
      </c>
      <c r="G83" s="7" t="s">
        <v>214</v>
      </c>
      <c r="H83" s="7" t="s">
        <v>214</v>
      </c>
      <c r="I83" s="7" t="s">
        <v>214</v>
      </c>
      <c r="J83" s="7" t="s">
        <v>214</v>
      </c>
      <c r="K83" s="7" t="s">
        <v>214</v>
      </c>
      <c r="L83" s="7" t="s">
        <v>214</v>
      </c>
      <c r="M83" s="7" t="s">
        <v>214</v>
      </c>
      <c r="N83" s="7" t="s">
        <v>214</v>
      </c>
      <c r="O83" s="7" t="s">
        <v>214</v>
      </c>
      <c r="P83" s="7" t="s">
        <v>214</v>
      </c>
      <c r="Q83" s="7" t="s">
        <v>214</v>
      </c>
      <c r="R83" s="7" t="s">
        <v>214</v>
      </c>
      <c r="S83" s="7" t="s">
        <v>214</v>
      </c>
      <c r="T83" s="7" t="s">
        <v>214</v>
      </c>
      <c r="U83" s="7" t="s">
        <v>214</v>
      </c>
      <c r="V83" s="7" t="s">
        <v>214</v>
      </c>
      <c r="W83" s="7" t="s">
        <v>214</v>
      </c>
      <c r="X83" s="7" t="s">
        <v>214</v>
      </c>
      <c r="Y83" s="7" t="s">
        <v>214</v>
      </c>
      <c r="Z83" s="7" t="s">
        <v>214</v>
      </c>
      <c r="AA83" s="7" t="s">
        <v>214</v>
      </c>
      <c r="AB83" s="7" t="s">
        <v>214</v>
      </c>
      <c r="AC83" s="7" t="s">
        <v>214</v>
      </c>
      <c r="AD83" s="7" t="s">
        <v>214</v>
      </c>
      <c r="AE83" s="7" t="s">
        <v>214</v>
      </c>
      <c r="AF83" s="7" t="s">
        <v>214</v>
      </c>
      <c r="AG83" s="7" t="s">
        <v>214</v>
      </c>
      <c r="AH83" s="7" t="s">
        <v>214</v>
      </c>
      <c r="AI83" s="7" t="s">
        <v>214</v>
      </c>
      <c r="AJ83" s="7" t="s">
        <v>214</v>
      </c>
      <c r="AK83" s="7" t="s">
        <v>214</v>
      </c>
      <c r="AL83" s="7" t="s">
        <v>214</v>
      </c>
      <c r="AM83" s="7" t="s">
        <v>214</v>
      </c>
      <c r="AN83" s="7" t="s">
        <v>214</v>
      </c>
      <c r="AO83" s="7" t="s">
        <v>214</v>
      </c>
      <c r="AP83" s="7" t="s">
        <v>214</v>
      </c>
      <c r="AQ83" s="7" t="s">
        <v>214</v>
      </c>
      <c r="AR83" s="7" t="s">
        <v>214</v>
      </c>
      <c r="AS83" s="7" t="s">
        <v>214</v>
      </c>
      <c r="AT83" s="7" t="s">
        <v>214</v>
      </c>
      <c r="AU83" s="7" t="s">
        <v>214</v>
      </c>
      <c r="AV83" s="7" t="s">
        <v>214</v>
      </c>
      <c r="AW83" s="7" t="s">
        <v>214</v>
      </c>
      <c r="AX83" s="7" t="s">
        <v>214</v>
      </c>
      <c r="AY83" s="7" t="s">
        <v>214</v>
      </c>
      <c r="AZ83" s="7" t="s">
        <v>214</v>
      </c>
      <c r="BA83" s="7" t="s">
        <v>214</v>
      </c>
      <c r="BB83" s="7" t="s">
        <v>214</v>
      </c>
      <c r="BC83" s="7" t="s">
        <v>214</v>
      </c>
      <c r="BD83" s="7" t="s">
        <v>214</v>
      </c>
      <c r="BE83" s="7" t="s">
        <v>214</v>
      </c>
      <c r="BF83" s="7" t="s">
        <v>214</v>
      </c>
      <c r="BG83" s="7" t="s">
        <v>214</v>
      </c>
      <c r="BH83" s="7" t="s">
        <v>214</v>
      </c>
      <c r="BI83" s="7" t="s">
        <v>214</v>
      </c>
      <c r="BJ83" s="7" t="s">
        <v>214</v>
      </c>
      <c r="BK83" s="7" t="s">
        <v>214</v>
      </c>
      <c r="BL83" s="7" t="s">
        <v>214</v>
      </c>
      <c r="BM83" s="7" t="s">
        <v>214</v>
      </c>
      <c r="BN83" s="7" t="s">
        <v>214</v>
      </c>
      <c r="BO83" s="7" t="s">
        <v>214</v>
      </c>
      <c r="BP83" s="7" t="s">
        <v>214</v>
      </c>
      <c r="BQ83" s="7" t="s">
        <v>214</v>
      </c>
      <c r="BR83" s="7" t="s">
        <v>214</v>
      </c>
      <c r="BS83" s="7" t="s">
        <v>214</v>
      </c>
      <c r="BT83" s="7" t="s">
        <v>214</v>
      </c>
      <c r="BU83" s="7" t="s">
        <v>214</v>
      </c>
      <c r="BV83" s="7" t="s">
        <v>214</v>
      </c>
      <c r="BW83" s="7" t="s">
        <v>214</v>
      </c>
      <c r="BX83" s="7" t="s">
        <v>214</v>
      </c>
      <c r="BY83" s="7" t="s">
        <v>214</v>
      </c>
      <c r="BZ83" s="7" t="s">
        <v>214</v>
      </c>
      <c r="CA83" s="7" t="s">
        <v>214</v>
      </c>
      <c r="CB83" s="7" t="s">
        <v>214</v>
      </c>
      <c r="CC83" s="7" t="s">
        <v>214</v>
      </c>
      <c r="CD83" s="7" t="s">
        <v>214</v>
      </c>
      <c r="CE83" s="7" t="s">
        <v>214</v>
      </c>
      <c r="CF83" s="7" t="s">
        <v>214</v>
      </c>
      <c r="CG83" s="7" t="s">
        <v>214</v>
      </c>
      <c r="CH83" s="7" t="s">
        <v>214</v>
      </c>
      <c r="CI83" s="7" t="s">
        <v>214</v>
      </c>
      <c r="CJ83" s="7" t="s">
        <v>214</v>
      </c>
      <c r="CK83" s="7" t="s">
        <v>214</v>
      </c>
      <c r="CL83" s="7" t="s">
        <v>214</v>
      </c>
      <c r="CM83" s="7" t="s">
        <v>214</v>
      </c>
      <c r="CN83" s="7" t="s">
        <v>214</v>
      </c>
      <c r="CO83" s="7" t="s">
        <v>214</v>
      </c>
      <c r="CP83" s="7" t="s">
        <v>214</v>
      </c>
      <c r="CQ83" s="7" t="s">
        <v>214</v>
      </c>
      <c r="CR83" s="7" t="s">
        <v>214</v>
      </c>
      <c r="CS83" s="7" t="s">
        <v>214</v>
      </c>
      <c r="CT83" s="7" t="s">
        <v>214</v>
      </c>
      <c r="CU83" s="7" t="s">
        <v>214</v>
      </c>
      <c r="CV83" s="7" t="s">
        <v>214</v>
      </c>
      <c r="CW83" s="7" t="s">
        <v>214</v>
      </c>
      <c r="CX83" s="7" t="s">
        <v>214</v>
      </c>
      <c r="CY83" s="7" t="s">
        <v>214</v>
      </c>
      <c r="CZ83" s="7" t="s">
        <v>214</v>
      </c>
      <c r="DA83" s="7" t="s">
        <v>214</v>
      </c>
      <c r="DB83" s="7" t="s">
        <v>214</v>
      </c>
      <c r="DC83" s="7" t="s">
        <v>214</v>
      </c>
      <c r="DD83" s="7" t="s">
        <v>214</v>
      </c>
      <c r="DE83" s="7" t="s">
        <v>214</v>
      </c>
      <c r="DF83" s="7" t="s">
        <v>214</v>
      </c>
      <c r="DG83" s="7" t="s">
        <v>214</v>
      </c>
      <c r="DH83" s="7" t="s">
        <v>214</v>
      </c>
      <c r="DI83" s="7" t="s">
        <v>214</v>
      </c>
      <c r="DJ83" s="7" t="s">
        <v>214</v>
      </c>
      <c r="DK83" s="7" t="s">
        <v>214</v>
      </c>
      <c r="DL83" s="7" t="s">
        <v>214</v>
      </c>
      <c r="DM83" s="7" t="s">
        <v>214</v>
      </c>
      <c r="DN83" s="7" t="s">
        <v>214</v>
      </c>
      <c r="DO83" s="7" t="s">
        <v>214</v>
      </c>
      <c r="DP83" s="7" t="s">
        <v>214</v>
      </c>
      <c r="DQ83" s="7" t="s">
        <v>214</v>
      </c>
      <c r="DR83" s="7" t="s">
        <v>214</v>
      </c>
      <c r="DS83" s="7" t="s">
        <v>214</v>
      </c>
      <c r="DT83" s="7" t="s">
        <v>214</v>
      </c>
      <c r="DU83" s="7" t="s">
        <v>214</v>
      </c>
      <c r="DV83" s="7" t="s">
        <v>214</v>
      </c>
      <c r="DW83" s="7" t="s">
        <v>214</v>
      </c>
      <c r="DX83" s="7" t="s">
        <v>214</v>
      </c>
      <c r="DY83" s="7" t="s">
        <v>214</v>
      </c>
      <c r="DZ83" s="7" t="s">
        <v>214</v>
      </c>
      <c r="EA83" s="7" t="s">
        <v>214</v>
      </c>
      <c r="EB83" s="7" t="s">
        <v>214</v>
      </c>
      <c r="EC83" s="7" t="s">
        <v>214</v>
      </c>
      <c r="ED83" s="7" t="s">
        <v>214</v>
      </c>
      <c r="EE83" s="7" t="s">
        <v>214</v>
      </c>
      <c r="EF83" s="7" t="s">
        <v>214</v>
      </c>
      <c r="EG83" s="7" t="s">
        <v>214</v>
      </c>
      <c r="EH83" s="7" t="s">
        <v>214</v>
      </c>
      <c r="EI83" s="7" t="s">
        <v>214</v>
      </c>
      <c r="EJ83" s="7" t="s">
        <v>214</v>
      </c>
      <c r="EK83" s="7" t="s">
        <v>214</v>
      </c>
      <c r="EL83" s="7" t="s">
        <v>214</v>
      </c>
      <c r="EM83" s="7" t="s">
        <v>214</v>
      </c>
      <c r="EN83" s="7" t="s">
        <v>214</v>
      </c>
      <c r="EO83" s="7" t="s">
        <v>214</v>
      </c>
      <c r="EP83" s="7" t="s">
        <v>214</v>
      </c>
      <c r="EQ83" s="7" t="s">
        <v>218</v>
      </c>
      <c r="ER83" s="7" t="s">
        <v>214</v>
      </c>
      <c r="ES83" s="7" t="s">
        <v>214</v>
      </c>
      <c r="ET83" s="7" t="s">
        <v>214</v>
      </c>
      <c r="EU83" s="7" t="s">
        <v>214</v>
      </c>
      <c r="EV83" s="7" t="s">
        <v>214</v>
      </c>
      <c r="EW83" s="7" t="s">
        <v>214</v>
      </c>
      <c r="EX83" s="7" t="s">
        <v>214</v>
      </c>
      <c r="EY83" s="7" t="s">
        <v>214</v>
      </c>
      <c r="EZ83" s="7" t="s">
        <v>214</v>
      </c>
      <c r="FA83" s="7" t="s">
        <v>214</v>
      </c>
      <c r="FB83" s="7" t="s">
        <v>214</v>
      </c>
      <c r="FC83" s="7" t="s">
        <v>214</v>
      </c>
      <c r="FD83" s="7" t="s">
        <v>214</v>
      </c>
      <c r="FE83" s="7" t="s">
        <v>214</v>
      </c>
      <c r="FF83" s="7" t="s">
        <v>214</v>
      </c>
      <c r="FG83" s="7" t="s">
        <v>218</v>
      </c>
      <c r="FH83" s="7" t="s">
        <v>214</v>
      </c>
      <c r="FI83" s="7" t="s">
        <v>214</v>
      </c>
      <c r="FJ83" s="7" t="s">
        <v>214</v>
      </c>
      <c r="FK83" s="7" t="s">
        <v>214</v>
      </c>
      <c r="FL83" s="7" t="s">
        <v>214</v>
      </c>
    </row>
    <row r="84" spans="1:168" ht="15" x14ac:dyDescent="0.25">
      <c r="A84" s="5" t="s">
        <v>194</v>
      </c>
      <c r="B84" s="5" t="s">
        <v>7</v>
      </c>
      <c r="C84" s="8" t="s">
        <v>217</v>
      </c>
      <c r="D84" s="8" t="s">
        <v>217</v>
      </c>
      <c r="E84" s="8" t="s">
        <v>214</v>
      </c>
      <c r="F84" s="8" t="s">
        <v>214</v>
      </c>
      <c r="G84" s="8" t="s">
        <v>214</v>
      </c>
      <c r="H84" s="8" t="s">
        <v>214</v>
      </c>
      <c r="I84" s="8" t="s">
        <v>214</v>
      </c>
      <c r="J84" s="8" t="s">
        <v>214</v>
      </c>
      <c r="K84" s="8" t="s">
        <v>214</v>
      </c>
      <c r="L84" s="8" t="s">
        <v>214</v>
      </c>
      <c r="M84" s="8" t="s">
        <v>214</v>
      </c>
      <c r="N84" s="8" t="s">
        <v>214</v>
      </c>
      <c r="O84" s="8" t="s">
        <v>214</v>
      </c>
      <c r="P84" s="8" t="s">
        <v>214</v>
      </c>
      <c r="Q84" s="8" t="s">
        <v>214</v>
      </c>
      <c r="R84" s="8" t="s">
        <v>214</v>
      </c>
      <c r="S84" s="8" t="s">
        <v>214</v>
      </c>
      <c r="T84" s="8" t="s">
        <v>214</v>
      </c>
      <c r="U84" s="8" t="s">
        <v>214</v>
      </c>
      <c r="V84" s="8" t="s">
        <v>214</v>
      </c>
      <c r="W84" s="8" t="s">
        <v>214</v>
      </c>
      <c r="X84" s="8" t="s">
        <v>214</v>
      </c>
      <c r="Y84" s="8" t="s">
        <v>214</v>
      </c>
      <c r="Z84" s="8" t="s">
        <v>218</v>
      </c>
      <c r="AA84" s="8" t="s">
        <v>214</v>
      </c>
      <c r="AB84" s="8" t="s">
        <v>214</v>
      </c>
      <c r="AC84" s="8" t="s">
        <v>214</v>
      </c>
      <c r="AD84" s="8" t="s">
        <v>214</v>
      </c>
      <c r="AE84" s="8" t="s">
        <v>214</v>
      </c>
      <c r="AF84" s="8" t="s">
        <v>214</v>
      </c>
      <c r="AG84" s="8" t="s">
        <v>214</v>
      </c>
      <c r="AH84" s="8" t="s">
        <v>214</v>
      </c>
      <c r="AI84" s="8" t="s">
        <v>218</v>
      </c>
      <c r="AJ84" s="8" t="s">
        <v>214</v>
      </c>
      <c r="AK84" s="8" t="s">
        <v>214</v>
      </c>
      <c r="AL84" s="8" t="s">
        <v>214</v>
      </c>
      <c r="AM84" s="8" t="s">
        <v>214</v>
      </c>
      <c r="AN84" s="8" t="s">
        <v>214</v>
      </c>
      <c r="AO84" s="8" t="s">
        <v>214</v>
      </c>
      <c r="AP84" s="8" t="s">
        <v>214</v>
      </c>
      <c r="AQ84" s="8" t="s">
        <v>214</v>
      </c>
      <c r="AR84" s="8" t="s">
        <v>214</v>
      </c>
      <c r="AS84" s="8" t="s">
        <v>214</v>
      </c>
      <c r="AT84" s="8" t="s">
        <v>214</v>
      </c>
      <c r="AU84" s="8" t="s">
        <v>214</v>
      </c>
      <c r="AV84" s="8" t="s">
        <v>214</v>
      </c>
      <c r="AW84" s="8" t="s">
        <v>214</v>
      </c>
      <c r="AX84" s="8" t="s">
        <v>214</v>
      </c>
      <c r="AY84" s="8" t="s">
        <v>214</v>
      </c>
      <c r="AZ84" s="8" t="s">
        <v>214</v>
      </c>
      <c r="BA84" s="8" t="s">
        <v>214</v>
      </c>
      <c r="BB84" s="8" t="s">
        <v>214</v>
      </c>
      <c r="BC84" s="8" t="s">
        <v>214</v>
      </c>
      <c r="BD84" s="8" t="s">
        <v>214</v>
      </c>
      <c r="BE84" s="8" t="s">
        <v>214</v>
      </c>
      <c r="BF84" s="8" t="s">
        <v>214</v>
      </c>
      <c r="BG84" s="8" t="s">
        <v>214</v>
      </c>
      <c r="BH84" s="8" t="s">
        <v>214</v>
      </c>
      <c r="BI84" s="8" t="s">
        <v>214</v>
      </c>
      <c r="BJ84" s="8" t="s">
        <v>214</v>
      </c>
      <c r="BK84" s="8" t="s">
        <v>214</v>
      </c>
      <c r="BL84" s="8" t="s">
        <v>214</v>
      </c>
      <c r="BM84" s="8" t="s">
        <v>214</v>
      </c>
      <c r="BN84" s="8" t="s">
        <v>214</v>
      </c>
      <c r="BO84" s="8" t="s">
        <v>214</v>
      </c>
      <c r="BP84" s="8" t="s">
        <v>214</v>
      </c>
      <c r="BQ84" s="8" t="s">
        <v>214</v>
      </c>
      <c r="BR84" s="8" t="s">
        <v>214</v>
      </c>
      <c r="BS84" s="8" t="s">
        <v>214</v>
      </c>
      <c r="BT84" s="8" t="s">
        <v>214</v>
      </c>
      <c r="BU84" s="8" t="s">
        <v>214</v>
      </c>
      <c r="BV84" s="8" t="s">
        <v>214</v>
      </c>
      <c r="BW84" s="8" t="s">
        <v>214</v>
      </c>
      <c r="BX84" s="8" t="s">
        <v>214</v>
      </c>
      <c r="BY84" s="8" t="s">
        <v>214</v>
      </c>
      <c r="BZ84" s="8" t="s">
        <v>214</v>
      </c>
      <c r="CA84" s="8" t="s">
        <v>214</v>
      </c>
      <c r="CB84" s="8" t="s">
        <v>214</v>
      </c>
      <c r="CC84" s="8" t="s">
        <v>214</v>
      </c>
      <c r="CD84" s="8" t="s">
        <v>214</v>
      </c>
      <c r="CE84" s="8" t="s">
        <v>214</v>
      </c>
      <c r="CF84" s="8" t="s">
        <v>214</v>
      </c>
      <c r="CG84" s="8" t="s">
        <v>214</v>
      </c>
      <c r="CH84" s="8" t="s">
        <v>214</v>
      </c>
      <c r="CI84" s="8" t="s">
        <v>214</v>
      </c>
      <c r="CJ84" s="8" t="s">
        <v>214</v>
      </c>
      <c r="CK84" s="8" t="s">
        <v>214</v>
      </c>
      <c r="CL84" s="8" t="s">
        <v>214</v>
      </c>
      <c r="CM84" s="8" t="s">
        <v>214</v>
      </c>
      <c r="CN84" s="8" t="s">
        <v>214</v>
      </c>
      <c r="CO84" s="8" t="s">
        <v>214</v>
      </c>
      <c r="CP84" s="8" t="s">
        <v>214</v>
      </c>
      <c r="CQ84" s="8" t="s">
        <v>214</v>
      </c>
      <c r="CR84" s="8" t="s">
        <v>214</v>
      </c>
      <c r="CS84" s="8" t="s">
        <v>214</v>
      </c>
      <c r="CT84" s="8" t="s">
        <v>214</v>
      </c>
      <c r="CU84" s="8" t="s">
        <v>214</v>
      </c>
      <c r="CV84" s="8" t="s">
        <v>214</v>
      </c>
      <c r="CW84" s="8" t="s">
        <v>214</v>
      </c>
      <c r="CX84" s="8" t="s">
        <v>214</v>
      </c>
      <c r="CY84" s="8" t="s">
        <v>214</v>
      </c>
      <c r="CZ84" s="8" t="s">
        <v>214</v>
      </c>
      <c r="DA84" s="8" t="s">
        <v>214</v>
      </c>
      <c r="DB84" s="8" t="s">
        <v>214</v>
      </c>
      <c r="DC84" s="8" t="s">
        <v>214</v>
      </c>
      <c r="DD84" s="8" t="s">
        <v>214</v>
      </c>
      <c r="DE84" s="8" t="s">
        <v>214</v>
      </c>
      <c r="DF84" s="8" t="s">
        <v>214</v>
      </c>
      <c r="DG84" s="8" t="s">
        <v>214</v>
      </c>
      <c r="DH84" s="8" t="s">
        <v>214</v>
      </c>
      <c r="DI84" s="8" t="s">
        <v>214</v>
      </c>
      <c r="DJ84" s="8" t="s">
        <v>214</v>
      </c>
      <c r="DK84" s="8" t="s">
        <v>214</v>
      </c>
      <c r="DL84" s="8" t="s">
        <v>214</v>
      </c>
      <c r="DM84" s="8" t="s">
        <v>214</v>
      </c>
      <c r="DN84" s="8" t="s">
        <v>214</v>
      </c>
      <c r="DO84" s="8" t="s">
        <v>214</v>
      </c>
      <c r="DP84" s="8" t="s">
        <v>214</v>
      </c>
      <c r="DQ84" s="8" t="s">
        <v>214</v>
      </c>
      <c r="DR84" s="8" t="s">
        <v>214</v>
      </c>
      <c r="DS84" s="8" t="s">
        <v>214</v>
      </c>
      <c r="DT84" s="8" t="s">
        <v>214</v>
      </c>
      <c r="DU84" s="8" t="s">
        <v>214</v>
      </c>
      <c r="DV84" s="8" t="s">
        <v>214</v>
      </c>
      <c r="DW84" s="8" t="s">
        <v>214</v>
      </c>
      <c r="DX84" s="8" t="s">
        <v>214</v>
      </c>
      <c r="DY84" s="8" t="s">
        <v>214</v>
      </c>
      <c r="DZ84" s="8" t="s">
        <v>214</v>
      </c>
      <c r="EA84" s="8" t="s">
        <v>214</v>
      </c>
      <c r="EB84" s="8" t="s">
        <v>214</v>
      </c>
      <c r="EC84" s="8" t="s">
        <v>214</v>
      </c>
      <c r="ED84" s="8" t="s">
        <v>214</v>
      </c>
      <c r="EE84" s="8" t="s">
        <v>214</v>
      </c>
      <c r="EF84" s="8" t="s">
        <v>214</v>
      </c>
      <c r="EG84" s="8" t="s">
        <v>214</v>
      </c>
      <c r="EH84" s="8" t="s">
        <v>214</v>
      </c>
      <c r="EI84" s="8" t="s">
        <v>214</v>
      </c>
      <c r="EJ84" s="8" t="s">
        <v>214</v>
      </c>
      <c r="EK84" s="8" t="s">
        <v>214</v>
      </c>
      <c r="EL84" s="8" t="s">
        <v>214</v>
      </c>
      <c r="EM84" s="8" t="s">
        <v>214</v>
      </c>
      <c r="EN84" s="8" t="s">
        <v>214</v>
      </c>
      <c r="EO84" s="8" t="s">
        <v>214</v>
      </c>
      <c r="EP84" s="8" t="s">
        <v>214</v>
      </c>
      <c r="EQ84" s="8" t="s">
        <v>218</v>
      </c>
      <c r="ER84" s="8" t="s">
        <v>214</v>
      </c>
      <c r="ES84" s="8" t="s">
        <v>214</v>
      </c>
      <c r="ET84" s="8" t="s">
        <v>214</v>
      </c>
      <c r="EU84" s="8" t="s">
        <v>214</v>
      </c>
      <c r="EV84" s="8" t="s">
        <v>214</v>
      </c>
      <c r="EW84" s="8" t="s">
        <v>214</v>
      </c>
      <c r="EX84" s="8" t="s">
        <v>214</v>
      </c>
      <c r="EY84" s="8" t="s">
        <v>214</v>
      </c>
      <c r="EZ84" s="8" t="s">
        <v>214</v>
      </c>
      <c r="FA84" s="8" t="s">
        <v>214</v>
      </c>
      <c r="FB84" s="8" t="s">
        <v>214</v>
      </c>
      <c r="FC84" s="8" t="s">
        <v>214</v>
      </c>
      <c r="FD84" s="8" t="s">
        <v>214</v>
      </c>
      <c r="FE84" s="8" t="s">
        <v>214</v>
      </c>
      <c r="FF84" s="8" t="s">
        <v>214</v>
      </c>
      <c r="FG84" s="8" t="s">
        <v>218</v>
      </c>
      <c r="FH84" s="8" t="s">
        <v>214</v>
      </c>
      <c r="FI84" s="8" t="s">
        <v>214</v>
      </c>
      <c r="FJ84" s="8" t="s">
        <v>214</v>
      </c>
      <c r="FK84" s="8" t="s">
        <v>218</v>
      </c>
      <c r="FL84" s="8" t="s">
        <v>214</v>
      </c>
    </row>
    <row r="85" spans="1:168" ht="15" x14ac:dyDescent="0.25">
      <c r="A85" s="5" t="s">
        <v>194</v>
      </c>
      <c r="B85" s="5" t="s">
        <v>8</v>
      </c>
      <c r="C85" s="7" t="s">
        <v>217</v>
      </c>
      <c r="D85" s="7" t="s">
        <v>217</v>
      </c>
      <c r="E85" s="7" t="s">
        <v>214</v>
      </c>
      <c r="F85" s="7" t="s">
        <v>214</v>
      </c>
      <c r="G85" s="7" t="s">
        <v>214</v>
      </c>
      <c r="H85" s="7" t="s">
        <v>214</v>
      </c>
      <c r="I85" s="7" t="s">
        <v>214</v>
      </c>
      <c r="J85" s="7" t="s">
        <v>214</v>
      </c>
      <c r="K85" s="7" t="s">
        <v>214</v>
      </c>
      <c r="L85" s="7" t="s">
        <v>214</v>
      </c>
      <c r="M85" s="7" t="s">
        <v>214</v>
      </c>
      <c r="N85" s="7" t="s">
        <v>214</v>
      </c>
      <c r="O85" s="7" t="s">
        <v>214</v>
      </c>
      <c r="P85" s="7" t="s">
        <v>214</v>
      </c>
      <c r="Q85" s="7" t="s">
        <v>214</v>
      </c>
      <c r="R85" s="7" t="s">
        <v>214</v>
      </c>
      <c r="S85" s="7" t="s">
        <v>214</v>
      </c>
      <c r="T85" s="7" t="s">
        <v>214</v>
      </c>
      <c r="U85" s="7" t="s">
        <v>214</v>
      </c>
      <c r="V85" s="7" t="s">
        <v>214</v>
      </c>
      <c r="W85" s="7" t="s">
        <v>214</v>
      </c>
      <c r="X85" s="7" t="s">
        <v>214</v>
      </c>
      <c r="Y85" s="7" t="s">
        <v>214</v>
      </c>
      <c r="Z85" s="7" t="s">
        <v>218</v>
      </c>
      <c r="AA85" s="7" t="s">
        <v>214</v>
      </c>
      <c r="AB85" s="7" t="s">
        <v>214</v>
      </c>
      <c r="AC85" s="7" t="s">
        <v>214</v>
      </c>
      <c r="AD85" s="7" t="s">
        <v>214</v>
      </c>
      <c r="AE85" s="7" t="s">
        <v>214</v>
      </c>
      <c r="AF85" s="7" t="s">
        <v>214</v>
      </c>
      <c r="AG85" s="7" t="s">
        <v>214</v>
      </c>
      <c r="AH85" s="7" t="s">
        <v>214</v>
      </c>
      <c r="AI85" s="7" t="s">
        <v>218</v>
      </c>
      <c r="AJ85" s="7" t="s">
        <v>214</v>
      </c>
      <c r="AK85" s="7" t="s">
        <v>214</v>
      </c>
      <c r="AL85" s="7" t="s">
        <v>214</v>
      </c>
      <c r="AM85" s="7" t="s">
        <v>214</v>
      </c>
      <c r="AN85" s="7" t="s">
        <v>214</v>
      </c>
      <c r="AO85" s="7" t="s">
        <v>214</v>
      </c>
      <c r="AP85" s="7" t="s">
        <v>214</v>
      </c>
      <c r="AQ85" s="7" t="s">
        <v>214</v>
      </c>
      <c r="AR85" s="7" t="s">
        <v>214</v>
      </c>
      <c r="AS85" s="7" t="s">
        <v>214</v>
      </c>
      <c r="AT85" s="7" t="s">
        <v>214</v>
      </c>
      <c r="AU85" s="7" t="s">
        <v>214</v>
      </c>
      <c r="AV85" s="7" t="s">
        <v>214</v>
      </c>
      <c r="AW85" s="7" t="s">
        <v>214</v>
      </c>
      <c r="AX85" s="7" t="s">
        <v>214</v>
      </c>
      <c r="AY85" s="7" t="s">
        <v>214</v>
      </c>
      <c r="AZ85" s="7" t="s">
        <v>214</v>
      </c>
      <c r="BA85" s="7" t="s">
        <v>214</v>
      </c>
      <c r="BB85" s="7" t="s">
        <v>214</v>
      </c>
      <c r="BC85" s="7" t="s">
        <v>214</v>
      </c>
      <c r="BD85" s="7" t="s">
        <v>214</v>
      </c>
      <c r="BE85" s="7" t="s">
        <v>214</v>
      </c>
      <c r="BF85" s="7" t="s">
        <v>214</v>
      </c>
      <c r="BG85" s="7" t="s">
        <v>214</v>
      </c>
      <c r="BH85" s="7" t="s">
        <v>214</v>
      </c>
      <c r="BI85" s="7" t="s">
        <v>214</v>
      </c>
      <c r="BJ85" s="7" t="s">
        <v>218</v>
      </c>
      <c r="BK85" s="7" t="s">
        <v>214</v>
      </c>
      <c r="BL85" s="7" t="s">
        <v>214</v>
      </c>
      <c r="BM85" s="7" t="s">
        <v>214</v>
      </c>
      <c r="BN85" s="7" t="s">
        <v>214</v>
      </c>
      <c r="BO85" s="7" t="s">
        <v>214</v>
      </c>
      <c r="BP85" s="7" t="s">
        <v>214</v>
      </c>
      <c r="BQ85" s="7" t="s">
        <v>214</v>
      </c>
      <c r="BR85" s="7" t="s">
        <v>214</v>
      </c>
      <c r="BS85" s="7" t="s">
        <v>218</v>
      </c>
      <c r="BT85" s="7" t="s">
        <v>218</v>
      </c>
      <c r="BU85" s="7" t="s">
        <v>218</v>
      </c>
      <c r="BV85" s="7" t="s">
        <v>218</v>
      </c>
      <c r="BW85" s="7" t="s">
        <v>214</v>
      </c>
      <c r="BX85" s="7" t="s">
        <v>214</v>
      </c>
      <c r="BY85" s="7" t="s">
        <v>214</v>
      </c>
      <c r="BZ85" s="7" t="s">
        <v>214</v>
      </c>
      <c r="CA85" s="7" t="s">
        <v>214</v>
      </c>
      <c r="CB85" s="7" t="s">
        <v>214</v>
      </c>
      <c r="CC85" s="7" t="s">
        <v>214</v>
      </c>
      <c r="CD85" s="7" t="s">
        <v>214</v>
      </c>
      <c r="CE85" s="7" t="s">
        <v>214</v>
      </c>
      <c r="CF85" s="7" t="s">
        <v>214</v>
      </c>
      <c r="CG85" s="7" t="s">
        <v>214</v>
      </c>
      <c r="CH85" s="7" t="s">
        <v>214</v>
      </c>
      <c r="CI85" s="7" t="s">
        <v>214</v>
      </c>
      <c r="CJ85" s="7" t="s">
        <v>214</v>
      </c>
      <c r="CK85" s="7" t="s">
        <v>214</v>
      </c>
      <c r="CL85" s="7" t="s">
        <v>214</v>
      </c>
      <c r="CM85" s="7" t="s">
        <v>214</v>
      </c>
      <c r="CN85" s="7" t="s">
        <v>214</v>
      </c>
      <c r="CO85" s="7" t="s">
        <v>214</v>
      </c>
      <c r="CP85" s="7" t="s">
        <v>214</v>
      </c>
      <c r="CQ85" s="7" t="s">
        <v>214</v>
      </c>
      <c r="CR85" s="7" t="s">
        <v>214</v>
      </c>
      <c r="CS85" s="7" t="s">
        <v>214</v>
      </c>
      <c r="CT85" s="7" t="s">
        <v>214</v>
      </c>
      <c r="CU85" s="7" t="s">
        <v>214</v>
      </c>
      <c r="CV85" s="7" t="s">
        <v>214</v>
      </c>
      <c r="CW85" s="7" t="s">
        <v>214</v>
      </c>
      <c r="CX85" s="7" t="s">
        <v>214</v>
      </c>
      <c r="CY85" s="7" t="s">
        <v>214</v>
      </c>
      <c r="CZ85" s="7" t="s">
        <v>214</v>
      </c>
      <c r="DA85" s="7" t="s">
        <v>214</v>
      </c>
      <c r="DB85" s="7" t="s">
        <v>214</v>
      </c>
      <c r="DC85" s="7" t="s">
        <v>218</v>
      </c>
      <c r="DD85" s="7" t="s">
        <v>214</v>
      </c>
      <c r="DE85" s="7" t="s">
        <v>214</v>
      </c>
      <c r="DF85" s="7" t="s">
        <v>214</v>
      </c>
      <c r="DG85" s="7" t="s">
        <v>214</v>
      </c>
      <c r="DH85" s="7" t="s">
        <v>214</v>
      </c>
      <c r="DI85" s="7" t="s">
        <v>214</v>
      </c>
      <c r="DJ85" s="7" t="s">
        <v>214</v>
      </c>
      <c r="DK85" s="7" t="s">
        <v>214</v>
      </c>
      <c r="DL85" s="7" t="s">
        <v>214</v>
      </c>
      <c r="DM85" s="7" t="s">
        <v>214</v>
      </c>
      <c r="DN85" s="7" t="s">
        <v>214</v>
      </c>
      <c r="DO85" s="7" t="s">
        <v>214</v>
      </c>
      <c r="DP85" s="7" t="s">
        <v>214</v>
      </c>
      <c r="DQ85" s="7" t="s">
        <v>214</v>
      </c>
      <c r="DR85" s="7" t="s">
        <v>214</v>
      </c>
      <c r="DS85" s="7" t="s">
        <v>214</v>
      </c>
      <c r="DT85" s="7" t="s">
        <v>214</v>
      </c>
      <c r="DU85" s="7" t="s">
        <v>214</v>
      </c>
      <c r="DV85" s="7" t="s">
        <v>214</v>
      </c>
      <c r="DW85" s="7" t="s">
        <v>214</v>
      </c>
      <c r="DX85" s="7" t="s">
        <v>214</v>
      </c>
      <c r="DY85" s="7" t="s">
        <v>214</v>
      </c>
      <c r="DZ85" s="7" t="s">
        <v>214</v>
      </c>
      <c r="EA85" s="7" t="s">
        <v>214</v>
      </c>
      <c r="EB85" s="7" t="s">
        <v>214</v>
      </c>
      <c r="EC85" s="7" t="s">
        <v>214</v>
      </c>
      <c r="ED85" s="7" t="s">
        <v>214</v>
      </c>
      <c r="EE85" s="7" t="s">
        <v>214</v>
      </c>
      <c r="EF85" s="7" t="s">
        <v>214</v>
      </c>
      <c r="EG85" s="7" t="s">
        <v>214</v>
      </c>
      <c r="EH85" s="7" t="s">
        <v>214</v>
      </c>
      <c r="EI85" s="7" t="s">
        <v>214</v>
      </c>
      <c r="EJ85" s="7" t="s">
        <v>214</v>
      </c>
      <c r="EK85" s="7" t="s">
        <v>214</v>
      </c>
      <c r="EL85" s="7" t="s">
        <v>214</v>
      </c>
      <c r="EM85" s="7" t="s">
        <v>214</v>
      </c>
      <c r="EN85" s="7" t="s">
        <v>214</v>
      </c>
      <c r="EO85" s="7" t="s">
        <v>214</v>
      </c>
      <c r="EP85" s="7" t="s">
        <v>214</v>
      </c>
      <c r="EQ85" s="7" t="s">
        <v>218</v>
      </c>
      <c r="ER85" s="7" t="s">
        <v>214</v>
      </c>
      <c r="ES85" s="7" t="s">
        <v>214</v>
      </c>
      <c r="ET85" s="7" t="s">
        <v>214</v>
      </c>
      <c r="EU85" s="7" t="s">
        <v>214</v>
      </c>
      <c r="EV85" s="7" t="s">
        <v>214</v>
      </c>
      <c r="EW85" s="7" t="s">
        <v>214</v>
      </c>
      <c r="EX85" s="7" t="s">
        <v>214</v>
      </c>
      <c r="EY85" s="7" t="s">
        <v>214</v>
      </c>
      <c r="EZ85" s="7" t="s">
        <v>214</v>
      </c>
      <c r="FA85" s="7" t="s">
        <v>214</v>
      </c>
      <c r="FB85" s="7" t="s">
        <v>214</v>
      </c>
      <c r="FC85" s="7" t="s">
        <v>214</v>
      </c>
      <c r="FD85" s="7" t="s">
        <v>214</v>
      </c>
      <c r="FE85" s="7" t="s">
        <v>217</v>
      </c>
      <c r="FF85" s="7" t="s">
        <v>218</v>
      </c>
      <c r="FG85" s="7" t="s">
        <v>218</v>
      </c>
      <c r="FH85" s="7" t="s">
        <v>214</v>
      </c>
      <c r="FI85" s="7" t="s">
        <v>214</v>
      </c>
      <c r="FJ85" s="7" t="s">
        <v>214</v>
      </c>
      <c r="FK85" s="7" t="s">
        <v>218</v>
      </c>
      <c r="FL85" s="7" t="s">
        <v>214</v>
      </c>
    </row>
    <row r="86" spans="1:168" ht="15" x14ac:dyDescent="0.25">
      <c r="A86" s="5" t="s">
        <v>194</v>
      </c>
      <c r="B86" s="5" t="s">
        <v>9</v>
      </c>
      <c r="C86" s="8" t="s">
        <v>217</v>
      </c>
      <c r="D86" s="8" t="s">
        <v>217</v>
      </c>
      <c r="E86" s="8" t="s">
        <v>214</v>
      </c>
      <c r="F86" s="8" t="s">
        <v>214</v>
      </c>
      <c r="G86" s="8" t="s">
        <v>214</v>
      </c>
      <c r="H86" s="8" t="s">
        <v>214</v>
      </c>
      <c r="I86" s="8" t="s">
        <v>214</v>
      </c>
      <c r="J86" s="8" t="s">
        <v>214</v>
      </c>
      <c r="K86" s="8" t="s">
        <v>214</v>
      </c>
      <c r="L86" s="8" t="s">
        <v>214</v>
      </c>
      <c r="M86" s="8" t="s">
        <v>214</v>
      </c>
      <c r="N86" s="8" t="s">
        <v>214</v>
      </c>
      <c r="O86" s="8" t="s">
        <v>214</v>
      </c>
      <c r="P86" s="8" t="s">
        <v>214</v>
      </c>
      <c r="Q86" s="8" t="s">
        <v>214</v>
      </c>
      <c r="R86" s="8" t="s">
        <v>214</v>
      </c>
      <c r="S86" s="8" t="s">
        <v>214</v>
      </c>
      <c r="T86" s="8" t="s">
        <v>214</v>
      </c>
      <c r="U86" s="8" t="s">
        <v>214</v>
      </c>
      <c r="V86" s="8" t="s">
        <v>214</v>
      </c>
      <c r="W86" s="8" t="s">
        <v>214</v>
      </c>
      <c r="X86" s="8" t="s">
        <v>214</v>
      </c>
      <c r="Y86" s="8" t="s">
        <v>214</v>
      </c>
      <c r="Z86" s="8" t="s">
        <v>218</v>
      </c>
      <c r="AA86" s="8" t="s">
        <v>214</v>
      </c>
      <c r="AB86" s="8" t="s">
        <v>214</v>
      </c>
      <c r="AC86" s="8" t="s">
        <v>214</v>
      </c>
      <c r="AD86" s="8" t="s">
        <v>214</v>
      </c>
      <c r="AE86" s="8" t="s">
        <v>214</v>
      </c>
      <c r="AF86" s="8" t="s">
        <v>214</v>
      </c>
      <c r="AG86" s="8" t="s">
        <v>214</v>
      </c>
      <c r="AH86" s="8" t="s">
        <v>214</v>
      </c>
      <c r="AI86" s="8" t="s">
        <v>218</v>
      </c>
      <c r="AJ86" s="8" t="s">
        <v>214</v>
      </c>
      <c r="AK86" s="8" t="s">
        <v>214</v>
      </c>
      <c r="AL86" s="8" t="s">
        <v>214</v>
      </c>
      <c r="AM86" s="8" t="s">
        <v>214</v>
      </c>
      <c r="AN86" s="8" t="s">
        <v>214</v>
      </c>
      <c r="AO86" s="8" t="s">
        <v>214</v>
      </c>
      <c r="AP86" s="8" t="s">
        <v>214</v>
      </c>
      <c r="AQ86" s="8" t="s">
        <v>214</v>
      </c>
      <c r="AR86" s="8" t="s">
        <v>214</v>
      </c>
      <c r="AS86" s="8" t="s">
        <v>214</v>
      </c>
      <c r="AT86" s="8" t="s">
        <v>214</v>
      </c>
      <c r="AU86" s="8" t="s">
        <v>214</v>
      </c>
      <c r="AV86" s="8" t="s">
        <v>214</v>
      </c>
      <c r="AW86" s="8" t="s">
        <v>214</v>
      </c>
      <c r="AX86" s="8" t="s">
        <v>214</v>
      </c>
      <c r="AY86" s="8" t="s">
        <v>214</v>
      </c>
      <c r="AZ86" s="8" t="s">
        <v>214</v>
      </c>
      <c r="BA86" s="8" t="s">
        <v>214</v>
      </c>
      <c r="BB86" s="8" t="s">
        <v>214</v>
      </c>
      <c r="BC86" s="8" t="s">
        <v>214</v>
      </c>
      <c r="BD86" s="8" t="s">
        <v>214</v>
      </c>
      <c r="BE86" s="8" t="s">
        <v>214</v>
      </c>
      <c r="BF86" s="8" t="s">
        <v>214</v>
      </c>
      <c r="BG86" s="8" t="s">
        <v>214</v>
      </c>
      <c r="BH86" s="8" t="s">
        <v>214</v>
      </c>
      <c r="BI86" s="8" t="s">
        <v>214</v>
      </c>
      <c r="BJ86" s="8" t="s">
        <v>218</v>
      </c>
      <c r="BK86" s="8" t="s">
        <v>214</v>
      </c>
      <c r="BL86" s="8" t="s">
        <v>214</v>
      </c>
      <c r="BM86" s="8" t="s">
        <v>214</v>
      </c>
      <c r="BN86" s="8" t="s">
        <v>214</v>
      </c>
      <c r="BO86" s="8" t="s">
        <v>214</v>
      </c>
      <c r="BP86" s="8" t="s">
        <v>214</v>
      </c>
      <c r="BQ86" s="8" t="s">
        <v>214</v>
      </c>
      <c r="BR86" s="8" t="s">
        <v>214</v>
      </c>
      <c r="BS86" s="8" t="s">
        <v>218</v>
      </c>
      <c r="BT86" s="8" t="s">
        <v>218</v>
      </c>
      <c r="BU86" s="8" t="s">
        <v>218</v>
      </c>
      <c r="BV86" s="8" t="s">
        <v>218</v>
      </c>
      <c r="BW86" s="8" t="s">
        <v>214</v>
      </c>
      <c r="BX86" s="8" t="s">
        <v>214</v>
      </c>
      <c r="BY86" s="8" t="s">
        <v>214</v>
      </c>
      <c r="BZ86" s="8" t="s">
        <v>214</v>
      </c>
      <c r="CA86" s="8" t="s">
        <v>214</v>
      </c>
      <c r="CB86" s="8" t="s">
        <v>214</v>
      </c>
      <c r="CC86" s="8" t="s">
        <v>214</v>
      </c>
      <c r="CD86" s="8" t="s">
        <v>214</v>
      </c>
      <c r="CE86" s="8" t="s">
        <v>214</v>
      </c>
      <c r="CF86" s="8" t="s">
        <v>214</v>
      </c>
      <c r="CG86" s="8" t="s">
        <v>214</v>
      </c>
      <c r="CH86" s="8" t="s">
        <v>214</v>
      </c>
      <c r="CI86" s="8" t="s">
        <v>214</v>
      </c>
      <c r="CJ86" s="8" t="s">
        <v>214</v>
      </c>
      <c r="CK86" s="8" t="s">
        <v>214</v>
      </c>
      <c r="CL86" s="8" t="s">
        <v>214</v>
      </c>
      <c r="CM86" s="8" t="s">
        <v>214</v>
      </c>
      <c r="CN86" s="8" t="s">
        <v>214</v>
      </c>
      <c r="CO86" s="8" t="s">
        <v>214</v>
      </c>
      <c r="CP86" s="8" t="s">
        <v>214</v>
      </c>
      <c r="CQ86" s="8" t="s">
        <v>214</v>
      </c>
      <c r="CR86" s="8" t="s">
        <v>214</v>
      </c>
      <c r="CS86" s="8" t="s">
        <v>214</v>
      </c>
      <c r="CT86" s="8" t="s">
        <v>214</v>
      </c>
      <c r="CU86" s="8" t="s">
        <v>214</v>
      </c>
      <c r="CV86" s="8" t="s">
        <v>214</v>
      </c>
      <c r="CW86" s="8" t="s">
        <v>214</v>
      </c>
      <c r="CX86" s="8" t="s">
        <v>214</v>
      </c>
      <c r="CY86" s="8" t="s">
        <v>214</v>
      </c>
      <c r="CZ86" s="8" t="s">
        <v>214</v>
      </c>
      <c r="DA86" s="8" t="s">
        <v>214</v>
      </c>
      <c r="DB86" s="8" t="s">
        <v>214</v>
      </c>
      <c r="DC86" s="8" t="s">
        <v>214</v>
      </c>
      <c r="DD86" s="8" t="s">
        <v>214</v>
      </c>
      <c r="DE86" s="8" t="s">
        <v>214</v>
      </c>
      <c r="DF86" s="8" t="s">
        <v>214</v>
      </c>
      <c r="DG86" s="8" t="s">
        <v>214</v>
      </c>
      <c r="DH86" s="8" t="s">
        <v>214</v>
      </c>
      <c r="DI86" s="8" t="s">
        <v>214</v>
      </c>
      <c r="DJ86" s="8" t="s">
        <v>214</v>
      </c>
      <c r="DK86" s="8" t="s">
        <v>214</v>
      </c>
      <c r="DL86" s="8" t="s">
        <v>214</v>
      </c>
      <c r="DM86" s="8" t="s">
        <v>214</v>
      </c>
      <c r="DN86" s="8" t="s">
        <v>214</v>
      </c>
      <c r="DO86" s="8" t="s">
        <v>214</v>
      </c>
      <c r="DP86" s="8" t="s">
        <v>214</v>
      </c>
      <c r="DQ86" s="8" t="s">
        <v>214</v>
      </c>
      <c r="DR86" s="8" t="s">
        <v>214</v>
      </c>
      <c r="DS86" s="8" t="s">
        <v>214</v>
      </c>
      <c r="DT86" s="8" t="s">
        <v>214</v>
      </c>
      <c r="DU86" s="8" t="s">
        <v>214</v>
      </c>
      <c r="DV86" s="8" t="s">
        <v>214</v>
      </c>
      <c r="DW86" s="8" t="s">
        <v>214</v>
      </c>
      <c r="DX86" s="8" t="s">
        <v>214</v>
      </c>
      <c r="DY86" s="8" t="s">
        <v>214</v>
      </c>
      <c r="DZ86" s="8" t="s">
        <v>214</v>
      </c>
      <c r="EA86" s="8" t="s">
        <v>214</v>
      </c>
      <c r="EB86" s="8" t="s">
        <v>214</v>
      </c>
      <c r="EC86" s="8" t="s">
        <v>214</v>
      </c>
      <c r="ED86" s="8" t="s">
        <v>214</v>
      </c>
      <c r="EE86" s="8" t="s">
        <v>214</v>
      </c>
      <c r="EF86" s="8" t="s">
        <v>214</v>
      </c>
      <c r="EG86" s="8" t="s">
        <v>214</v>
      </c>
      <c r="EH86" s="8" t="s">
        <v>214</v>
      </c>
      <c r="EI86" s="8" t="s">
        <v>214</v>
      </c>
      <c r="EJ86" s="8" t="s">
        <v>214</v>
      </c>
      <c r="EK86" s="8" t="s">
        <v>214</v>
      </c>
      <c r="EL86" s="8" t="s">
        <v>214</v>
      </c>
      <c r="EM86" s="8" t="s">
        <v>214</v>
      </c>
      <c r="EN86" s="8" t="s">
        <v>214</v>
      </c>
      <c r="EO86" s="8" t="s">
        <v>214</v>
      </c>
      <c r="EP86" s="8" t="s">
        <v>214</v>
      </c>
      <c r="EQ86" s="8" t="s">
        <v>218</v>
      </c>
      <c r="ER86" s="8" t="s">
        <v>214</v>
      </c>
      <c r="ES86" s="8" t="s">
        <v>214</v>
      </c>
      <c r="ET86" s="8" t="s">
        <v>214</v>
      </c>
      <c r="EU86" s="8" t="s">
        <v>214</v>
      </c>
      <c r="EV86" s="8" t="s">
        <v>214</v>
      </c>
      <c r="EW86" s="8" t="s">
        <v>214</v>
      </c>
      <c r="EX86" s="8" t="s">
        <v>214</v>
      </c>
      <c r="EY86" s="8" t="s">
        <v>214</v>
      </c>
      <c r="EZ86" s="8" t="s">
        <v>214</v>
      </c>
      <c r="FA86" s="8" t="s">
        <v>214</v>
      </c>
      <c r="FB86" s="8" t="s">
        <v>214</v>
      </c>
      <c r="FC86" s="8" t="s">
        <v>214</v>
      </c>
      <c r="FD86" s="8" t="s">
        <v>214</v>
      </c>
      <c r="FE86" s="8" t="s">
        <v>217</v>
      </c>
      <c r="FF86" s="8" t="s">
        <v>218</v>
      </c>
      <c r="FG86" s="8" t="s">
        <v>218</v>
      </c>
      <c r="FH86" s="8" t="s">
        <v>214</v>
      </c>
      <c r="FI86" s="8" t="s">
        <v>214</v>
      </c>
      <c r="FJ86" s="8" t="s">
        <v>214</v>
      </c>
      <c r="FK86" s="8" t="s">
        <v>218</v>
      </c>
      <c r="FL86" s="8" t="s">
        <v>214</v>
      </c>
    </row>
    <row r="87" spans="1:168" ht="15" x14ac:dyDescent="0.25">
      <c r="A87" s="5" t="s">
        <v>195</v>
      </c>
      <c r="B87" s="5" t="s">
        <v>6</v>
      </c>
      <c r="C87" s="7" t="s">
        <v>214</v>
      </c>
      <c r="D87" s="7" t="s">
        <v>214</v>
      </c>
      <c r="E87" s="7" t="s">
        <v>214</v>
      </c>
      <c r="F87" s="7" t="s">
        <v>214</v>
      </c>
      <c r="G87" s="7" t="s">
        <v>214</v>
      </c>
      <c r="H87" s="7" t="s">
        <v>214</v>
      </c>
      <c r="I87" s="7" t="s">
        <v>214</v>
      </c>
      <c r="J87" s="7" t="s">
        <v>214</v>
      </c>
      <c r="K87" s="7" t="s">
        <v>214</v>
      </c>
      <c r="L87" s="7" t="s">
        <v>214</v>
      </c>
      <c r="M87" s="7" t="s">
        <v>214</v>
      </c>
      <c r="N87" s="7" t="s">
        <v>214</v>
      </c>
      <c r="O87" s="7" t="s">
        <v>214</v>
      </c>
      <c r="P87" s="7" t="s">
        <v>214</v>
      </c>
      <c r="Q87" s="7" t="s">
        <v>214</v>
      </c>
      <c r="R87" s="7" t="s">
        <v>214</v>
      </c>
      <c r="S87" s="7" t="s">
        <v>214</v>
      </c>
      <c r="T87" s="7" t="s">
        <v>214</v>
      </c>
      <c r="U87" s="7" t="s">
        <v>214</v>
      </c>
      <c r="V87" s="7" t="s">
        <v>214</v>
      </c>
      <c r="W87" s="7" t="s">
        <v>214</v>
      </c>
      <c r="X87" s="7" t="s">
        <v>214</v>
      </c>
      <c r="Y87" s="7" t="s">
        <v>214</v>
      </c>
      <c r="Z87" s="7" t="s">
        <v>214</v>
      </c>
      <c r="AA87" s="7" t="s">
        <v>214</v>
      </c>
      <c r="AB87" s="7" t="s">
        <v>214</v>
      </c>
      <c r="AC87" s="7" t="s">
        <v>214</v>
      </c>
      <c r="AD87" s="7" t="s">
        <v>214</v>
      </c>
      <c r="AE87" s="7" t="s">
        <v>214</v>
      </c>
      <c r="AF87" s="7" t="s">
        <v>214</v>
      </c>
      <c r="AG87" s="7" t="s">
        <v>214</v>
      </c>
      <c r="AH87" s="7" t="s">
        <v>214</v>
      </c>
      <c r="AI87" s="7" t="s">
        <v>214</v>
      </c>
      <c r="AJ87" s="7" t="s">
        <v>214</v>
      </c>
      <c r="AK87" s="7" t="s">
        <v>214</v>
      </c>
      <c r="AL87" s="7" t="s">
        <v>214</v>
      </c>
      <c r="AM87" s="7" t="s">
        <v>214</v>
      </c>
      <c r="AN87" s="7" t="s">
        <v>214</v>
      </c>
      <c r="AO87" s="7" t="s">
        <v>214</v>
      </c>
      <c r="AP87" s="7" t="s">
        <v>214</v>
      </c>
      <c r="AQ87" s="7" t="s">
        <v>214</v>
      </c>
      <c r="AR87" s="7" t="s">
        <v>217</v>
      </c>
      <c r="AS87" s="7" t="s">
        <v>214</v>
      </c>
      <c r="AT87" s="7" t="s">
        <v>214</v>
      </c>
      <c r="AU87" s="7" t="s">
        <v>214</v>
      </c>
      <c r="AV87" s="7" t="s">
        <v>214</v>
      </c>
      <c r="AW87" s="7" t="s">
        <v>214</v>
      </c>
      <c r="AX87" s="7" t="s">
        <v>214</v>
      </c>
      <c r="AY87" s="7" t="s">
        <v>214</v>
      </c>
      <c r="AZ87" s="7" t="s">
        <v>214</v>
      </c>
      <c r="BA87" s="7" t="s">
        <v>214</v>
      </c>
      <c r="BB87" s="7" t="s">
        <v>214</v>
      </c>
      <c r="BC87" s="7" t="s">
        <v>214</v>
      </c>
      <c r="BD87" s="7" t="s">
        <v>214</v>
      </c>
      <c r="BE87" s="7" t="s">
        <v>214</v>
      </c>
      <c r="BF87" s="7" t="s">
        <v>214</v>
      </c>
      <c r="BG87" s="7" t="s">
        <v>214</v>
      </c>
      <c r="BH87" s="7" t="s">
        <v>214</v>
      </c>
      <c r="BI87" s="7" t="s">
        <v>214</v>
      </c>
      <c r="BJ87" s="7" t="s">
        <v>214</v>
      </c>
      <c r="BK87" s="7" t="s">
        <v>214</v>
      </c>
      <c r="BL87" s="7" t="s">
        <v>214</v>
      </c>
      <c r="BM87" s="7" t="s">
        <v>214</v>
      </c>
      <c r="BN87" s="7" t="s">
        <v>214</v>
      </c>
      <c r="BO87" s="7" t="s">
        <v>214</v>
      </c>
      <c r="BP87" s="7" t="s">
        <v>214</v>
      </c>
      <c r="BQ87" s="7" t="s">
        <v>214</v>
      </c>
      <c r="BR87" s="7" t="s">
        <v>214</v>
      </c>
      <c r="BS87" s="7" t="s">
        <v>214</v>
      </c>
      <c r="BT87" s="7" t="s">
        <v>214</v>
      </c>
      <c r="BU87" s="7" t="s">
        <v>214</v>
      </c>
      <c r="BV87" s="7" t="s">
        <v>214</v>
      </c>
      <c r="BW87" s="7" t="s">
        <v>214</v>
      </c>
      <c r="BX87" s="7" t="s">
        <v>214</v>
      </c>
      <c r="BY87" s="7" t="s">
        <v>214</v>
      </c>
      <c r="BZ87" s="7" t="s">
        <v>214</v>
      </c>
      <c r="CA87" s="7" t="s">
        <v>214</v>
      </c>
      <c r="CB87" s="7" t="s">
        <v>214</v>
      </c>
      <c r="CC87" s="7" t="s">
        <v>214</v>
      </c>
      <c r="CD87" s="7" t="s">
        <v>214</v>
      </c>
      <c r="CE87" s="7" t="s">
        <v>214</v>
      </c>
      <c r="CF87" s="7" t="s">
        <v>214</v>
      </c>
      <c r="CG87" s="7" t="s">
        <v>214</v>
      </c>
      <c r="CH87" s="7" t="s">
        <v>214</v>
      </c>
      <c r="CI87" s="7" t="s">
        <v>214</v>
      </c>
      <c r="CJ87" s="7" t="s">
        <v>214</v>
      </c>
      <c r="CK87" s="7" t="s">
        <v>214</v>
      </c>
      <c r="CL87" s="7" t="s">
        <v>214</v>
      </c>
      <c r="CM87" s="7" t="s">
        <v>214</v>
      </c>
      <c r="CN87" s="7" t="s">
        <v>214</v>
      </c>
      <c r="CO87" s="7" t="s">
        <v>214</v>
      </c>
      <c r="CP87" s="7" t="s">
        <v>214</v>
      </c>
      <c r="CQ87" s="7" t="s">
        <v>214</v>
      </c>
      <c r="CR87" s="7" t="s">
        <v>214</v>
      </c>
      <c r="CS87" s="7" t="s">
        <v>214</v>
      </c>
      <c r="CT87" s="7" t="s">
        <v>214</v>
      </c>
      <c r="CU87" s="7" t="s">
        <v>214</v>
      </c>
      <c r="CV87" s="7" t="s">
        <v>214</v>
      </c>
      <c r="CW87" s="7" t="s">
        <v>214</v>
      </c>
      <c r="CX87" s="7" t="s">
        <v>214</v>
      </c>
      <c r="CY87" s="7" t="s">
        <v>214</v>
      </c>
      <c r="CZ87" s="7" t="s">
        <v>214</v>
      </c>
      <c r="DA87" s="7" t="s">
        <v>214</v>
      </c>
      <c r="DB87" s="7" t="s">
        <v>214</v>
      </c>
      <c r="DC87" s="7" t="s">
        <v>214</v>
      </c>
      <c r="DD87" s="7" t="s">
        <v>214</v>
      </c>
      <c r="DE87" s="7" t="s">
        <v>214</v>
      </c>
      <c r="DF87" s="7" t="s">
        <v>214</v>
      </c>
      <c r="DG87" s="7" t="s">
        <v>214</v>
      </c>
      <c r="DH87" s="7" t="s">
        <v>214</v>
      </c>
      <c r="DI87" s="7" t="s">
        <v>214</v>
      </c>
      <c r="DJ87" s="7" t="s">
        <v>214</v>
      </c>
      <c r="DK87" s="7" t="s">
        <v>214</v>
      </c>
      <c r="DL87" s="7" t="s">
        <v>214</v>
      </c>
      <c r="DM87" s="7" t="s">
        <v>214</v>
      </c>
      <c r="DN87" s="7" t="s">
        <v>214</v>
      </c>
      <c r="DO87" s="7" t="s">
        <v>214</v>
      </c>
      <c r="DP87" s="7" t="s">
        <v>214</v>
      </c>
      <c r="DQ87" s="7" t="s">
        <v>214</v>
      </c>
      <c r="DR87" s="7" t="s">
        <v>214</v>
      </c>
      <c r="DS87" s="7" t="s">
        <v>214</v>
      </c>
      <c r="DT87" s="7" t="s">
        <v>214</v>
      </c>
      <c r="DU87" s="7" t="s">
        <v>214</v>
      </c>
      <c r="DV87" s="7" t="s">
        <v>214</v>
      </c>
      <c r="DW87" s="7" t="s">
        <v>214</v>
      </c>
      <c r="DX87" s="7" t="s">
        <v>214</v>
      </c>
      <c r="DY87" s="7" t="s">
        <v>214</v>
      </c>
      <c r="DZ87" s="7" t="s">
        <v>214</v>
      </c>
      <c r="EA87" s="7" t="s">
        <v>214</v>
      </c>
      <c r="EB87" s="7" t="s">
        <v>214</v>
      </c>
      <c r="EC87" s="7" t="s">
        <v>214</v>
      </c>
      <c r="ED87" s="7" t="s">
        <v>214</v>
      </c>
      <c r="EE87" s="7" t="s">
        <v>214</v>
      </c>
      <c r="EF87" s="7" t="s">
        <v>214</v>
      </c>
      <c r="EG87" s="7" t="s">
        <v>214</v>
      </c>
      <c r="EH87" s="7" t="s">
        <v>214</v>
      </c>
      <c r="EI87" s="7" t="s">
        <v>214</v>
      </c>
      <c r="EJ87" s="7" t="s">
        <v>214</v>
      </c>
      <c r="EK87" s="7" t="s">
        <v>214</v>
      </c>
      <c r="EL87" s="7" t="s">
        <v>214</v>
      </c>
      <c r="EM87" s="7" t="s">
        <v>214</v>
      </c>
      <c r="EN87" s="7" t="s">
        <v>214</v>
      </c>
      <c r="EO87" s="7" t="s">
        <v>214</v>
      </c>
      <c r="EP87" s="7" t="s">
        <v>214</v>
      </c>
      <c r="EQ87" s="7" t="s">
        <v>218</v>
      </c>
      <c r="ER87" s="7" t="s">
        <v>214</v>
      </c>
      <c r="ES87" s="7" t="s">
        <v>214</v>
      </c>
      <c r="ET87" s="7" t="s">
        <v>214</v>
      </c>
      <c r="EU87" s="7" t="s">
        <v>214</v>
      </c>
      <c r="EV87" s="7" t="s">
        <v>214</v>
      </c>
      <c r="EW87" s="7" t="s">
        <v>214</v>
      </c>
      <c r="EX87" s="7" t="s">
        <v>214</v>
      </c>
      <c r="EY87" s="7" t="s">
        <v>214</v>
      </c>
      <c r="EZ87" s="7" t="s">
        <v>214</v>
      </c>
      <c r="FA87" s="7" t="s">
        <v>214</v>
      </c>
      <c r="FB87" s="7" t="s">
        <v>214</v>
      </c>
      <c r="FC87" s="7" t="s">
        <v>214</v>
      </c>
      <c r="FD87" s="7" t="s">
        <v>214</v>
      </c>
      <c r="FE87" s="7" t="s">
        <v>214</v>
      </c>
      <c r="FF87" s="7" t="s">
        <v>214</v>
      </c>
      <c r="FG87" s="7" t="s">
        <v>218</v>
      </c>
      <c r="FH87" s="7" t="s">
        <v>214</v>
      </c>
      <c r="FI87" s="7" t="s">
        <v>214</v>
      </c>
      <c r="FJ87" s="7" t="s">
        <v>214</v>
      </c>
      <c r="FK87" s="7" t="s">
        <v>214</v>
      </c>
      <c r="FL87" s="7" t="s">
        <v>214</v>
      </c>
    </row>
    <row r="88" spans="1:168" ht="15" x14ac:dyDescent="0.25">
      <c r="A88" s="5" t="s">
        <v>195</v>
      </c>
      <c r="B88" s="5" t="s">
        <v>7</v>
      </c>
      <c r="C88" s="8" t="s">
        <v>217</v>
      </c>
      <c r="D88" s="8" t="s">
        <v>217</v>
      </c>
      <c r="E88" s="8" t="s">
        <v>214</v>
      </c>
      <c r="F88" s="8" t="s">
        <v>214</v>
      </c>
      <c r="G88" s="8" t="s">
        <v>214</v>
      </c>
      <c r="H88" s="8" t="s">
        <v>214</v>
      </c>
      <c r="I88" s="8" t="s">
        <v>214</v>
      </c>
      <c r="J88" s="8" t="s">
        <v>214</v>
      </c>
      <c r="K88" s="8" t="s">
        <v>214</v>
      </c>
      <c r="L88" s="8" t="s">
        <v>214</v>
      </c>
      <c r="M88" s="8" t="s">
        <v>214</v>
      </c>
      <c r="N88" s="8" t="s">
        <v>214</v>
      </c>
      <c r="O88" s="8" t="s">
        <v>214</v>
      </c>
      <c r="P88" s="8" t="s">
        <v>214</v>
      </c>
      <c r="Q88" s="8" t="s">
        <v>214</v>
      </c>
      <c r="R88" s="8" t="s">
        <v>214</v>
      </c>
      <c r="S88" s="8" t="s">
        <v>214</v>
      </c>
      <c r="T88" s="8" t="s">
        <v>214</v>
      </c>
      <c r="U88" s="8" t="s">
        <v>214</v>
      </c>
      <c r="V88" s="8" t="s">
        <v>214</v>
      </c>
      <c r="W88" s="8" t="s">
        <v>214</v>
      </c>
      <c r="X88" s="8" t="s">
        <v>214</v>
      </c>
      <c r="Y88" s="8" t="s">
        <v>214</v>
      </c>
      <c r="Z88" s="8" t="s">
        <v>218</v>
      </c>
      <c r="AA88" s="8" t="s">
        <v>214</v>
      </c>
      <c r="AB88" s="8" t="s">
        <v>214</v>
      </c>
      <c r="AC88" s="8" t="s">
        <v>214</v>
      </c>
      <c r="AD88" s="8" t="s">
        <v>214</v>
      </c>
      <c r="AE88" s="8" t="s">
        <v>214</v>
      </c>
      <c r="AF88" s="8" t="s">
        <v>214</v>
      </c>
      <c r="AG88" s="8" t="s">
        <v>214</v>
      </c>
      <c r="AH88" s="8" t="s">
        <v>214</v>
      </c>
      <c r="AI88" s="8" t="s">
        <v>214</v>
      </c>
      <c r="AJ88" s="8" t="s">
        <v>214</v>
      </c>
      <c r="AK88" s="8" t="s">
        <v>214</v>
      </c>
      <c r="AL88" s="8" t="s">
        <v>214</v>
      </c>
      <c r="AM88" s="8" t="s">
        <v>214</v>
      </c>
      <c r="AN88" s="8" t="s">
        <v>214</v>
      </c>
      <c r="AO88" s="8" t="s">
        <v>214</v>
      </c>
      <c r="AP88" s="8" t="s">
        <v>214</v>
      </c>
      <c r="AQ88" s="8" t="s">
        <v>214</v>
      </c>
      <c r="AR88" s="8" t="s">
        <v>217</v>
      </c>
      <c r="AS88" s="8" t="s">
        <v>214</v>
      </c>
      <c r="AT88" s="8" t="s">
        <v>214</v>
      </c>
      <c r="AU88" s="8" t="s">
        <v>214</v>
      </c>
      <c r="AV88" s="8" t="s">
        <v>214</v>
      </c>
      <c r="AW88" s="8" t="s">
        <v>214</v>
      </c>
      <c r="AX88" s="8" t="s">
        <v>214</v>
      </c>
      <c r="AY88" s="8" t="s">
        <v>214</v>
      </c>
      <c r="AZ88" s="8" t="s">
        <v>214</v>
      </c>
      <c r="BA88" s="8" t="s">
        <v>214</v>
      </c>
      <c r="BB88" s="8" t="s">
        <v>214</v>
      </c>
      <c r="BC88" s="8" t="s">
        <v>214</v>
      </c>
      <c r="BD88" s="8" t="s">
        <v>214</v>
      </c>
      <c r="BE88" s="8" t="s">
        <v>214</v>
      </c>
      <c r="BF88" s="8" t="s">
        <v>217</v>
      </c>
      <c r="BG88" s="8" t="s">
        <v>214</v>
      </c>
      <c r="BH88" s="8" t="s">
        <v>214</v>
      </c>
      <c r="BI88" s="8" t="s">
        <v>214</v>
      </c>
      <c r="BJ88" s="8" t="s">
        <v>214</v>
      </c>
      <c r="BK88" s="8" t="s">
        <v>214</v>
      </c>
      <c r="BL88" s="8" t="s">
        <v>214</v>
      </c>
      <c r="BM88" s="8" t="s">
        <v>214</v>
      </c>
      <c r="BN88" s="8" t="s">
        <v>214</v>
      </c>
      <c r="BO88" s="8" t="s">
        <v>214</v>
      </c>
      <c r="BP88" s="8" t="s">
        <v>214</v>
      </c>
      <c r="BQ88" s="8" t="s">
        <v>214</v>
      </c>
      <c r="BR88" s="8" t="s">
        <v>218</v>
      </c>
      <c r="BS88" s="8" t="s">
        <v>214</v>
      </c>
      <c r="BT88" s="8" t="s">
        <v>214</v>
      </c>
      <c r="BU88" s="8" t="s">
        <v>214</v>
      </c>
      <c r="BV88" s="8" t="s">
        <v>214</v>
      </c>
      <c r="BW88" s="8" t="s">
        <v>214</v>
      </c>
      <c r="BX88" s="8" t="s">
        <v>214</v>
      </c>
      <c r="BY88" s="8" t="s">
        <v>214</v>
      </c>
      <c r="BZ88" s="8" t="s">
        <v>214</v>
      </c>
      <c r="CA88" s="8" t="s">
        <v>214</v>
      </c>
      <c r="CB88" s="8" t="s">
        <v>214</v>
      </c>
      <c r="CC88" s="8" t="s">
        <v>214</v>
      </c>
      <c r="CD88" s="8" t="s">
        <v>214</v>
      </c>
      <c r="CE88" s="8" t="s">
        <v>214</v>
      </c>
      <c r="CF88" s="8" t="s">
        <v>214</v>
      </c>
      <c r="CG88" s="8" t="s">
        <v>214</v>
      </c>
      <c r="CH88" s="8" t="s">
        <v>214</v>
      </c>
      <c r="CI88" s="8" t="s">
        <v>214</v>
      </c>
      <c r="CJ88" s="8" t="s">
        <v>214</v>
      </c>
      <c r="CK88" s="8" t="s">
        <v>214</v>
      </c>
      <c r="CL88" s="8" t="s">
        <v>214</v>
      </c>
      <c r="CM88" s="8" t="s">
        <v>214</v>
      </c>
      <c r="CN88" s="8" t="s">
        <v>214</v>
      </c>
      <c r="CO88" s="8" t="s">
        <v>214</v>
      </c>
      <c r="CP88" s="8" t="s">
        <v>214</v>
      </c>
      <c r="CQ88" s="8" t="s">
        <v>214</v>
      </c>
      <c r="CR88" s="8" t="s">
        <v>214</v>
      </c>
      <c r="CS88" s="8" t="s">
        <v>214</v>
      </c>
      <c r="CT88" s="8" t="s">
        <v>214</v>
      </c>
      <c r="CU88" s="8" t="s">
        <v>214</v>
      </c>
      <c r="CV88" s="8" t="s">
        <v>214</v>
      </c>
      <c r="CW88" s="8" t="s">
        <v>214</v>
      </c>
      <c r="CX88" s="8" t="s">
        <v>214</v>
      </c>
      <c r="CY88" s="8" t="s">
        <v>214</v>
      </c>
      <c r="CZ88" s="8" t="s">
        <v>214</v>
      </c>
      <c r="DA88" s="8" t="s">
        <v>214</v>
      </c>
      <c r="DB88" s="8" t="s">
        <v>214</v>
      </c>
      <c r="DC88" s="8" t="s">
        <v>214</v>
      </c>
      <c r="DD88" s="8" t="s">
        <v>214</v>
      </c>
      <c r="DE88" s="8" t="s">
        <v>214</v>
      </c>
      <c r="DF88" s="8" t="s">
        <v>214</v>
      </c>
      <c r="DG88" s="8" t="s">
        <v>214</v>
      </c>
      <c r="DH88" s="8" t="s">
        <v>214</v>
      </c>
      <c r="DI88" s="8" t="s">
        <v>214</v>
      </c>
      <c r="DJ88" s="8" t="s">
        <v>214</v>
      </c>
      <c r="DK88" s="8" t="s">
        <v>214</v>
      </c>
      <c r="DL88" s="8" t="s">
        <v>214</v>
      </c>
      <c r="DM88" s="8" t="s">
        <v>214</v>
      </c>
      <c r="DN88" s="8" t="s">
        <v>214</v>
      </c>
      <c r="DO88" s="8" t="s">
        <v>214</v>
      </c>
      <c r="DP88" s="8" t="s">
        <v>214</v>
      </c>
      <c r="DQ88" s="8" t="s">
        <v>214</v>
      </c>
      <c r="DR88" s="8" t="s">
        <v>214</v>
      </c>
      <c r="DS88" s="8" t="s">
        <v>217</v>
      </c>
      <c r="DT88" s="8" t="s">
        <v>214</v>
      </c>
      <c r="DU88" s="8" t="s">
        <v>214</v>
      </c>
      <c r="DV88" s="8" t="s">
        <v>214</v>
      </c>
      <c r="DW88" s="8" t="s">
        <v>217</v>
      </c>
      <c r="DX88" s="8" t="s">
        <v>214</v>
      </c>
      <c r="DY88" s="8" t="s">
        <v>214</v>
      </c>
      <c r="DZ88" s="8" t="s">
        <v>214</v>
      </c>
      <c r="EA88" s="8" t="s">
        <v>217</v>
      </c>
      <c r="EB88" s="8" t="s">
        <v>214</v>
      </c>
      <c r="EC88" s="8" t="s">
        <v>214</v>
      </c>
      <c r="ED88" s="8" t="s">
        <v>214</v>
      </c>
      <c r="EE88" s="8" t="s">
        <v>214</v>
      </c>
      <c r="EF88" s="8" t="s">
        <v>217</v>
      </c>
      <c r="EG88" s="8" t="s">
        <v>214</v>
      </c>
      <c r="EH88" s="8" t="s">
        <v>214</v>
      </c>
      <c r="EI88" s="8" t="s">
        <v>214</v>
      </c>
      <c r="EJ88" s="8" t="s">
        <v>214</v>
      </c>
      <c r="EK88" s="8" t="s">
        <v>214</v>
      </c>
      <c r="EL88" s="8" t="s">
        <v>214</v>
      </c>
      <c r="EM88" s="8" t="s">
        <v>214</v>
      </c>
      <c r="EN88" s="8" t="s">
        <v>214</v>
      </c>
      <c r="EO88" s="8" t="s">
        <v>214</v>
      </c>
      <c r="EP88" s="8" t="s">
        <v>214</v>
      </c>
      <c r="EQ88" s="8" t="s">
        <v>218</v>
      </c>
      <c r="ER88" s="8" t="s">
        <v>217</v>
      </c>
      <c r="ES88" s="8" t="s">
        <v>214</v>
      </c>
      <c r="ET88" s="8" t="s">
        <v>214</v>
      </c>
      <c r="EU88" s="8" t="s">
        <v>214</v>
      </c>
      <c r="EV88" s="8" t="s">
        <v>214</v>
      </c>
      <c r="EW88" s="8" t="s">
        <v>214</v>
      </c>
      <c r="EX88" s="8" t="s">
        <v>214</v>
      </c>
      <c r="EY88" s="8" t="s">
        <v>214</v>
      </c>
      <c r="EZ88" s="8" t="s">
        <v>217</v>
      </c>
      <c r="FA88" s="8" t="s">
        <v>217</v>
      </c>
      <c r="FB88" s="8" t="s">
        <v>214</v>
      </c>
      <c r="FC88" s="8" t="s">
        <v>214</v>
      </c>
      <c r="FD88" s="8" t="s">
        <v>214</v>
      </c>
      <c r="FE88" s="8" t="s">
        <v>214</v>
      </c>
      <c r="FF88" s="8" t="s">
        <v>214</v>
      </c>
      <c r="FG88" s="8" t="s">
        <v>218</v>
      </c>
      <c r="FH88" s="8" t="s">
        <v>214</v>
      </c>
      <c r="FI88" s="8" t="s">
        <v>214</v>
      </c>
      <c r="FJ88" s="8" t="s">
        <v>214</v>
      </c>
      <c r="FK88" s="8" t="s">
        <v>214</v>
      </c>
      <c r="FL88" s="8" t="s">
        <v>214</v>
      </c>
    </row>
    <row r="89" spans="1:168" ht="15" x14ac:dyDescent="0.25">
      <c r="A89" s="5" t="s">
        <v>195</v>
      </c>
      <c r="B89" s="5" t="s">
        <v>8</v>
      </c>
      <c r="C89" s="7" t="s">
        <v>217</v>
      </c>
      <c r="D89" s="7" t="s">
        <v>217</v>
      </c>
      <c r="E89" s="7" t="s">
        <v>214</v>
      </c>
      <c r="F89" s="7" t="s">
        <v>214</v>
      </c>
      <c r="G89" s="7" t="s">
        <v>214</v>
      </c>
      <c r="H89" s="7" t="s">
        <v>214</v>
      </c>
      <c r="I89" s="7" t="s">
        <v>214</v>
      </c>
      <c r="J89" s="7" t="s">
        <v>214</v>
      </c>
      <c r="K89" s="7" t="s">
        <v>214</v>
      </c>
      <c r="L89" s="7" t="s">
        <v>214</v>
      </c>
      <c r="M89" s="7" t="s">
        <v>214</v>
      </c>
      <c r="N89" s="7" t="s">
        <v>214</v>
      </c>
      <c r="O89" s="7" t="s">
        <v>214</v>
      </c>
      <c r="P89" s="7" t="s">
        <v>214</v>
      </c>
      <c r="Q89" s="7" t="s">
        <v>214</v>
      </c>
      <c r="R89" s="7" t="s">
        <v>214</v>
      </c>
      <c r="S89" s="7" t="s">
        <v>214</v>
      </c>
      <c r="T89" s="7" t="s">
        <v>214</v>
      </c>
      <c r="U89" s="7" t="s">
        <v>214</v>
      </c>
      <c r="V89" s="7" t="s">
        <v>214</v>
      </c>
      <c r="W89" s="7" t="s">
        <v>214</v>
      </c>
      <c r="X89" s="7" t="s">
        <v>214</v>
      </c>
      <c r="Y89" s="7" t="s">
        <v>214</v>
      </c>
      <c r="Z89" s="7" t="s">
        <v>218</v>
      </c>
      <c r="AA89" s="7" t="s">
        <v>214</v>
      </c>
      <c r="AB89" s="7" t="s">
        <v>214</v>
      </c>
      <c r="AC89" s="7" t="s">
        <v>217</v>
      </c>
      <c r="AD89" s="7" t="s">
        <v>214</v>
      </c>
      <c r="AE89" s="7" t="s">
        <v>214</v>
      </c>
      <c r="AF89" s="7" t="s">
        <v>214</v>
      </c>
      <c r="AG89" s="7" t="s">
        <v>214</v>
      </c>
      <c r="AH89" s="7" t="s">
        <v>214</v>
      </c>
      <c r="AI89" s="7" t="s">
        <v>214</v>
      </c>
      <c r="AJ89" s="7" t="s">
        <v>214</v>
      </c>
      <c r="AK89" s="7" t="s">
        <v>214</v>
      </c>
      <c r="AL89" s="7" t="s">
        <v>214</v>
      </c>
      <c r="AM89" s="7" t="s">
        <v>214</v>
      </c>
      <c r="AN89" s="7" t="s">
        <v>214</v>
      </c>
      <c r="AO89" s="7" t="s">
        <v>214</v>
      </c>
      <c r="AP89" s="7" t="s">
        <v>214</v>
      </c>
      <c r="AQ89" s="7" t="s">
        <v>214</v>
      </c>
      <c r="AR89" s="7" t="s">
        <v>217</v>
      </c>
      <c r="AS89" s="7" t="s">
        <v>214</v>
      </c>
      <c r="AT89" s="7" t="s">
        <v>214</v>
      </c>
      <c r="AU89" s="7" t="s">
        <v>214</v>
      </c>
      <c r="AV89" s="7" t="s">
        <v>214</v>
      </c>
      <c r="AW89" s="7" t="s">
        <v>214</v>
      </c>
      <c r="AX89" s="7" t="s">
        <v>214</v>
      </c>
      <c r="AY89" s="7" t="s">
        <v>214</v>
      </c>
      <c r="AZ89" s="7" t="s">
        <v>214</v>
      </c>
      <c r="BA89" s="7" t="s">
        <v>214</v>
      </c>
      <c r="BB89" s="7" t="s">
        <v>214</v>
      </c>
      <c r="BC89" s="7" t="s">
        <v>214</v>
      </c>
      <c r="BD89" s="7" t="s">
        <v>214</v>
      </c>
      <c r="BE89" s="7" t="s">
        <v>217</v>
      </c>
      <c r="BF89" s="7" t="s">
        <v>214</v>
      </c>
      <c r="BG89" s="7" t="s">
        <v>214</v>
      </c>
      <c r="BH89" s="7" t="s">
        <v>214</v>
      </c>
      <c r="BI89" s="7" t="s">
        <v>214</v>
      </c>
      <c r="BJ89" s="7" t="s">
        <v>214</v>
      </c>
      <c r="BK89" s="7" t="s">
        <v>217</v>
      </c>
      <c r="BL89" s="7" t="s">
        <v>217</v>
      </c>
      <c r="BM89" s="7" t="s">
        <v>214</v>
      </c>
      <c r="BN89" s="7" t="s">
        <v>214</v>
      </c>
      <c r="BO89" s="7" t="s">
        <v>214</v>
      </c>
      <c r="BP89" s="7" t="s">
        <v>214</v>
      </c>
      <c r="BQ89" s="7" t="s">
        <v>214</v>
      </c>
      <c r="BR89" s="7" t="s">
        <v>218</v>
      </c>
      <c r="BS89" s="7" t="s">
        <v>214</v>
      </c>
      <c r="BT89" s="7" t="s">
        <v>214</v>
      </c>
      <c r="BU89" s="7" t="s">
        <v>214</v>
      </c>
      <c r="BV89" s="7" t="s">
        <v>214</v>
      </c>
      <c r="BW89" s="7" t="s">
        <v>214</v>
      </c>
      <c r="BX89" s="7" t="s">
        <v>214</v>
      </c>
      <c r="BY89" s="7" t="s">
        <v>214</v>
      </c>
      <c r="BZ89" s="7" t="s">
        <v>214</v>
      </c>
      <c r="CA89" s="7" t="s">
        <v>214</v>
      </c>
      <c r="CB89" s="7" t="s">
        <v>214</v>
      </c>
      <c r="CC89" s="7" t="s">
        <v>214</v>
      </c>
      <c r="CD89" s="7" t="s">
        <v>214</v>
      </c>
      <c r="CE89" s="7" t="s">
        <v>214</v>
      </c>
      <c r="CF89" s="7" t="s">
        <v>214</v>
      </c>
      <c r="CG89" s="7" t="s">
        <v>214</v>
      </c>
      <c r="CH89" s="7" t="s">
        <v>214</v>
      </c>
      <c r="CI89" s="7" t="s">
        <v>214</v>
      </c>
      <c r="CJ89" s="7" t="s">
        <v>214</v>
      </c>
      <c r="CK89" s="7" t="s">
        <v>214</v>
      </c>
      <c r="CL89" s="7" t="s">
        <v>214</v>
      </c>
      <c r="CM89" s="7" t="s">
        <v>214</v>
      </c>
      <c r="CN89" s="7" t="s">
        <v>214</v>
      </c>
      <c r="CO89" s="7" t="s">
        <v>214</v>
      </c>
      <c r="CP89" s="7" t="s">
        <v>214</v>
      </c>
      <c r="CQ89" s="7" t="s">
        <v>214</v>
      </c>
      <c r="CR89" s="7" t="s">
        <v>214</v>
      </c>
      <c r="CS89" s="7" t="s">
        <v>214</v>
      </c>
      <c r="CT89" s="7" t="s">
        <v>214</v>
      </c>
      <c r="CU89" s="7" t="s">
        <v>214</v>
      </c>
      <c r="CV89" s="7" t="s">
        <v>214</v>
      </c>
      <c r="CW89" s="7" t="s">
        <v>214</v>
      </c>
      <c r="CX89" s="7" t="s">
        <v>214</v>
      </c>
      <c r="CY89" s="7" t="s">
        <v>214</v>
      </c>
      <c r="CZ89" s="7" t="s">
        <v>214</v>
      </c>
      <c r="DA89" s="7" t="s">
        <v>214</v>
      </c>
      <c r="DB89" s="7" t="s">
        <v>218</v>
      </c>
      <c r="DC89" s="7" t="s">
        <v>214</v>
      </c>
      <c r="DD89" s="7" t="s">
        <v>214</v>
      </c>
      <c r="DE89" s="7" t="s">
        <v>214</v>
      </c>
      <c r="DF89" s="7" t="s">
        <v>214</v>
      </c>
      <c r="DG89" s="7" t="s">
        <v>214</v>
      </c>
      <c r="DH89" s="7" t="s">
        <v>214</v>
      </c>
      <c r="DI89" s="7" t="s">
        <v>214</v>
      </c>
      <c r="DJ89" s="7" t="s">
        <v>214</v>
      </c>
      <c r="DK89" s="7" t="s">
        <v>214</v>
      </c>
      <c r="DL89" s="7" t="s">
        <v>214</v>
      </c>
      <c r="DM89" s="7" t="s">
        <v>214</v>
      </c>
      <c r="DN89" s="7" t="s">
        <v>214</v>
      </c>
      <c r="DO89" s="7" t="s">
        <v>214</v>
      </c>
      <c r="DP89" s="7" t="s">
        <v>214</v>
      </c>
      <c r="DQ89" s="7" t="s">
        <v>214</v>
      </c>
      <c r="DR89" s="7" t="s">
        <v>214</v>
      </c>
      <c r="DS89" s="7" t="s">
        <v>214</v>
      </c>
      <c r="DT89" s="7" t="s">
        <v>214</v>
      </c>
      <c r="DU89" s="7" t="s">
        <v>217</v>
      </c>
      <c r="DV89" s="7" t="s">
        <v>214</v>
      </c>
      <c r="DW89" s="7" t="s">
        <v>214</v>
      </c>
      <c r="DX89" s="7" t="s">
        <v>214</v>
      </c>
      <c r="DY89" s="7" t="s">
        <v>217</v>
      </c>
      <c r="DZ89" s="7" t="s">
        <v>214</v>
      </c>
      <c r="EA89" s="7" t="s">
        <v>214</v>
      </c>
      <c r="EB89" s="7" t="s">
        <v>214</v>
      </c>
      <c r="EC89" s="7" t="s">
        <v>217</v>
      </c>
      <c r="ED89" s="7" t="s">
        <v>214</v>
      </c>
      <c r="EE89" s="7" t="s">
        <v>214</v>
      </c>
      <c r="EF89" s="7" t="s">
        <v>214</v>
      </c>
      <c r="EG89" s="7" t="s">
        <v>214</v>
      </c>
      <c r="EH89" s="7" t="s">
        <v>214</v>
      </c>
      <c r="EI89" s="7" t="s">
        <v>214</v>
      </c>
      <c r="EJ89" s="7" t="s">
        <v>214</v>
      </c>
      <c r="EK89" s="7" t="s">
        <v>214</v>
      </c>
      <c r="EL89" s="7" t="s">
        <v>214</v>
      </c>
      <c r="EM89" s="7" t="s">
        <v>214</v>
      </c>
      <c r="EN89" s="7" t="s">
        <v>214</v>
      </c>
      <c r="EO89" s="7" t="s">
        <v>214</v>
      </c>
      <c r="EP89" s="7" t="s">
        <v>214</v>
      </c>
      <c r="EQ89" s="7" t="s">
        <v>218</v>
      </c>
      <c r="ER89" s="7" t="s">
        <v>214</v>
      </c>
      <c r="ES89" s="7" t="s">
        <v>214</v>
      </c>
      <c r="ET89" s="7" t="s">
        <v>214</v>
      </c>
      <c r="EU89" s="7" t="s">
        <v>214</v>
      </c>
      <c r="EV89" s="7" t="s">
        <v>214</v>
      </c>
      <c r="EW89" s="7" t="s">
        <v>214</v>
      </c>
      <c r="EX89" s="7" t="s">
        <v>214</v>
      </c>
      <c r="EY89" s="7" t="s">
        <v>214</v>
      </c>
      <c r="EZ89" s="7" t="s">
        <v>214</v>
      </c>
      <c r="FA89" s="7" t="s">
        <v>217</v>
      </c>
      <c r="FB89" s="7" t="s">
        <v>214</v>
      </c>
      <c r="FC89" s="7" t="s">
        <v>214</v>
      </c>
      <c r="FD89" s="7" t="s">
        <v>214</v>
      </c>
      <c r="FE89" s="7" t="s">
        <v>214</v>
      </c>
      <c r="FF89" s="7" t="s">
        <v>214</v>
      </c>
      <c r="FG89" s="7" t="s">
        <v>218</v>
      </c>
      <c r="FH89" s="7" t="s">
        <v>214</v>
      </c>
      <c r="FI89" s="7" t="s">
        <v>214</v>
      </c>
      <c r="FJ89" s="7" t="s">
        <v>214</v>
      </c>
      <c r="FK89" s="7" t="s">
        <v>214</v>
      </c>
      <c r="FL89" s="7" t="s">
        <v>214</v>
      </c>
    </row>
    <row r="90" spans="1:168" ht="15" x14ac:dyDescent="0.25">
      <c r="A90" s="5" t="s">
        <v>195</v>
      </c>
      <c r="B90" s="5" t="s">
        <v>9</v>
      </c>
      <c r="C90" s="8" t="s">
        <v>217</v>
      </c>
      <c r="D90" s="8" t="s">
        <v>217</v>
      </c>
      <c r="E90" s="8" t="s">
        <v>214</v>
      </c>
      <c r="F90" s="8" t="s">
        <v>214</v>
      </c>
      <c r="G90" s="8" t="s">
        <v>214</v>
      </c>
      <c r="H90" s="8" t="s">
        <v>214</v>
      </c>
      <c r="I90" s="8" t="s">
        <v>214</v>
      </c>
      <c r="J90" s="8" t="s">
        <v>214</v>
      </c>
      <c r="K90" s="8" t="s">
        <v>214</v>
      </c>
      <c r="L90" s="8" t="s">
        <v>214</v>
      </c>
      <c r="M90" s="8" t="s">
        <v>214</v>
      </c>
      <c r="N90" s="8" t="s">
        <v>214</v>
      </c>
      <c r="O90" s="8" t="s">
        <v>214</v>
      </c>
      <c r="P90" s="8" t="s">
        <v>214</v>
      </c>
      <c r="Q90" s="8" t="s">
        <v>214</v>
      </c>
      <c r="R90" s="8" t="s">
        <v>214</v>
      </c>
      <c r="S90" s="8" t="s">
        <v>214</v>
      </c>
      <c r="T90" s="8" t="s">
        <v>214</v>
      </c>
      <c r="U90" s="8" t="s">
        <v>214</v>
      </c>
      <c r="V90" s="8" t="s">
        <v>214</v>
      </c>
      <c r="W90" s="8" t="s">
        <v>214</v>
      </c>
      <c r="X90" s="8" t="s">
        <v>214</v>
      </c>
      <c r="Y90" s="8" t="s">
        <v>214</v>
      </c>
      <c r="Z90" s="8" t="s">
        <v>218</v>
      </c>
      <c r="AA90" s="8" t="s">
        <v>214</v>
      </c>
      <c r="AB90" s="8" t="s">
        <v>214</v>
      </c>
      <c r="AC90" s="8" t="s">
        <v>214</v>
      </c>
      <c r="AD90" s="8" t="s">
        <v>214</v>
      </c>
      <c r="AE90" s="8" t="s">
        <v>214</v>
      </c>
      <c r="AF90" s="8" t="s">
        <v>214</v>
      </c>
      <c r="AG90" s="8" t="s">
        <v>214</v>
      </c>
      <c r="AH90" s="8" t="s">
        <v>214</v>
      </c>
      <c r="AI90" s="8" t="s">
        <v>214</v>
      </c>
      <c r="AJ90" s="8" t="s">
        <v>214</v>
      </c>
      <c r="AK90" s="8" t="s">
        <v>217</v>
      </c>
      <c r="AL90" s="8" t="s">
        <v>214</v>
      </c>
      <c r="AM90" s="8" t="s">
        <v>217</v>
      </c>
      <c r="AN90" s="8" t="s">
        <v>214</v>
      </c>
      <c r="AO90" s="8" t="s">
        <v>214</v>
      </c>
      <c r="AP90" s="8" t="s">
        <v>214</v>
      </c>
      <c r="AQ90" s="8" t="s">
        <v>214</v>
      </c>
      <c r="AR90" s="8" t="s">
        <v>217</v>
      </c>
      <c r="AS90" s="8" t="s">
        <v>214</v>
      </c>
      <c r="AT90" s="8" t="s">
        <v>214</v>
      </c>
      <c r="AU90" s="8" t="s">
        <v>214</v>
      </c>
      <c r="AV90" s="8" t="s">
        <v>214</v>
      </c>
      <c r="AW90" s="8" t="s">
        <v>214</v>
      </c>
      <c r="AX90" s="8" t="s">
        <v>214</v>
      </c>
      <c r="AY90" s="8" t="s">
        <v>214</v>
      </c>
      <c r="AZ90" s="8" t="s">
        <v>214</v>
      </c>
      <c r="BA90" s="8" t="s">
        <v>214</v>
      </c>
      <c r="BB90" s="8" t="s">
        <v>214</v>
      </c>
      <c r="BC90" s="8" t="s">
        <v>214</v>
      </c>
      <c r="BD90" s="8" t="s">
        <v>214</v>
      </c>
      <c r="BE90" s="8" t="s">
        <v>214</v>
      </c>
      <c r="BF90" s="8" t="s">
        <v>214</v>
      </c>
      <c r="BG90" s="8" t="s">
        <v>214</v>
      </c>
      <c r="BH90" s="8" t="s">
        <v>214</v>
      </c>
      <c r="BI90" s="8" t="s">
        <v>214</v>
      </c>
      <c r="BJ90" s="8" t="s">
        <v>214</v>
      </c>
      <c r="BK90" s="8" t="s">
        <v>218</v>
      </c>
      <c r="BL90" s="8" t="s">
        <v>214</v>
      </c>
      <c r="BM90" s="8" t="s">
        <v>214</v>
      </c>
      <c r="BN90" s="8" t="s">
        <v>214</v>
      </c>
      <c r="BO90" s="8" t="s">
        <v>214</v>
      </c>
      <c r="BP90" s="8" t="s">
        <v>214</v>
      </c>
      <c r="BQ90" s="8" t="s">
        <v>214</v>
      </c>
      <c r="BR90" s="8" t="s">
        <v>218</v>
      </c>
      <c r="BS90" s="8" t="s">
        <v>214</v>
      </c>
      <c r="BT90" s="8" t="s">
        <v>214</v>
      </c>
      <c r="BU90" s="8" t="s">
        <v>214</v>
      </c>
      <c r="BV90" s="8" t="s">
        <v>214</v>
      </c>
      <c r="BW90" s="8" t="s">
        <v>214</v>
      </c>
      <c r="BX90" s="8" t="s">
        <v>214</v>
      </c>
      <c r="BY90" s="8" t="s">
        <v>214</v>
      </c>
      <c r="BZ90" s="8" t="s">
        <v>214</v>
      </c>
      <c r="CA90" s="8" t="s">
        <v>214</v>
      </c>
      <c r="CB90" s="8" t="s">
        <v>214</v>
      </c>
      <c r="CC90" s="8" t="s">
        <v>214</v>
      </c>
      <c r="CD90" s="8" t="s">
        <v>214</v>
      </c>
      <c r="CE90" s="8" t="s">
        <v>214</v>
      </c>
      <c r="CF90" s="8" t="s">
        <v>214</v>
      </c>
      <c r="CG90" s="8" t="s">
        <v>214</v>
      </c>
      <c r="CH90" s="8" t="s">
        <v>214</v>
      </c>
      <c r="CI90" s="8" t="s">
        <v>214</v>
      </c>
      <c r="CJ90" s="8" t="s">
        <v>214</v>
      </c>
      <c r="CK90" s="8" t="s">
        <v>214</v>
      </c>
      <c r="CL90" s="8" t="s">
        <v>214</v>
      </c>
      <c r="CM90" s="8" t="s">
        <v>214</v>
      </c>
      <c r="CN90" s="8" t="s">
        <v>214</v>
      </c>
      <c r="CO90" s="8" t="s">
        <v>214</v>
      </c>
      <c r="CP90" s="8" t="s">
        <v>214</v>
      </c>
      <c r="CQ90" s="8" t="s">
        <v>214</v>
      </c>
      <c r="CR90" s="8" t="s">
        <v>214</v>
      </c>
      <c r="CS90" s="8" t="s">
        <v>214</v>
      </c>
      <c r="CT90" s="8" t="s">
        <v>214</v>
      </c>
      <c r="CU90" s="8" t="s">
        <v>214</v>
      </c>
      <c r="CV90" s="8" t="s">
        <v>214</v>
      </c>
      <c r="CW90" s="8" t="s">
        <v>214</v>
      </c>
      <c r="CX90" s="8" t="s">
        <v>214</v>
      </c>
      <c r="CY90" s="8" t="s">
        <v>214</v>
      </c>
      <c r="CZ90" s="8" t="s">
        <v>214</v>
      </c>
      <c r="DA90" s="8" t="s">
        <v>214</v>
      </c>
      <c r="DB90" s="8" t="s">
        <v>214</v>
      </c>
      <c r="DC90" s="8" t="s">
        <v>214</v>
      </c>
      <c r="DD90" s="8" t="s">
        <v>214</v>
      </c>
      <c r="DE90" s="8" t="s">
        <v>214</v>
      </c>
      <c r="DF90" s="8" t="s">
        <v>214</v>
      </c>
      <c r="DG90" s="8" t="s">
        <v>214</v>
      </c>
      <c r="DH90" s="8" t="s">
        <v>214</v>
      </c>
      <c r="DI90" s="8" t="s">
        <v>214</v>
      </c>
      <c r="DJ90" s="8" t="s">
        <v>214</v>
      </c>
      <c r="DK90" s="8" t="s">
        <v>214</v>
      </c>
      <c r="DL90" s="8" t="s">
        <v>214</v>
      </c>
      <c r="DM90" s="8" t="s">
        <v>214</v>
      </c>
      <c r="DN90" s="8" t="s">
        <v>214</v>
      </c>
      <c r="DO90" s="8" t="s">
        <v>214</v>
      </c>
      <c r="DP90" s="8" t="s">
        <v>214</v>
      </c>
      <c r="DQ90" s="8" t="s">
        <v>214</v>
      </c>
      <c r="DR90" s="8" t="s">
        <v>214</v>
      </c>
      <c r="DS90" s="8" t="s">
        <v>214</v>
      </c>
      <c r="DT90" s="8" t="s">
        <v>214</v>
      </c>
      <c r="DU90" s="8" t="s">
        <v>214</v>
      </c>
      <c r="DV90" s="8" t="s">
        <v>214</v>
      </c>
      <c r="DW90" s="8" t="s">
        <v>214</v>
      </c>
      <c r="DX90" s="8" t="s">
        <v>217</v>
      </c>
      <c r="DY90" s="8" t="s">
        <v>214</v>
      </c>
      <c r="DZ90" s="8" t="s">
        <v>214</v>
      </c>
      <c r="EA90" s="8" t="s">
        <v>214</v>
      </c>
      <c r="EB90" s="8" t="s">
        <v>214</v>
      </c>
      <c r="EC90" s="8" t="s">
        <v>214</v>
      </c>
      <c r="ED90" s="8" t="s">
        <v>214</v>
      </c>
      <c r="EE90" s="8" t="s">
        <v>214</v>
      </c>
      <c r="EF90" s="8" t="s">
        <v>217</v>
      </c>
      <c r="EG90" s="8" t="s">
        <v>214</v>
      </c>
      <c r="EH90" s="8" t="s">
        <v>214</v>
      </c>
      <c r="EI90" s="8" t="s">
        <v>214</v>
      </c>
      <c r="EJ90" s="8" t="s">
        <v>214</v>
      </c>
      <c r="EK90" s="8" t="s">
        <v>214</v>
      </c>
      <c r="EL90" s="8" t="s">
        <v>214</v>
      </c>
      <c r="EM90" s="8" t="s">
        <v>214</v>
      </c>
      <c r="EN90" s="8" t="s">
        <v>214</v>
      </c>
      <c r="EO90" s="8" t="s">
        <v>214</v>
      </c>
      <c r="EP90" s="8" t="s">
        <v>214</v>
      </c>
      <c r="EQ90" s="8" t="s">
        <v>218</v>
      </c>
      <c r="ER90" s="8" t="s">
        <v>214</v>
      </c>
      <c r="ES90" s="8" t="s">
        <v>214</v>
      </c>
      <c r="ET90" s="8" t="s">
        <v>214</v>
      </c>
      <c r="EU90" s="8" t="s">
        <v>214</v>
      </c>
      <c r="EV90" s="8" t="s">
        <v>214</v>
      </c>
      <c r="EW90" s="8" t="s">
        <v>214</v>
      </c>
      <c r="EX90" s="8" t="s">
        <v>214</v>
      </c>
      <c r="EY90" s="8" t="s">
        <v>214</v>
      </c>
      <c r="EZ90" s="8" t="s">
        <v>214</v>
      </c>
      <c r="FA90" s="8" t="s">
        <v>217</v>
      </c>
      <c r="FB90" s="8" t="s">
        <v>214</v>
      </c>
      <c r="FC90" s="8" t="s">
        <v>214</v>
      </c>
      <c r="FD90" s="8" t="s">
        <v>214</v>
      </c>
      <c r="FE90" s="8" t="s">
        <v>214</v>
      </c>
      <c r="FF90" s="8" t="s">
        <v>214</v>
      </c>
      <c r="FG90" s="8" t="s">
        <v>218</v>
      </c>
      <c r="FH90" s="8" t="s">
        <v>214</v>
      </c>
      <c r="FI90" s="8" t="s">
        <v>214</v>
      </c>
      <c r="FJ90" s="8" t="s">
        <v>214</v>
      </c>
      <c r="FK90" s="8" t="s">
        <v>214</v>
      </c>
      <c r="FL90" s="8" t="s">
        <v>214</v>
      </c>
    </row>
    <row r="91" spans="1:168" ht="15" x14ac:dyDescent="0.25">
      <c r="A91" s="5" t="s">
        <v>196</v>
      </c>
      <c r="B91" s="5" t="s">
        <v>6</v>
      </c>
      <c r="C91" s="7" t="s">
        <v>214</v>
      </c>
      <c r="D91" s="7" t="s">
        <v>214</v>
      </c>
      <c r="E91" s="7" t="s">
        <v>214</v>
      </c>
      <c r="F91" s="7" t="s">
        <v>214</v>
      </c>
      <c r="G91" s="7" t="s">
        <v>214</v>
      </c>
      <c r="H91" s="7" t="s">
        <v>214</v>
      </c>
      <c r="I91" s="7" t="s">
        <v>214</v>
      </c>
      <c r="J91" s="7" t="s">
        <v>214</v>
      </c>
      <c r="K91" s="7" t="s">
        <v>214</v>
      </c>
      <c r="L91" s="7" t="s">
        <v>214</v>
      </c>
      <c r="M91" s="7" t="s">
        <v>214</v>
      </c>
      <c r="N91" s="7" t="s">
        <v>214</v>
      </c>
      <c r="O91" s="7" t="s">
        <v>214</v>
      </c>
      <c r="P91" s="7" t="s">
        <v>214</v>
      </c>
      <c r="Q91" s="7" t="s">
        <v>214</v>
      </c>
      <c r="R91" s="7" t="s">
        <v>214</v>
      </c>
      <c r="S91" s="7" t="s">
        <v>214</v>
      </c>
      <c r="T91" s="7" t="s">
        <v>214</v>
      </c>
      <c r="U91" s="7" t="s">
        <v>214</v>
      </c>
      <c r="V91" s="7" t="s">
        <v>214</v>
      </c>
      <c r="W91" s="7" t="s">
        <v>214</v>
      </c>
      <c r="X91" s="7" t="s">
        <v>214</v>
      </c>
      <c r="Y91" s="7" t="s">
        <v>214</v>
      </c>
      <c r="Z91" s="7" t="s">
        <v>214</v>
      </c>
      <c r="AA91" s="7" t="s">
        <v>214</v>
      </c>
      <c r="AB91" s="7" t="s">
        <v>214</v>
      </c>
      <c r="AC91" s="7" t="s">
        <v>214</v>
      </c>
      <c r="AD91" s="7" t="s">
        <v>214</v>
      </c>
      <c r="AE91" s="7" t="s">
        <v>214</v>
      </c>
      <c r="AF91" s="7" t="s">
        <v>214</v>
      </c>
      <c r="AG91" s="7" t="s">
        <v>214</v>
      </c>
      <c r="AH91" s="7" t="s">
        <v>214</v>
      </c>
      <c r="AI91" s="7" t="s">
        <v>214</v>
      </c>
      <c r="AJ91" s="7" t="s">
        <v>214</v>
      </c>
      <c r="AK91" s="7" t="s">
        <v>214</v>
      </c>
      <c r="AL91" s="7" t="s">
        <v>217</v>
      </c>
      <c r="AM91" s="7" t="s">
        <v>214</v>
      </c>
      <c r="AN91" s="7" t="s">
        <v>214</v>
      </c>
      <c r="AO91" s="7" t="s">
        <v>214</v>
      </c>
      <c r="AP91" s="7" t="s">
        <v>214</v>
      </c>
      <c r="AQ91" s="7" t="s">
        <v>214</v>
      </c>
      <c r="AR91" s="7" t="s">
        <v>214</v>
      </c>
      <c r="AS91" s="7" t="s">
        <v>214</v>
      </c>
      <c r="AT91" s="7" t="s">
        <v>214</v>
      </c>
      <c r="AU91" s="7" t="s">
        <v>214</v>
      </c>
      <c r="AV91" s="7" t="s">
        <v>214</v>
      </c>
      <c r="AW91" s="7" t="s">
        <v>214</v>
      </c>
      <c r="AX91" s="7" t="s">
        <v>214</v>
      </c>
      <c r="AY91" s="7" t="s">
        <v>214</v>
      </c>
      <c r="AZ91" s="7" t="s">
        <v>214</v>
      </c>
      <c r="BA91" s="7" t="s">
        <v>214</v>
      </c>
      <c r="BB91" s="7" t="s">
        <v>214</v>
      </c>
      <c r="BC91" s="7" t="s">
        <v>214</v>
      </c>
      <c r="BD91" s="7" t="s">
        <v>214</v>
      </c>
      <c r="BE91" s="7" t="s">
        <v>214</v>
      </c>
      <c r="BF91" s="7" t="s">
        <v>214</v>
      </c>
      <c r="BG91" s="7" t="s">
        <v>214</v>
      </c>
      <c r="BH91" s="7" t="s">
        <v>214</v>
      </c>
      <c r="BI91" s="7" t="s">
        <v>214</v>
      </c>
      <c r="BJ91" s="7" t="s">
        <v>214</v>
      </c>
      <c r="BK91" s="7" t="s">
        <v>214</v>
      </c>
      <c r="BL91" s="7" t="s">
        <v>214</v>
      </c>
      <c r="BM91" s="7" t="s">
        <v>214</v>
      </c>
      <c r="BN91" s="7" t="s">
        <v>214</v>
      </c>
      <c r="BO91" s="7" t="s">
        <v>214</v>
      </c>
      <c r="BP91" s="7" t="s">
        <v>214</v>
      </c>
      <c r="BQ91" s="7" t="s">
        <v>214</v>
      </c>
      <c r="BR91" s="7" t="s">
        <v>214</v>
      </c>
      <c r="BS91" s="7" t="s">
        <v>214</v>
      </c>
      <c r="BT91" s="7" t="s">
        <v>214</v>
      </c>
      <c r="BU91" s="7" t="s">
        <v>214</v>
      </c>
      <c r="BV91" s="7" t="s">
        <v>214</v>
      </c>
      <c r="BW91" s="7" t="s">
        <v>214</v>
      </c>
      <c r="BX91" s="7" t="s">
        <v>214</v>
      </c>
      <c r="BY91" s="7" t="s">
        <v>214</v>
      </c>
      <c r="BZ91" s="7" t="s">
        <v>214</v>
      </c>
      <c r="CA91" s="7" t="s">
        <v>214</v>
      </c>
      <c r="CB91" s="7" t="s">
        <v>214</v>
      </c>
      <c r="CC91" s="7" t="s">
        <v>214</v>
      </c>
      <c r="CD91" s="7" t="s">
        <v>214</v>
      </c>
      <c r="CE91" s="7" t="s">
        <v>214</v>
      </c>
      <c r="CF91" s="7" t="s">
        <v>214</v>
      </c>
      <c r="CG91" s="7" t="s">
        <v>214</v>
      </c>
      <c r="CH91" s="7" t="s">
        <v>214</v>
      </c>
      <c r="CI91" s="7" t="s">
        <v>214</v>
      </c>
      <c r="CJ91" s="7" t="s">
        <v>214</v>
      </c>
      <c r="CK91" s="7" t="s">
        <v>214</v>
      </c>
      <c r="CL91" s="7" t="s">
        <v>214</v>
      </c>
      <c r="CM91" s="7" t="s">
        <v>214</v>
      </c>
      <c r="CN91" s="7" t="s">
        <v>214</v>
      </c>
      <c r="CO91" s="7" t="s">
        <v>214</v>
      </c>
      <c r="CP91" s="7" t="s">
        <v>214</v>
      </c>
      <c r="CQ91" s="7" t="s">
        <v>214</v>
      </c>
      <c r="CR91" s="7" t="s">
        <v>214</v>
      </c>
      <c r="CS91" s="7" t="s">
        <v>214</v>
      </c>
      <c r="CT91" s="7" t="s">
        <v>214</v>
      </c>
      <c r="CU91" s="7" t="s">
        <v>214</v>
      </c>
      <c r="CV91" s="7" t="s">
        <v>214</v>
      </c>
      <c r="CW91" s="7" t="s">
        <v>214</v>
      </c>
      <c r="CX91" s="7" t="s">
        <v>214</v>
      </c>
      <c r="CY91" s="7" t="s">
        <v>214</v>
      </c>
      <c r="CZ91" s="7" t="s">
        <v>214</v>
      </c>
      <c r="DA91" s="7" t="s">
        <v>214</v>
      </c>
      <c r="DB91" s="7" t="s">
        <v>214</v>
      </c>
      <c r="DC91" s="7" t="s">
        <v>214</v>
      </c>
      <c r="DD91" s="7" t="s">
        <v>214</v>
      </c>
      <c r="DE91" s="7" t="s">
        <v>214</v>
      </c>
      <c r="DF91" s="7" t="s">
        <v>214</v>
      </c>
      <c r="DG91" s="7" t="s">
        <v>214</v>
      </c>
      <c r="DH91" s="7" t="s">
        <v>214</v>
      </c>
      <c r="DI91" s="7" t="s">
        <v>214</v>
      </c>
      <c r="DJ91" s="7" t="s">
        <v>214</v>
      </c>
      <c r="DK91" s="7" t="s">
        <v>214</v>
      </c>
      <c r="DL91" s="7" t="s">
        <v>214</v>
      </c>
      <c r="DM91" s="7" t="s">
        <v>214</v>
      </c>
      <c r="DN91" s="7" t="s">
        <v>214</v>
      </c>
      <c r="DO91" s="7" t="s">
        <v>214</v>
      </c>
      <c r="DP91" s="7" t="s">
        <v>218</v>
      </c>
      <c r="DQ91" s="7" t="s">
        <v>214</v>
      </c>
      <c r="DR91" s="7" t="s">
        <v>214</v>
      </c>
      <c r="DS91" s="7" t="s">
        <v>214</v>
      </c>
      <c r="DT91" s="7" t="s">
        <v>214</v>
      </c>
      <c r="DU91" s="7" t="s">
        <v>214</v>
      </c>
      <c r="DV91" s="7" t="s">
        <v>214</v>
      </c>
      <c r="DW91" s="7" t="s">
        <v>214</v>
      </c>
      <c r="DX91" s="7" t="s">
        <v>214</v>
      </c>
      <c r="DY91" s="7" t="s">
        <v>214</v>
      </c>
      <c r="DZ91" s="7" t="s">
        <v>214</v>
      </c>
      <c r="EA91" s="7" t="s">
        <v>214</v>
      </c>
      <c r="EB91" s="7" t="s">
        <v>214</v>
      </c>
      <c r="EC91" s="7" t="s">
        <v>214</v>
      </c>
      <c r="ED91" s="7" t="s">
        <v>214</v>
      </c>
      <c r="EE91" s="7" t="s">
        <v>214</v>
      </c>
      <c r="EF91" s="7" t="s">
        <v>214</v>
      </c>
      <c r="EG91" s="7" t="s">
        <v>214</v>
      </c>
      <c r="EH91" s="7" t="s">
        <v>214</v>
      </c>
      <c r="EI91" s="7" t="s">
        <v>214</v>
      </c>
      <c r="EJ91" s="7" t="s">
        <v>214</v>
      </c>
      <c r="EK91" s="7" t="s">
        <v>214</v>
      </c>
      <c r="EL91" s="7" t="s">
        <v>214</v>
      </c>
      <c r="EM91" s="7" t="s">
        <v>214</v>
      </c>
      <c r="EN91" s="7" t="s">
        <v>214</v>
      </c>
      <c r="EO91" s="7" t="s">
        <v>214</v>
      </c>
      <c r="EP91" s="7" t="s">
        <v>214</v>
      </c>
      <c r="EQ91" s="7" t="s">
        <v>214</v>
      </c>
      <c r="ER91" s="7" t="s">
        <v>214</v>
      </c>
      <c r="ES91" s="7" t="s">
        <v>214</v>
      </c>
      <c r="ET91" s="7" t="s">
        <v>214</v>
      </c>
      <c r="EU91" s="7" t="s">
        <v>214</v>
      </c>
      <c r="EV91" s="7" t="s">
        <v>214</v>
      </c>
      <c r="EW91" s="7" t="s">
        <v>214</v>
      </c>
      <c r="EX91" s="7" t="s">
        <v>214</v>
      </c>
      <c r="EY91" s="7" t="s">
        <v>214</v>
      </c>
      <c r="EZ91" s="7" t="s">
        <v>214</v>
      </c>
      <c r="FA91" s="7" t="s">
        <v>214</v>
      </c>
      <c r="FB91" s="7" t="s">
        <v>214</v>
      </c>
      <c r="FC91" s="7" t="s">
        <v>214</v>
      </c>
      <c r="FD91" s="7" t="s">
        <v>214</v>
      </c>
      <c r="FE91" s="7" t="s">
        <v>214</v>
      </c>
      <c r="FF91" s="7" t="s">
        <v>214</v>
      </c>
      <c r="FG91" s="7" t="s">
        <v>214</v>
      </c>
      <c r="FH91" s="7" t="s">
        <v>214</v>
      </c>
      <c r="FI91" s="7" t="s">
        <v>214</v>
      </c>
      <c r="FJ91" s="7" t="s">
        <v>214</v>
      </c>
      <c r="FK91" s="7" t="s">
        <v>214</v>
      </c>
      <c r="FL91" s="7" t="s">
        <v>214</v>
      </c>
    </row>
    <row r="92" spans="1:168" ht="15" x14ac:dyDescent="0.25">
      <c r="A92" s="5" t="s">
        <v>196</v>
      </c>
      <c r="B92" s="5" t="s">
        <v>7</v>
      </c>
      <c r="C92" s="8" t="s">
        <v>217</v>
      </c>
      <c r="D92" s="8" t="s">
        <v>217</v>
      </c>
      <c r="E92" s="8" t="s">
        <v>214</v>
      </c>
      <c r="F92" s="8" t="s">
        <v>214</v>
      </c>
      <c r="G92" s="8" t="s">
        <v>214</v>
      </c>
      <c r="H92" s="8" t="s">
        <v>214</v>
      </c>
      <c r="I92" s="8" t="s">
        <v>214</v>
      </c>
      <c r="J92" s="8" t="s">
        <v>214</v>
      </c>
      <c r="K92" s="8" t="s">
        <v>214</v>
      </c>
      <c r="L92" s="8" t="s">
        <v>214</v>
      </c>
      <c r="M92" s="8" t="s">
        <v>214</v>
      </c>
      <c r="N92" s="8" t="s">
        <v>214</v>
      </c>
      <c r="O92" s="8" t="s">
        <v>214</v>
      </c>
      <c r="P92" s="8" t="s">
        <v>214</v>
      </c>
      <c r="Q92" s="8" t="s">
        <v>214</v>
      </c>
      <c r="R92" s="8" t="s">
        <v>214</v>
      </c>
      <c r="S92" s="8" t="s">
        <v>214</v>
      </c>
      <c r="T92" s="8" t="s">
        <v>214</v>
      </c>
      <c r="U92" s="8" t="s">
        <v>214</v>
      </c>
      <c r="V92" s="8" t="s">
        <v>214</v>
      </c>
      <c r="W92" s="8" t="s">
        <v>214</v>
      </c>
      <c r="X92" s="8" t="s">
        <v>214</v>
      </c>
      <c r="Y92" s="8" t="s">
        <v>214</v>
      </c>
      <c r="Z92" s="8" t="s">
        <v>214</v>
      </c>
      <c r="AA92" s="8" t="s">
        <v>214</v>
      </c>
      <c r="AB92" s="8" t="s">
        <v>214</v>
      </c>
      <c r="AC92" s="8" t="s">
        <v>214</v>
      </c>
      <c r="AD92" s="8" t="s">
        <v>214</v>
      </c>
      <c r="AE92" s="8" t="s">
        <v>214</v>
      </c>
      <c r="AF92" s="8" t="s">
        <v>214</v>
      </c>
      <c r="AG92" s="8" t="s">
        <v>214</v>
      </c>
      <c r="AH92" s="8" t="s">
        <v>214</v>
      </c>
      <c r="AI92" s="8" t="s">
        <v>214</v>
      </c>
      <c r="AJ92" s="8" t="s">
        <v>214</v>
      </c>
      <c r="AK92" s="8" t="s">
        <v>214</v>
      </c>
      <c r="AL92" s="8" t="s">
        <v>217</v>
      </c>
      <c r="AM92" s="8" t="s">
        <v>214</v>
      </c>
      <c r="AN92" s="8" t="s">
        <v>214</v>
      </c>
      <c r="AO92" s="8" t="s">
        <v>214</v>
      </c>
      <c r="AP92" s="8" t="s">
        <v>214</v>
      </c>
      <c r="AQ92" s="8" t="s">
        <v>214</v>
      </c>
      <c r="AR92" s="8" t="s">
        <v>214</v>
      </c>
      <c r="AS92" s="8" t="s">
        <v>214</v>
      </c>
      <c r="AT92" s="8" t="s">
        <v>214</v>
      </c>
      <c r="AU92" s="8" t="s">
        <v>214</v>
      </c>
      <c r="AV92" s="8" t="s">
        <v>214</v>
      </c>
      <c r="AW92" s="8" t="s">
        <v>214</v>
      </c>
      <c r="AX92" s="8" t="s">
        <v>214</v>
      </c>
      <c r="AY92" s="8" t="s">
        <v>214</v>
      </c>
      <c r="AZ92" s="8" t="s">
        <v>214</v>
      </c>
      <c r="BA92" s="8" t="s">
        <v>214</v>
      </c>
      <c r="BB92" s="8" t="s">
        <v>214</v>
      </c>
      <c r="BC92" s="8" t="s">
        <v>214</v>
      </c>
      <c r="BD92" s="8" t="s">
        <v>214</v>
      </c>
      <c r="BE92" s="8" t="s">
        <v>214</v>
      </c>
      <c r="BF92" s="8" t="s">
        <v>214</v>
      </c>
      <c r="BG92" s="8" t="s">
        <v>214</v>
      </c>
      <c r="BH92" s="8" t="s">
        <v>217</v>
      </c>
      <c r="BI92" s="8" t="s">
        <v>214</v>
      </c>
      <c r="BJ92" s="8" t="s">
        <v>214</v>
      </c>
      <c r="BK92" s="8" t="s">
        <v>214</v>
      </c>
      <c r="BL92" s="8" t="s">
        <v>214</v>
      </c>
      <c r="BM92" s="8" t="s">
        <v>214</v>
      </c>
      <c r="BN92" s="8" t="s">
        <v>214</v>
      </c>
      <c r="BO92" s="8" t="s">
        <v>214</v>
      </c>
      <c r="BP92" s="8" t="s">
        <v>214</v>
      </c>
      <c r="BQ92" s="8" t="s">
        <v>214</v>
      </c>
      <c r="BR92" s="8" t="s">
        <v>214</v>
      </c>
      <c r="BS92" s="8" t="s">
        <v>214</v>
      </c>
      <c r="BT92" s="8" t="s">
        <v>214</v>
      </c>
      <c r="BU92" s="8" t="s">
        <v>214</v>
      </c>
      <c r="BV92" s="8" t="s">
        <v>214</v>
      </c>
      <c r="BW92" s="8" t="s">
        <v>214</v>
      </c>
      <c r="BX92" s="8" t="s">
        <v>214</v>
      </c>
      <c r="BY92" s="8" t="s">
        <v>214</v>
      </c>
      <c r="BZ92" s="8" t="s">
        <v>214</v>
      </c>
      <c r="CA92" s="8" t="s">
        <v>214</v>
      </c>
      <c r="CB92" s="8" t="s">
        <v>214</v>
      </c>
      <c r="CC92" s="8" t="s">
        <v>214</v>
      </c>
      <c r="CD92" s="8" t="s">
        <v>214</v>
      </c>
      <c r="CE92" s="8" t="s">
        <v>214</v>
      </c>
      <c r="CF92" s="8" t="s">
        <v>214</v>
      </c>
      <c r="CG92" s="8" t="s">
        <v>214</v>
      </c>
      <c r="CH92" s="8" t="s">
        <v>214</v>
      </c>
      <c r="CI92" s="8" t="s">
        <v>214</v>
      </c>
      <c r="CJ92" s="8" t="s">
        <v>214</v>
      </c>
      <c r="CK92" s="8" t="s">
        <v>214</v>
      </c>
      <c r="CL92" s="8" t="s">
        <v>214</v>
      </c>
      <c r="CM92" s="8" t="s">
        <v>214</v>
      </c>
      <c r="CN92" s="8" t="s">
        <v>214</v>
      </c>
      <c r="CO92" s="8" t="s">
        <v>214</v>
      </c>
      <c r="CP92" s="8" t="s">
        <v>214</v>
      </c>
      <c r="CQ92" s="8" t="s">
        <v>214</v>
      </c>
      <c r="CR92" s="8" t="s">
        <v>214</v>
      </c>
      <c r="CS92" s="8" t="s">
        <v>214</v>
      </c>
      <c r="CT92" s="8" t="s">
        <v>214</v>
      </c>
      <c r="CU92" s="8" t="s">
        <v>214</v>
      </c>
      <c r="CV92" s="8" t="s">
        <v>214</v>
      </c>
      <c r="CW92" s="8" t="s">
        <v>214</v>
      </c>
      <c r="CX92" s="8" t="s">
        <v>214</v>
      </c>
      <c r="CY92" s="8" t="s">
        <v>214</v>
      </c>
      <c r="CZ92" s="8" t="s">
        <v>214</v>
      </c>
      <c r="DA92" s="8" t="s">
        <v>214</v>
      </c>
      <c r="DB92" s="8" t="s">
        <v>214</v>
      </c>
      <c r="DC92" s="8" t="s">
        <v>214</v>
      </c>
      <c r="DD92" s="8" t="s">
        <v>214</v>
      </c>
      <c r="DE92" s="8" t="s">
        <v>214</v>
      </c>
      <c r="DF92" s="8" t="s">
        <v>214</v>
      </c>
      <c r="DG92" s="8" t="s">
        <v>214</v>
      </c>
      <c r="DH92" s="8" t="s">
        <v>214</v>
      </c>
      <c r="DI92" s="8" t="s">
        <v>214</v>
      </c>
      <c r="DJ92" s="8" t="s">
        <v>214</v>
      </c>
      <c r="DK92" s="8" t="s">
        <v>214</v>
      </c>
      <c r="DL92" s="8" t="s">
        <v>214</v>
      </c>
      <c r="DM92" s="8" t="s">
        <v>214</v>
      </c>
      <c r="DN92" s="8" t="s">
        <v>214</v>
      </c>
      <c r="DO92" s="8" t="s">
        <v>214</v>
      </c>
      <c r="DP92" s="8" t="s">
        <v>218</v>
      </c>
      <c r="DQ92" s="8" t="s">
        <v>214</v>
      </c>
      <c r="DR92" s="8" t="s">
        <v>214</v>
      </c>
      <c r="DS92" s="8" t="s">
        <v>214</v>
      </c>
      <c r="DT92" s="8" t="s">
        <v>214</v>
      </c>
      <c r="DU92" s="8" t="s">
        <v>214</v>
      </c>
      <c r="DV92" s="8" t="s">
        <v>214</v>
      </c>
      <c r="DW92" s="8" t="s">
        <v>214</v>
      </c>
      <c r="DX92" s="8" t="s">
        <v>214</v>
      </c>
      <c r="DY92" s="8" t="s">
        <v>214</v>
      </c>
      <c r="DZ92" s="8" t="s">
        <v>214</v>
      </c>
      <c r="EA92" s="8" t="s">
        <v>214</v>
      </c>
      <c r="EB92" s="8" t="s">
        <v>214</v>
      </c>
      <c r="EC92" s="8" t="s">
        <v>214</v>
      </c>
      <c r="ED92" s="8" t="s">
        <v>214</v>
      </c>
      <c r="EE92" s="8" t="s">
        <v>214</v>
      </c>
      <c r="EF92" s="8" t="s">
        <v>214</v>
      </c>
      <c r="EG92" s="8" t="s">
        <v>214</v>
      </c>
      <c r="EH92" s="8" t="s">
        <v>214</v>
      </c>
      <c r="EI92" s="8" t="s">
        <v>214</v>
      </c>
      <c r="EJ92" s="8" t="s">
        <v>214</v>
      </c>
      <c r="EK92" s="8" t="s">
        <v>214</v>
      </c>
      <c r="EL92" s="8" t="s">
        <v>214</v>
      </c>
      <c r="EM92" s="8" t="s">
        <v>214</v>
      </c>
      <c r="EN92" s="8" t="s">
        <v>214</v>
      </c>
      <c r="EO92" s="8" t="s">
        <v>214</v>
      </c>
      <c r="EP92" s="8" t="s">
        <v>214</v>
      </c>
      <c r="EQ92" s="8" t="s">
        <v>214</v>
      </c>
      <c r="ER92" s="8" t="s">
        <v>214</v>
      </c>
      <c r="ES92" s="8" t="s">
        <v>214</v>
      </c>
      <c r="ET92" s="8" t="s">
        <v>214</v>
      </c>
      <c r="EU92" s="8" t="s">
        <v>214</v>
      </c>
      <c r="EV92" s="8" t="s">
        <v>214</v>
      </c>
      <c r="EW92" s="8" t="s">
        <v>214</v>
      </c>
      <c r="EX92" s="8" t="s">
        <v>214</v>
      </c>
      <c r="EY92" s="8" t="s">
        <v>214</v>
      </c>
      <c r="EZ92" s="8" t="s">
        <v>214</v>
      </c>
      <c r="FA92" s="8" t="s">
        <v>214</v>
      </c>
      <c r="FB92" s="8" t="s">
        <v>214</v>
      </c>
      <c r="FC92" s="8" t="s">
        <v>214</v>
      </c>
      <c r="FD92" s="8" t="s">
        <v>214</v>
      </c>
      <c r="FE92" s="8" t="s">
        <v>214</v>
      </c>
      <c r="FF92" s="8" t="s">
        <v>214</v>
      </c>
      <c r="FG92" s="8" t="s">
        <v>214</v>
      </c>
      <c r="FH92" s="8" t="s">
        <v>214</v>
      </c>
      <c r="FI92" s="8" t="s">
        <v>214</v>
      </c>
      <c r="FJ92" s="8" t="s">
        <v>214</v>
      </c>
      <c r="FK92" s="8" t="s">
        <v>214</v>
      </c>
      <c r="FL92" s="8" t="s">
        <v>217</v>
      </c>
    </row>
    <row r="93" spans="1:168" ht="15" x14ac:dyDescent="0.25">
      <c r="A93" s="5" t="s">
        <v>196</v>
      </c>
      <c r="B93" s="5" t="s">
        <v>8</v>
      </c>
      <c r="C93" s="7" t="s">
        <v>217</v>
      </c>
      <c r="D93" s="7" t="s">
        <v>217</v>
      </c>
      <c r="E93" s="7" t="s">
        <v>214</v>
      </c>
      <c r="F93" s="7" t="s">
        <v>214</v>
      </c>
      <c r="G93" s="7" t="s">
        <v>214</v>
      </c>
      <c r="H93" s="7" t="s">
        <v>214</v>
      </c>
      <c r="I93" s="7" t="s">
        <v>214</v>
      </c>
      <c r="J93" s="7" t="s">
        <v>214</v>
      </c>
      <c r="K93" s="7" t="s">
        <v>214</v>
      </c>
      <c r="L93" s="7" t="s">
        <v>214</v>
      </c>
      <c r="M93" s="7" t="s">
        <v>214</v>
      </c>
      <c r="N93" s="7" t="s">
        <v>214</v>
      </c>
      <c r="O93" s="7" t="s">
        <v>214</v>
      </c>
      <c r="P93" s="7" t="s">
        <v>214</v>
      </c>
      <c r="Q93" s="7" t="s">
        <v>214</v>
      </c>
      <c r="R93" s="7" t="s">
        <v>214</v>
      </c>
      <c r="S93" s="7" t="s">
        <v>214</v>
      </c>
      <c r="T93" s="7" t="s">
        <v>214</v>
      </c>
      <c r="U93" s="7" t="s">
        <v>214</v>
      </c>
      <c r="V93" s="7" t="s">
        <v>214</v>
      </c>
      <c r="W93" s="7" t="s">
        <v>214</v>
      </c>
      <c r="X93" s="7" t="s">
        <v>214</v>
      </c>
      <c r="Y93" s="7" t="s">
        <v>214</v>
      </c>
      <c r="Z93" s="7" t="s">
        <v>214</v>
      </c>
      <c r="AA93" s="7" t="s">
        <v>214</v>
      </c>
      <c r="AB93" s="7" t="s">
        <v>214</v>
      </c>
      <c r="AC93" s="7" t="s">
        <v>214</v>
      </c>
      <c r="AD93" s="7" t="s">
        <v>214</v>
      </c>
      <c r="AE93" s="7" t="s">
        <v>214</v>
      </c>
      <c r="AF93" s="7" t="s">
        <v>214</v>
      </c>
      <c r="AG93" s="7" t="s">
        <v>214</v>
      </c>
      <c r="AH93" s="7" t="s">
        <v>214</v>
      </c>
      <c r="AI93" s="7" t="s">
        <v>214</v>
      </c>
      <c r="AJ93" s="7" t="s">
        <v>214</v>
      </c>
      <c r="AK93" s="7" t="s">
        <v>214</v>
      </c>
      <c r="AL93" s="7" t="s">
        <v>217</v>
      </c>
      <c r="AM93" s="7" t="s">
        <v>214</v>
      </c>
      <c r="AN93" s="7" t="s">
        <v>214</v>
      </c>
      <c r="AO93" s="7" t="s">
        <v>214</v>
      </c>
      <c r="AP93" s="7" t="s">
        <v>214</v>
      </c>
      <c r="AQ93" s="7" t="s">
        <v>214</v>
      </c>
      <c r="AR93" s="7" t="s">
        <v>214</v>
      </c>
      <c r="AS93" s="7" t="s">
        <v>214</v>
      </c>
      <c r="AT93" s="7" t="s">
        <v>214</v>
      </c>
      <c r="AU93" s="7" t="s">
        <v>214</v>
      </c>
      <c r="AV93" s="7" t="s">
        <v>214</v>
      </c>
      <c r="AW93" s="7" t="s">
        <v>214</v>
      </c>
      <c r="AX93" s="7" t="s">
        <v>214</v>
      </c>
      <c r="AY93" s="7" t="s">
        <v>214</v>
      </c>
      <c r="AZ93" s="7" t="s">
        <v>214</v>
      </c>
      <c r="BA93" s="7" t="s">
        <v>214</v>
      </c>
      <c r="BB93" s="7" t="s">
        <v>214</v>
      </c>
      <c r="BC93" s="7" t="s">
        <v>214</v>
      </c>
      <c r="BD93" s="7" t="s">
        <v>214</v>
      </c>
      <c r="BE93" s="7" t="s">
        <v>214</v>
      </c>
      <c r="BF93" s="7" t="s">
        <v>214</v>
      </c>
      <c r="BG93" s="7" t="s">
        <v>214</v>
      </c>
      <c r="BH93" s="7" t="s">
        <v>214</v>
      </c>
      <c r="BI93" s="7" t="s">
        <v>214</v>
      </c>
      <c r="BJ93" s="7" t="s">
        <v>214</v>
      </c>
      <c r="BK93" s="7" t="s">
        <v>214</v>
      </c>
      <c r="BL93" s="7" t="s">
        <v>214</v>
      </c>
      <c r="BM93" s="7" t="s">
        <v>218</v>
      </c>
      <c r="BN93" s="7" t="s">
        <v>214</v>
      </c>
      <c r="BO93" s="7" t="s">
        <v>214</v>
      </c>
      <c r="BP93" s="7" t="s">
        <v>214</v>
      </c>
      <c r="BQ93" s="7" t="s">
        <v>214</v>
      </c>
      <c r="BR93" s="7" t="s">
        <v>214</v>
      </c>
      <c r="BS93" s="7" t="s">
        <v>218</v>
      </c>
      <c r="BT93" s="7" t="s">
        <v>218</v>
      </c>
      <c r="BU93" s="7" t="s">
        <v>218</v>
      </c>
      <c r="BV93" s="7" t="s">
        <v>218</v>
      </c>
      <c r="BW93" s="7" t="s">
        <v>214</v>
      </c>
      <c r="BX93" s="7" t="s">
        <v>214</v>
      </c>
      <c r="BY93" s="7" t="s">
        <v>214</v>
      </c>
      <c r="BZ93" s="7" t="s">
        <v>214</v>
      </c>
      <c r="CA93" s="7" t="s">
        <v>214</v>
      </c>
      <c r="CB93" s="7" t="s">
        <v>214</v>
      </c>
      <c r="CC93" s="7" t="s">
        <v>214</v>
      </c>
      <c r="CD93" s="7" t="s">
        <v>214</v>
      </c>
      <c r="CE93" s="7" t="s">
        <v>214</v>
      </c>
      <c r="CF93" s="7" t="s">
        <v>214</v>
      </c>
      <c r="CG93" s="7" t="s">
        <v>214</v>
      </c>
      <c r="CH93" s="7" t="s">
        <v>214</v>
      </c>
      <c r="CI93" s="7" t="s">
        <v>214</v>
      </c>
      <c r="CJ93" s="7" t="s">
        <v>218</v>
      </c>
      <c r="CK93" s="7" t="s">
        <v>214</v>
      </c>
      <c r="CL93" s="7" t="s">
        <v>214</v>
      </c>
      <c r="CM93" s="7" t="s">
        <v>214</v>
      </c>
      <c r="CN93" s="7" t="s">
        <v>214</v>
      </c>
      <c r="CO93" s="7" t="s">
        <v>214</v>
      </c>
      <c r="CP93" s="7" t="s">
        <v>214</v>
      </c>
      <c r="CQ93" s="7" t="s">
        <v>214</v>
      </c>
      <c r="CR93" s="7" t="s">
        <v>214</v>
      </c>
      <c r="CS93" s="7" t="s">
        <v>214</v>
      </c>
      <c r="CT93" s="7" t="s">
        <v>214</v>
      </c>
      <c r="CU93" s="7" t="s">
        <v>214</v>
      </c>
      <c r="CV93" s="7" t="s">
        <v>214</v>
      </c>
      <c r="CW93" s="7" t="s">
        <v>214</v>
      </c>
      <c r="CX93" s="7" t="s">
        <v>214</v>
      </c>
      <c r="CY93" s="7" t="s">
        <v>214</v>
      </c>
      <c r="CZ93" s="7" t="s">
        <v>214</v>
      </c>
      <c r="DA93" s="7" t="s">
        <v>214</v>
      </c>
      <c r="DB93" s="7" t="s">
        <v>214</v>
      </c>
      <c r="DC93" s="7" t="s">
        <v>218</v>
      </c>
      <c r="DD93" s="7" t="s">
        <v>214</v>
      </c>
      <c r="DE93" s="7" t="s">
        <v>214</v>
      </c>
      <c r="DF93" s="7" t="s">
        <v>214</v>
      </c>
      <c r="DG93" s="7" t="s">
        <v>214</v>
      </c>
      <c r="DH93" s="7" t="s">
        <v>214</v>
      </c>
      <c r="DI93" s="7" t="s">
        <v>214</v>
      </c>
      <c r="DJ93" s="7" t="s">
        <v>214</v>
      </c>
      <c r="DK93" s="7" t="s">
        <v>214</v>
      </c>
      <c r="DL93" s="7" t="s">
        <v>214</v>
      </c>
      <c r="DM93" s="7" t="s">
        <v>214</v>
      </c>
      <c r="DN93" s="7" t="s">
        <v>214</v>
      </c>
      <c r="DO93" s="7" t="s">
        <v>214</v>
      </c>
      <c r="DP93" s="7" t="s">
        <v>218</v>
      </c>
      <c r="DQ93" s="7" t="s">
        <v>214</v>
      </c>
      <c r="DR93" s="7" t="s">
        <v>214</v>
      </c>
      <c r="DS93" s="7" t="s">
        <v>214</v>
      </c>
      <c r="DT93" s="7" t="s">
        <v>214</v>
      </c>
      <c r="DU93" s="7" t="s">
        <v>214</v>
      </c>
      <c r="DV93" s="7" t="s">
        <v>214</v>
      </c>
      <c r="DW93" s="7" t="s">
        <v>214</v>
      </c>
      <c r="DX93" s="7" t="s">
        <v>214</v>
      </c>
      <c r="DY93" s="7" t="s">
        <v>214</v>
      </c>
      <c r="DZ93" s="7" t="s">
        <v>214</v>
      </c>
      <c r="EA93" s="7" t="s">
        <v>214</v>
      </c>
      <c r="EB93" s="7" t="s">
        <v>214</v>
      </c>
      <c r="EC93" s="7" t="s">
        <v>214</v>
      </c>
      <c r="ED93" s="7" t="s">
        <v>214</v>
      </c>
      <c r="EE93" s="7" t="s">
        <v>214</v>
      </c>
      <c r="EF93" s="7" t="s">
        <v>214</v>
      </c>
      <c r="EG93" s="7" t="s">
        <v>214</v>
      </c>
      <c r="EH93" s="7" t="s">
        <v>214</v>
      </c>
      <c r="EI93" s="7" t="s">
        <v>214</v>
      </c>
      <c r="EJ93" s="7" t="s">
        <v>214</v>
      </c>
      <c r="EK93" s="7" t="s">
        <v>214</v>
      </c>
      <c r="EL93" s="7" t="s">
        <v>214</v>
      </c>
      <c r="EM93" s="7" t="s">
        <v>214</v>
      </c>
      <c r="EN93" s="7" t="s">
        <v>214</v>
      </c>
      <c r="EO93" s="7" t="s">
        <v>214</v>
      </c>
      <c r="EP93" s="7" t="s">
        <v>214</v>
      </c>
      <c r="EQ93" s="7" t="s">
        <v>214</v>
      </c>
      <c r="ER93" s="7" t="s">
        <v>214</v>
      </c>
      <c r="ES93" s="7" t="s">
        <v>214</v>
      </c>
      <c r="ET93" s="7" t="s">
        <v>214</v>
      </c>
      <c r="EU93" s="7" t="s">
        <v>214</v>
      </c>
      <c r="EV93" s="7" t="s">
        <v>214</v>
      </c>
      <c r="EW93" s="7" t="s">
        <v>214</v>
      </c>
      <c r="EX93" s="7" t="s">
        <v>214</v>
      </c>
      <c r="EY93" s="7" t="s">
        <v>214</v>
      </c>
      <c r="EZ93" s="7" t="s">
        <v>214</v>
      </c>
      <c r="FA93" s="7" t="s">
        <v>214</v>
      </c>
      <c r="FB93" s="7" t="s">
        <v>214</v>
      </c>
      <c r="FC93" s="7" t="s">
        <v>214</v>
      </c>
      <c r="FD93" s="7" t="s">
        <v>214</v>
      </c>
      <c r="FE93" s="7" t="s">
        <v>214</v>
      </c>
      <c r="FF93" s="7" t="s">
        <v>214</v>
      </c>
      <c r="FG93" s="7" t="s">
        <v>214</v>
      </c>
      <c r="FH93" s="7" t="s">
        <v>214</v>
      </c>
      <c r="FI93" s="7" t="s">
        <v>214</v>
      </c>
      <c r="FJ93" s="7" t="s">
        <v>214</v>
      </c>
      <c r="FK93" s="7" t="s">
        <v>214</v>
      </c>
      <c r="FL93" s="7" t="s">
        <v>214</v>
      </c>
    </row>
    <row r="94" spans="1:168" ht="15" x14ac:dyDescent="0.25">
      <c r="A94" s="5" t="s">
        <v>196</v>
      </c>
      <c r="B94" s="5" t="s">
        <v>9</v>
      </c>
      <c r="C94" s="8" t="s">
        <v>217</v>
      </c>
      <c r="D94" s="8" t="s">
        <v>217</v>
      </c>
      <c r="E94" s="8" t="s">
        <v>214</v>
      </c>
      <c r="F94" s="8" t="s">
        <v>214</v>
      </c>
      <c r="G94" s="8" t="s">
        <v>214</v>
      </c>
      <c r="H94" s="8" t="s">
        <v>214</v>
      </c>
      <c r="I94" s="8" t="s">
        <v>214</v>
      </c>
      <c r="J94" s="8" t="s">
        <v>214</v>
      </c>
      <c r="K94" s="8" t="s">
        <v>214</v>
      </c>
      <c r="L94" s="8" t="s">
        <v>214</v>
      </c>
      <c r="M94" s="8" t="s">
        <v>214</v>
      </c>
      <c r="N94" s="8" t="s">
        <v>214</v>
      </c>
      <c r="O94" s="8" t="s">
        <v>214</v>
      </c>
      <c r="P94" s="8" t="s">
        <v>214</v>
      </c>
      <c r="Q94" s="8" t="s">
        <v>214</v>
      </c>
      <c r="R94" s="8" t="s">
        <v>214</v>
      </c>
      <c r="S94" s="8" t="s">
        <v>214</v>
      </c>
      <c r="T94" s="8" t="s">
        <v>214</v>
      </c>
      <c r="U94" s="8" t="s">
        <v>214</v>
      </c>
      <c r="V94" s="8" t="s">
        <v>214</v>
      </c>
      <c r="W94" s="8" t="s">
        <v>214</v>
      </c>
      <c r="X94" s="8" t="s">
        <v>214</v>
      </c>
      <c r="Y94" s="8" t="s">
        <v>214</v>
      </c>
      <c r="Z94" s="8" t="s">
        <v>214</v>
      </c>
      <c r="AA94" s="8" t="s">
        <v>214</v>
      </c>
      <c r="AB94" s="8" t="s">
        <v>214</v>
      </c>
      <c r="AC94" s="8" t="s">
        <v>214</v>
      </c>
      <c r="AD94" s="8" t="s">
        <v>214</v>
      </c>
      <c r="AE94" s="8" t="s">
        <v>214</v>
      </c>
      <c r="AF94" s="8" t="s">
        <v>214</v>
      </c>
      <c r="AG94" s="8" t="s">
        <v>214</v>
      </c>
      <c r="AH94" s="8" t="s">
        <v>214</v>
      </c>
      <c r="AI94" s="8" t="s">
        <v>214</v>
      </c>
      <c r="AJ94" s="8" t="s">
        <v>214</v>
      </c>
      <c r="AK94" s="8" t="s">
        <v>217</v>
      </c>
      <c r="AL94" s="8" t="s">
        <v>217</v>
      </c>
      <c r="AM94" s="8" t="s">
        <v>217</v>
      </c>
      <c r="AN94" s="8" t="s">
        <v>214</v>
      </c>
      <c r="AO94" s="8" t="s">
        <v>214</v>
      </c>
      <c r="AP94" s="8" t="s">
        <v>214</v>
      </c>
      <c r="AQ94" s="8" t="s">
        <v>214</v>
      </c>
      <c r="AR94" s="8" t="s">
        <v>214</v>
      </c>
      <c r="AS94" s="8" t="s">
        <v>214</v>
      </c>
      <c r="AT94" s="8" t="s">
        <v>214</v>
      </c>
      <c r="AU94" s="8" t="s">
        <v>214</v>
      </c>
      <c r="AV94" s="8" t="s">
        <v>214</v>
      </c>
      <c r="AW94" s="8" t="s">
        <v>214</v>
      </c>
      <c r="AX94" s="8" t="s">
        <v>214</v>
      </c>
      <c r="AY94" s="8" t="s">
        <v>214</v>
      </c>
      <c r="AZ94" s="8" t="s">
        <v>214</v>
      </c>
      <c r="BA94" s="8" t="s">
        <v>218</v>
      </c>
      <c r="BB94" s="8" t="s">
        <v>214</v>
      </c>
      <c r="BC94" s="8" t="s">
        <v>214</v>
      </c>
      <c r="BD94" s="8" t="s">
        <v>214</v>
      </c>
      <c r="BE94" s="8" t="s">
        <v>214</v>
      </c>
      <c r="BF94" s="8" t="s">
        <v>214</v>
      </c>
      <c r="BG94" s="8" t="s">
        <v>214</v>
      </c>
      <c r="BH94" s="8" t="s">
        <v>214</v>
      </c>
      <c r="BI94" s="8" t="s">
        <v>214</v>
      </c>
      <c r="BJ94" s="8" t="s">
        <v>218</v>
      </c>
      <c r="BK94" s="8" t="s">
        <v>214</v>
      </c>
      <c r="BL94" s="8" t="s">
        <v>214</v>
      </c>
      <c r="BM94" s="8" t="s">
        <v>214</v>
      </c>
      <c r="BN94" s="8" t="s">
        <v>214</v>
      </c>
      <c r="BO94" s="8" t="s">
        <v>214</v>
      </c>
      <c r="BP94" s="8" t="s">
        <v>214</v>
      </c>
      <c r="BQ94" s="8" t="s">
        <v>214</v>
      </c>
      <c r="BR94" s="8" t="s">
        <v>214</v>
      </c>
      <c r="BS94" s="8" t="s">
        <v>218</v>
      </c>
      <c r="BT94" s="8" t="s">
        <v>218</v>
      </c>
      <c r="BU94" s="8" t="s">
        <v>218</v>
      </c>
      <c r="BV94" s="8" t="s">
        <v>218</v>
      </c>
      <c r="BW94" s="8" t="s">
        <v>214</v>
      </c>
      <c r="BX94" s="8" t="s">
        <v>214</v>
      </c>
      <c r="BY94" s="8" t="s">
        <v>214</v>
      </c>
      <c r="BZ94" s="8" t="s">
        <v>214</v>
      </c>
      <c r="CA94" s="8" t="s">
        <v>214</v>
      </c>
      <c r="CB94" s="8" t="s">
        <v>214</v>
      </c>
      <c r="CC94" s="8" t="s">
        <v>214</v>
      </c>
      <c r="CD94" s="8" t="s">
        <v>214</v>
      </c>
      <c r="CE94" s="8" t="s">
        <v>214</v>
      </c>
      <c r="CF94" s="8" t="s">
        <v>214</v>
      </c>
      <c r="CG94" s="8" t="s">
        <v>214</v>
      </c>
      <c r="CH94" s="8" t="s">
        <v>214</v>
      </c>
      <c r="CI94" s="8" t="s">
        <v>214</v>
      </c>
      <c r="CJ94" s="8" t="s">
        <v>214</v>
      </c>
      <c r="CK94" s="8" t="s">
        <v>214</v>
      </c>
      <c r="CL94" s="8" t="s">
        <v>214</v>
      </c>
      <c r="CM94" s="8" t="s">
        <v>214</v>
      </c>
      <c r="CN94" s="8" t="s">
        <v>214</v>
      </c>
      <c r="CO94" s="8" t="s">
        <v>214</v>
      </c>
      <c r="CP94" s="8" t="s">
        <v>214</v>
      </c>
      <c r="CQ94" s="8" t="s">
        <v>214</v>
      </c>
      <c r="CR94" s="8" t="s">
        <v>214</v>
      </c>
      <c r="CS94" s="8" t="s">
        <v>214</v>
      </c>
      <c r="CT94" s="8" t="s">
        <v>214</v>
      </c>
      <c r="CU94" s="8" t="s">
        <v>214</v>
      </c>
      <c r="CV94" s="8" t="s">
        <v>214</v>
      </c>
      <c r="CW94" s="8" t="s">
        <v>214</v>
      </c>
      <c r="CX94" s="8" t="s">
        <v>214</v>
      </c>
      <c r="CY94" s="8" t="s">
        <v>214</v>
      </c>
      <c r="CZ94" s="8" t="s">
        <v>214</v>
      </c>
      <c r="DA94" s="8" t="s">
        <v>214</v>
      </c>
      <c r="DB94" s="8" t="s">
        <v>214</v>
      </c>
      <c r="DC94" s="8" t="s">
        <v>214</v>
      </c>
      <c r="DD94" s="8" t="s">
        <v>214</v>
      </c>
      <c r="DE94" s="8" t="s">
        <v>214</v>
      </c>
      <c r="DF94" s="8" t="s">
        <v>214</v>
      </c>
      <c r="DG94" s="8" t="s">
        <v>214</v>
      </c>
      <c r="DH94" s="8" t="s">
        <v>214</v>
      </c>
      <c r="DI94" s="8" t="s">
        <v>214</v>
      </c>
      <c r="DJ94" s="8" t="s">
        <v>214</v>
      </c>
      <c r="DK94" s="8" t="s">
        <v>214</v>
      </c>
      <c r="DL94" s="8" t="s">
        <v>214</v>
      </c>
      <c r="DM94" s="8" t="s">
        <v>214</v>
      </c>
      <c r="DN94" s="8" t="s">
        <v>214</v>
      </c>
      <c r="DO94" s="8" t="s">
        <v>214</v>
      </c>
      <c r="DP94" s="8" t="s">
        <v>218</v>
      </c>
      <c r="DQ94" s="8" t="s">
        <v>214</v>
      </c>
      <c r="DR94" s="8" t="s">
        <v>214</v>
      </c>
      <c r="DS94" s="8" t="s">
        <v>214</v>
      </c>
      <c r="DT94" s="8" t="s">
        <v>214</v>
      </c>
      <c r="DU94" s="8" t="s">
        <v>214</v>
      </c>
      <c r="DV94" s="8" t="s">
        <v>214</v>
      </c>
      <c r="DW94" s="8" t="s">
        <v>214</v>
      </c>
      <c r="DX94" s="8" t="s">
        <v>217</v>
      </c>
      <c r="DY94" s="8" t="s">
        <v>214</v>
      </c>
      <c r="DZ94" s="8" t="s">
        <v>214</v>
      </c>
      <c r="EA94" s="8" t="s">
        <v>214</v>
      </c>
      <c r="EB94" s="8" t="s">
        <v>214</v>
      </c>
      <c r="EC94" s="8" t="s">
        <v>214</v>
      </c>
      <c r="ED94" s="8" t="s">
        <v>214</v>
      </c>
      <c r="EE94" s="8" t="s">
        <v>214</v>
      </c>
      <c r="EF94" s="8" t="s">
        <v>214</v>
      </c>
      <c r="EG94" s="8" t="s">
        <v>214</v>
      </c>
      <c r="EH94" s="8" t="s">
        <v>214</v>
      </c>
      <c r="EI94" s="8" t="s">
        <v>214</v>
      </c>
      <c r="EJ94" s="8" t="s">
        <v>214</v>
      </c>
      <c r="EK94" s="8" t="s">
        <v>214</v>
      </c>
      <c r="EL94" s="8" t="s">
        <v>214</v>
      </c>
      <c r="EM94" s="8" t="s">
        <v>214</v>
      </c>
      <c r="EN94" s="8" t="s">
        <v>214</v>
      </c>
      <c r="EO94" s="8" t="s">
        <v>214</v>
      </c>
      <c r="EP94" s="8" t="s">
        <v>214</v>
      </c>
      <c r="EQ94" s="8" t="s">
        <v>214</v>
      </c>
      <c r="ER94" s="8" t="s">
        <v>214</v>
      </c>
      <c r="ES94" s="8" t="s">
        <v>214</v>
      </c>
      <c r="ET94" s="8" t="s">
        <v>214</v>
      </c>
      <c r="EU94" s="8" t="s">
        <v>214</v>
      </c>
      <c r="EV94" s="8" t="s">
        <v>214</v>
      </c>
      <c r="EW94" s="8" t="s">
        <v>214</v>
      </c>
      <c r="EX94" s="8" t="s">
        <v>214</v>
      </c>
      <c r="EY94" s="8" t="s">
        <v>214</v>
      </c>
      <c r="EZ94" s="8" t="s">
        <v>214</v>
      </c>
      <c r="FA94" s="8" t="s">
        <v>214</v>
      </c>
      <c r="FB94" s="8" t="s">
        <v>214</v>
      </c>
      <c r="FC94" s="8" t="s">
        <v>214</v>
      </c>
      <c r="FD94" s="8" t="s">
        <v>214</v>
      </c>
      <c r="FE94" s="8" t="s">
        <v>214</v>
      </c>
      <c r="FF94" s="8" t="s">
        <v>214</v>
      </c>
      <c r="FG94" s="8" t="s">
        <v>214</v>
      </c>
      <c r="FH94" s="8" t="s">
        <v>214</v>
      </c>
      <c r="FI94" s="8" t="s">
        <v>214</v>
      </c>
      <c r="FJ94" s="8" t="s">
        <v>214</v>
      </c>
      <c r="FK94" s="8" t="s">
        <v>214</v>
      </c>
      <c r="FL94" s="8" t="s">
        <v>214</v>
      </c>
    </row>
    <row r="95" spans="1:168" ht="15" x14ac:dyDescent="0.25">
      <c r="A95" s="5" t="s">
        <v>197</v>
      </c>
      <c r="B95" s="5" t="s">
        <v>6</v>
      </c>
      <c r="C95" s="7" t="s">
        <v>214</v>
      </c>
      <c r="D95" s="7" t="s">
        <v>214</v>
      </c>
      <c r="E95" s="7" t="s">
        <v>214</v>
      </c>
      <c r="F95" s="7" t="s">
        <v>214</v>
      </c>
      <c r="G95" s="7" t="s">
        <v>214</v>
      </c>
      <c r="H95" s="7" t="s">
        <v>214</v>
      </c>
      <c r="I95" s="7" t="s">
        <v>214</v>
      </c>
      <c r="J95" s="7" t="s">
        <v>214</v>
      </c>
      <c r="K95" s="7" t="s">
        <v>214</v>
      </c>
      <c r="L95" s="7" t="s">
        <v>214</v>
      </c>
      <c r="M95" s="7" t="s">
        <v>214</v>
      </c>
      <c r="N95" s="7" t="s">
        <v>214</v>
      </c>
      <c r="O95" s="7" t="s">
        <v>214</v>
      </c>
      <c r="P95" s="7" t="s">
        <v>214</v>
      </c>
      <c r="Q95" s="7" t="s">
        <v>214</v>
      </c>
      <c r="R95" s="7" t="s">
        <v>214</v>
      </c>
      <c r="S95" s="7" t="s">
        <v>214</v>
      </c>
      <c r="T95" s="7" t="s">
        <v>214</v>
      </c>
      <c r="U95" s="7" t="s">
        <v>214</v>
      </c>
      <c r="V95" s="7" t="s">
        <v>214</v>
      </c>
      <c r="W95" s="7" t="s">
        <v>214</v>
      </c>
      <c r="X95" s="7" t="s">
        <v>214</v>
      </c>
      <c r="Y95" s="7" t="s">
        <v>214</v>
      </c>
      <c r="Z95" s="7" t="s">
        <v>214</v>
      </c>
      <c r="AA95" s="7" t="s">
        <v>214</v>
      </c>
      <c r="AB95" s="7" t="s">
        <v>214</v>
      </c>
      <c r="AC95" s="7" t="s">
        <v>214</v>
      </c>
      <c r="AD95" s="7" t="s">
        <v>214</v>
      </c>
      <c r="AE95" s="7" t="s">
        <v>214</v>
      </c>
      <c r="AF95" s="7" t="s">
        <v>214</v>
      </c>
      <c r="AG95" s="7" t="s">
        <v>214</v>
      </c>
      <c r="AH95" s="7" t="s">
        <v>214</v>
      </c>
      <c r="AI95" s="7" t="s">
        <v>214</v>
      </c>
      <c r="AJ95" s="7" t="s">
        <v>214</v>
      </c>
      <c r="AK95" s="7" t="s">
        <v>214</v>
      </c>
      <c r="AL95" s="7" t="s">
        <v>214</v>
      </c>
      <c r="AM95" s="7" t="s">
        <v>214</v>
      </c>
      <c r="AN95" s="7" t="s">
        <v>214</v>
      </c>
      <c r="AO95" s="7" t="s">
        <v>214</v>
      </c>
      <c r="AP95" s="7" t="s">
        <v>214</v>
      </c>
      <c r="AQ95" s="7" t="s">
        <v>214</v>
      </c>
      <c r="AR95" s="7" t="s">
        <v>218</v>
      </c>
      <c r="AS95" s="7" t="s">
        <v>214</v>
      </c>
      <c r="AT95" s="7" t="s">
        <v>214</v>
      </c>
      <c r="AU95" s="7" t="s">
        <v>214</v>
      </c>
      <c r="AV95" s="7" t="s">
        <v>214</v>
      </c>
      <c r="AW95" s="7" t="s">
        <v>214</v>
      </c>
      <c r="AX95" s="7" t="s">
        <v>214</v>
      </c>
      <c r="AY95" s="7" t="s">
        <v>214</v>
      </c>
      <c r="AZ95" s="7" t="s">
        <v>214</v>
      </c>
      <c r="BA95" s="7" t="s">
        <v>214</v>
      </c>
      <c r="BB95" s="7" t="s">
        <v>214</v>
      </c>
      <c r="BC95" s="7" t="s">
        <v>214</v>
      </c>
      <c r="BD95" s="7" t="s">
        <v>214</v>
      </c>
      <c r="BE95" s="7" t="s">
        <v>214</v>
      </c>
      <c r="BF95" s="7" t="s">
        <v>214</v>
      </c>
      <c r="BG95" s="7" t="s">
        <v>214</v>
      </c>
      <c r="BH95" s="7" t="s">
        <v>214</v>
      </c>
      <c r="BI95" s="7" t="s">
        <v>214</v>
      </c>
      <c r="BJ95" s="7" t="s">
        <v>214</v>
      </c>
      <c r="BK95" s="7" t="s">
        <v>214</v>
      </c>
      <c r="BL95" s="7" t="s">
        <v>214</v>
      </c>
      <c r="BM95" s="7" t="s">
        <v>214</v>
      </c>
      <c r="BN95" s="7" t="s">
        <v>214</v>
      </c>
      <c r="BO95" s="7" t="s">
        <v>214</v>
      </c>
      <c r="BP95" s="7" t="s">
        <v>214</v>
      </c>
      <c r="BQ95" s="7" t="s">
        <v>214</v>
      </c>
      <c r="BR95" s="7" t="s">
        <v>214</v>
      </c>
      <c r="BS95" s="7" t="s">
        <v>214</v>
      </c>
      <c r="BT95" s="7" t="s">
        <v>214</v>
      </c>
      <c r="BU95" s="7" t="s">
        <v>214</v>
      </c>
      <c r="BV95" s="7" t="s">
        <v>214</v>
      </c>
      <c r="BW95" s="7" t="s">
        <v>214</v>
      </c>
      <c r="BX95" s="7" t="s">
        <v>214</v>
      </c>
      <c r="BY95" s="7" t="s">
        <v>214</v>
      </c>
      <c r="BZ95" s="7" t="s">
        <v>214</v>
      </c>
      <c r="CA95" s="7" t="s">
        <v>214</v>
      </c>
      <c r="CB95" s="7" t="s">
        <v>214</v>
      </c>
      <c r="CC95" s="7" t="s">
        <v>214</v>
      </c>
      <c r="CD95" s="7" t="s">
        <v>214</v>
      </c>
      <c r="CE95" s="7" t="s">
        <v>214</v>
      </c>
      <c r="CF95" s="7" t="s">
        <v>214</v>
      </c>
      <c r="CG95" s="7" t="s">
        <v>214</v>
      </c>
      <c r="CH95" s="7" t="s">
        <v>214</v>
      </c>
      <c r="CI95" s="7" t="s">
        <v>214</v>
      </c>
      <c r="CJ95" s="7" t="s">
        <v>214</v>
      </c>
      <c r="CK95" s="7" t="s">
        <v>214</v>
      </c>
      <c r="CL95" s="7" t="s">
        <v>214</v>
      </c>
      <c r="CM95" s="7" t="s">
        <v>214</v>
      </c>
      <c r="CN95" s="7" t="s">
        <v>214</v>
      </c>
      <c r="CO95" s="7" t="s">
        <v>214</v>
      </c>
      <c r="CP95" s="7" t="s">
        <v>214</v>
      </c>
      <c r="CQ95" s="7" t="s">
        <v>214</v>
      </c>
      <c r="CR95" s="7" t="s">
        <v>214</v>
      </c>
      <c r="CS95" s="7" t="s">
        <v>214</v>
      </c>
      <c r="CT95" s="7" t="s">
        <v>214</v>
      </c>
      <c r="CU95" s="7" t="s">
        <v>214</v>
      </c>
      <c r="CV95" s="7" t="s">
        <v>214</v>
      </c>
      <c r="CW95" s="7" t="s">
        <v>214</v>
      </c>
      <c r="CX95" s="7" t="s">
        <v>214</v>
      </c>
      <c r="CY95" s="7" t="s">
        <v>214</v>
      </c>
      <c r="CZ95" s="7" t="s">
        <v>214</v>
      </c>
      <c r="DA95" s="7" t="s">
        <v>214</v>
      </c>
      <c r="DB95" s="7" t="s">
        <v>214</v>
      </c>
      <c r="DC95" s="7" t="s">
        <v>214</v>
      </c>
      <c r="DD95" s="7" t="s">
        <v>214</v>
      </c>
      <c r="DE95" s="7" t="s">
        <v>214</v>
      </c>
      <c r="DF95" s="7" t="s">
        <v>214</v>
      </c>
      <c r="DG95" s="7" t="s">
        <v>214</v>
      </c>
      <c r="DH95" s="7" t="s">
        <v>214</v>
      </c>
      <c r="DI95" s="7" t="s">
        <v>214</v>
      </c>
      <c r="DJ95" s="7" t="s">
        <v>214</v>
      </c>
      <c r="DK95" s="7" t="s">
        <v>214</v>
      </c>
      <c r="DL95" s="7" t="s">
        <v>214</v>
      </c>
      <c r="DM95" s="7" t="s">
        <v>214</v>
      </c>
      <c r="DN95" s="7" t="s">
        <v>214</v>
      </c>
      <c r="DO95" s="7" t="s">
        <v>214</v>
      </c>
      <c r="DP95" s="7" t="s">
        <v>214</v>
      </c>
      <c r="DQ95" s="7" t="s">
        <v>214</v>
      </c>
      <c r="DR95" s="7" t="s">
        <v>214</v>
      </c>
      <c r="DS95" s="7" t="s">
        <v>214</v>
      </c>
      <c r="DT95" s="7" t="s">
        <v>214</v>
      </c>
      <c r="DU95" s="7" t="s">
        <v>214</v>
      </c>
      <c r="DV95" s="7" t="s">
        <v>214</v>
      </c>
      <c r="DW95" s="7" t="s">
        <v>214</v>
      </c>
      <c r="DX95" s="7" t="s">
        <v>214</v>
      </c>
      <c r="DY95" s="7" t="s">
        <v>214</v>
      </c>
      <c r="DZ95" s="7" t="s">
        <v>214</v>
      </c>
      <c r="EA95" s="7" t="s">
        <v>214</v>
      </c>
      <c r="EB95" s="7" t="s">
        <v>214</v>
      </c>
      <c r="EC95" s="7" t="s">
        <v>214</v>
      </c>
      <c r="ED95" s="7" t="s">
        <v>214</v>
      </c>
      <c r="EE95" s="7" t="s">
        <v>214</v>
      </c>
      <c r="EF95" s="7" t="s">
        <v>214</v>
      </c>
      <c r="EG95" s="7" t="s">
        <v>214</v>
      </c>
      <c r="EH95" s="7" t="s">
        <v>214</v>
      </c>
      <c r="EI95" s="7" t="s">
        <v>214</v>
      </c>
      <c r="EJ95" s="7" t="s">
        <v>214</v>
      </c>
      <c r="EK95" s="7" t="s">
        <v>214</v>
      </c>
      <c r="EL95" s="7" t="s">
        <v>214</v>
      </c>
      <c r="EM95" s="7" t="s">
        <v>214</v>
      </c>
      <c r="EN95" s="7" t="s">
        <v>214</v>
      </c>
      <c r="EO95" s="7" t="s">
        <v>214</v>
      </c>
      <c r="EP95" s="7" t="s">
        <v>214</v>
      </c>
      <c r="EQ95" s="7" t="s">
        <v>218</v>
      </c>
      <c r="ER95" s="7" t="s">
        <v>214</v>
      </c>
      <c r="ES95" s="7" t="s">
        <v>214</v>
      </c>
      <c r="ET95" s="7" t="s">
        <v>214</v>
      </c>
      <c r="EU95" s="7" t="s">
        <v>214</v>
      </c>
      <c r="EV95" s="7" t="s">
        <v>214</v>
      </c>
      <c r="EW95" s="7" t="s">
        <v>214</v>
      </c>
      <c r="EX95" s="7" t="s">
        <v>214</v>
      </c>
      <c r="EY95" s="7" t="s">
        <v>214</v>
      </c>
      <c r="EZ95" s="7" t="s">
        <v>217</v>
      </c>
      <c r="FA95" s="7" t="s">
        <v>214</v>
      </c>
      <c r="FB95" s="7" t="s">
        <v>214</v>
      </c>
      <c r="FC95" s="7" t="s">
        <v>214</v>
      </c>
      <c r="FD95" s="7" t="s">
        <v>214</v>
      </c>
      <c r="FE95" s="7" t="s">
        <v>214</v>
      </c>
      <c r="FF95" s="7" t="s">
        <v>214</v>
      </c>
      <c r="FG95" s="7" t="s">
        <v>214</v>
      </c>
      <c r="FH95" s="7" t="s">
        <v>214</v>
      </c>
      <c r="FI95" s="7" t="s">
        <v>214</v>
      </c>
      <c r="FJ95" s="7" t="s">
        <v>214</v>
      </c>
      <c r="FK95" s="7" t="s">
        <v>214</v>
      </c>
      <c r="FL95" s="7" t="s">
        <v>214</v>
      </c>
    </row>
    <row r="96" spans="1:168" ht="15" x14ac:dyDescent="0.25">
      <c r="A96" s="5" t="s">
        <v>197</v>
      </c>
      <c r="B96" s="5" t="s">
        <v>7</v>
      </c>
      <c r="C96" s="8" t="s">
        <v>217</v>
      </c>
      <c r="D96" s="8" t="s">
        <v>217</v>
      </c>
      <c r="E96" s="8" t="s">
        <v>214</v>
      </c>
      <c r="F96" s="8" t="s">
        <v>214</v>
      </c>
      <c r="G96" s="8" t="s">
        <v>214</v>
      </c>
      <c r="H96" s="8" t="s">
        <v>214</v>
      </c>
      <c r="I96" s="8" t="s">
        <v>214</v>
      </c>
      <c r="J96" s="8" t="s">
        <v>214</v>
      </c>
      <c r="K96" s="8" t="s">
        <v>214</v>
      </c>
      <c r="L96" s="8" t="s">
        <v>214</v>
      </c>
      <c r="M96" s="8" t="s">
        <v>214</v>
      </c>
      <c r="N96" s="8" t="s">
        <v>214</v>
      </c>
      <c r="O96" s="8" t="s">
        <v>214</v>
      </c>
      <c r="P96" s="8" t="s">
        <v>214</v>
      </c>
      <c r="Q96" s="8" t="s">
        <v>214</v>
      </c>
      <c r="R96" s="8" t="s">
        <v>214</v>
      </c>
      <c r="S96" s="8" t="s">
        <v>214</v>
      </c>
      <c r="T96" s="8" t="s">
        <v>214</v>
      </c>
      <c r="U96" s="8" t="s">
        <v>214</v>
      </c>
      <c r="V96" s="8" t="s">
        <v>214</v>
      </c>
      <c r="W96" s="8" t="s">
        <v>214</v>
      </c>
      <c r="X96" s="8" t="s">
        <v>214</v>
      </c>
      <c r="Y96" s="8" t="s">
        <v>214</v>
      </c>
      <c r="Z96" s="8" t="s">
        <v>214</v>
      </c>
      <c r="AA96" s="8" t="s">
        <v>214</v>
      </c>
      <c r="AB96" s="8" t="s">
        <v>214</v>
      </c>
      <c r="AC96" s="8" t="s">
        <v>214</v>
      </c>
      <c r="AD96" s="8" t="s">
        <v>214</v>
      </c>
      <c r="AE96" s="8" t="s">
        <v>214</v>
      </c>
      <c r="AF96" s="8" t="s">
        <v>214</v>
      </c>
      <c r="AG96" s="8" t="s">
        <v>214</v>
      </c>
      <c r="AH96" s="8" t="s">
        <v>214</v>
      </c>
      <c r="AI96" s="8" t="s">
        <v>214</v>
      </c>
      <c r="AJ96" s="8" t="s">
        <v>214</v>
      </c>
      <c r="AK96" s="8" t="s">
        <v>214</v>
      </c>
      <c r="AL96" s="8" t="s">
        <v>214</v>
      </c>
      <c r="AM96" s="8" t="s">
        <v>214</v>
      </c>
      <c r="AN96" s="8" t="s">
        <v>214</v>
      </c>
      <c r="AO96" s="8" t="s">
        <v>214</v>
      </c>
      <c r="AP96" s="8" t="s">
        <v>214</v>
      </c>
      <c r="AQ96" s="8" t="s">
        <v>214</v>
      </c>
      <c r="AR96" s="8" t="s">
        <v>218</v>
      </c>
      <c r="AS96" s="8" t="s">
        <v>214</v>
      </c>
      <c r="AT96" s="8" t="s">
        <v>214</v>
      </c>
      <c r="AU96" s="8" t="s">
        <v>214</v>
      </c>
      <c r="AV96" s="8" t="s">
        <v>214</v>
      </c>
      <c r="AW96" s="8" t="s">
        <v>214</v>
      </c>
      <c r="AX96" s="8" t="s">
        <v>214</v>
      </c>
      <c r="AY96" s="8" t="s">
        <v>214</v>
      </c>
      <c r="AZ96" s="8" t="s">
        <v>214</v>
      </c>
      <c r="BA96" s="8" t="s">
        <v>214</v>
      </c>
      <c r="BB96" s="8" t="s">
        <v>214</v>
      </c>
      <c r="BC96" s="8" t="s">
        <v>214</v>
      </c>
      <c r="BD96" s="8" t="s">
        <v>214</v>
      </c>
      <c r="BE96" s="8" t="s">
        <v>214</v>
      </c>
      <c r="BF96" s="8" t="s">
        <v>214</v>
      </c>
      <c r="BG96" s="8" t="s">
        <v>217</v>
      </c>
      <c r="BH96" s="8" t="s">
        <v>214</v>
      </c>
      <c r="BI96" s="8" t="s">
        <v>214</v>
      </c>
      <c r="BJ96" s="8" t="s">
        <v>214</v>
      </c>
      <c r="BK96" s="8" t="s">
        <v>214</v>
      </c>
      <c r="BL96" s="8" t="s">
        <v>214</v>
      </c>
      <c r="BM96" s="8" t="s">
        <v>214</v>
      </c>
      <c r="BN96" s="8" t="s">
        <v>214</v>
      </c>
      <c r="BO96" s="8" t="s">
        <v>214</v>
      </c>
      <c r="BP96" s="8" t="s">
        <v>214</v>
      </c>
      <c r="BQ96" s="8" t="s">
        <v>214</v>
      </c>
      <c r="BR96" s="8" t="s">
        <v>214</v>
      </c>
      <c r="BS96" s="8" t="s">
        <v>214</v>
      </c>
      <c r="BT96" s="8" t="s">
        <v>214</v>
      </c>
      <c r="BU96" s="8" t="s">
        <v>214</v>
      </c>
      <c r="BV96" s="8" t="s">
        <v>214</v>
      </c>
      <c r="BW96" s="8" t="s">
        <v>214</v>
      </c>
      <c r="BX96" s="8" t="s">
        <v>214</v>
      </c>
      <c r="BY96" s="8" t="s">
        <v>214</v>
      </c>
      <c r="BZ96" s="8" t="s">
        <v>214</v>
      </c>
      <c r="CA96" s="8" t="s">
        <v>214</v>
      </c>
      <c r="CB96" s="8" t="s">
        <v>214</v>
      </c>
      <c r="CC96" s="8" t="s">
        <v>214</v>
      </c>
      <c r="CD96" s="8" t="s">
        <v>214</v>
      </c>
      <c r="CE96" s="8" t="s">
        <v>214</v>
      </c>
      <c r="CF96" s="8" t="s">
        <v>214</v>
      </c>
      <c r="CG96" s="8" t="s">
        <v>214</v>
      </c>
      <c r="CH96" s="8" t="s">
        <v>214</v>
      </c>
      <c r="CI96" s="8" t="s">
        <v>214</v>
      </c>
      <c r="CJ96" s="8" t="s">
        <v>214</v>
      </c>
      <c r="CK96" s="8" t="s">
        <v>214</v>
      </c>
      <c r="CL96" s="8" t="s">
        <v>214</v>
      </c>
      <c r="CM96" s="8" t="s">
        <v>214</v>
      </c>
      <c r="CN96" s="8" t="s">
        <v>214</v>
      </c>
      <c r="CO96" s="8" t="s">
        <v>214</v>
      </c>
      <c r="CP96" s="8" t="s">
        <v>214</v>
      </c>
      <c r="CQ96" s="8" t="s">
        <v>214</v>
      </c>
      <c r="CR96" s="8" t="s">
        <v>214</v>
      </c>
      <c r="CS96" s="8" t="s">
        <v>214</v>
      </c>
      <c r="CT96" s="8" t="s">
        <v>214</v>
      </c>
      <c r="CU96" s="8" t="s">
        <v>214</v>
      </c>
      <c r="CV96" s="8" t="s">
        <v>214</v>
      </c>
      <c r="CW96" s="8" t="s">
        <v>214</v>
      </c>
      <c r="CX96" s="8" t="s">
        <v>214</v>
      </c>
      <c r="CY96" s="8" t="s">
        <v>214</v>
      </c>
      <c r="CZ96" s="8" t="s">
        <v>214</v>
      </c>
      <c r="DA96" s="8" t="s">
        <v>214</v>
      </c>
      <c r="DB96" s="8" t="s">
        <v>214</v>
      </c>
      <c r="DC96" s="8" t="s">
        <v>214</v>
      </c>
      <c r="DD96" s="8" t="s">
        <v>214</v>
      </c>
      <c r="DE96" s="8" t="s">
        <v>214</v>
      </c>
      <c r="DF96" s="8" t="s">
        <v>214</v>
      </c>
      <c r="DG96" s="8" t="s">
        <v>214</v>
      </c>
      <c r="DH96" s="8" t="s">
        <v>214</v>
      </c>
      <c r="DI96" s="8" t="s">
        <v>214</v>
      </c>
      <c r="DJ96" s="8" t="s">
        <v>214</v>
      </c>
      <c r="DK96" s="8" t="s">
        <v>214</v>
      </c>
      <c r="DL96" s="8" t="s">
        <v>214</v>
      </c>
      <c r="DM96" s="8" t="s">
        <v>214</v>
      </c>
      <c r="DN96" s="8" t="s">
        <v>214</v>
      </c>
      <c r="DO96" s="8" t="s">
        <v>214</v>
      </c>
      <c r="DP96" s="8" t="s">
        <v>214</v>
      </c>
      <c r="DQ96" s="8" t="s">
        <v>214</v>
      </c>
      <c r="DR96" s="8" t="s">
        <v>214</v>
      </c>
      <c r="DS96" s="8" t="s">
        <v>218</v>
      </c>
      <c r="DT96" s="8" t="s">
        <v>214</v>
      </c>
      <c r="DU96" s="8" t="s">
        <v>214</v>
      </c>
      <c r="DV96" s="8" t="s">
        <v>214</v>
      </c>
      <c r="DW96" s="8" t="s">
        <v>218</v>
      </c>
      <c r="DX96" s="8" t="s">
        <v>214</v>
      </c>
      <c r="DY96" s="8" t="s">
        <v>214</v>
      </c>
      <c r="DZ96" s="8" t="s">
        <v>214</v>
      </c>
      <c r="EA96" s="8" t="s">
        <v>218</v>
      </c>
      <c r="EB96" s="8" t="s">
        <v>214</v>
      </c>
      <c r="EC96" s="8" t="s">
        <v>214</v>
      </c>
      <c r="ED96" s="8" t="s">
        <v>214</v>
      </c>
      <c r="EE96" s="8" t="s">
        <v>217</v>
      </c>
      <c r="EF96" s="8" t="s">
        <v>214</v>
      </c>
      <c r="EG96" s="8" t="s">
        <v>214</v>
      </c>
      <c r="EH96" s="8" t="s">
        <v>214</v>
      </c>
      <c r="EI96" s="8" t="s">
        <v>214</v>
      </c>
      <c r="EJ96" s="8" t="s">
        <v>214</v>
      </c>
      <c r="EK96" s="8" t="s">
        <v>214</v>
      </c>
      <c r="EL96" s="8" t="s">
        <v>214</v>
      </c>
      <c r="EM96" s="8" t="s">
        <v>214</v>
      </c>
      <c r="EN96" s="8" t="s">
        <v>214</v>
      </c>
      <c r="EO96" s="8" t="s">
        <v>214</v>
      </c>
      <c r="EP96" s="8" t="s">
        <v>214</v>
      </c>
      <c r="EQ96" s="8" t="s">
        <v>218</v>
      </c>
      <c r="ER96" s="8" t="s">
        <v>217</v>
      </c>
      <c r="ES96" s="8" t="s">
        <v>214</v>
      </c>
      <c r="ET96" s="8" t="s">
        <v>214</v>
      </c>
      <c r="EU96" s="8" t="s">
        <v>214</v>
      </c>
      <c r="EV96" s="8" t="s">
        <v>214</v>
      </c>
      <c r="EW96" s="8" t="s">
        <v>214</v>
      </c>
      <c r="EX96" s="8" t="s">
        <v>214</v>
      </c>
      <c r="EY96" s="8" t="s">
        <v>214</v>
      </c>
      <c r="EZ96" s="8" t="s">
        <v>217</v>
      </c>
      <c r="FA96" s="8" t="s">
        <v>217</v>
      </c>
      <c r="FB96" s="8" t="s">
        <v>218</v>
      </c>
      <c r="FC96" s="8" t="s">
        <v>214</v>
      </c>
      <c r="FD96" s="8" t="s">
        <v>214</v>
      </c>
      <c r="FE96" s="8" t="s">
        <v>214</v>
      </c>
      <c r="FF96" s="8" t="s">
        <v>214</v>
      </c>
      <c r="FG96" s="8" t="s">
        <v>214</v>
      </c>
      <c r="FH96" s="8" t="s">
        <v>214</v>
      </c>
      <c r="FI96" s="8" t="s">
        <v>214</v>
      </c>
      <c r="FJ96" s="8" t="s">
        <v>214</v>
      </c>
      <c r="FK96" s="8" t="s">
        <v>214</v>
      </c>
      <c r="FL96" s="8" t="s">
        <v>214</v>
      </c>
    </row>
    <row r="97" spans="1:168" ht="15" x14ac:dyDescent="0.25">
      <c r="A97" s="5" t="s">
        <v>197</v>
      </c>
      <c r="B97" s="5" t="s">
        <v>8</v>
      </c>
      <c r="C97" s="7" t="s">
        <v>217</v>
      </c>
      <c r="D97" s="7" t="s">
        <v>217</v>
      </c>
      <c r="E97" s="7" t="s">
        <v>214</v>
      </c>
      <c r="F97" s="7" t="s">
        <v>214</v>
      </c>
      <c r="G97" s="7" t="s">
        <v>214</v>
      </c>
      <c r="H97" s="7" t="s">
        <v>214</v>
      </c>
      <c r="I97" s="7" t="s">
        <v>214</v>
      </c>
      <c r="J97" s="7" t="s">
        <v>214</v>
      </c>
      <c r="K97" s="7" t="s">
        <v>214</v>
      </c>
      <c r="L97" s="7" t="s">
        <v>214</v>
      </c>
      <c r="M97" s="7" t="s">
        <v>214</v>
      </c>
      <c r="N97" s="7" t="s">
        <v>214</v>
      </c>
      <c r="O97" s="7" t="s">
        <v>214</v>
      </c>
      <c r="P97" s="7" t="s">
        <v>214</v>
      </c>
      <c r="Q97" s="7" t="s">
        <v>214</v>
      </c>
      <c r="R97" s="7" t="s">
        <v>214</v>
      </c>
      <c r="S97" s="7" t="s">
        <v>214</v>
      </c>
      <c r="T97" s="7" t="s">
        <v>214</v>
      </c>
      <c r="U97" s="7" t="s">
        <v>214</v>
      </c>
      <c r="V97" s="7" t="s">
        <v>214</v>
      </c>
      <c r="W97" s="7" t="s">
        <v>214</v>
      </c>
      <c r="X97" s="7" t="s">
        <v>214</v>
      </c>
      <c r="Y97" s="7" t="s">
        <v>214</v>
      </c>
      <c r="Z97" s="7" t="s">
        <v>214</v>
      </c>
      <c r="AA97" s="7" t="s">
        <v>214</v>
      </c>
      <c r="AB97" s="7" t="s">
        <v>214</v>
      </c>
      <c r="AC97" s="7" t="s">
        <v>214</v>
      </c>
      <c r="AD97" s="7" t="s">
        <v>214</v>
      </c>
      <c r="AE97" s="7" t="s">
        <v>214</v>
      </c>
      <c r="AF97" s="7" t="s">
        <v>214</v>
      </c>
      <c r="AG97" s="7" t="s">
        <v>214</v>
      </c>
      <c r="AH97" s="7" t="s">
        <v>214</v>
      </c>
      <c r="AI97" s="7" t="s">
        <v>214</v>
      </c>
      <c r="AJ97" s="7" t="s">
        <v>214</v>
      </c>
      <c r="AK97" s="7" t="s">
        <v>214</v>
      </c>
      <c r="AL97" s="7" t="s">
        <v>214</v>
      </c>
      <c r="AM97" s="7" t="s">
        <v>214</v>
      </c>
      <c r="AN97" s="7" t="s">
        <v>214</v>
      </c>
      <c r="AO97" s="7" t="s">
        <v>214</v>
      </c>
      <c r="AP97" s="7" t="s">
        <v>214</v>
      </c>
      <c r="AQ97" s="7" t="s">
        <v>214</v>
      </c>
      <c r="AR97" s="7" t="s">
        <v>218</v>
      </c>
      <c r="AS97" s="7" t="s">
        <v>214</v>
      </c>
      <c r="AT97" s="7" t="s">
        <v>214</v>
      </c>
      <c r="AU97" s="7" t="s">
        <v>214</v>
      </c>
      <c r="AV97" s="7" t="s">
        <v>214</v>
      </c>
      <c r="AW97" s="7" t="s">
        <v>214</v>
      </c>
      <c r="AX97" s="7" t="s">
        <v>214</v>
      </c>
      <c r="AY97" s="7" t="s">
        <v>214</v>
      </c>
      <c r="AZ97" s="7" t="s">
        <v>214</v>
      </c>
      <c r="BA97" s="7" t="s">
        <v>218</v>
      </c>
      <c r="BB97" s="7" t="s">
        <v>214</v>
      </c>
      <c r="BC97" s="7" t="s">
        <v>214</v>
      </c>
      <c r="BD97" s="7" t="s">
        <v>214</v>
      </c>
      <c r="BE97" s="7" t="s">
        <v>214</v>
      </c>
      <c r="BF97" s="7" t="s">
        <v>214</v>
      </c>
      <c r="BG97" s="7" t="s">
        <v>214</v>
      </c>
      <c r="BH97" s="7" t="s">
        <v>214</v>
      </c>
      <c r="BI97" s="7" t="s">
        <v>214</v>
      </c>
      <c r="BJ97" s="7" t="s">
        <v>214</v>
      </c>
      <c r="BK97" s="7" t="s">
        <v>214</v>
      </c>
      <c r="BL97" s="7" t="s">
        <v>214</v>
      </c>
      <c r="BM97" s="7" t="s">
        <v>214</v>
      </c>
      <c r="BN97" s="7" t="s">
        <v>214</v>
      </c>
      <c r="BO97" s="7" t="s">
        <v>214</v>
      </c>
      <c r="BP97" s="7" t="s">
        <v>214</v>
      </c>
      <c r="BQ97" s="7" t="s">
        <v>214</v>
      </c>
      <c r="BR97" s="7" t="s">
        <v>214</v>
      </c>
      <c r="BS97" s="7" t="s">
        <v>214</v>
      </c>
      <c r="BT97" s="7" t="s">
        <v>218</v>
      </c>
      <c r="BU97" s="7" t="s">
        <v>218</v>
      </c>
      <c r="BV97" s="7" t="s">
        <v>214</v>
      </c>
      <c r="BW97" s="7" t="s">
        <v>214</v>
      </c>
      <c r="BX97" s="7" t="s">
        <v>214</v>
      </c>
      <c r="BY97" s="7" t="s">
        <v>214</v>
      </c>
      <c r="BZ97" s="7" t="s">
        <v>214</v>
      </c>
      <c r="CA97" s="7" t="s">
        <v>214</v>
      </c>
      <c r="CB97" s="7" t="s">
        <v>214</v>
      </c>
      <c r="CC97" s="7" t="s">
        <v>214</v>
      </c>
      <c r="CD97" s="7" t="s">
        <v>214</v>
      </c>
      <c r="CE97" s="7" t="s">
        <v>214</v>
      </c>
      <c r="CF97" s="7" t="s">
        <v>214</v>
      </c>
      <c r="CG97" s="7" t="s">
        <v>214</v>
      </c>
      <c r="CH97" s="7" t="s">
        <v>214</v>
      </c>
      <c r="CI97" s="7" t="s">
        <v>214</v>
      </c>
      <c r="CJ97" s="7" t="s">
        <v>214</v>
      </c>
      <c r="CK97" s="7" t="s">
        <v>214</v>
      </c>
      <c r="CL97" s="7" t="s">
        <v>214</v>
      </c>
      <c r="CM97" s="7" t="s">
        <v>214</v>
      </c>
      <c r="CN97" s="7" t="s">
        <v>214</v>
      </c>
      <c r="CO97" s="7" t="s">
        <v>214</v>
      </c>
      <c r="CP97" s="7" t="s">
        <v>214</v>
      </c>
      <c r="CQ97" s="7" t="s">
        <v>214</v>
      </c>
      <c r="CR97" s="7" t="s">
        <v>214</v>
      </c>
      <c r="CS97" s="7" t="s">
        <v>214</v>
      </c>
      <c r="CT97" s="7" t="s">
        <v>214</v>
      </c>
      <c r="CU97" s="7" t="s">
        <v>214</v>
      </c>
      <c r="CV97" s="7" t="s">
        <v>214</v>
      </c>
      <c r="CW97" s="7" t="s">
        <v>214</v>
      </c>
      <c r="CX97" s="7" t="s">
        <v>214</v>
      </c>
      <c r="CY97" s="7" t="s">
        <v>214</v>
      </c>
      <c r="CZ97" s="7" t="s">
        <v>214</v>
      </c>
      <c r="DA97" s="7" t="s">
        <v>214</v>
      </c>
      <c r="DB97" s="7" t="s">
        <v>214</v>
      </c>
      <c r="DC97" s="7" t="s">
        <v>218</v>
      </c>
      <c r="DD97" s="7" t="s">
        <v>214</v>
      </c>
      <c r="DE97" s="7" t="s">
        <v>214</v>
      </c>
      <c r="DF97" s="7" t="s">
        <v>214</v>
      </c>
      <c r="DG97" s="7" t="s">
        <v>214</v>
      </c>
      <c r="DH97" s="7" t="s">
        <v>214</v>
      </c>
      <c r="DI97" s="7" t="s">
        <v>214</v>
      </c>
      <c r="DJ97" s="7" t="s">
        <v>214</v>
      </c>
      <c r="DK97" s="7" t="s">
        <v>214</v>
      </c>
      <c r="DL97" s="7" t="s">
        <v>214</v>
      </c>
      <c r="DM97" s="7" t="s">
        <v>214</v>
      </c>
      <c r="DN97" s="7" t="s">
        <v>214</v>
      </c>
      <c r="DO97" s="7" t="s">
        <v>214</v>
      </c>
      <c r="DP97" s="7" t="s">
        <v>214</v>
      </c>
      <c r="DQ97" s="7" t="s">
        <v>214</v>
      </c>
      <c r="DR97" s="7" t="s">
        <v>214</v>
      </c>
      <c r="DS97" s="7" t="s">
        <v>218</v>
      </c>
      <c r="DT97" s="7" t="s">
        <v>214</v>
      </c>
      <c r="DU97" s="7" t="s">
        <v>214</v>
      </c>
      <c r="DV97" s="7" t="s">
        <v>214</v>
      </c>
      <c r="DW97" s="7" t="s">
        <v>218</v>
      </c>
      <c r="DX97" s="7" t="s">
        <v>214</v>
      </c>
      <c r="DY97" s="7" t="s">
        <v>214</v>
      </c>
      <c r="DZ97" s="7" t="s">
        <v>214</v>
      </c>
      <c r="EA97" s="7" t="s">
        <v>218</v>
      </c>
      <c r="EB97" s="7" t="s">
        <v>214</v>
      </c>
      <c r="EC97" s="7" t="s">
        <v>214</v>
      </c>
      <c r="ED97" s="7" t="s">
        <v>214</v>
      </c>
      <c r="EE97" s="7" t="s">
        <v>218</v>
      </c>
      <c r="EF97" s="7" t="s">
        <v>214</v>
      </c>
      <c r="EG97" s="7" t="s">
        <v>214</v>
      </c>
      <c r="EH97" s="7" t="s">
        <v>214</v>
      </c>
      <c r="EI97" s="7" t="s">
        <v>214</v>
      </c>
      <c r="EJ97" s="7" t="s">
        <v>214</v>
      </c>
      <c r="EK97" s="7" t="s">
        <v>214</v>
      </c>
      <c r="EL97" s="7" t="s">
        <v>214</v>
      </c>
      <c r="EM97" s="7" t="s">
        <v>214</v>
      </c>
      <c r="EN97" s="7" t="s">
        <v>214</v>
      </c>
      <c r="EO97" s="7" t="s">
        <v>214</v>
      </c>
      <c r="EP97" s="7" t="s">
        <v>214</v>
      </c>
      <c r="EQ97" s="7" t="s">
        <v>218</v>
      </c>
      <c r="ER97" s="7" t="s">
        <v>214</v>
      </c>
      <c r="ES97" s="7" t="s">
        <v>214</v>
      </c>
      <c r="ET97" s="7" t="s">
        <v>214</v>
      </c>
      <c r="EU97" s="7" t="s">
        <v>214</v>
      </c>
      <c r="EV97" s="7" t="s">
        <v>214</v>
      </c>
      <c r="EW97" s="7" t="s">
        <v>214</v>
      </c>
      <c r="EX97" s="7" t="s">
        <v>214</v>
      </c>
      <c r="EY97" s="7" t="s">
        <v>214</v>
      </c>
      <c r="EZ97" s="7" t="s">
        <v>217</v>
      </c>
      <c r="FA97" s="7" t="s">
        <v>217</v>
      </c>
      <c r="FB97" s="7" t="s">
        <v>218</v>
      </c>
      <c r="FC97" s="7" t="s">
        <v>214</v>
      </c>
      <c r="FD97" s="7" t="s">
        <v>214</v>
      </c>
      <c r="FE97" s="7" t="s">
        <v>214</v>
      </c>
      <c r="FF97" s="7" t="s">
        <v>218</v>
      </c>
      <c r="FG97" s="7" t="s">
        <v>214</v>
      </c>
      <c r="FH97" s="7" t="s">
        <v>214</v>
      </c>
      <c r="FI97" s="7" t="s">
        <v>214</v>
      </c>
      <c r="FJ97" s="7" t="s">
        <v>214</v>
      </c>
      <c r="FK97" s="7" t="s">
        <v>214</v>
      </c>
      <c r="FL97" s="7" t="s">
        <v>214</v>
      </c>
    </row>
    <row r="98" spans="1:168" ht="15" x14ac:dyDescent="0.25">
      <c r="A98" s="5" t="s">
        <v>197</v>
      </c>
      <c r="B98" s="5" t="s">
        <v>9</v>
      </c>
      <c r="C98" s="8" t="s">
        <v>217</v>
      </c>
      <c r="D98" s="8" t="s">
        <v>217</v>
      </c>
      <c r="E98" s="8" t="s">
        <v>214</v>
      </c>
      <c r="F98" s="8" t="s">
        <v>214</v>
      </c>
      <c r="G98" s="8" t="s">
        <v>214</v>
      </c>
      <c r="H98" s="8" t="s">
        <v>214</v>
      </c>
      <c r="I98" s="8" t="s">
        <v>214</v>
      </c>
      <c r="J98" s="8" t="s">
        <v>214</v>
      </c>
      <c r="K98" s="8" t="s">
        <v>214</v>
      </c>
      <c r="L98" s="8" t="s">
        <v>214</v>
      </c>
      <c r="M98" s="8" t="s">
        <v>214</v>
      </c>
      <c r="N98" s="8" t="s">
        <v>214</v>
      </c>
      <c r="O98" s="8" t="s">
        <v>214</v>
      </c>
      <c r="P98" s="8" t="s">
        <v>214</v>
      </c>
      <c r="Q98" s="8" t="s">
        <v>214</v>
      </c>
      <c r="R98" s="8" t="s">
        <v>214</v>
      </c>
      <c r="S98" s="8" t="s">
        <v>214</v>
      </c>
      <c r="T98" s="8" t="s">
        <v>214</v>
      </c>
      <c r="U98" s="8" t="s">
        <v>214</v>
      </c>
      <c r="V98" s="8" t="s">
        <v>214</v>
      </c>
      <c r="W98" s="8" t="s">
        <v>214</v>
      </c>
      <c r="X98" s="8" t="s">
        <v>214</v>
      </c>
      <c r="Y98" s="8" t="s">
        <v>214</v>
      </c>
      <c r="Z98" s="8" t="s">
        <v>214</v>
      </c>
      <c r="AA98" s="8" t="s">
        <v>214</v>
      </c>
      <c r="AB98" s="8" t="s">
        <v>214</v>
      </c>
      <c r="AC98" s="8" t="s">
        <v>214</v>
      </c>
      <c r="AD98" s="8" t="s">
        <v>214</v>
      </c>
      <c r="AE98" s="8" t="s">
        <v>214</v>
      </c>
      <c r="AF98" s="8" t="s">
        <v>214</v>
      </c>
      <c r="AG98" s="8" t="s">
        <v>214</v>
      </c>
      <c r="AH98" s="8" t="s">
        <v>214</v>
      </c>
      <c r="AI98" s="8" t="s">
        <v>214</v>
      </c>
      <c r="AJ98" s="8" t="s">
        <v>214</v>
      </c>
      <c r="AK98" s="8" t="s">
        <v>214</v>
      </c>
      <c r="AL98" s="8" t="s">
        <v>218</v>
      </c>
      <c r="AM98" s="8" t="s">
        <v>214</v>
      </c>
      <c r="AN98" s="8" t="s">
        <v>214</v>
      </c>
      <c r="AO98" s="8" t="s">
        <v>214</v>
      </c>
      <c r="AP98" s="8" t="s">
        <v>214</v>
      </c>
      <c r="AQ98" s="8" t="s">
        <v>214</v>
      </c>
      <c r="AR98" s="8" t="s">
        <v>218</v>
      </c>
      <c r="AS98" s="8" t="s">
        <v>214</v>
      </c>
      <c r="AT98" s="8" t="s">
        <v>214</v>
      </c>
      <c r="AU98" s="8" t="s">
        <v>214</v>
      </c>
      <c r="AV98" s="8" t="s">
        <v>214</v>
      </c>
      <c r="AW98" s="8" t="s">
        <v>214</v>
      </c>
      <c r="AX98" s="8" t="s">
        <v>214</v>
      </c>
      <c r="AY98" s="8" t="s">
        <v>214</v>
      </c>
      <c r="AZ98" s="8" t="s">
        <v>214</v>
      </c>
      <c r="BA98" s="8" t="s">
        <v>218</v>
      </c>
      <c r="BB98" s="8" t="s">
        <v>214</v>
      </c>
      <c r="BC98" s="8" t="s">
        <v>214</v>
      </c>
      <c r="BD98" s="8" t="s">
        <v>214</v>
      </c>
      <c r="BE98" s="8" t="s">
        <v>214</v>
      </c>
      <c r="BF98" s="8" t="s">
        <v>214</v>
      </c>
      <c r="BG98" s="8" t="s">
        <v>214</v>
      </c>
      <c r="BH98" s="8" t="s">
        <v>214</v>
      </c>
      <c r="BI98" s="8" t="s">
        <v>214</v>
      </c>
      <c r="BJ98" s="8" t="s">
        <v>214</v>
      </c>
      <c r="BK98" s="8" t="s">
        <v>214</v>
      </c>
      <c r="BL98" s="8" t="s">
        <v>214</v>
      </c>
      <c r="BM98" s="8" t="s">
        <v>214</v>
      </c>
      <c r="BN98" s="8" t="s">
        <v>214</v>
      </c>
      <c r="BO98" s="8" t="s">
        <v>214</v>
      </c>
      <c r="BP98" s="8" t="s">
        <v>214</v>
      </c>
      <c r="BQ98" s="8" t="s">
        <v>214</v>
      </c>
      <c r="BR98" s="8" t="s">
        <v>214</v>
      </c>
      <c r="BS98" s="8" t="s">
        <v>214</v>
      </c>
      <c r="BT98" s="8" t="s">
        <v>218</v>
      </c>
      <c r="BU98" s="8" t="s">
        <v>218</v>
      </c>
      <c r="BV98" s="8" t="s">
        <v>214</v>
      </c>
      <c r="BW98" s="8" t="s">
        <v>214</v>
      </c>
      <c r="BX98" s="8" t="s">
        <v>214</v>
      </c>
      <c r="BY98" s="8" t="s">
        <v>214</v>
      </c>
      <c r="BZ98" s="8" t="s">
        <v>214</v>
      </c>
      <c r="CA98" s="8" t="s">
        <v>214</v>
      </c>
      <c r="CB98" s="8" t="s">
        <v>214</v>
      </c>
      <c r="CC98" s="8" t="s">
        <v>214</v>
      </c>
      <c r="CD98" s="8" t="s">
        <v>214</v>
      </c>
      <c r="CE98" s="8" t="s">
        <v>214</v>
      </c>
      <c r="CF98" s="8" t="s">
        <v>214</v>
      </c>
      <c r="CG98" s="8" t="s">
        <v>214</v>
      </c>
      <c r="CH98" s="8" t="s">
        <v>214</v>
      </c>
      <c r="CI98" s="8" t="s">
        <v>214</v>
      </c>
      <c r="CJ98" s="8" t="s">
        <v>214</v>
      </c>
      <c r="CK98" s="8" t="s">
        <v>214</v>
      </c>
      <c r="CL98" s="8" t="s">
        <v>214</v>
      </c>
      <c r="CM98" s="8" t="s">
        <v>214</v>
      </c>
      <c r="CN98" s="8" t="s">
        <v>214</v>
      </c>
      <c r="CO98" s="8" t="s">
        <v>214</v>
      </c>
      <c r="CP98" s="8" t="s">
        <v>214</v>
      </c>
      <c r="CQ98" s="8" t="s">
        <v>214</v>
      </c>
      <c r="CR98" s="8" t="s">
        <v>214</v>
      </c>
      <c r="CS98" s="8" t="s">
        <v>214</v>
      </c>
      <c r="CT98" s="8" t="s">
        <v>214</v>
      </c>
      <c r="CU98" s="8" t="s">
        <v>214</v>
      </c>
      <c r="CV98" s="8" t="s">
        <v>214</v>
      </c>
      <c r="CW98" s="8" t="s">
        <v>214</v>
      </c>
      <c r="CX98" s="8" t="s">
        <v>214</v>
      </c>
      <c r="CY98" s="8" t="s">
        <v>214</v>
      </c>
      <c r="CZ98" s="8" t="s">
        <v>214</v>
      </c>
      <c r="DA98" s="8" t="s">
        <v>214</v>
      </c>
      <c r="DB98" s="8" t="s">
        <v>214</v>
      </c>
      <c r="DC98" s="8" t="s">
        <v>214</v>
      </c>
      <c r="DD98" s="8" t="s">
        <v>214</v>
      </c>
      <c r="DE98" s="8" t="s">
        <v>214</v>
      </c>
      <c r="DF98" s="8" t="s">
        <v>214</v>
      </c>
      <c r="DG98" s="8" t="s">
        <v>214</v>
      </c>
      <c r="DH98" s="8" t="s">
        <v>214</v>
      </c>
      <c r="DI98" s="8" t="s">
        <v>214</v>
      </c>
      <c r="DJ98" s="8" t="s">
        <v>214</v>
      </c>
      <c r="DK98" s="8" t="s">
        <v>214</v>
      </c>
      <c r="DL98" s="8" t="s">
        <v>214</v>
      </c>
      <c r="DM98" s="8" t="s">
        <v>214</v>
      </c>
      <c r="DN98" s="8" t="s">
        <v>214</v>
      </c>
      <c r="DO98" s="8" t="s">
        <v>214</v>
      </c>
      <c r="DP98" s="8" t="s">
        <v>214</v>
      </c>
      <c r="DQ98" s="8" t="s">
        <v>214</v>
      </c>
      <c r="DR98" s="8" t="s">
        <v>214</v>
      </c>
      <c r="DS98" s="8" t="s">
        <v>218</v>
      </c>
      <c r="DT98" s="8" t="s">
        <v>214</v>
      </c>
      <c r="DU98" s="8" t="s">
        <v>214</v>
      </c>
      <c r="DV98" s="8" t="s">
        <v>214</v>
      </c>
      <c r="DW98" s="8" t="s">
        <v>218</v>
      </c>
      <c r="DX98" s="8" t="s">
        <v>214</v>
      </c>
      <c r="DY98" s="8" t="s">
        <v>214</v>
      </c>
      <c r="DZ98" s="8" t="s">
        <v>214</v>
      </c>
      <c r="EA98" s="8" t="s">
        <v>218</v>
      </c>
      <c r="EB98" s="8" t="s">
        <v>214</v>
      </c>
      <c r="EC98" s="8" t="s">
        <v>214</v>
      </c>
      <c r="ED98" s="8" t="s">
        <v>214</v>
      </c>
      <c r="EE98" s="8" t="s">
        <v>214</v>
      </c>
      <c r="EF98" s="8" t="s">
        <v>214</v>
      </c>
      <c r="EG98" s="8" t="s">
        <v>214</v>
      </c>
      <c r="EH98" s="8" t="s">
        <v>214</v>
      </c>
      <c r="EI98" s="8" t="s">
        <v>214</v>
      </c>
      <c r="EJ98" s="8" t="s">
        <v>214</v>
      </c>
      <c r="EK98" s="8" t="s">
        <v>214</v>
      </c>
      <c r="EL98" s="8" t="s">
        <v>214</v>
      </c>
      <c r="EM98" s="8" t="s">
        <v>214</v>
      </c>
      <c r="EN98" s="8" t="s">
        <v>214</v>
      </c>
      <c r="EO98" s="8" t="s">
        <v>214</v>
      </c>
      <c r="EP98" s="8" t="s">
        <v>214</v>
      </c>
      <c r="EQ98" s="8" t="s">
        <v>218</v>
      </c>
      <c r="ER98" s="8" t="s">
        <v>214</v>
      </c>
      <c r="ES98" s="8" t="s">
        <v>214</v>
      </c>
      <c r="ET98" s="8" t="s">
        <v>214</v>
      </c>
      <c r="EU98" s="8" t="s">
        <v>214</v>
      </c>
      <c r="EV98" s="8" t="s">
        <v>214</v>
      </c>
      <c r="EW98" s="8" t="s">
        <v>214</v>
      </c>
      <c r="EX98" s="8" t="s">
        <v>214</v>
      </c>
      <c r="EY98" s="8" t="s">
        <v>214</v>
      </c>
      <c r="EZ98" s="8" t="s">
        <v>217</v>
      </c>
      <c r="FA98" s="8" t="s">
        <v>217</v>
      </c>
      <c r="FB98" s="8" t="s">
        <v>218</v>
      </c>
      <c r="FC98" s="8" t="s">
        <v>214</v>
      </c>
      <c r="FD98" s="8" t="s">
        <v>214</v>
      </c>
      <c r="FE98" s="8" t="s">
        <v>214</v>
      </c>
      <c r="FF98" s="8" t="s">
        <v>218</v>
      </c>
      <c r="FG98" s="8" t="s">
        <v>214</v>
      </c>
      <c r="FH98" s="8" t="s">
        <v>214</v>
      </c>
      <c r="FI98" s="8" t="s">
        <v>214</v>
      </c>
      <c r="FJ98" s="8" t="s">
        <v>214</v>
      </c>
      <c r="FK98" s="8" t="s">
        <v>214</v>
      </c>
      <c r="FL98" s="8" t="s">
        <v>214</v>
      </c>
    </row>
    <row r="99" spans="1:168" ht="15" x14ac:dyDescent="0.25">
      <c r="A99" s="5" t="s">
        <v>198</v>
      </c>
      <c r="B99" s="5" t="s">
        <v>6</v>
      </c>
      <c r="C99" s="7" t="s">
        <v>214</v>
      </c>
      <c r="D99" s="7" t="s">
        <v>214</v>
      </c>
      <c r="E99" s="7" t="s">
        <v>214</v>
      </c>
      <c r="F99" s="7" t="s">
        <v>214</v>
      </c>
      <c r="G99" s="7" t="s">
        <v>214</v>
      </c>
      <c r="H99" s="7" t="s">
        <v>214</v>
      </c>
      <c r="I99" s="7" t="s">
        <v>214</v>
      </c>
      <c r="J99" s="7" t="s">
        <v>214</v>
      </c>
      <c r="K99" s="7" t="s">
        <v>214</v>
      </c>
      <c r="L99" s="7" t="s">
        <v>214</v>
      </c>
      <c r="M99" s="7" t="s">
        <v>214</v>
      </c>
      <c r="N99" s="7" t="s">
        <v>214</v>
      </c>
      <c r="O99" s="7" t="s">
        <v>214</v>
      </c>
      <c r="P99" s="7" t="s">
        <v>214</v>
      </c>
      <c r="Q99" s="7" t="s">
        <v>214</v>
      </c>
      <c r="R99" s="7" t="s">
        <v>214</v>
      </c>
      <c r="S99" s="7" t="s">
        <v>214</v>
      </c>
      <c r="T99" s="7" t="s">
        <v>214</v>
      </c>
      <c r="U99" s="7" t="s">
        <v>214</v>
      </c>
      <c r="V99" s="7" t="s">
        <v>214</v>
      </c>
      <c r="W99" s="7" t="s">
        <v>214</v>
      </c>
      <c r="X99" s="7" t="s">
        <v>214</v>
      </c>
      <c r="Y99" s="7" t="s">
        <v>214</v>
      </c>
      <c r="Z99" s="7" t="s">
        <v>214</v>
      </c>
      <c r="AA99" s="7" t="s">
        <v>214</v>
      </c>
      <c r="AB99" s="7" t="s">
        <v>214</v>
      </c>
      <c r="AC99" s="7" t="s">
        <v>214</v>
      </c>
      <c r="AD99" s="7" t="s">
        <v>214</v>
      </c>
      <c r="AE99" s="7" t="s">
        <v>214</v>
      </c>
      <c r="AF99" s="7" t="s">
        <v>214</v>
      </c>
      <c r="AG99" s="7" t="s">
        <v>214</v>
      </c>
      <c r="AH99" s="7" t="s">
        <v>214</v>
      </c>
      <c r="AI99" s="7" t="s">
        <v>214</v>
      </c>
      <c r="AJ99" s="7" t="s">
        <v>214</v>
      </c>
      <c r="AK99" s="7" t="s">
        <v>214</v>
      </c>
      <c r="AL99" s="7" t="s">
        <v>214</v>
      </c>
      <c r="AM99" s="7" t="s">
        <v>214</v>
      </c>
      <c r="AN99" s="7" t="s">
        <v>214</v>
      </c>
      <c r="AO99" s="7" t="s">
        <v>214</v>
      </c>
      <c r="AP99" s="7" t="s">
        <v>214</v>
      </c>
      <c r="AQ99" s="7" t="s">
        <v>214</v>
      </c>
      <c r="AR99" s="7" t="s">
        <v>214</v>
      </c>
      <c r="AS99" s="7" t="s">
        <v>214</v>
      </c>
      <c r="AT99" s="7" t="s">
        <v>214</v>
      </c>
      <c r="AU99" s="7" t="s">
        <v>214</v>
      </c>
      <c r="AV99" s="7" t="s">
        <v>214</v>
      </c>
      <c r="AW99" s="7" t="s">
        <v>214</v>
      </c>
      <c r="AX99" s="7" t="s">
        <v>214</v>
      </c>
      <c r="AY99" s="7" t="s">
        <v>214</v>
      </c>
      <c r="AZ99" s="7" t="s">
        <v>214</v>
      </c>
      <c r="BA99" s="7" t="s">
        <v>214</v>
      </c>
      <c r="BB99" s="7" t="s">
        <v>214</v>
      </c>
      <c r="BC99" s="7" t="s">
        <v>214</v>
      </c>
      <c r="BD99" s="7" t="s">
        <v>214</v>
      </c>
      <c r="BE99" s="7" t="s">
        <v>214</v>
      </c>
      <c r="BF99" s="7" t="s">
        <v>214</v>
      </c>
      <c r="BG99" s="7" t="s">
        <v>214</v>
      </c>
      <c r="BH99" s="7" t="s">
        <v>214</v>
      </c>
      <c r="BI99" s="7" t="s">
        <v>214</v>
      </c>
      <c r="BJ99" s="7" t="s">
        <v>214</v>
      </c>
      <c r="BK99" s="7" t="s">
        <v>214</v>
      </c>
      <c r="BL99" s="7" t="s">
        <v>214</v>
      </c>
      <c r="BM99" s="7" t="s">
        <v>214</v>
      </c>
      <c r="BN99" s="7" t="s">
        <v>214</v>
      </c>
      <c r="BO99" s="7" t="s">
        <v>214</v>
      </c>
      <c r="BP99" s="7" t="s">
        <v>214</v>
      </c>
      <c r="BQ99" s="7" t="s">
        <v>214</v>
      </c>
      <c r="BR99" s="7" t="s">
        <v>214</v>
      </c>
      <c r="BS99" s="7" t="s">
        <v>214</v>
      </c>
      <c r="BT99" s="7" t="s">
        <v>214</v>
      </c>
      <c r="BU99" s="7" t="s">
        <v>214</v>
      </c>
      <c r="BV99" s="7" t="s">
        <v>214</v>
      </c>
      <c r="BW99" s="7" t="s">
        <v>214</v>
      </c>
      <c r="BX99" s="7" t="s">
        <v>214</v>
      </c>
      <c r="BY99" s="7" t="s">
        <v>214</v>
      </c>
      <c r="BZ99" s="7" t="s">
        <v>214</v>
      </c>
      <c r="CA99" s="7" t="s">
        <v>214</v>
      </c>
      <c r="CB99" s="7" t="s">
        <v>214</v>
      </c>
      <c r="CC99" s="7" t="s">
        <v>214</v>
      </c>
      <c r="CD99" s="7" t="s">
        <v>214</v>
      </c>
      <c r="CE99" s="7" t="s">
        <v>214</v>
      </c>
      <c r="CF99" s="7" t="s">
        <v>214</v>
      </c>
      <c r="CG99" s="7" t="s">
        <v>214</v>
      </c>
      <c r="CH99" s="7" t="s">
        <v>214</v>
      </c>
      <c r="CI99" s="7" t="s">
        <v>214</v>
      </c>
      <c r="CJ99" s="7" t="s">
        <v>214</v>
      </c>
      <c r="CK99" s="7" t="s">
        <v>214</v>
      </c>
      <c r="CL99" s="7" t="s">
        <v>214</v>
      </c>
      <c r="CM99" s="7" t="s">
        <v>214</v>
      </c>
      <c r="CN99" s="7" t="s">
        <v>214</v>
      </c>
      <c r="CO99" s="7" t="s">
        <v>214</v>
      </c>
      <c r="CP99" s="7" t="s">
        <v>214</v>
      </c>
      <c r="CQ99" s="7" t="s">
        <v>214</v>
      </c>
      <c r="CR99" s="7" t="s">
        <v>214</v>
      </c>
      <c r="CS99" s="7" t="s">
        <v>214</v>
      </c>
      <c r="CT99" s="7" t="s">
        <v>214</v>
      </c>
      <c r="CU99" s="7" t="s">
        <v>214</v>
      </c>
      <c r="CV99" s="7" t="s">
        <v>214</v>
      </c>
      <c r="CW99" s="7" t="s">
        <v>214</v>
      </c>
      <c r="CX99" s="7" t="s">
        <v>214</v>
      </c>
      <c r="CY99" s="7" t="s">
        <v>214</v>
      </c>
      <c r="CZ99" s="7" t="s">
        <v>214</v>
      </c>
      <c r="DA99" s="7" t="s">
        <v>214</v>
      </c>
      <c r="DB99" s="7" t="s">
        <v>214</v>
      </c>
      <c r="DC99" s="7" t="s">
        <v>214</v>
      </c>
      <c r="DD99" s="7" t="s">
        <v>214</v>
      </c>
      <c r="DE99" s="7" t="s">
        <v>214</v>
      </c>
      <c r="DF99" s="7" t="s">
        <v>214</v>
      </c>
      <c r="DG99" s="7" t="s">
        <v>214</v>
      </c>
      <c r="DH99" s="7" t="s">
        <v>214</v>
      </c>
      <c r="DI99" s="7" t="s">
        <v>214</v>
      </c>
      <c r="DJ99" s="7" t="s">
        <v>214</v>
      </c>
      <c r="DK99" s="7" t="s">
        <v>214</v>
      </c>
      <c r="DL99" s="7" t="s">
        <v>214</v>
      </c>
      <c r="DM99" s="7" t="s">
        <v>214</v>
      </c>
      <c r="DN99" s="7" t="s">
        <v>214</v>
      </c>
      <c r="DO99" s="7" t="s">
        <v>214</v>
      </c>
      <c r="DP99" s="7" t="s">
        <v>214</v>
      </c>
      <c r="DQ99" s="7" t="s">
        <v>214</v>
      </c>
      <c r="DR99" s="7" t="s">
        <v>214</v>
      </c>
      <c r="DS99" s="7" t="s">
        <v>214</v>
      </c>
      <c r="DT99" s="7" t="s">
        <v>214</v>
      </c>
      <c r="DU99" s="7" t="s">
        <v>214</v>
      </c>
      <c r="DV99" s="7" t="s">
        <v>214</v>
      </c>
      <c r="DW99" s="7" t="s">
        <v>214</v>
      </c>
      <c r="DX99" s="7" t="s">
        <v>214</v>
      </c>
      <c r="DY99" s="7" t="s">
        <v>214</v>
      </c>
      <c r="DZ99" s="7" t="s">
        <v>214</v>
      </c>
      <c r="EA99" s="7" t="s">
        <v>214</v>
      </c>
      <c r="EB99" s="7" t="s">
        <v>214</v>
      </c>
      <c r="EC99" s="7" t="s">
        <v>214</v>
      </c>
      <c r="ED99" s="7" t="s">
        <v>214</v>
      </c>
      <c r="EE99" s="7" t="s">
        <v>214</v>
      </c>
      <c r="EF99" s="7" t="s">
        <v>214</v>
      </c>
      <c r="EG99" s="7" t="s">
        <v>214</v>
      </c>
      <c r="EH99" s="7" t="s">
        <v>214</v>
      </c>
      <c r="EI99" s="7" t="s">
        <v>214</v>
      </c>
      <c r="EJ99" s="7" t="s">
        <v>214</v>
      </c>
      <c r="EK99" s="7" t="s">
        <v>214</v>
      </c>
      <c r="EL99" s="7" t="s">
        <v>214</v>
      </c>
      <c r="EM99" s="7" t="s">
        <v>214</v>
      </c>
      <c r="EN99" s="7" t="s">
        <v>214</v>
      </c>
      <c r="EO99" s="7" t="s">
        <v>214</v>
      </c>
      <c r="EP99" s="7" t="s">
        <v>214</v>
      </c>
      <c r="EQ99" s="7" t="s">
        <v>214</v>
      </c>
      <c r="ER99" s="7" t="s">
        <v>214</v>
      </c>
      <c r="ES99" s="7" t="s">
        <v>214</v>
      </c>
      <c r="ET99" s="7" t="s">
        <v>214</v>
      </c>
      <c r="EU99" s="7" t="s">
        <v>214</v>
      </c>
      <c r="EV99" s="7" t="s">
        <v>214</v>
      </c>
      <c r="EW99" s="7" t="s">
        <v>214</v>
      </c>
      <c r="EX99" s="7" t="s">
        <v>214</v>
      </c>
      <c r="EY99" s="7" t="s">
        <v>214</v>
      </c>
      <c r="EZ99" s="7" t="s">
        <v>214</v>
      </c>
      <c r="FA99" s="7" t="s">
        <v>214</v>
      </c>
      <c r="FB99" s="7" t="s">
        <v>214</v>
      </c>
      <c r="FC99" s="7" t="s">
        <v>214</v>
      </c>
      <c r="FD99" s="7" t="s">
        <v>214</v>
      </c>
      <c r="FE99" s="7" t="s">
        <v>214</v>
      </c>
      <c r="FF99" s="7" t="s">
        <v>214</v>
      </c>
      <c r="FG99" s="7" t="s">
        <v>214</v>
      </c>
      <c r="FH99" s="7" t="s">
        <v>214</v>
      </c>
      <c r="FI99" s="7" t="s">
        <v>214</v>
      </c>
      <c r="FJ99" s="7" t="s">
        <v>214</v>
      </c>
      <c r="FK99" s="7" t="s">
        <v>214</v>
      </c>
      <c r="FL99" s="7" t="s">
        <v>214</v>
      </c>
    </row>
    <row r="100" spans="1:168" ht="15" x14ac:dyDescent="0.25">
      <c r="A100" s="5" t="s">
        <v>198</v>
      </c>
      <c r="B100" s="5" t="s">
        <v>7</v>
      </c>
      <c r="C100" s="8" t="s">
        <v>217</v>
      </c>
      <c r="D100" s="8" t="s">
        <v>217</v>
      </c>
      <c r="E100" s="8" t="s">
        <v>214</v>
      </c>
      <c r="F100" s="8" t="s">
        <v>214</v>
      </c>
      <c r="G100" s="8" t="s">
        <v>214</v>
      </c>
      <c r="H100" s="8" t="s">
        <v>214</v>
      </c>
      <c r="I100" s="8" t="s">
        <v>214</v>
      </c>
      <c r="J100" s="8" t="s">
        <v>214</v>
      </c>
      <c r="K100" s="8" t="s">
        <v>214</v>
      </c>
      <c r="L100" s="8" t="s">
        <v>214</v>
      </c>
      <c r="M100" s="8" t="s">
        <v>217</v>
      </c>
      <c r="N100" s="8" t="s">
        <v>214</v>
      </c>
      <c r="O100" s="8" t="s">
        <v>214</v>
      </c>
      <c r="P100" s="8" t="s">
        <v>214</v>
      </c>
      <c r="Q100" s="8" t="s">
        <v>214</v>
      </c>
      <c r="R100" s="8" t="s">
        <v>214</v>
      </c>
      <c r="S100" s="8" t="s">
        <v>214</v>
      </c>
      <c r="T100" s="8" t="s">
        <v>214</v>
      </c>
      <c r="U100" s="8" t="s">
        <v>214</v>
      </c>
      <c r="V100" s="8" t="s">
        <v>214</v>
      </c>
      <c r="W100" s="8" t="s">
        <v>214</v>
      </c>
      <c r="X100" s="8" t="s">
        <v>214</v>
      </c>
      <c r="Y100" s="8" t="s">
        <v>214</v>
      </c>
      <c r="Z100" s="8" t="s">
        <v>214</v>
      </c>
      <c r="AA100" s="8" t="s">
        <v>214</v>
      </c>
      <c r="AB100" s="8" t="s">
        <v>214</v>
      </c>
      <c r="AC100" s="8" t="s">
        <v>217</v>
      </c>
      <c r="AD100" s="8" t="s">
        <v>214</v>
      </c>
      <c r="AE100" s="8" t="s">
        <v>214</v>
      </c>
      <c r="AF100" s="8" t="s">
        <v>214</v>
      </c>
      <c r="AG100" s="8" t="s">
        <v>214</v>
      </c>
      <c r="AH100" s="8" t="s">
        <v>214</v>
      </c>
      <c r="AI100" s="8" t="s">
        <v>214</v>
      </c>
      <c r="AJ100" s="8" t="s">
        <v>214</v>
      </c>
      <c r="AK100" s="8" t="s">
        <v>214</v>
      </c>
      <c r="AL100" s="8" t="s">
        <v>214</v>
      </c>
      <c r="AM100" s="8" t="s">
        <v>214</v>
      </c>
      <c r="AN100" s="8" t="s">
        <v>214</v>
      </c>
      <c r="AO100" s="8" t="s">
        <v>214</v>
      </c>
      <c r="AP100" s="8" t="s">
        <v>214</v>
      </c>
      <c r="AQ100" s="8" t="s">
        <v>214</v>
      </c>
      <c r="AR100" s="8" t="s">
        <v>214</v>
      </c>
      <c r="AS100" s="8" t="s">
        <v>214</v>
      </c>
      <c r="AT100" s="8" t="s">
        <v>214</v>
      </c>
      <c r="AU100" s="8" t="s">
        <v>214</v>
      </c>
      <c r="AV100" s="8" t="s">
        <v>214</v>
      </c>
      <c r="AW100" s="8" t="s">
        <v>214</v>
      </c>
      <c r="AX100" s="8" t="s">
        <v>214</v>
      </c>
      <c r="AY100" s="8" t="s">
        <v>214</v>
      </c>
      <c r="AZ100" s="8" t="s">
        <v>214</v>
      </c>
      <c r="BA100" s="8" t="s">
        <v>214</v>
      </c>
      <c r="BB100" s="8" t="s">
        <v>214</v>
      </c>
      <c r="BC100" s="8" t="s">
        <v>214</v>
      </c>
      <c r="BD100" s="8" t="s">
        <v>214</v>
      </c>
      <c r="BE100" s="8" t="s">
        <v>214</v>
      </c>
      <c r="BF100" s="8" t="s">
        <v>214</v>
      </c>
      <c r="BG100" s="8" t="s">
        <v>214</v>
      </c>
      <c r="BH100" s="8" t="s">
        <v>214</v>
      </c>
      <c r="BI100" s="8" t="s">
        <v>214</v>
      </c>
      <c r="BJ100" s="8" t="s">
        <v>214</v>
      </c>
      <c r="BK100" s="8" t="s">
        <v>214</v>
      </c>
      <c r="BL100" s="8" t="s">
        <v>214</v>
      </c>
      <c r="BM100" s="8" t="s">
        <v>214</v>
      </c>
      <c r="BN100" s="8" t="s">
        <v>214</v>
      </c>
      <c r="BO100" s="8" t="s">
        <v>214</v>
      </c>
      <c r="BP100" s="8" t="s">
        <v>214</v>
      </c>
      <c r="BQ100" s="8" t="s">
        <v>214</v>
      </c>
      <c r="BR100" s="8" t="s">
        <v>214</v>
      </c>
      <c r="BS100" s="8" t="s">
        <v>214</v>
      </c>
      <c r="BT100" s="8" t="s">
        <v>214</v>
      </c>
      <c r="BU100" s="8" t="s">
        <v>214</v>
      </c>
      <c r="BV100" s="8" t="s">
        <v>214</v>
      </c>
      <c r="BW100" s="8" t="s">
        <v>214</v>
      </c>
      <c r="BX100" s="8" t="s">
        <v>214</v>
      </c>
      <c r="BY100" s="8" t="s">
        <v>214</v>
      </c>
      <c r="BZ100" s="8" t="s">
        <v>214</v>
      </c>
      <c r="CA100" s="8" t="s">
        <v>214</v>
      </c>
      <c r="CB100" s="8" t="s">
        <v>214</v>
      </c>
      <c r="CC100" s="8" t="s">
        <v>214</v>
      </c>
      <c r="CD100" s="8" t="s">
        <v>214</v>
      </c>
      <c r="CE100" s="8" t="s">
        <v>214</v>
      </c>
      <c r="CF100" s="8" t="s">
        <v>214</v>
      </c>
      <c r="CG100" s="8" t="s">
        <v>214</v>
      </c>
      <c r="CH100" s="8" t="s">
        <v>214</v>
      </c>
      <c r="CI100" s="8" t="s">
        <v>214</v>
      </c>
      <c r="CJ100" s="8" t="s">
        <v>214</v>
      </c>
      <c r="CK100" s="8" t="s">
        <v>214</v>
      </c>
      <c r="CL100" s="8" t="s">
        <v>214</v>
      </c>
      <c r="CM100" s="8" t="s">
        <v>214</v>
      </c>
      <c r="CN100" s="8" t="s">
        <v>214</v>
      </c>
      <c r="CO100" s="8" t="s">
        <v>214</v>
      </c>
      <c r="CP100" s="8" t="s">
        <v>214</v>
      </c>
      <c r="CQ100" s="8" t="s">
        <v>214</v>
      </c>
      <c r="CR100" s="8" t="s">
        <v>214</v>
      </c>
      <c r="CS100" s="8" t="s">
        <v>214</v>
      </c>
      <c r="CT100" s="8" t="s">
        <v>214</v>
      </c>
      <c r="CU100" s="8" t="s">
        <v>214</v>
      </c>
      <c r="CV100" s="8" t="s">
        <v>214</v>
      </c>
      <c r="CW100" s="8" t="s">
        <v>214</v>
      </c>
      <c r="CX100" s="8" t="s">
        <v>214</v>
      </c>
      <c r="CY100" s="8" t="s">
        <v>214</v>
      </c>
      <c r="CZ100" s="8" t="s">
        <v>214</v>
      </c>
      <c r="DA100" s="8" t="s">
        <v>214</v>
      </c>
      <c r="DB100" s="8" t="s">
        <v>214</v>
      </c>
      <c r="DC100" s="8" t="s">
        <v>214</v>
      </c>
      <c r="DD100" s="8" t="s">
        <v>214</v>
      </c>
      <c r="DE100" s="8" t="s">
        <v>214</v>
      </c>
      <c r="DF100" s="8" t="s">
        <v>214</v>
      </c>
      <c r="DG100" s="8" t="s">
        <v>214</v>
      </c>
      <c r="DH100" s="8" t="s">
        <v>214</v>
      </c>
      <c r="DI100" s="8" t="s">
        <v>214</v>
      </c>
      <c r="DJ100" s="8" t="s">
        <v>214</v>
      </c>
      <c r="DK100" s="8" t="s">
        <v>214</v>
      </c>
      <c r="DL100" s="8" t="s">
        <v>214</v>
      </c>
      <c r="DM100" s="8" t="s">
        <v>214</v>
      </c>
      <c r="DN100" s="8" t="s">
        <v>214</v>
      </c>
      <c r="DO100" s="8" t="s">
        <v>214</v>
      </c>
      <c r="DP100" s="8" t="s">
        <v>214</v>
      </c>
      <c r="DQ100" s="8" t="s">
        <v>214</v>
      </c>
      <c r="DR100" s="8" t="s">
        <v>214</v>
      </c>
      <c r="DS100" s="8" t="s">
        <v>214</v>
      </c>
      <c r="DT100" s="8" t="s">
        <v>214</v>
      </c>
      <c r="DU100" s="8" t="s">
        <v>214</v>
      </c>
      <c r="DV100" s="8" t="s">
        <v>214</v>
      </c>
      <c r="DW100" s="8" t="s">
        <v>214</v>
      </c>
      <c r="DX100" s="8" t="s">
        <v>214</v>
      </c>
      <c r="DY100" s="8" t="s">
        <v>214</v>
      </c>
      <c r="DZ100" s="8" t="s">
        <v>214</v>
      </c>
      <c r="EA100" s="8" t="s">
        <v>214</v>
      </c>
      <c r="EB100" s="8" t="s">
        <v>214</v>
      </c>
      <c r="EC100" s="8" t="s">
        <v>214</v>
      </c>
      <c r="ED100" s="8" t="s">
        <v>214</v>
      </c>
      <c r="EE100" s="8" t="s">
        <v>214</v>
      </c>
      <c r="EF100" s="8" t="s">
        <v>214</v>
      </c>
      <c r="EG100" s="8" t="s">
        <v>214</v>
      </c>
      <c r="EH100" s="8" t="s">
        <v>214</v>
      </c>
      <c r="EI100" s="8" t="s">
        <v>214</v>
      </c>
      <c r="EJ100" s="8" t="s">
        <v>214</v>
      </c>
      <c r="EK100" s="8" t="s">
        <v>214</v>
      </c>
      <c r="EL100" s="8" t="s">
        <v>214</v>
      </c>
      <c r="EM100" s="8" t="s">
        <v>214</v>
      </c>
      <c r="EN100" s="8" t="s">
        <v>214</v>
      </c>
      <c r="EO100" s="8" t="s">
        <v>214</v>
      </c>
      <c r="EP100" s="8" t="s">
        <v>214</v>
      </c>
      <c r="EQ100" s="8" t="s">
        <v>214</v>
      </c>
      <c r="ER100" s="8" t="s">
        <v>214</v>
      </c>
      <c r="ES100" s="8" t="s">
        <v>214</v>
      </c>
      <c r="ET100" s="8" t="s">
        <v>214</v>
      </c>
      <c r="EU100" s="8" t="s">
        <v>214</v>
      </c>
      <c r="EV100" s="8" t="s">
        <v>214</v>
      </c>
      <c r="EW100" s="8" t="s">
        <v>214</v>
      </c>
      <c r="EX100" s="8" t="s">
        <v>214</v>
      </c>
      <c r="EY100" s="8" t="s">
        <v>214</v>
      </c>
      <c r="EZ100" s="8" t="s">
        <v>214</v>
      </c>
      <c r="FA100" s="8" t="s">
        <v>214</v>
      </c>
      <c r="FB100" s="8" t="s">
        <v>214</v>
      </c>
      <c r="FC100" s="8" t="s">
        <v>214</v>
      </c>
      <c r="FD100" s="8" t="s">
        <v>214</v>
      </c>
      <c r="FE100" s="8" t="s">
        <v>214</v>
      </c>
      <c r="FF100" s="8" t="s">
        <v>214</v>
      </c>
      <c r="FG100" s="8" t="s">
        <v>218</v>
      </c>
      <c r="FH100" s="8" t="s">
        <v>214</v>
      </c>
      <c r="FI100" s="8" t="s">
        <v>214</v>
      </c>
      <c r="FJ100" s="8" t="s">
        <v>214</v>
      </c>
      <c r="FK100" s="8" t="s">
        <v>214</v>
      </c>
      <c r="FL100" s="8" t="s">
        <v>214</v>
      </c>
    </row>
    <row r="101" spans="1:168" ht="15" x14ac:dyDescent="0.25">
      <c r="A101" s="5" t="s">
        <v>198</v>
      </c>
      <c r="B101" s="5" t="s">
        <v>8</v>
      </c>
      <c r="C101" s="7" t="s">
        <v>217</v>
      </c>
      <c r="D101" s="7" t="s">
        <v>217</v>
      </c>
      <c r="E101" s="7" t="s">
        <v>214</v>
      </c>
      <c r="F101" s="7" t="s">
        <v>214</v>
      </c>
      <c r="G101" s="7" t="s">
        <v>214</v>
      </c>
      <c r="H101" s="7" t="s">
        <v>214</v>
      </c>
      <c r="I101" s="7" t="s">
        <v>214</v>
      </c>
      <c r="J101" s="7" t="s">
        <v>214</v>
      </c>
      <c r="K101" s="7" t="s">
        <v>214</v>
      </c>
      <c r="L101" s="7" t="s">
        <v>214</v>
      </c>
      <c r="M101" s="7" t="s">
        <v>217</v>
      </c>
      <c r="N101" s="7" t="s">
        <v>214</v>
      </c>
      <c r="O101" s="7" t="s">
        <v>214</v>
      </c>
      <c r="P101" s="7" t="s">
        <v>214</v>
      </c>
      <c r="Q101" s="7" t="s">
        <v>214</v>
      </c>
      <c r="R101" s="7" t="s">
        <v>214</v>
      </c>
      <c r="S101" s="7" t="s">
        <v>214</v>
      </c>
      <c r="T101" s="7" t="s">
        <v>214</v>
      </c>
      <c r="U101" s="7" t="s">
        <v>214</v>
      </c>
      <c r="V101" s="7" t="s">
        <v>214</v>
      </c>
      <c r="W101" s="7" t="s">
        <v>214</v>
      </c>
      <c r="X101" s="7" t="s">
        <v>214</v>
      </c>
      <c r="Y101" s="7" t="s">
        <v>214</v>
      </c>
      <c r="Z101" s="7" t="s">
        <v>214</v>
      </c>
      <c r="AA101" s="7" t="s">
        <v>214</v>
      </c>
      <c r="AB101" s="7" t="s">
        <v>214</v>
      </c>
      <c r="AC101" s="7" t="s">
        <v>217</v>
      </c>
      <c r="AD101" s="7" t="s">
        <v>214</v>
      </c>
      <c r="AE101" s="7" t="s">
        <v>214</v>
      </c>
      <c r="AF101" s="7" t="s">
        <v>214</v>
      </c>
      <c r="AG101" s="7" t="s">
        <v>214</v>
      </c>
      <c r="AH101" s="7" t="s">
        <v>214</v>
      </c>
      <c r="AI101" s="7" t="s">
        <v>214</v>
      </c>
      <c r="AJ101" s="7" t="s">
        <v>214</v>
      </c>
      <c r="AK101" s="7" t="s">
        <v>214</v>
      </c>
      <c r="AL101" s="7" t="s">
        <v>214</v>
      </c>
      <c r="AM101" s="7" t="s">
        <v>214</v>
      </c>
      <c r="AN101" s="7" t="s">
        <v>214</v>
      </c>
      <c r="AO101" s="7" t="s">
        <v>214</v>
      </c>
      <c r="AP101" s="7" t="s">
        <v>214</v>
      </c>
      <c r="AQ101" s="7" t="s">
        <v>214</v>
      </c>
      <c r="AR101" s="7" t="s">
        <v>214</v>
      </c>
      <c r="AS101" s="7" t="s">
        <v>214</v>
      </c>
      <c r="AT101" s="7" t="s">
        <v>214</v>
      </c>
      <c r="AU101" s="7" t="s">
        <v>214</v>
      </c>
      <c r="AV101" s="7" t="s">
        <v>214</v>
      </c>
      <c r="AW101" s="7" t="s">
        <v>214</v>
      </c>
      <c r="AX101" s="7" t="s">
        <v>214</v>
      </c>
      <c r="AY101" s="7" t="s">
        <v>214</v>
      </c>
      <c r="AZ101" s="7" t="s">
        <v>214</v>
      </c>
      <c r="BA101" s="7" t="s">
        <v>214</v>
      </c>
      <c r="BB101" s="7" t="s">
        <v>214</v>
      </c>
      <c r="BC101" s="7" t="s">
        <v>214</v>
      </c>
      <c r="BD101" s="7" t="s">
        <v>214</v>
      </c>
      <c r="BE101" s="7" t="s">
        <v>214</v>
      </c>
      <c r="BF101" s="7" t="s">
        <v>214</v>
      </c>
      <c r="BG101" s="7" t="s">
        <v>214</v>
      </c>
      <c r="BH101" s="7" t="s">
        <v>214</v>
      </c>
      <c r="BI101" s="7" t="s">
        <v>214</v>
      </c>
      <c r="BJ101" s="7" t="s">
        <v>214</v>
      </c>
      <c r="BK101" s="7" t="s">
        <v>214</v>
      </c>
      <c r="BL101" s="7" t="s">
        <v>214</v>
      </c>
      <c r="BM101" s="7" t="s">
        <v>214</v>
      </c>
      <c r="BN101" s="7" t="s">
        <v>214</v>
      </c>
      <c r="BO101" s="7" t="s">
        <v>214</v>
      </c>
      <c r="BP101" s="7" t="s">
        <v>214</v>
      </c>
      <c r="BQ101" s="7" t="s">
        <v>214</v>
      </c>
      <c r="BR101" s="7" t="s">
        <v>214</v>
      </c>
      <c r="BS101" s="7" t="s">
        <v>214</v>
      </c>
      <c r="BT101" s="7" t="s">
        <v>218</v>
      </c>
      <c r="BU101" s="7" t="s">
        <v>218</v>
      </c>
      <c r="BV101" s="7" t="s">
        <v>214</v>
      </c>
      <c r="BW101" s="7" t="s">
        <v>214</v>
      </c>
      <c r="BX101" s="7" t="s">
        <v>214</v>
      </c>
      <c r="BY101" s="7" t="s">
        <v>214</v>
      </c>
      <c r="BZ101" s="7" t="s">
        <v>214</v>
      </c>
      <c r="CA101" s="7" t="s">
        <v>214</v>
      </c>
      <c r="CB101" s="7" t="s">
        <v>214</v>
      </c>
      <c r="CC101" s="7" t="s">
        <v>214</v>
      </c>
      <c r="CD101" s="7" t="s">
        <v>214</v>
      </c>
      <c r="CE101" s="7" t="s">
        <v>214</v>
      </c>
      <c r="CF101" s="7" t="s">
        <v>214</v>
      </c>
      <c r="CG101" s="7" t="s">
        <v>214</v>
      </c>
      <c r="CH101" s="7" t="s">
        <v>214</v>
      </c>
      <c r="CI101" s="7" t="s">
        <v>214</v>
      </c>
      <c r="CJ101" s="7" t="s">
        <v>214</v>
      </c>
      <c r="CK101" s="7" t="s">
        <v>214</v>
      </c>
      <c r="CL101" s="7" t="s">
        <v>214</v>
      </c>
      <c r="CM101" s="7" t="s">
        <v>214</v>
      </c>
      <c r="CN101" s="7" t="s">
        <v>214</v>
      </c>
      <c r="CO101" s="7" t="s">
        <v>214</v>
      </c>
      <c r="CP101" s="7" t="s">
        <v>214</v>
      </c>
      <c r="CQ101" s="7" t="s">
        <v>214</v>
      </c>
      <c r="CR101" s="7" t="s">
        <v>214</v>
      </c>
      <c r="CS101" s="7" t="s">
        <v>214</v>
      </c>
      <c r="CT101" s="7" t="s">
        <v>214</v>
      </c>
      <c r="CU101" s="7" t="s">
        <v>214</v>
      </c>
      <c r="CV101" s="7" t="s">
        <v>214</v>
      </c>
      <c r="CW101" s="7" t="s">
        <v>214</v>
      </c>
      <c r="CX101" s="7" t="s">
        <v>214</v>
      </c>
      <c r="CY101" s="7" t="s">
        <v>214</v>
      </c>
      <c r="CZ101" s="7" t="s">
        <v>214</v>
      </c>
      <c r="DA101" s="7" t="s">
        <v>214</v>
      </c>
      <c r="DB101" s="7" t="s">
        <v>214</v>
      </c>
      <c r="DC101" s="7" t="s">
        <v>214</v>
      </c>
      <c r="DD101" s="7" t="s">
        <v>214</v>
      </c>
      <c r="DE101" s="7" t="s">
        <v>214</v>
      </c>
      <c r="DF101" s="7" t="s">
        <v>214</v>
      </c>
      <c r="DG101" s="7" t="s">
        <v>214</v>
      </c>
      <c r="DH101" s="7" t="s">
        <v>214</v>
      </c>
      <c r="DI101" s="7" t="s">
        <v>214</v>
      </c>
      <c r="DJ101" s="7" t="s">
        <v>214</v>
      </c>
      <c r="DK101" s="7" t="s">
        <v>214</v>
      </c>
      <c r="DL101" s="7" t="s">
        <v>214</v>
      </c>
      <c r="DM101" s="7" t="s">
        <v>214</v>
      </c>
      <c r="DN101" s="7" t="s">
        <v>214</v>
      </c>
      <c r="DO101" s="7" t="s">
        <v>214</v>
      </c>
      <c r="DP101" s="7" t="s">
        <v>214</v>
      </c>
      <c r="DQ101" s="7" t="s">
        <v>214</v>
      </c>
      <c r="DR101" s="7" t="s">
        <v>214</v>
      </c>
      <c r="DS101" s="7" t="s">
        <v>214</v>
      </c>
      <c r="DT101" s="7" t="s">
        <v>214</v>
      </c>
      <c r="DU101" s="7" t="s">
        <v>214</v>
      </c>
      <c r="DV101" s="7" t="s">
        <v>214</v>
      </c>
      <c r="DW101" s="7" t="s">
        <v>214</v>
      </c>
      <c r="DX101" s="7" t="s">
        <v>214</v>
      </c>
      <c r="DY101" s="7" t="s">
        <v>214</v>
      </c>
      <c r="DZ101" s="7" t="s">
        <v>214</v>
      </c>
      <c r="EA101" s="7" t="s">
        <v>214</v>
      </c>
      <c r="EB101" s="7" t="s">
        <v>214</v>
      </c>
      <c r="EC101" s="7" t="s">
        <v>214</v>
      </c>
      <c r="ED101" s="7" t="s">
        <v>214</v>
      </c>
      <c r="EE101" s="7" t="s">
        <v>214</v>
      </c>
      <c r="EF101" s="7" t="s">
        <v>214</v>
      </c>
      <c r="EG101" s="7" t="s">
        <v>214</v>
      </c>
      <c r="EH101" s="7" t="s">
        <v>214</v>
      </c>
      <c r="EI101" s="7" t="s">
        <v>214</v>
      </c>
      <c r="EJ101" s="7" t="s">
        <v>214</v>
      </c>
      <c r="EK101" s="7" t="s">
        <v>214</v>
      </c>
      <c r="EL101" s="7" t="s">
        <v>214</v>
      </c>
      <c r="EM101" s="7" t="s">
        <v>214</v>
      </c>
      <c r="EN101" s="7" t="s">
        <v>214</v>
      </c>
      <c r="EO101" s="7" t="s">
        <v>214</v>
      </c>
      <c r="EP101" s="7" t="s">
        <v>214</v>
      </c>
      <c r="EQ101" s="7" t="s">
        <v>214</v>
      </c>
      <c r="ER101" s="7" t="s">
        <v>214</v>
      </c>
      <c r="ES101" s="7" t="s">
        <v>214</v>
      </c>
      <c r="ET101" s="7" t="s">
        <v>214</v>
      </c>
      <c r="EU101" s="7" t="s">
        <v>214</v>
      </c>
      <c r="EV101" s="7" t="s">
        <v>214</v>
      </c>
      <c r="EW101" s="7" t="s">
        <v>214</v>
      </c>
      <c r="EX101" s="7" t="s">
        <v>214</v>
      </c>
      <c r="EY101" s="7" t="s">
        <v>214</v>
      </c>
      <c r="EZ101" s="7" t="s">
        <v>214</v>
      </c>
      <c r="FA101" s="7" t="s">
        <v>214</v>
      </c>
      <c r="FB101" s="7" t="s">
        <v>214</v>
      </c>
      <c r="FC101" s="7" t="s">
        <v>214</v>
      </c>
      <c r="FD101" s="7" t="s">
        <v>214</v>
      </c>
      <c r="FE101" s="7" t="s">
        <v>214</v>
      </c>
      <c r="FF101" s="7" t="s">
        <v>214</v>
      </c>
      <c r="FG101" s="7" t="s">
        <v>214</v>
      </c>
      <c r="FH101" s="7" t="s">
        <v>214</v>
      </c>
      <c r="FI101" s="7" t="s">
        <v>214</v>
      </c>
      <c r="FJ101" s="7" t="s">
        <v>214</v>
      </c>
      <c r="FK101" s="7" t="s">
        <v>214</v>
      </c>
      <c r="FL101" s="7" t="s">
        <v>214</v>
      </c>
    </row>
    <row r="102" spans="1:168" ht="15" x14ac:dyDescent="0.25">
      <c r="A102" s="5" t="s">
        <v>198</v>
      </c>
      <c r="B102" s="5" t="s">
        <v>9</v>
      </c>
      <c r="C102" s="8" t="s">
        <v>217</v>
      </c>
      <c r="D102" s="8" t="s">
        <v>217</v>
      </c>
      <c r="E102" s="8" t="s">
        <v>214</v>
      </c>
      <c r="F102" s="8" t="s">
        <v>214</v>
      </c>
      <c r="G102" s="8" t="s">
        <v>214</v>
      </c>
      <c r="H102" s="8" t="s">
        <v>214</v>
      </c>
      <c r="I102" s="8" t="s">
        <v>214</v>
      </c>
      <c r="J102" s="8" t="s">
        <v>214</v>
      </c>
      <c r="K102" s="8" t="s">
        <v>214</v>
      </c>
      <c r="L102" s="8" t="s">
        <v>214</v>
      </c>
      <c r="M102" s="8" t="s">
        <v>217</v>
      </c>
      <c r="N102" s="8" t="s">
        <v>214</v>
      </c>
      <c r="O102" s="8" t="s">
        <v>214</v>
      </c>
      <c r="P102" s="8" t="s">
        <v>214</v>
      </c>
      <c r="Q102" s="8" t="s">
        <v>214</v>
      </c>
      <c r="R102" s="8" t="s">
        <v>214</v>
      </c>
      <c r="S102" s="8" t="s">
        <v>214</v>
      </c>
      <c r="T102" s="8" t="s">
        <v>214</v>
      </c>
      <c r="U102" s="8" t="s">
        <v>214</v>
      </c>
      <c r="V102" s="8" t="s">
        <v>214</v>
      </c>
      <c r="W102" s="8" t="s">
        <v>214</v>
      </c>
      <c r="X102" s="8" t="s">
        <v>214</v>
      </c>
      <c r="Y102" s="8" t="s">
        <v>214</v>
      </c>
      <c r="Z102" s="8" t="s">
        <v>214</v>
      </c>
      <c r="AA102" s="8" t="s">
        <v>214</v>
      </c>
      <c r="AB102" s="8" t="s">
        <v>214</v>
      </c>
      <c r="AC102" s="8" t="s">
        <v>217</v>
      </c>
      <c r="AD102" s="8" t="s">
        <v>214</v>
      </c>
      <c r="AE102" s="8" t="s">
        <v>214</v>
      </c>
      <c r="AF102" s="8" t="s">
        <v>214</v>
      </c>
      <c r="AG102" s="8" t="s">
        <v>214</v>
      </c>
      <c r="AH102" s="8" t="s">
        <v>214</v>
      </c>
      <c r="AI102" s="8" t="s">
        <v>214</v>
      </c>
      <c r="AJ102" s="8" t="s">
        <v>214</v>
      </c>
      <c r="AK102" s="8" t="s">
        <v>214</v>
      </c>
      <c r="AL102" s="8" t="s">
        <v>214</v>
      </c>
      <c r="AM102" s="8" t="s">
        <v>214</v>
      </c>
      <c r="AN102" s="8" t="s">
        <v>214</v>
      </c>
      <c r="AO102" s="8" t="s">
        <v>214</v>
      </c>
      <c r="AP102" s="8" t="s">
        <v>214</v>
      </c>
      <c r="AQ102" s="8" t="s">
        <v>214</v>
      </c>
      <c r="AR102" s="8" t="s">
        <v>214</v>
      </c>
      <c r="AS102" s="8" t="s">
        <v>214</v>
      </c>
      <c r="AT102" s="8" t="s">
        <v>214</v>
      </c>
      <c r="AU102" s="8" t="s">
        <v>214</v>
      </c>
      <c r="AV102" s="8" t="s">
        <v>214</v>
      </c>
      <c r="AW102" s="8" t="s">
        <v>214</v>
      </c>
      <c r="AX102" s="8" t="s">
        <v>214</v>
      </c>
      <c r="AY102" s="8" t="s">
        <v>214</v>
      </c>
      <c r="AZ102" s="8" t="s">
        <v>214</v>
      </c>
      <c r="BA102" s="8" t="s">
        <v>214</v>
      </c>
      <c r="BB102" s="8" t="s">
        <v>214</v>
      </c>
      <c r="BC102" s="8" t="s">
        <v>214</v>
      </c>
      <c r="BD102" s="8" t="s">
        <v>214</v>
      </c>
      <c r="BE102" s="8" t="s">
        <v>214</v>
      </c>
      <c r="BF102" s="8" t="s">
        <v>214</v>
      </c>
      <c r="BG102" s="8" t="s">
        <v>214</v>
      </c>
      <c r="BH102" s="8" t="s">
        <v>214</v>
      </c>
      <c r="BI102" s="8" t="s">
        <v>214</v>
      </c>
      <c r="BJ102" s="8" t="s">
        <v>214</v>
      </c>
      <c r="BK102" s="8" t="s">
        <v>214</v>
      </c>
      <c r="BL102" s="8" t="s">
        <v>214</v>
      </c>
      <c r="BM102" s="8" t="s">
        <v>214</v>
      </c>
      <c r="BN102" s="8" t="s">
        <v>214</v>
      </c>
      <c r="BO102" s="8" t="s">
        <v>214</v>
      </c>
      <c r="BP102" s="8" t="s">
        <v>214</v>
      </c>
      <c r="BQ102" s="8" t="s">
        <v>214</v>
      </c>
      <c r="BR102" s="8" t="s">
        <v>214</v>
      </c>
      <c r="BS102" s="8" t="s">
        <v>214</v>
      </c>
      <c r="BT102" s="8" t="s">
        <v>218</v>
      </c>
      <c r="BU102" s="8" t="s">
        <v>218</v>
      </c>
      <c r="BV102" s="8" t="s">
        <v>214</v>
      </c>
      <c r="BW102" s="8" t="s">
        <v>214</v>
      </c>
      <c r="BX102" s="8" t="s">
        <v>214</v>
      </c>
      <c r="BY102" s="8" t="s">
        <v>214</v>
      </c>
      <c r="BZ102" s="8" t="s">
        <v>214</v>
      </c>
      <c r="CA102" s="8" t="s">
        <v>214</v>
      </c>
      <c r="CB102" s="8" t="s">
        <v>214</v>
      </c>
      <c r="CC102" s="8" t="s">
        <v>214</v>
      </c>
      <c r="CD102" s="8" t="s">
        <v>214</v>
      </c>
      <c r="CE102" s="8" t="s">
        <v>214</v>
      </c>
      <c r="CF102" s="8" t="s">
        <v>214</v>
      </c>
      <c r="CG102" s="8" t="s">
        <v>214</v>
      </c>
      <c r="CH102" s="8" t="s">
        <v>214</v>
      </c>
      <c r="CI102" s="8" t="s">
        <v>214</v>
      </c>
      <c r="CJ102" s="8" t="s">
        <v>214</v>
      </c>
      <c r="CK102" s="8" t="s">
        <v>214</v>
      </c>
      <c r="CL102" s="8" t="s">
        <v>214</v>
      </c>
      <c r="CM102" s="8" t="s">
        <v>214</v>
      </c>
      <c r="CN102" s="8" t="s">
        <v>214</v>
      </c>
      <c r="CO102" s="8" t="s">
        <v>214</v>
      </c>
      <c r="CP102" s="8" t="s">
        <v>214</v>
      </c>
      <c r="CQ102" s="8" t="s">
        <v>214</v>
      </c>
      <c r="CR102" s="8" t="s">
        <v>214</v>
      </c>
      <c r="CS102" s="8" t="s">
        <v>214</v>
      </c>
      <c r="CT102" s="8" t="s">
        <v>214</v>
      </c>
      <c r="CU102" s="8" t="s">
        <v>214</v>
      </c>
      <c r="CV102" s="8" t="s">
        <v>214</v>
      </c>
      <c r="CW102" s="8" t="s">
        <v>214</v>
      </c>
      <c r="CX102" s="8" t="s">
        <v>214</v>
      </c>
      <c r="CY102" s="8" t="s">
        <v>214</v>
      </c>
      <c r="CZ102" s="8" t="s">
        <v>214</v>
      </c>
      <c r="DA102" s="8" t="s">
        <v>214</v>
      </c>
      <c r="DB102" s="8" t="s">
        <v>214</v>
      </c>
      <c r="DC102" s="8" t="s">
        <v>214</v>
      </c>
      <c r="DD102" s="8" t="s">
        <v>214</v>
      </c>
      <c r="DE102" s="8" t="s">
        <v>214</v>
      </c>
      <c r="DF102" s="8" t="s">
        <v>214</v>
      </c>
      <c r="DG102" s="8" t="s">
        <v>214</v>
      </c>
      <c r="DH102" s="8" t="s">
        <v>214</v>
      </c>
      <c r="DI102" s="8" t="s">
        <v>214</v>
      </c>
      <c r="DJ102" s="8" t="s">
        <v>214</v>
      </c>
      <c r="DK102" s="8" t="s">
        <v>214</v>
      </c>
      <c r="DL102" s="8" t="s">
        <v>214</v>
      </c>
      <c r="DM102" s="8" t="s">
        <v>214</v>
      </c>
      <c r="DN102" s="8" t="s">
        <v>214</v>
      </c>
      <c r="DO102" s="8" t="s">
        <v>214</v>
      </c>
      <c r="DP102" s="8" t="s">
        <v>214</v>
      </c>
      <c r="DQ102" s="8" t="s">
        <v>214</v>
      </c>
      <c r="DR102" s="8" t="s">
        <v>214</v>
      </c>
      <c r="DS102" s="8" t="s">
        <v>214</v>
      </c>
      <c r="DT102" s="8" t="s">
        <v>214</v>
      </c>
      <c r="DU102" s="8" t="s">
        <v>214</v>
      </c>
      <c r="DV102" s="8" t="s">
        <v>214</v>
      </c>
      <c r="DW102" s="8" t="s">
        <v>214</v>
      </c>
      <c r="DX102" s="8" t="s">
        <v>214</v>
      </c>
      <c r="DY102" s="8" t="s">
        <v>214</v>
      </c>
      <c r="DZ102" s="8" t="s">
        <v>214</v>
      </c>
      <c r="EA102" s="8" t="s">
        <v>214</v>
      </c>
      <c r="EB102" s="8" t="s">
        <v>214</v>
      </c>
      <c r="EC102" s="8" t="s">
        <v>214</v>
      </c>
      <c r="ED102" s="8" t="s">
        <v>214</v>
      </c>
      <c r="EE102" s="8" t="s">
        <v>214</v>
      </c>
      <c r="EF102" s="8" t="s">
        <v>214</v>
      </c>
      <c r="EG102" s="8" t="s">
        <v>214</v>
      </c>
      <c r="EH102" s="8" t="s">
        <v>214</v>
      </c>
      <c r="EI102" s="8" t="s">
        <v>214</v>
      </c>
      <c r="EJ102" s="8" t="s">
        <v>214</v>
      </c>
      <c r="EK102" s="8" t="s">
        <v>214</v>
      </c>
      <c r="EL102" s="8" t="s">
        <v>214</v>
      </c>
      <c r="EM102" s="8" t="s">
        <v>214</v>
      </c>
      <c r="EN102" s="8" t="s">
        <v>214</v>
      </c>
      <c r="EO102" s="8" t="s">
        <v>214</v>
      </c>
      <c r="EP102" s="8" t="s">
        <v>214</v>
      </c>
      <c r="EQ102" s="8" t="s">
        <v>214</v>
      </c>
      <c r="ER102" s="8" t="s">
        <v>214</v>
      </c>
      <c r="ES102" s="8" t="s">
        <v>214</v>
      </c>
      <c r="ET102" s="8" t="s">
        <v>214</v>
      </c>
      <c r="EU102" s="8" t="s">
        <v>214</v>
      </c>
      <c r="EV102" s="8" t="s">
        <v>214</v>
      </c>
      <c r="EW102" s="8" t="s">
        <v>214</v>
      </c>
      <c r="EX102" s="8" t="s">
        <v>214</v>
      </c>
      <c r="EY102" s="8" t="s">
        <v>214</v>
      </c>
      <c r="EZ102" s="8" t="s">
        <v>214</v>
      </c>
      <c r="FA102" s="8" t="s">
        <v>214</v>
      </c>
      <c r="FB102" s="8" t="s">
        <v>214</v>
      </c>
      <c r="FC102" s="8" t="s">
        <v>214</v>
      </c>
      <c r="FD102" s="8" t="s">
        <v>214</v>
      </c>
      <c r="FE102" s="8" t="s">
        <v>214</v>
      </c>
      <c r="FF102" s="8" t="s">
        <v>214</v>
      </c>
      <c r="FG102" s="8" t="s">
        <v>214</v>
      </c>
      <c r="FH102" s="8" t="s">
        <v>214</v>
      </c>
      <c r="FI102" s="8" t="s">
        <v>214</v>
      </c>
      <c r="FJ102" s="8" t="s">
        <v>214</v>
      </c>
      <c r="FK102" s="8" t="s">
        <v>214</v>
      </c>
      <c r="FL102" s="8" t="s">
        <v>214</v>
      </c>
    </row>
    <row r="103" spans="1:168" ht="15" x14ac:dyDescent="0.25">
      <c r="A103" s="5" t="s">
        <v>199</v>
      </c>
      <c r="B103" s="5" t="s">
        <v>6</v>
      </c>
      <c r="C103" s="7" t="s">
        <v>214</v>
      </c>
      <c r="D103" s="7" t="s">
        <v>214</v>
      </c>
      <c r="E103" s="7" t="s">
        <v>214</v>
      </c>
      <c r="F103" s="7" t="s">
        <v>214</v>
      </c>
      <c r="G103" s="7" t="s">
        <v>214</v>
      </c>
      <c r="H103" s="7" t="s">
        <v>214</v>
      </c>
      <c r="I103" s="7" t="s">
        <v>214</v>
      </c>
      <c r="J103" s="7" t="s">
        <v>214</v>
      </c>
      <c r="K103" s="7" t="s">
        <v>214</v>
      </c>
      <c r="L103" s="7" t="s">
        <v>214</v>
      </c>
      <c r="M103" s="7" t="s">
        <v>214</v>
      </c>
      <c r="N103" s="7" t="s">
        <v>214</v>
      </c>
      <c r="O103" s="7" t="s">
        <v>214</v>
      </c>
      <c r="P103" s="7" t="s">
        <v>214</v>
      </c>
      <c r="Q103" s="7" t="s">
        <v>214</v>
      </c>
      <c r="R103" s="7" t="s">
        <v>214</v>
      </c>
      <c r="S103" s="7" t="s">
        <v>214</v>
      </c>
      <c r="T103" s="7" t="s">
        <v>214</v>
      </c>
      <c r="U103" s="7" t="s">
        <v>214</v>
      </c>
      <c r="V103" s="7" t="s">
        <v>214</v>
      </c>
      <c r="W103" s="7" t="s">
        <v>214</v>
      </c>
      <c r="X103" s="7" t="s">
        <v>214</v>
      </c>
      <c r="Y103" s="7" t="s">
        <v>214</v>
      </c>
      <c r="Z103" s="7" t="s">
        <v>214</v>
      </c>
      <c r="AA103" s="7" t="s">
        <v>214</v>
      </c>
      <c r="AB103" s="7" t="s">
        <v>214</v>
      </c>
      <c r="AC103" s="7" t="s">
        <v>214</v>
      </c>
      <c r="AD103" s="7" t="s">
        <v>214</v>
      </c>
      <c r="AE103" s="7" t="s">
        <v>214</v>
      </c>
      <c r="AF103" s="7" t="s">
        <v>214</v>
      </c>
      <c r="AG103" s="7" t="s">
        <v>214</v>
      </c>
      <c r="AH103" s="7" t="s">
        <v>214</v>
      </c>
      <c r="AI103" s="7" t="s">
        <v>214</v>
      </c>
      <c r="AJ103" s="7" t="s">
        <v>214</v>
      </c>
      <c r="AK103" s="7" t="s">
        <v>214</v>
      </c>
      <c r="AL103" s="7" t="s">
        <v>214</v>
      </c>
      <c r="AM103" s="7" t="s">
        <v>214</v>
      </c>
      <c r="AN103" s="7" t="s">
        <v>214</v>
      </c>
      <c r="AO103" s="7" t="s">
        <v>214</v>
      </c>
      <c r="AP103" s="7" t="s">
        <v>214</v>
      </c>
      <c r="AQ103" s="7" t="s">
        <v>214</v>
      </c>
      <c r="AR103" s="7" t="s">
        <v>214</v>
      </c>
      <c r="AS103" s="7" t="s">
        <v>214</v>
      </c>
      <c r="AT103" s="7" t="s">
        <v>214</v>
      </c>
      <c r="AU103" s="7" t="s">
        <v>214</v>
      </c>
      <c r="AV103" s="7" t="s">
        <v>214</v>
      </c>
      <c r="AW103" s="7" t="s">
        <v>214</v>
      </c>
      <c r="AX103" s="7" t="s">
        <v>214</v>
      </c>
      <c r="AY103" s="7" t="s">
        <v>214</v>
      </c>
      <c r="AZ103" s="7" t="s">
        <v>214</v>
      </c>
      <c r="BA103" s="7" t="s">
        <v>214</v>
      </c>
      <c r="BB103" s="7" t="s">
        <v>214</v>
      </c>
      <c r="BC103" s="7" t="s">
        <v>214</v>
      </c>
      <c r="BD103" s="7" t="s">
        <v>214</v>
      </c>
      <c r="BE103" s="7" t="s">
        <v>214</v>
      </c>
      <c r="BF103" s="7" t="s">
        <v>214</v>
      </c>
      <c r="BG103" s="7" t="s">
        <v>214</v>
      </c>
      <c r="BH103" s="7" t="s">
        <v>214</v>
      </c>
      <c r="BI103" s="7" t="s">
        <v>214</v>
      </c>
      <c r="BJ103" s="7" t="s">
        <v>214</v>
      </c>
      <c r="BK103" s="7" t="s">
        <v>214</v>
      </c>
      <c r="BL103" s="7" t="s">
        <v>214</v>
      </c>
      <c r="BM103" s="7" t="s">
        <v>214</v>
      </c>
      <c r="BN103" s="7" t="s">
        <v>214</v>
      </c>
      <c r="BO103" s="7" t="s">
        <v>214</v>
      </c>
      <c r="BP103" s="7" t="s">
        <v>214</v>
      </c>
      <c r="BQ103" s="7" t="s">
        <v>214</v>
      </c>
      <c r="BR103" s="7" t="s">
        <v>214</v>
      </c>
      <c r="BS103" s="7" t="s">
        <v>214</v>
      </c>
      <c r="BT103" s="7" t="s">
        <v>214</v>
      </c>
      <c r="BU103" s="7" t="s">
        <v>214</v>
      </c>
      <c r="BV103" s="7" t="s">
        <v>214</v>
      </c>
      <c r="BW103" s="7" t="s">
        <v>214</v>
      </c>
      <c r="BX103" s="7" t="s">
        <v>214</v>
      </c>
      <c r="BY103" s="7" t="s">
        <v>214</v>
      </c>
      <c r="BZ103" s="7" t="s">
        <v>214</v>
      </c>
      <c r="CA103" s="7" t="s">
        <v>214</v>
      </c>
      <c r="CB103" s="7" t="s">
        <v>214</v>
      </c>
      <c r="CC103" s="7" t="s">
        <v>214</v>
      </c>
      <c r="CD103" s="7" t="s">
        <v>214</v>
      </c>
      <c r="CE103" s="7" t="s">
        <v>214</v>
      </c>
      <c r="CF103" s="7" t="s">
        <v>214</v>
      </c>
      <c r="CG103" s="7" t="s">
        <v>214</v>
      </c>
      <c r="CH103" s="7" t="s">
        <v>214</v>
      </c>
      <c r="CI103" s="7" t="s">
        <v>214</v>
      </c>
      <c r="CJ103" s="7" t="s">
        <v>214</v>
      </c>
      <c r="CK103" s="7" t="s">
        <v>214</v>
      </c>
      <c r="CL103" s="7" t="s">
        <v>214</v>
      </c>
      <c r="CM103" s="7" t="s">
        <v>214</v>
      </c>
      <c r="CN103" s="7" t="s">
        <v>214</v>
      </c>
      <c r="CO103" s="7" t="s">
        <v>214</v>
      </c>
      <c r="CP103" s="7" t="s">
        <v>214</v>
      </c>
      <c r="CQ103" s="7" t="s">
        <v>214</v>
      </c>
      <c r="CR103" s="7" t="s">
        <v>214</v>
      </c>
      <c r="CS103" s="7" t="s">
        <v>214</v>
      </c>
      <c r="CT103" s="7" t="s">
        <v>214</v>
      </c>
      <c r="CU103" s="7" t="s">
        <v>214</v>
      </c>
      <c r="CV103" s="7" t="s">
        <v>214</v>
      </c>
      <c r="CW103" s="7" t="s">
        <v>214</v>
      </c>
      <c r="CX103" s="7" t="s">
        <v>214</v>
      </c>
      <c r="CY103" s="7" t="s">
        <v>214</v>
      </c>
      <c r="CZ103" s="7" t="s">
        <v>214</v>
      </c>
      <c r="DA103" s="7" t="s">
        <v>214</v>
      </c>
      <c r="DB103" s="7" t="s">
        <v>214</v>
      </c>
      <c r="DC103" s="7" t="s">
        <v>214</v>
      </c>
      <c r="DD103" s="7" t="s">
        <v>214</v>
      </c>
      <c r="DE103" s="7" t="s">
        <v>214</v>
      </c>
      <c r="DF103" s="7" t="s">
        <v>214</v>
      </c>
      <c r="DG103" s="7" t="s">
        <v>214</v>
      </c>
      <c r="DH103" s="7" t="s">
        <v>214</v>
      </c>
      <c r="DI103" s="7" t="s">
        <v>214</v>
      </c>
      <c r="DJ103" s="7" t="s">
        <v>214</v>
      </c>
      <c r="DK103" s="7" t="s">
        <v>214</v>
      </c>
      <c r="DL103" s="7" t="s">
        <v>214</v>
      </c>
      <c r="DM103" s="7" t="s">
        <v>214</v>
      </c>
      <c r="DN103" s="7" t="s">
        <v>214</v>
      </c>
      <c r="DO103" s="7" t="s">
        <v>214</v>
      </c>
      <c r="DP103" s="7" t="s">
        <v>214</v>
      </c>
      <c r="DQ103" s="7" t="s">
        <v>214</v>
      </c>
      <c r="DR103" s="7" t="s">
        <v>214</v>
      </c>
      <c r="DS103" s="7" t="s">
        <v>214</v>
      </c>
      <c r="DT103" s="7" t="s">
        <v>214</v>
      </c>
      <c r="DU103" s="7" t="s">
        <v>214</v>
      </c>
      <c r="DV103" s="7" t="s">
        <v>214</v>
      </c>
      <c r="DW103" s="7" t="s">
        <v>214</v>
      </c>
      <c r="DX103" s="7" t="s">
        <v>214</v>
      </c>
      <c r="DY103" s="7" t="s">
        <v>214</v>
      </c>
      <c r="DZ103" s="7" t="s">
        <v>214</v>
      </c>
      <c r="EA103" s="7" t="s">
        <v>214</v>
      </c>
      <c r="EB103" s="7" t="s">
        <v>214</v>
      </c>
      <c r="EC103" s="7" t="s">
        <v>214</v>
      </c>
      <c r="ED103" s="7" t="s">
        <v>214</v>
      </c>
      <c r="EE103" s="7" t="s">
        <v>214</v>
      </c>
      <c r="EF103" s="7" t="s">
        <v>214</v>
      </c>
      <c r="EG103" s="7" t="s">
        <v>214</v>
      </c>
      <c r="EH103" s="7" t="s">
        <v>214</v>
      </c>
      <c r="EI103" s="7" t="s">
        <v>214</v>
      </c>
      <c r="EJ103" s="7" t="s">
        <v>214</v>
      </c>
      <c r="EK103" s="7" t="s">
        <v>214</v>
      </c>
      <c r="EL103" s="7" t="s">
        <v>214</v>
      </c>
      <c r="EM103" s="7" t="s">
        <v>214</v>
      </c>
      <c r="EN103" s="7" t="s">
        <v>214</v>
      </c>
      <c r="EO103" s="7" t="s">
        <v>214</v>
      </c>
      <c r="EP103" s="7" t="s">
        <v>214</v>
      </c>
      <c r="EQ103" s="7" t="s">
        <v>214</v>
      </c>
      <c r="ER103" s="7" t="s">
        <v>214</v>
      </c>
      <c r="ES103" s="7" t="s">
        <v>214</v>
      </c>
      <c r="ET103" s="7" t="s">
        <v>214</v>
      </c>
      <c r="EU103" s="7" t="s">
        <v>214</v>
      </c>
      <c r="EV103" s="7" t="s">
        <v>214</v>
      </c>
      <c r="EW103" s="7" t="s">
        <v>214</v>
      </c>
      <c r="EX103" s="7" t="s">
        <v>214</v>
      </c>
      <c r="EY103" s="7" t="s">
        <v>214</v>
      </c>
      <c r="EZ103" s="7" t="s">
        <v>214</v>
      </c>
      <c r="FA103" s="7" t="s">
        <v>214</v>
      </c>
      <c r="FB103" s="7" t="s">
        <v>214</v>
      </c>
      <c r="FC103" s="7" t="s">
        <v>214</v>
      </c>
      <c r="FD103" s="7" t="s">
        <v>214</v>
      </c>
      <c r="FE103" s="7" t="s">
        <v>214</v>
      </c>
      <c r="FF103" s="7" t="s">
        <v>214</v>
      </c>
      <c r="FG103" s="7" t="s">
        <v>218</v>
      </c>
      <c r="FH103" s="7" t="s">
        <v>214</v>
      </c>
      <c r="FI103" s="7" t="s">
        <v>214</v>
      </c>
      <c r="FJ103" s="7" t="s">
        <v>214</v>
      </c>
      <c r="FK103" s="7" t="s">
        <v>214</v>
      </c>
      <c r="FL103" s="7" t="s">
        <v>214</v>
      </c>
    </row>
    <row r="104" spans="1:168" ht="15" x14ac:dyDescent="0.25">
      <c r="A104" s="5" t="s">
        <v>199</v>
      </c>
      <c r="B104" s="5" t="s">
        <v>7</v>
      </c>
      <c r="C104" s="8" t="s">
        <v>217</v>
      </c>
      <c r="D104" s="8" t="s">
        <v>217</v>
      </c>
      <c r="E104" s="8" t="s">
        <v>214</v>
      </c>
      <c r="F104" s="8" t="s">
        <v>214</v>
      </c>
      <c r="G104" s="8" t="s">
        <v>214</v>
      </c>
      <c r="H104" s="8" t="s">
        <v>214</v>
      </c>
      <c r="I104" s="8" t="s">
        <v>214</v>
      </c>
      <c r="J104" s="8" t="s">
        <v>214</v>
      </c>
      <c r="K104" s="8" t="s">
        <v>214</v>
      </c>
      <c r="L104" s="8" t="s">
        <v>214</v>
      </c>
      <c r="M104" s="8" t="s">
        <v>214</v>
      </c>
      <c r="N104" s="8" t="s">
        <v>214</v>
      </c>
      <c r="O104" s="8" t="s">
        <v>214</v>
      </c>
      <c r="P104" s="8" t="s">
        <v>214</v>
      </c>
      <c r="Q104" s="8" t="s">
        <v>214</v>
      </c>
      <c r="R104" s="8" t="s">
        <v>214</v>
      </c>
      <c r="S104" s="8" t="s">
        <v>214</v>
      </c>
      <c r="T104" s="8" t="s">
        <v>214</v>
      </c>
      <c r="U104" s="8" t="s">
        <v>214</v>
      </c>
      <c r="V104" s="8" t="s">
        <v>214</v>
      </c>
      <c r="W104" s="8" t="s">
        <v>214</v>
      </c>
      <c r="X104" s="8" t="s">
        <v>214</v>
      </c>
      <c r="Y104" s="8" t="s">
        <v>214</v>
      </c>
      <c r="Z104" s="8" t="s">
        <v>214</v>
      </c>
      <c r="AA104" s="8" t="s">
        <v>214</v>
      </c>
      <c r="AB104" s="8" t="s">
        <v>214</v>
      </c>
      <c r="AC104" s="8" t="s">
        <v>214</v>
      </c>
      <c r="AD104" s="8" t="s">
        <v>214</v>
      </c>
      <c r="AE104" s="8" t="s">
        <v>214</v>
      </c>
      <c r="AF104" s="8" t="s">
        <v>214</v>
      </c>
      <c r="AG104" s="8" t="s">
        <v>214</v>
      </c>
      <c r="AH104" s="8" t="s">
        <v>214</v>
      </c>
      <c r="AI104" s="8" t="s">
        <v>214</v>
      </c>
      <c r="AJ104" s="8" t="s">
        <v>217</v>
      </c>
      <c r="AK104" s="8" t="s">
        <v>214</v>
      </c>
      <c r="AL104" s="8" t="s">
        <v>214</v>
      </c>
      <c r="AM104" s="8" t="s">
        <v>214</v>
      </c>
      <c r="AN104" s="8" t="s">
        <v>214</v>
      </c>
      <c r="AO104" s="8" t="s">
        <v>214</v>
      </c>
      <c r="AP104" s="8" t="s">
        <v>214</v>
      </c>
      <c r="AQ104" s="8" t="s">
        <v>214</v>
      </c>
      <c r="AR104" s="8" t="s">
        <v>214</v>
      </c>
      <c r="AS104" s="8" t="s">
        <v>214</v>
      </c>
      <c r="AT104" s="8" t="s">
        <v>214</v>
      </c>
      <c r="AU104" s="8" t="s">
        <v>214</v>
      </c>
      <c r="AV104" s="8" t="s">
        <v>214</v>
      </c>
      <c r="AW104" s="8" t="s">
        <v>214</v>
      </c>
      <c r="AX104" s="8" t="s">
        <v>214</v>
      </c>
      <c r="AY104" s="8" t="s">
        <v>214</v>
      </c>
      <c r="AZ104" s="8" t="s">
        <v>214</v>
      </c>
      <c r="BA104" s="8" t="s">
        <v>214</v>
      </c>
      <c r="BB104" s="8" t="s">
        <v>214</v>
      </c>
      <c r="BC104" s="8" t="s">
        <v>214</v>
      </c>
      <c r="BD104" s="8" t="s">
        <v>214</v>
      </c>
      <c r="BE104" s="8" t="s">
        <v>214</v>
      </c>
      <c r="BF104" s="8" t="s">
        <v>214</v>
      </c>
      <c r="BG104" s="8" t="s">
        <v>214</v>
      </c>
      <c r="BH104" s="8" t="s">
        <v>214</v>
      </c>
      <c r="BI104" s="8" t="s">
        <v>214</v>
      </c>
      <c r="BJ104" s="8" t="s">
        <v>214</v>
      </c>
      <c r="BK104" s="8" t="s">
        <v>214</v>
      </c>
      <c r="BL104" s="8" t="s">
        <v>214</v>
      </c>
      <c r="BM104" s="8" t="s">
        <v>214</v>
      </c>
      <c r="BN104" s="8" t="s">
        <v>214</v>
      </c>
      <c r="BO104" s="8" t="s">
        <v>214</v>
      </c>
      <c r="BP104" s="8" t="s">
        <v>214</v>
      </c>
      <c r="BQ104" s="8" t="s">
        <v>214</v>
      </c>
      <c r="BR104" s="8" t="s">
        <v>214</v>
      </c>
      <c r="BS104" s="8" t="s">
        <v>214</v>
      </c>
      <c r="BT104" s="8" t="s">
        <v>214</v>
      </c>
      <c r="BU104" s="8" t="s">
        <v>214</v>
      </c>
      <c r="BV104" s="8" t="s">
        <v>214</v>
      </c>
      <c r="BW104" s="8" t="s">
        <v>214</v>
      </c>
      <c r="BX104" s="8" t="s">
        <v>214</v>
      </c>
      <c r="BY104" s="8" t="s">
        <v>214</v>
      </c>
      <c r="BZ104" s="8" t="s">
        <v>214</v>
      </c>
      <c r="CA104" s="8" t="s">
        <v>214</v>
      </c>
      <c r="CB104" s="8" t="s">
        <v>214</v>
      </c>
      <c r="CC104" s="8" t="s">
        <v>214</v>
      </c>
      <c r="CD104" s="8" t="s">
        <v>214</v>
      </c>
      <c r="CE104" s="8" t="s">
        <v>214</v>
      </c>
      <c r="CF104" s="8" t="s">
        <v>214</v>
      </c>
      <c r="CG104" s="8" t="s">
        <v>214</v>
      </c>
      <c r="CH104" s="8" t="s">
        <v>214</v>
      </c>
      <c r="CI104" s="8" t="s">
        <v>214</v>
      </c>
      <c r="CJ104" s="8" t="s">
        <v>214</v>
      </c>
      <c r="CK104" s="8" t="s">
        <v>214</v>
      </c>
      <c r="CL104" s="8" t="s">
        <v>214</v>
      </c>
      <c r="CM104" s="8" t="s">
        <v>214</v>
      </c>
      <c r="CN104" s="8" t="s">
        <v>214</v>
      </c>
      <c r="CO104" s="8" t="s">
        <v>214</v>
      </c>
      <c r="CP104" s="8" t="s">
        <v>214</v>
      </c>
      <c r="CQ104" s="8" t="s">
        <v>214</v>
      </c>
      <c r="CR104" s="8" t="s">
        <v>214</v>
      </c>
      <c r="CS104" s="8" t="s">
        <v>214</v>
      </c>
      <c r="CT104" s="8" t="s">
        <v>214</v>
      </c>
      <c r="CU104" s="8" t="s">
        <v>214</v>
      </c>
      <c r="CV104" s="8" t="s">
        <v>214</v>
      </c>
      <c r="CW104" s="8" t="s">
        <v>214</v>
      </c>
      <c r="CX104" s="8" t="s">
        <v>214</v>
      </c>
      <c r="CY104" s="8" t="s">
        <v>214</v>
      </c>
      <c r="CZ104" s="8" t="s">
        <v>214</v>
      </c>
      <c r="DA104" s="8" t="s">
        <v>214</v>
      </c>
      <c r="DB104" s="8" t="s">
        <v>214</v>
      </c>
      <c r="DC104" s="8" t="s">
        <v>214</v>
      </c>
      <c r="DD104" s="8" t="s">
        <v>214</v>
      </c>
      <c r="DE104" s="8" t="s">
        <v>214</v>
      </c>
      <c r="DF104" s="8" t="s">
        <v>214</v>
      </c>
      <c r="DG104" s="8" t="s">
        <v>214</v>
      </c>
      <c r="DH104" s="8" t="s">
        <v>214</v>
      </c>
      <c r="DI104" s="8" t="s">
        <v>214</v>
      </c>
      <c r="DJ104" s="8" t="s">
        <v>214</v>
      </c>
      <c r="DK104" s="8" t="s">
        <v>214</v>
      </c>
      <c r="DL104" s="8" t="s">
        <v>214</v>
      </c>
      <c r="DM104" s="8" t="s">
        <v>214</v>
      </c>
      <c r="DN104" s="8" t="s">
        <v>214</v>
      </c>
      <c r="DO104" s="8" t="s">
        <v>214</v>
      </c>
      <c r="DP104" s="8" t="s">
        <v>214</v>
      </c>
      <c r="DQ104" s="8" t="s">
        <v>214</v>
      </c>
      <c r="DR104" s="8" t="s">
        <v>214</v>
      </c>
      <c r="DS104" s="8" t="s">
        <v>214</v>
      </c>
      <c r="DT104" s="8" t="s">
        <v>214</v>
      </c>
      <c r="DU104" s="8" t="s">
        <v>214</v>
      </c>
      <c r="DV104" s="8" t="s">
        <v>214</v>
      </c>
      <c r="DW104" s="8" t="s">
        <v>214</v>
      </c>
      <c r="DX104" s="8" t="s">
        <v>214</v>
      </c>
      <c r="DY104" s="8" t="s">
        <v>214</v>
      </c>
      <c r="DZ104" s="8" t="s">
        <v>214</v>
      </c>
      <c r="EA104" s="8" t="s">
        <v>214</v>
      </c>
      <c r="EB104" s="8" t="s">
        <v>214</v>
      </c>
      <c r="EC104" s="8" t="s">
        <v>214</v>
      </c>
      <c r="ED104" s="8" t="s">
        <v>214</v>
      </c>
      <c r="EE104" s="8" t="s">
        <v>214</v>
      </c>
      <c r="EF104" s="8" t="s">
        <v>214</v>
      </c>
      <c r="EG104" s="8" t="s">
        <v>214</v>
      </c>
      <c r="EH104" s="8" t="s">
        <v>214</v>
      </c>
      <c r="EI104" s="8" t="s">
        <v>214</v>
      </c>
      <c r="EJ104" s="8" t="s">
        <v>214</v>
      </c>
      <c r="EK104" s="8" t="s">
        <v>214</v>
      </c>
      <c r="EL104" s="8" t="s">
        <v>214</v>
      </c>
      <c r="EM104" s="8" t="s">
        <v>214</v>
      </c>
      <c r="EN104" s="8" t="s">
        <v>214</v>
      </c>
      <c r="EO104" s="8" t="s">
        <v>214</v>
      </c>
      <c r="EP104" s="8" t="s">
        <v>214</v>
      </c>
      <c r="EQ104" s="8" t="s">
        <v>214</v>
      </c>
      <c r="ER104" s="8" t="s">
        <v>214</v>
      </c>
      <c r="ES104" s="8" t="s">
        <v>214</v>
      </c>
      <c r="ET104" s="8" t="s">
        <v>214</v>
      </c>
      <c r="EU104" s="8" t="s">
        <v>214</v>
      </c>
      <c r="EV104" s="8" t="s">
        <v>214</v>
      </c>
      <c r="EW104" s="8" t="s">
        <v>214</v>
      </c>
      <c r="EX104" s="8" t="s">
        <v>214</v>
      </c>
      <c r="EY104" s="8" t="s">
        <v>214</v>
      </c>
      <c r="EZ104" s="8" t="s">
        <v>214</v>
      </c>
      <c r="FA104" s="8" t="s">
        <v>214</v>
      </c>
      <c r="FB104" s="8" t="s">
        <v>214</v>
      </c>
      <c r="FC104" s="8" t="s">
        <v>214</v>
      </c>
      <c r="FD104" s="8" t="s">
        <v>214</v>
      </c>
      <c r="FE104" s="8" t="s">
        <v>214</v>
      </c>
      <c r="FF104" s="8" t="s">
        <v>214</v>
      </c>
      <c r="FG104" s="8" t="s">
        <v>218</v>
      </c>
      <c r="FH104" s="8" t="s">
        <v>218</v>
      </c>
      <c r="FI104" s="8" t="s">
        <v>218</v>
      </c>
      <c r="FJ104" s="8" t="s">
        <v>218</v>
      </c>
      <c r="FK104" s="8" t="s">
        <v>214</v>
      </c>
      <c r="FL104" s="8" t="s">
        <v>214</v>
      </c>
    </row>
    <row r="105" spans="1:168" ht="15" x14ac:dyDescent="0.25">
      <c r="A105" s="5" t="s">
        <v>199</v>
      </c>
      <c r="B105" s="5" t="s">
        <v>8</v>
      </c>
      <c r="C105" s="7" t="s">
        <v>217</v>
      </c>
      <c r="D105" s="7" t="s">
        <v>217</v>
      </c>
      <c r="E105" s="7" t="s">
        <v>214</v>
      </c>
      <c r="F105" s="7" t="s">
        <v>214</v>
      </c>
      <c r="G105" s="7" t="s">
        <v>214</v>
      </c>
      <c r="H105" s="7" t="s">
        <v>214</v>
      </c>
      <c r="I105" s="7" t="s">
        <v>214</v>
      </c>
      <c r="J105" s="7" t="s">
        <v>214</v>
      </c>
      <c r="K105" s="7" t="s">
        <v>214</v>
      </c>
      <c r="L105" s="7" t="s">
        <v>214</v>
      </c>
      <c r="M105" s="7" t="s">
        <v>214</v>
      </c>
      <c r="N105" s="7" t="s">
        <v>214</v>
      </c>
      <c r="O105" s="7" t="s">
        <v>214</v>
      </c>
      <c r="P105" s="7" t="s">
        <v>214</v>
      </c>
      <c r="Q105" s="7" t="s">
        <v>214</v>
      </c>
      <c r="R105" s="7" t="s">
        <v>214</v>
      </c>
      <c r="S105" s="7" t="s">
        <v>214</v>
      </c>
      <c r="T105" s="7" t="s">
        <v>214</v>
      </c>
      <c r="U105" s="7" t="s">
        <v>214</v>
      </c>
      <c r="V105" s="7" t="s">
        <v>214</v>
      </c>
      <c r="W105" s="7" t="s">
        <v>214</v>
      </c>
      <c r="X105" s="7" t="s">
        <v>214</v>
      </c>
      <c r="Y105" s="7" t="s">
        <v>214</v>
      </c>
      <c r="Z105" s="7" t="s">
        <v>214</v>
      </c>
      <c r="AA105" s="7" t="s">
        <v>214</v>
      </c>
      <c r="AB105" s="7" t="s">
        <v>214</v>
      </c>
      <c r="AC105" s="7" t="s">
        <v>214</v>
      </c>
      <c r="AD105" s="7" t="s">
        <v>214</v>
      </c>
      <c r="AE105" s="7" t="s">
        <v>214</v>
      </c>
      <c r="AF105" s="7" t="s">
        <v>214</v>
      </c>
      <c r="AG105" s="7" t="s">
        <v>214</v>
      </c>
      <c r="AH105" s="7" t="s">
        <v>214</v>
      </c>
      <c r="AI105" s="7" t="s">
        <v>214</v>
      </c>
      <c r="AJ105" s="7" t="s">
        <v>217</v>
      </c>
      <c r="AK105" s="7" t="s">
        <v>214</v>
      </c>
      <c r="AL105" s="7" t="s">
        <v>214</v>
      </c>
      <c r="AM105" s="7" t="s">
        <v>214</v>
      </c>
      <c r="AN105" s="7" t="s">
        <v>214</v>
      </c>
      <c r="AO105" s="7" t="s">
        <v>214</v>
      </c>
      <c r="AP105" s="7" t="s">
        <v>214</v>
      </c>
      <c r="AQ105" s="7" t="s">
        <v>214</v>
      </c>
      <c r="AR105" s="7" t="s">
        <v>214</v>
      </c>
      <c r="AS105" s="7" t="s">
        <v>214</v>
      </c>
      <c r="AT105" s="7" t="s">
        <v>214</v>
      </c>
      <c r="AU105" s="7" t="s">
        <v>214</v>
      </c>
      <c r="AV105" s="7" t="s">
        <v>214</v>
      </c>
      <c r="AW105" s="7" t="s">
        <v>214</v>
      </c>
      <c r="AX105" s="7" t="s">
        <v>214</v>
      </c>
      <c r="AY105" s="7" t="s">
        <v>214</v>
      </c>
      <c r="AZ105" s="7" t="s">
        <v>214</v>
      </c>
      <c r="BA105" s="7" t="s">
        <v>218</v>
      </c>
      <c r="BB105" s="7" t="s">
        <v>214</v>
      </c>
      <c r="BC105" s="7" t="s">
        <v>214</v>
      </c>
      <c r="BD105" s="7" t="s">
        <v>214</v>
      </c>
      <c r="BE105" s="7" t="s">
        <v>214</v>
      </c>
      <c r="BF105" s="7" t="s">
        <v>214</v>
      </c>
      <c r="BG105" s="7" t="s">
        <v>214</v>
      </c>
      <c r="BH105" s="7" t="s">
        <v>214</v>
      </c>
      <c r="BI105" s="7" t="s">
        <v>214</v>
      </c>
      <c r="BJ105" s="7" t="s">
        <v>214</v>
      </c>
      <c r="BK105" s="7" t="s">
        <v>214</v>
      </c>
      <c r="BL105" s="7" t="s">
        <v>214</v>
      </c>
      <c r="BM105" s="7" t="s">
        <v>214</v>
      </c>
      <c r="BN105" s="7" t="s">
        <v>214</v>
      </c>
      <c r="BO105" s="7" t="s">
        <v>214</v>
      </c>
      <c r="BP105" s="7" t="s">
        <v>214</v>
      </c>
      <c r="BQ105" s="7" t="s">
        <v>214</v>
      </c>
      <c r="BR105" s="7" t="s">
        <v>214</v>
      </c>
      <c r="BS105" s="7" t="s">
        <v>214</v>
      </c>
      <c r="BT105" s="7" t="s">
        <v>218</v>
      </c>
      <c r="BU105" s="7" t="s">
        <v>218</v>
      </c>
      <c r="BV105" s="7" t="s">
        <v>214</v>
      </c>
      <c r="BW105" s="7" t="s">
        <v>214</v>
      </c>
      <c r="BX105" s="7" t="s">
        <v>214</v>
      </c>
      <c r="BY105" s="7" t="s">
        <v>214</v>
      </c>
      <c r="BZ105" s="7" t="s">
        <v>214</v>
      </c>
      <c r="CA105" s="7" t="s">
        <v>214</v>
      </c>
      <c r="CB105" s="7" t="s">
        <v>214</v>
      </c>
      <c r="CC105" s="7" t="s">
        <v>214</v>
      </c>
      <c r="CD105" s="7" t="s">
        <v>214</v>
      </c>
      <c r="CE105" s="7" t="s">
        <v>214</v>
      </c>
      <c r="CF105" s="7" t="s">
        <v>214</v>
      </c>
      <c r="CG105" s="7" t="s">
        <v>214</v>
      </c>
      <c r="CH105" s="7" t="s">
        <v>214</v>
      </c>
      <c r="CI105" s="7" t="s">
        <v>214</v>
      </c>
      <c r="CJ105" s="7" t="s">
        <v>214</v>
      </c>
      <c r="CK105" s="7" t="s">
        <v>214</v>
      </c>
      <c r="CL105" s="7" t="s">
        <v>214</v>
      </c>
      <c r="CM105" s="7" t="s">
        <v>214</v>
      </c>
      <c r="CN105" s="7" t="s">
        <v>214</v>
      </c>
      <c r="CO105" s="7" t="s">
        <v>214</v>
      </c>
      <c r="CP105" s="7" t="s">
        <v>214</v>
      </c>
      <c r="CQ105" s="7" t="s">
        <v>214</v>
      </c>
      <c r="CR105" s="7" t="s">
        <v>214</v>
      </c>
      <c r="CS105" s="7" t="s">
        <v>214</v>
      </c>
      <c r="CT105" s="7" t="s">
        <v>214</v>
      </c>
      <c r="CU105" s="7" t="s">
        <v>214</v>
      </c>
      <c r="CV105" s="7" t="s">
        <v>214</v>
      </c>
      <c r="CW105" s="7" t="s">
        <v>214</v>
      </c>
      <c r="CX105" s="7" t="s">
        <v>214</v>
      </c>
      <c r="CY105" s="7" t="s">
        <v>214</v>
      </c>
      <c r="CZ105" s="7" t="s">
        <v>214</v>
      </c>
      <c r="DA105" s="7" t="s">
        <v>214</v>
      </c>
      <c r="DB105" s="7" t="s">
        <v>214</v>
      </c>
      <c r="DC105" s="7" t="s">
        <v>214</v>
      </c>
      <c r="DD105" s="7" t="s">
        <v>214</v>
      </c>
      <c r="DE105" s="7" t="s">
        <v>214</v>
      </c>
      <c r="DF105" s="7" t="s">
        <v>214</v>
      </c>
      <c r="DG105" s="7" t="s">
        <v>214</v>
      </c>
      <c r="DH105" s="7" t="s">
        <v>214</v>
      </c>
      <c r="DI105" s="7" t="s">
        <v>214</v>
      </c>
      <c r="DJ105" s="7" t="s">
        <v>214</v>
      </c>
      <c r="DK105" s="7" t="s">
        <v>214</v>
      </c>
      <c r="DL105" s="7" t="s">
        <v>214</v>
      </c>
      <c r="DM105" s="7" t="s">
        <v>214</v>
      </c>
      <c r="DN105" s="7" t="s">
        <v>214</v>
      </c>
      <c r="DO105" s="7" t="s">
        <v>214</v>
      </c>
      <c r="DP105" s="7" t="s">
        <v>214</v>
      </c>
      <c r="DQ105" s="7" t="s">
        <v>214</v>
      </c>
      <c r="DR105" s="7" t="s">
        <v>214</v>
      </c>
      <c r="DS105" s="7" t="s">
        <v>214</v>
      </c>
      <c r="DT105" s="7" t="s">
        <v>214</v>
      </c>
      <c r="DU105" s="7" t="s">
        <v>214</v>
      </c>
      <c r="DV105" s="7" t="s">
        <v>217</v>
      </c>
      <c r="DW105" s="7" t="s">
        <v>214</v>
      </c>
      <c r="DX105" s="7" t="s">
        <v>217</v>
      </c>
      <c r="DY105" s="7" t="s">
        <v>217</v>
      </c>
      <c r="DZ105" s="7" t="s">
        <v>214</v>
      </c>
      <c r="EA105" s="7" t="s">
        <v>214</v>
      </c>
      <c r="EB105" s="7" t="s">
        <v>214</v>
      </c>
      <c r="EC105" s="7" t="s">
        <v>214</v>
      </c>
      <c r="ED105" s="7" t="s">
        <v>214</v>
      </c>
      <c r="EE105" s="7" t="s">
        <v>214</v>
      </c>
      <c r="EF105" s="7" t="s">
        <v>214</v>
      </c>
      <c r="EG105" s="7" t="s">
        <v>214</v>
      </c>
      <c r="EH105" s="7" t="s">
        <v>214</v>
      </c>
      <c r="EI105" s="7" t="s">
        <v>214</v>
      </c>
      <c r="EJ105" s="7" t="s">
        <v>214</v>
      </c>
      <c r="EK105" s="7" t="s">
        <v>214</v>
      </c>
      <c r="EL105" s="7" t="s">
        <v>214</v>
      </c>
      <c r="EM105" s="7" t="s">
        <v>214</v>
      </c>
      <c r="EN105" s="7" t="s">
        <v>214</v>
      </c>
      <c r="EO105" s="7" t="s">
        <v>214</v>
      </c>
      <c r="EP105" s="7" t="s">
        <v>214</v>
      </c>
      <c r="EQ105" s="7" t="s">
        <v>214</v>
      </c>
      <c r="ER105" s="7" t="s">
        <v>214</v>
      </c>
      <c r="ES105" s="7" t="s">
        <v>214</v>
      </c>
      <c r="ET105" s="7" t="s">
        <v>214</v>
      </c>
      <c r="EU105" s="7" t="s">
        <v>214</v>
      </c>
      <c r="EV105" s="7" t="s">
        <v>218</v>
      </c>
      <c r="EW105" s="7" t="s">
        <v>214</v>
      </c>
      <c r="EX105" s="7" t="s">
        <v>214</v>
      </c>
      <c r="EY105" s="7" t="s">
        <v>214</v>
      </c>
      <c r="EZ105" s="7" t="s">
        <v>214</v>
      </c>
      <c r="FA105" s="7" t="s">
        <v>214</v>
      </c>
      <c r="FB105" s="7" t="s">
        <v>214</v>
      </c>
      <c r="FC105" s="7" t="s">
        <v>214</v>
      </c>
      <c r="FD105" s="7" t="s">
        <v>214</v>
      </c>
      <c r="FE105" s="7" t="s">
        <v>214</v>
      </c>
      <c r="FF105" s="7" t="s">
        <v>218</v>
      </c>
      <c r="FG105" s="7" t="s">
        <v>218</v>
      </c>
      <c r="FH105" s="7" t="s">
        <v>214</v>
      </c>
      <c r="FI105" s="7" t="s">
        <v>214</v>
      </c>
      <c r="FJ105" s="7" t="s">
        <v>214</v>
      </c>
      <c r="FK105" s="7" t="s">
        <v>214</v>
      </c>
      <c r="FL105" s="7" t="s">
        <v>214</v>
      </c>
    </row>
    <row r="106" spans="1:168" ht="15" x14ac:dyDescent="0.25">
      <c r="A106" s="5" t="s">
        <v>199</v>
      </c>
      <c r="B106" s="5" t="s">
        <v>9</v>
      </c>
      <c r="C106" s="8" t="s">
        <v>217</v>
      </c>
      <c r="D106" s="8" t="s">
        <v>217</v>
      </c>
      <c r="E106" s="8" t="s">
        <v>214</v>
      </c>
      <c r="F106" s="8" t="s">
        <v>214</v>
      </c>
      <c r="G106" s="8" t="s">
        <v>214</v>
      </c>
      <c r="H106" s="8" t="s">
        <v>214</v>
      </c>
      <c r="I106" s="8" t="s">
        <v>214</v>
      </c>
      <c r="J106" s="8" t="s">
        <v>214</v>
      </c>
      <c r="K106" s="8" t="s">
        <v>214</v>
      </c>
      <c r="L106" s="8" t="s">
        <v>214</v>
      </c>
      <c r="M106" s="8" t="s">
        <v>214</v>
      </c>
      <c r="N106" s="8" t="s">
        <v>214</v>
      </c>
      <c r="O106" s="8" t="s">
        <v>214</v>
      </c>
      <c r="P106" s="8" t="s">
        <v>214</v>
      </c>
      <c r="Q106" s="8" t="s">
        <v>214</v>
      </c>
      <c r="R106" s="8" t="s">
        <v>214</v>
      </c>
      <c r="S106" s="8" t="s">
        <v>214</v>
      </c>
      <c r="T106" s="8" t="s">
        <v>214</v>
      </c>
      <c r="U106" s="8" t="s">
        <v>214</v>
      </c>
      <c r="V106" s="8" t="s">
        <v>214</v>
      </c>
      <c r="W106" s="8" t="s">
        <v>214</v>
      </c>
      <c r="X106" s="8" t="s">
        <v>214</v>
      </c>
      <c r="Y106" s="8" t="s">
        <v>214</v>
      </c>
      <c r="Z106" s="8" t="s">
        <v>214</v>
      </c>
      <c r="AA106" s="8" t="s">
        <v>214</v>
      </c>
      <c r="AB106" s="8" t="s">
        <v>214</v>
      </c>
      <c r="AC106" s="8" t="s">
        <v>214</v>
      </c>
      <c r="AD106" s="8" t="s">
        <v>214</v>
      </c>
      <c r="AE106" s="8" t="s">
        <v>214</v>
      </c>
      <c r="AF106" s="8" t="s">
        <v>214</v>
      </c>
      <c r="AG106" s="8" t="s">
        <v>214</v>
      </c>
      <c r="AH106" s="8" t="s">
        <v>214</v>
      </c>
      <c r="AI106" s="8" t="s">
        <v>214</v>
      </c>
      <c r="AJ106" s="8" t="s">
        <v>217</v>
      </c>
      <c r="AK106" s="8" t="s">
        <v>214</v>
      </c>
      <c r="AL106" s="8" t="s">
        <v>214</v>
      </c>
      <c r="AM106" s="8" t="s">
        <v>214</v>
      </c>
      <c r="AN106" s="8" t="s">
        <v>214</v>
      </c>
      <c r="AO106" s="8" t="s">
        <v>214</v>
      </c>
      <c r="AP106" s="8" t="s">
        <v>214</v>
      </c>
      <c r="AQ106" s="8" t="s">
        <v>214</v>
      </c>
      <c r="AR106" s="8" t="s">
        <v>214</v>
      </c>
      <c r="AS106" s="8" t="s">
        <v>214</v>
      </c>
      <c r="AT106" s="8" t="s">
        <v>214</v>
      </c>
      <c r="AU106" s="8" t="s">
        <v>214</v>
      </c>
      <c r="AV106" s="8" t="s">
        <v>214</v>
      </c>
      <c r="AW106" s="8" t="s">
        <v>214</v>
      </c>
      <c r="AX106" s="8" t="s">
        <v>214</v>
      </c>
      <c r="AY106" s="8" t="s">
        <v>214</v>
      </c>
      <c r="AZ106" s="8" t="s">
        <v>214</v>
      </c>
      <c r="BA106" s="8" t="s">
        <v>218</v>
      </c>
      <c r="BB106" s="8" t="s">
        <v>214</v>
      </c>
      <c r="BC106" s="8" t="s">
        <v>214</v>
      </c>
      <c r="BD106" s="8" t="s">
        <v>214</v>
      </c>
      <c r="BE106" s="8" t="s">
        <v>214</v>
      </c>
      <c r="BF106" s="8" t="s">
        <v>214</v>
      </c>
      <c r="BG106" s="8" t="s">
        <v>214</v>
      </c>
      <c r="BH106" s="8" t="s">
        <v>214</v>
      </c>
      <c r="BI106" s="8" t="s">
        <v>214</v>
      </c>
      <c r="BJ106" s="8" t="s">
        <v>214</v>
      </c>
      <c r="BK106" s="8" t="s">
        <v>214</v>
      </c>
      <c r="BL106" s="8" t="s">
        <v>214</v>
      </c>
      <c r="BM106" s="8" t="s">
        <v>214</v>
      </c>
      <c r="BN106" s="8" t="s">
        <v>214</v>
      </c>
      <c r="BO106" s="8" t="s">
        <v>214</v>
      </c>
      <c r="BP106" s="8" t="s">
        <v>214</v>
      </c>
      <c r="BQ106" s="8" t="s">
        <v>214</v>
      </c>
      <c r="BR106" s="8" t="s">
        <v>214</v>
      </c>
      <c r="BS106" s="8" t="s">
        <v>214</v>
      </c>
      <c r="BT106" s="8" t="s">
        <v>218</v>
      </c>
      <c r="BU106" s="8" t="s">
        <v>218</v>
      </c>
      <c r="BV106" s="8" t="s">
        <v>214</v>
      </c>
      <c r="BW106" s="8" t="s">
        <v>214</v>
      </c>
      <c r="BX106" s="8" t="s">
        <v>214</v>
      </c>
      <c r="BY106" s="8" t="s">
        <v>214</v>
      </c>
      <c r="BZ106" s="8" t="s">
        <v>214</v>
      </c>
      <c r="CA106" s="8" t="s">
        <v>214</v>
      </c>
      <c r="CB106" s="8" t="s">
        <v>214</v>
      </c>
      <c r="CC106" s="8" t="s">
        <v>214</v>
      </c>
      <c r="CD106" s="8" t="s">
        <v>214</v>
      </c>
      <c r="CE106" s="8" t="s">
        <v>214</v>
      </c>
      <c r="CF106" s="8" t="s">
        <v>214</v>
      </c>
      <c r="CG106" s="8" t="s">
        <v>214</v>
      </c>
      <c r="CH106" s="8" t="s">
        <v>214</v>
      </c>
      <c r="CI106" s="8" t="s">
        <v>214</v>
      </c>
      <c r="CJ106" s="8" t="s">
        <v>214</v>
      </c>
      <c r="CK106" s="8" t="s">
        <v>214</v>
      </c>
      <c r="CL106" s="8" t="s">
        <v>214</v>
      </c>
      <c r="CM106" s="8" t="s">
        <v>214</v>
      </c>
      <c r="CN106" s="8" t="s">
        <v>214</v>
      </c>
      <c r="CO106" s="8" t="s">
        <v>214</v>
      </c>
      <c r="CP106" s="8" t="s">
        <v>214</v>
      </c>
      <c r="CQ106" s="8" t="s">
        <v>214</v>
      </c>
      <c r="CR106" s="8" t="s">
        <v>214</v>
      </c>
      <c r="CS106" s="8" t="s">
        <v>214</v>
      </c>
      <c r="CT106" s="8" t="s">
        <v>214</v>
      </c>
      <c r="CU106" s="8" t="s">
        <v>214</v>
      </c>
      <c r="CV106" s="8" t="s">
        <v>214</v>
      </c>
      <c r="CW106" s="8" t="s">
        <v>214</v>
      </c>
      <c r="CX106" s="8" t="s">
        <v>214</v>
      </c>
      <c r="CY106" s="8" t="s">
        <v>214</v>
      </c>
      <c r="CZ106" s="8" t="s">
        <v>214</v>
      </c>
      <c r="DA106" s="8" t="s">
        <v>214</v>
      </c>
      <c r="DB106" s="8" t="s">
        <v>214</v>
      </c>
      <c r="DC106" s="8" t="s">
        <v>214</v>
      </c>
      <c r="DD106" s="8" t="s">
        <v>214</v>
      </c>
      <c r="DE106" s="8" t="s">
        <v>214</v>
      </c>
      <c r="DF106" s="8" t="s">
        <v>214</v>
      </c>
      <c r="DG106" s="8" t="s">
        <v>214</v>
      </c>
      <c r="DH106" s="8" t="s">
        <v>214</v>
      </c>
      <c r="DI106" s="8" t="s">
        <v>214</v>
      </c>
      <c r="DJ106" s="8" t="s">
        <v>214</v>
      </c>
      <c r="DK106" s="8" t="s">
        <v>214</v>
      </c>
      <c r="DL106" s="8" t="s">
        <v>214</v>
      </c>
      <c r="DM106" s="8" t="s">
        <v>214</v>
      </c>
      <c r="DN106" s="8" t="s">
        <v>214</v>
      </c>
      <c r="DO106" s="8" t="s">
        <v>214</v>
      </c>
      <c r="DP106" s="8" t="s">
        <v>214</v>
      </c>
      <c r="DQ106" s="8" t="s">
        <v>214</v>
      </c>
      <c r="DR106" s="8" t="s">
        <v>214</v>
      </c>
      <c r="DS106" s="8" t="s">
        <v>214</v>
      </c>
      <c r="DT106" s="8" t="s">
        <v>214</v>
      </c>
      <c r="DU106" s="8" t="s">
        <v>217</v>
      </c>
      <c r="DV106" s="8" t="s">
        <v>214</v>
      </c>
      <c r="DW106" s="8" t="s">
        <v>214</v>
      </c>
      <c r="DX106" s="8" t="s">
        <v>217</v>
      </c>
      <c r="DY106" s="8" t="s">
        <v>214</v>
      </c>
      <c r="DZ106" s="8" t="s">
        <v>214</v>
      </c>
      <c r="EA106" s="8" t="s">
        <v>214</v>
      </c>
      <c r="EB106" s="8" t="s">
        <v>214</v>
      </c>
      <c r="EC106" s="8" t="s">
        <v>214</v>
      </c>
      <c r="ED106" s="8" t="s">
        <v>214</v>
      </c>
      <c r="EE106" s="8" t="s">
        <v>214</v>
      </c>
      <c r="EF106" s="8" t="s">
        <v>217</v>
      </c>
      <c r="EG106" s="8" t="s">
        <v>214</v>
      </c>
      <c r="EH106" s="8" t="s">
        <v>214</v>
      </c>
      <c r="EI106" s="8" t="s">
        <v>214</v>
      </c>
      <c r="EJ106" s="8" t="s">
        <v>214</v>
      </c>
      <c r="EK106" s="8" t="s">
        <v>214</v>
      </c>
      <c r="EL106" s="8" t="s">
        <v>214</v>
      </c>
      <c r="EM106" s="8" t="s">
        <v>214</v>
      </c>
      <c r="EN106" s="8" t="s">
        <v>214</v>
      </c>
      <c r="EO106" s="8" t="s">
        <v>214</v>
      </c>
      <c r="EP106" s="8" t="s">
        <v>214</v>
      </c>
      <c r="EQ106" s="8" t="s">
        <v>214</v>
      </c>
      <c r="ER106" s="8" t="s">
        <v>214</v>
      </c>
      <c r="ES106" s="8" t="s">
        <v>214</v>
      </c>
      <c r="ET106" s="8" t="s">
        <v>214</v>
      </c>
      <c r="EU106" s="8" t="s">
        <v>214</v>
      </c>
      <c r="EV106" s="8" t="s">
        <v>214</v>
      </c>
      <c r="EW106" s="8" t="s">
        <v>214</v>
      </c>
      <c r="EX106" s="8" t="s">
        <v>214</v>
      </c>
      <c r="EY106" s="8" t="s">
        <v>214</v>
      </c>
      <c r="EZ106" s="8" t="s">
        <v>214</v>
      </c>
      <c r="FA106" s="8" t="s">
        <v>214</v>
      </c>
      <c r="FB106" s="8" t="s">
        <v>214</v>
      </c>
      <c r="FC106" s="8" t="s">
        <v>214</v>
      </c>
      <c r="FD106" s="8" t="s">
        <v>214</v>
      </c>
      <c r="FE106" s="8" t="s">
        <v>214</v>
      </c>
      <c r="FF106" s="8" t="s">
        <v>218</v>
      </c>
      <c r="FG106" s="8" t="s">
        <v>218</v>
      </c>
      <c r="FH106" s="8" t="s">
        <v>214</v>
      </c>
      <c r="FI106" s="8" t="s">
        <v>214</v>
      </c>
      <c r="FJ106" s="8" t="s">
        <v>214</v>
      </c>
      <c r="FK106" s="8" t="s">
        <v>214</v>
      </c>
      <c r="FL106" s="8" t="s">
        <v>214</v>
      </c>
    </row>
    <row r="107" spans="1:168" ht="15" x14ac:dyDescent="0.25">
      <c r="A107" s="5" t="s">
        <v>200</v>
      </c>
      <c r="B107" s="5" t="s">
        <v>6</v>
      </c>
      <c r="C107" s="7" t="s">
        <v>214</v>
      </c>
      <c r="D107" s="7" t="s">
        <v>214</v>
      </c>
      <c r="E107" s="7" t="s">
        <v>214</v>
      </c>
      <c r="F107" s="7" t="s">
        <v>214</v>
      </c>
      <c r="G107" s="7" t="s">
        <v>214</v>
      </c>
      <c r="H107" s="7" t="s">
        <v>214</v>
      </c>
      <c r="I107" s="7" t="s">
        <v>214</v>
      </c>
      <c r="J107" s="7" t="s">
        <v>214</v>
      </c>
      <c r="K107" s="7" t="s">
        <v>214</v>
      </c>
      <c r="L107" s="7" t="s">
        <v>214</v>
      </c>
      <c r="M107" s="7" t="s">
        <v>214</v>
      </c>
      <c r="N107" s="7" t="s">
        <v>214</v>
      </c>
      <c r="O107" s="7" t="s">
        <v>214</v>
      </c>
      <c r="P107" s="7" t="s">
        <v>214</v>
      </c>
      <c r="Q107" s="7" t="s">
        <v>214</v>
      </c>
      <c r="R107" s="7" t="s">
        <v>214</v>
      </c>
      <c r="S107" s="7" t="s">
        <v>214</v>
      </c>
      <c r="T107" s="7" t="s">
        <v>214</v>
      </c>
      <c r="U107" s="7" t="s">
        <v>214</v>
      </c>
      <c r="V107" s="7" t="s">
        <v>214</v>
      </c>
      <c r="W107" s="7" t="s">
        <v>214</v>
      </c>
      <c r="X107" s="7" t="s">
        <v>214</v>
      </c>
      <c r="Y107" s="7" t="s">
        <v>214</v>
      </c>
      <c r="Z107" s="7" t="s">
        <v>214</v>
      </c>
      <c r="AA107" s="7" t="s">
        <v>214</v>
      </c>
      <c r="AB107" s="7" t="s">
        <v>214</v>
      </c>
      <c r="AC107" s="7" t="s">
        <v>214</v>
      </c>
      <c r="AD107" s="7" t="s">
        <v>214</v>
      </c>
      <c r="AE107" s="7" t="s">
        <v>214</v>
      </c>
      <c r="AF107" s="7" t="s">
        <v>214</v>
      </c>
      <c r="AG107" s="7" t="s">
        <v>214</v>
      </c>
      <c r="AH107" s="7" t="s">
        <v>214</v>
      </c>
      <c r="AI107" s="7" t="s">
        <v>214</v>
      </c>
      <c r="AJ107" s="7" t="s">
        <v>214</v>
      </c>
      <c r="AK107" s="7" t="s">
        <v>214</v>
      </c>
      <c r="AL107" s="7" t="s">
        <v>214</v>
      </c>
      <c r="AM107" s="7" t="s">
        <v>214</v>
      </c>
      <c r="AN107" s="7" t="s">
        <v>214</v>
      </c>
      <c r="AO107" s="7" t="s">
        <v>214</v>
      </c>
      <c r="AP107" s="7" t="s">
        <v>214</v>
      </c>
      <c r="AQ107" s="7" t="s">
        <v>214</v>
      </c>
      <c r="AR107" s="7" t="s">
        <v>214</v>
      </c>
      <c r="AS107" s="7" t="s">
        <v>214</v>
      </c>
      <c r="AT107" s="7" t="s">
        <v>214</v>
      </c>
      <c r="AU107" s="7" t="s">
        <v>214</v>
      </c>
      <c r="AV107" s="7" t="s">
        <v>214</v>
      </c>
      <c r="AW107" s="7" t="s">
        <v>214</v>
      </c>
      <c r="AX107" s="7" t="s">
        <v>214</v>
      </c>
      <c r="AY107" s="7" t="s">
        <v>214</v>
      </c>
      <c r="AZ107" s="7" t="s">
        <v>214</v>
      </c>
      <c r="BA107" s="7" t="s">
        <v>214</v>
      </c>
      <c r="BB107" s="7" t="s">
        <v>214</v>
      </c>
      <c r="BC107" s="7" t="s">
        <v>214</v>
      </c>
      <c r="BD107" s="7" t="s">
        <v>214</v>
      </c>
      <c r="BE107" s="7" t="s">
        <v>214</v>
      </c>
      <c r="BF107" s="7" t="s">
        <v>214</v>
      </c>
      <c r="BG107" s="7" t="s">
        <v>214</v>
      </c>
      <c r="BH107" s="7" t="s">
        <v>214</v>
      </c>
      <c r="BI107" s="7" t="s">
        <v>214</v>
      </c>
      <c r="BJ107" s="7" t="s">
        <v>214</v>
      </c>
      <c r="BK107" s="7" t="s">
        <v>214</v>
      </c>
      <c r="BL107" s="7" t="s">
        <v>214</v>
      </c>
      <c r="BM107" s="7" t="s">
        <v>214</v>
      </c>
      <c r="BN107" s="7" t="s">
        <v>214</v>
      </c>
      <c r="BO107" s="7" t="s">
        <v>214</v>
      </c>
      <c r="BP107" s="7" t="s">
        <v>214</v>
      </c>
      <c r="BQ107" s="7" t="s">
        <v>214</v>
      </c>
      <c r="BR107" s="7" t="s">
        <v>214</v>
      </c>
      <c r="BS107" s="7" t="s">
        <v>214</v>
      </c>
      <c r="BT107" s="7" t="s">
        <v>214</v>
      </c>
      <c r="BU107" s="7" t="s">
        <v>214</v>
      </c>
      <c r="BV107" s="7" t="s">
        <v>214</v>
      </c>
      <c r="BW107" s="7" t="s">
        <v>214</v>
      </c>
      <c r="BX107" s="7" t="s">
        <v>214</v>
      </c>
      <c r="BY107" s="7" t="s">
        <v>214</v>
      </c>
      <c r="BZ107" s="7" t="s">
        <v>214</v>
      </c>
      <c r="CA107" s="7" t="s">
        <v>214</v>
      </c>
      <c r="CB107" s="7" t="s">
        <v>214</v>
      </c>
      <c r="CC107" s="7" t="s">
        <v>214</v>
      </c>
      <c r="CD107" s="7" t="s">
        <v>214</v>
      </c>
      <c r="CE107" s="7" t="s">
        <v>214</v>
      </c>
      <c r="CF107" s="7" t="s">
        <v>214</v>
      </c>
      <c r="CG107" s="7" t="s">
        <v>214</v>
      </c>
      <c r="CH107" s="7" t="s">
        <v>214</v>
      </c>
      <c r="CI107" s="7" t="s">
        <v>214</v>
      </c>
      <c r="CJ107" s="7" t="s">
        <v>214</v>
      </c>
      <c r="CK107" s="7" t="s">
        <v>214</v>
      </c>
      <c r="CL107" s="7" t="s">
        <v>214</v>
      </c>
      <c r="CM107" s="7" t="s">
        <v>214</v>
      </c>
      <c r="CN107" s="7" t="s">
        <v>214</v>
      </c>
      <c r="CO107" s="7" t="s">
        <v>214</v>
      </c>
      <c r="CP107" s="7" t="s">
        <v>214</v>
      </c>
      <c r="CQ107" s="7" t="s">
        <v>214</v>
      </c>
      <c r="CR107" s="7" t="s">
        <v>214</v>
      </c>
      <c r="CS107" s="7" t="s">
        <v>214</v>
      </c>
      <c r="CT107" s="7" t="s">
        <v>214</v>
      </c>
      <c r="CU107" s="7" t="s">
        <v>214</v>
      </c>
      <c r="CV107" s="7" t="s">
        <v>214</v>
      </c>
      <c r="CW107" s="7" t="s">
        <v>214</v>
      </c>
      <c r="CX107" s="7" t="s">
        <v>214</v>
      </c>
      <c r="CY107" s="7" t="s">
        <v>214</v>
      </c>
      <c r="CZ107" s="7" t="s">
        <v>214</v>
      </c>
      <c r="DA107" s="7" t="s">
        <v>214</v>
      </c>
      <c r="DB107" s="7" t="s">
        <v>214</v>
      </c>
      <c r="DC107" s="7" t="s">
        <v>214</v>
      </c>
      <c r="DD107" s="7" t="s">
        <v>214</v>
      </c>
      <c r="DE107" s="7" t="s">
        <v>214</v>
      </c>
      <c r="DF107" s="7" t="s">
        <v>218</v>
      </c>
      <c r="DG107" s="7" t="s">
        <v>214</v>
      </c>
      <c r="DH107" s="7" t="s">
        <v>214</v>
      </c>
      <c r="DI107" s="7" t="s">
        <v>214</v>
      </c>
      <c r="DJ107" s="7" t="s">
        <v>214</v>
      </c>
      <c r="DK107" s="7" t="s">
        <v>214</v>
      </c>
      <c r="DL107" s="7" t="s">
        <v>214</v>
      </c>
      <c r="DM107" s="7" t="s">
        <v>214</v>
      </c>
      <c r="DN107" s="7" t="s">
        <v>214</v>
      </c>
      <c r="DO107" s="7" t="s">
        <v>214</v>
      </c>
      <c r="DP107" s="7" t="s">
        <v>218</v>
      </c>
      <c r="DQ107" s="7" t="s">
        <v>214</v>
      </c>
      <c r="DR107" s="7" t="s">
        <v>214</v>
      </c>
      <c r="DS107" s="7" t="s">
        <v>214</v>
      </c>
      <c r="DT107" s="7" t="s">
        <v>214</v>
      </c>
      <c r="DU107" s="7" t="s">
        <v>214</v>
      </c>
      <c r="DV107" s="7" t="s">
        <v>214</v>
      </c>
      <c r="DW107" s="7" t="s">
        <v>214</v>
      </c>
      <c r="DX107" s="7" t="s">
        <v>214</v>
      </c>
      <c r="DY107" s="7" t="s">
        <v>214</v>
      </c>
      <c r="DZ107" s="7" t="s">
        <v>214</v>
      </c>
      <c r="EA107" s="7" t="s">
        <v>214</v>
      </c>
      <c r="EB107" s="7" t="s">
        <v>214</v>
      </c>
      <c r="EC107" s="7" t="s">
        <v>214</v>
      </c>
      <c r="ED107" s="7" t="s">
        <v>214</v>
      </c>
      <c r="EE107" s="7" t="s">
        <v>214</v>
      </c>
      <c r="EF107" s="7" t="s">
        <v>214</v>
      </c>
      <c r="EG107" s="7" t="s">
        <v>214</v>
      </c>
      <c r="EH107" s="7" t="s">
        <v>214</v>
      </c>
      <c r="EI107" s="7" t="s">
        <v>214</v>
      </c>
      <c r="EJ107" s="7" t="s">
        <v>214</v>
      </c>
      <c r="EK107" s="7" t="s">
        <v>214</v>
      </c>
      <c r="EL107" s="7" t="s">
        <v>214</v>
      </c>
      <c r="EM107" s="7" t="s">
        <v>214</v>
      </c>
      <c r="EN107" s="7" t="s">
        <v>214</v>
      </c>
      <c r="EO107" s="7" t="s">
        <v>214</v>
      </c>
      <c r="EP107" s="7" t="s">
        <v>214</v>
      </c>
      <c r="EQ107" s="7" t="s">
        <v>218</v>
      </c>
      <c r="ER107" s="7" t="s">
        <v>214</v>
      </c>
      <c r="ES107" s="7" t="s">
        <v>214</v>
      </c>
      <c r="ET107" s="7" t="s">
        <v>214</v>
      </c>
      <c r="EU107" s="7" t="s">
        <v>214</v>
      </c>
      <c r="EV107" s="7" t="s">
        <v>214</v>
      </c>
      <c r="EW107" s="7" t="s">
        <v>214</v>
      </c>
      <c r="EX107" s="7" t="s">
        <v>214</v>
      </c>
      <c r="EY107" s="7" t="s">
        <v>214</v>
      </c>
      <c r="EZ107" s="7" t="s">
        <v>214</v>
      </c>
      <c r="FA107" s="7" t="s">
        <v>214</v>
      </c>
      <c r="FB107" s="7" t="s">
        <v>214</v>
      </c>
      <c r="FC107" s="7" t="s">
        <v>214</v>
      </c>
      <c r="FD107" s="7" t="s">
        <v>214</v>
      </c>
      <c r="FE107" s="7" t="s">
        <v>214</v>
      </c>
      <c r="FF107" s="7" t="s">
        <v>214</v>
      </c>
      <c r="FG107" s="7" t="s">
        <v>218</v>
      </c>
      <c r="FH107" s="7" t="s">
        <v>214</v>
      </c>
      <c r="FI107" s="7" t="s">
        <v>214</v>
      </c>
      <c r="FJ107" s="7" t="s">
        <v>214</v>
      </c>
      <c r="FK107" s="7" t="s">
        <v>218</v>
      </c>
      <c r="FL107" s="7" t="s">
        <v>214</v>
      </c>
    </row>
    <row r="108" spans="1:168" ht="15" x14ac:dyDescent="0.25">
      <c r="A108" s="5" t="s">
        <v>200</v>
      </c>
      <c r="B108" s="5" t="s">
        <v>7</v>
      </c>
      <c r="C108" s="8" t="s">
        <v>217</v>
      </c>
      <c r="D108" s="8" t="s">
        <v>217</v>
      </c>
      <c r="E108" s="8" t="s">
        <v>214</v>
      </c>
      <c r="F108" s="8" t="s">
        <v>214</v>
      </c>
      <c r="G108" s="8" t="s">
        <v>214</v>
      </c>
      <c r="H108" s="8" t="s">
        <v>214</v>
      </c>
      <c r="I108" s="8" t="s">
        <v>214</v>
      </c>
      <c r="J108" s="8" t="s">
        <v>214</v>
      </c>
      <c r="K108" s="8" t="s">
        <v>214</v>
      </c>
      <c r="L108" s="8" t="s">
        <v>214</v>
      </c>
      <c r="M108" s="8" t="s">
        <v>214</v>
      </c>
      <c r="N108" s="8" t="s">
        <v>214</v>
      </c>
      <c r="O108" s="8" t="s">
        <v>214</v>
      </c>
      <c r="P108" s="8" t="s">
        <v>214</v>
      </c>
      <c r="Q108" s="8" t="s">
        <v>214</v>
      </c>
      <c r="R108" s="8" t="s">
        <v>214</v>
      </c>
      <c r="S108" s="8" t="s">
        <v>214</v>
      </c>
      <c r="T108" s="8" t="s">
        <v>214</v>
      </c>
      <c r="U108" s="8" t="s">
        <v>214</v>
      </c>
      <c r="V108" s="8" t="s">
        <v>214</v>
      </c>
      <c r="W108" s="8" t="s">
        <v>214</v>
      </c>
      <c r="X108" s="8" t="s">
        <v>214</v>
      </c>
      <c r="Y108" s="8" t="s">
        <v>214</v>
      </c>
      <c r="Z108" s="8" t="s">
        <v>214</v>
      </c>
      <c r="AA108" s="8" t="s">
        <v>214</v>
      </c>
      <c r="AB108" s="8" t="s">
        <v>214</v>
      </c>
      <c r="AC108" s="8" t="s">
        <v>214</v>
      </c>
      <c r="AD108" s="8" t="s">
        <v>214</v>
      </c>
      <c r="AE108" s="8" t="s">
        <v>214</v>
      </c>
      <c r="AF108" s="8" t="s">
        <v>214</v>
      </c>
      <c r="AG108" s="8" t="s">
        <v>214</v>
      </c>
      <c r="AH108" s="8" t="s">
        <v>214</v>
      </c>
      <c r="AI108" s="8" t="s">
        <v>214</v>
      </c>
      <c r="AJ108" s="8" t="s">
        <v>214</v>
      </c>
      <c r="AK108" s="8" t="s">
        <v>214</v>
      </c>
      <c r="AL108" s="8" t="s">
        <v>214</v>
      </c>
      <c r="AM108" s="8" t="s">
        <v>214</v>
      </c>
      <c r="AN108" s="8" t="s">
        <v>214</v>
      </c>
      <c r="AO108" s="8" t="s">
        <v>214</v>
      </c>
      <c r="AP108" s="8" t="s">
        <v>214</v>
      </c>
      <c r="AQ108" s="8" t="s">
        <v>214</v>
      </c>
      <c r="AR108" s="8" t="s">
        <v>214</v>
      </c>
      <c r="AS108" s="8" t="s">
        <v>214</v>
      </c>
      <c r="AT108" s="8" t="s">
        <v>214</v>
      </c>
      <c r="AU108" s="8" t="s">
        <v>214</v>
      </c>
      <c r="AV108" s="8" t="s">
        <v>214</v>
      </c>
      <c r="AW108" s="8" t="s">
        <v>214</v>
      </c>
      <c r="AX108" s="8" t="s">
        <v>214</v>
      </c>
      <c r="AY108" s="8" t="s">
        <v>214</v>
      </c>
      <c r="AZ108" s="8" t="s">
        <v>214</v>
      </c>
      <c r="BA108" s="8" t="s">
        <v>214</v>
      </c>
      <c r="BB108" s="8" t="s">
        <v>214</v>
      </c>
      <c r="BC108" s="8" t="s">
        <v>214</v>
      </c>
      <c r="BD108" s="8" t="s">
        <v>214</v>
      </c>
      <c r="BE108" s="8" t="s">
        <v>214</v>
      </c>
      <c r="BF108" s="8" t="s">
        <v>214</v>
      </c>
      <c r="BG108" s="8" t="s">
        <v>214</v>
      </c>
      <c r="BH108" s="8" t="s">
        <v>214</v>
      </c>
      <c r="BI108" s="8" t="s">
        <v>214</v>
      </c>
      <c r="BJ108" s="8" t="s">
        <v>214</v>
      </c>
      <c r="BK108" s="8" t="s">
        <v>214</v>
      </c>
      <c r="BL108" s="8" t="s">
        <v>214</v>
      </c>
      <c r="BM108" s="8" t="s">
        <v>214</v>
      </c>
      <c r="BN108" s="8" t="s">
        <v>214</v>
      </c>
      <c r="BO108" s="8" t="s">
        <v>214</v>
      </c>
      <c r="BP108" s="8" t="s">
        <v>214</v>
      </c>
      <c r="BQ108" s="8" t="s">
        <v>214</v>
      </c>
      <c r="BR108" s="8" t="s">
        <v>214</v>
      </c>
      <c r="BS108" s="8" t="s">
        <v>214</v>
      </c>
      <c r="BT108" s="8" t="s">
        <v>214</v>
      </c>
      <c r="BU108" s="8" t="s">
        <v>214</v>
      </c>
      <c r="BV108" s="8" t="s">
        <v>214</v>
      </c>
      <c r="BW108" s="8" t="s">
        <v>214</v>
      </c>
      <c r="BX108" s="8" t="s">
        <v>214</v>
      </c>
      <c r="BY108" s="8" t="s">
        <v>214</v>
      </c>
      <c r="BZ108" s="8" t="s">
        <v>214</v>
      </c>
      <c r="CA108" s="8" t="s">
        <v>214</v>
      </c>
      <c r="CB108" s="8" t="s">
        <v>214</v>
      </c>
      <c r="CC108" s="8" t="s">
        <v>214</v>
      </c>
      <c r="CD108" s="8" t="s">
        <v>214</v>
      </c>
      <c r="CE108" s="8" t="s">
        <v>214</v>
      </c>
      <c r="CF108" s="8" t="s">
        <v>214</v>
      </c>
      <c r="CG108" s="8" t="s">
        <v>214</v>
      </c>
      <c r="CH108" s="8" t="s">
        <v>214</v>
      </c>
      <c r="CI108" s="8" t="s">
        <v>214</v>
      </c>
      <c r="CJ108" s="8" t="s">
        <v>218</v>
      </c>
      <c r="CK108" s="8" t="s">
        <v>218</v>
      </c>
      <c r="CL108" s="8" t="s">
        <v>214</v>
      </c>
      <c r="CM108" s="8" t="s">
        <v>214</v>
      </c>
      <c r="CN108" s="8" t="s">
        <v>214</v>
      </c>
      <c r="CO108" s="8" t="s">
        <v>214</v>
      </c>
      <c r="CP108" s="8" t="s">
        <v>214</v>
      </c>
      <c r="CQ108" s="8" t="s">
        <v>214</v>
      </c>
      <c r="CR108" s="8" t="s">
        <v>214</v>
      </c>
      <c r="CS108" s="8" t="s">
        <v>214</v>
      </c>
      <c r="CT108" s="8" t="s">
        <v>214</v>
      </c>
      <c r="CU108" s="8" t="s">
        <v>214</v>
      </c>
      <c r="CV108" s="8" t="s">
        <v>214</v>
      </c>
      <c r="CW108" s="8" t="s">
        <v>214</v>
      </c>
      <c r="CX108" s="8" t="s">
        <v>214</v>
      </c>
      <c r="CY108" s="8" t="s">
        <v>214</v>
      </c>
      <c r="CZ108" s="8" t="s">
        <v>214</v>
      </c>
      <c r="DA108" s="8" t="s">
        <v>214</v>
      </c>
      <c r="DB108" s="8" t="s">
        <v>214</v>
      </c>
      <c r="DC108" s="8" t="s">
        <v>214</v>
      </c>
      <c r="DD108" s="8" t="s">
        <v>214</v>
      </c>
      <c r="DE108" s="8" t="s">
        <v>214</v>
      </c>
      <c r="DF108" s="8" t="s">
        <v>214</v>
      </c>
      <c r="DG108" s="8" t="s">
        <v>214</v>
      </c>
      <c r="DH108" s="8" t="s">
        <v>214</v>
      </c>
      <c r="DI108" s="8" t="s">
        <v>214</v>
      </c>
      <c r="DJ108" s="8" t="s">
        <v>214</v>
      </c>
      <c r="DK108" s="8" t="s">
        <v>214</v>
      </c>
      <c r="DL108" s="8" t="s">
        <v>214</v>
      </c>
      <c r="DM108" s="8" t="s">
        <v>214</v>
      </c>
      <c r="DN108" s="8" t="s">
        <v>214</v>
      </c>
      <c r="DO108" s="8" t="s">
        <v>214</v>
      </c>
      <c r="DP108" s="8" t="s">
        <v>218</v>
      </c>
      <c r="DQ108" s="8" t="s">
        <v>214</v>
      </c>
      <c r="DR108" s="8" t="s">
        <v>214</v>
      </c>
      <c r="DS108" s="8" t="s">
        <v>214</v>
      </c>
      <c r="DT108" s="8" t="s">
        <v>214</v>
      </c>
      <c r="DU108" s="8" t="s">
        <v>214</v>
      </c>
      <c r="DV108" s="8" t="s">
        <v>214</v>
      </c>
      <c r="DW108" s="8" t="s">
        <v>214</v>
      </c>
      <c r="DX108" s="8" t="s">
        <v>214</v>
      </c>
      <c r="DY108" s="8" t="s">
        <v>214</v>
      </c>
      <c r="DZ108" s="8" t="s">
        <v>214</v>
      </c>
      <c r="EA108" s="8" t="s">
        <v>214</v>
      </c>
      <c r="EB108" s="8" t="s">
        <v>214</v>
      </c>
      <c r="EC108" s="8" t="s">
        <v>214</v>
      </c>
      <c r="ED108" s="8" t="s">
        <v>214</v>
      </c>
      <c r="EE108" s="8" t="s">
        <v>214</v>
      </c>
      <c r="EF108" s="8" t="s">
        <v>214</v>
      </c>
      <c r="EG108" s="8" t="s">
        <v>214</v>
      </c>
      <c r="EH108" s="8" t="s">
        <v>214</v>
      </c>
      <c r="EI108" s="8" t="s">
        <v>214</v>
      </c>
      <c r="EJ108" s="8" t="s">
        <v>214</v>
      </c>
      <c r="EK108" s="8" t="s">
        <v>214</v>
      </c>
      <c r="EL108" s="8" t="s">
        <v>214</v>
      </c>
      <c r="EM108" s="8" t="s">
        <v>214</v>
      </c>
      <c r="EN108" s="8" t="s">
        <v>214</v>
      </c>
      <c r="EO108" s="8" t="s">
        <v>214</v>
      </c>
      <c r="EP108" s="8" t="s">
        <v>214</v>
      </c>
      <c r="EQ108" s="8" t="s">
        <v>218</v>
      </c>
      <c r="ER108" s="8" t="s">
        <v>214</v>
      </c>
      <c r="ES108" s="8" t="s">
        <v>214</v>
      </c>
      <c r="ET108" s="8" t="s">
        <v>214</v>
      </c>
      <c r="EU108" s="8" t="s">
        <v>214</v>
      </c>
      <c r="EV108" s="8" t="s">
        <v>214</v>
      </c>
      <c r="EW108" s="8" t="s">
        <v>214</v>
      </c>
      <c r="EX108" s="8" t="s">
        <v>214</v>
      </c>
      <c r="EY108" s="8" t="s">
        <v>214</v>
      </c>
      <c r="EZ108" s="8" t="s">
        <v>214</v>
      </c>
      <c r="FA108" s="8" t="s">
        <v>214</v>
      </c>
      <c r="FB108" s="8" t="s">
        <v>214</v>
      </c>
      <c r="FC108" s="8" t="s">
        <v>214</v>
      </c>
      <c r="FD108" s="8" t="s">
        <v>214</v>
      </c>
      <c r="FE108" s="8" t="s">
        <v>214</v>
      </c>
      <c r="FF108" s="8" t="s">
        <v>214</v>
      </c>
      <c r="FG108" s="8" t="s">
        <v>218</v>
      </c>
      <c r="FH108" s="8" t="s">
        <v>214</v>
      </c>
      <c r="FI108" s="8" t="s">
        <v>214</v>
      </c>
      <c r="FJ108" s="8" t="s">
        <v>214</v>
      </c>
      <c r="FK108" s="8" t="s">
        <v>218</v>
      </c>
      <c r="FL108" s="8" t="s">
        <v>214</v>
      </c>
    </row>
    <row r="109" spans="1:168" ht="15" x14ac:dyDescent="0.25">
      <c r="A109" s="5" t="s">
        <v>200</v>
      </c>
      <c r="B109" s="5" t="s">
        <v>8</v>
      </c>
      <c r="C109" s="7" t="s">
        <v>217</v>
      </c>
      <c r="D109" s="7" t="s">
        <v>217</v>
      </c>
      <c r="E109" s="7" t="s">
        <v>214</v>
      </c>
      <c r="F109" s="7" t="s">
        <v>214</v>
      </c>
      <c r="G109" s="7" t="s">
        <v>214</v>
      </c>
      <c r="H109" s="7" t="s">
        <v>214</v>
      </c>
      <c r="I109" s="7" t="s">
        <v>214</v>
      </c>
      <c r="J109" s="7" t="s">
        <v>214</v>
      </c>
      <c r="K109" s="7" t="s">
        <v>214</v>
      </c>
      <c r="L109" s="7" t="s">
        <v>214</v>
      </c>
      <c r="M109" s="7" t="s">
        <v>214</v>
      </c>
      <c r="N109" s="7" t="s">
        <v>214</v>
      </c>
      <c r="O109" s="7" t="s">
        <v>214</v>
      </c>
      <c r="P109" s="7" t="s">
        <v>214</v>
      </c>
      <c r="Q109" s="7" t="s">
        <v>214</v>
      </c>
      <c r="R109" s="7" t="s">
        <v>214</v>
      </c>
      <c r="S109" s="7" t="s">
        <v>214</v>
      </c>
      <c r="T109" s="7" t="s">
        <v>214</v>
      </c>
      <c r="U109" s="7" t="s">
        <v>214</v>
      </c>
      <c r="V109" s="7" t="s">
        <v>214</v>
      </c>
      <c r="W109" s="7" t="s">
        <v>214</v>
      </c>
      <c r="X109" s="7" t="s">
        <v>214</v>
      </c>
      <c r="Y109" s="7" t="s">
        <v>214</v>
      </c>
      <c r="Z109" s="7" t="s">
        <v>214</v>
      </c>
      <c r="AA109" s="7" t="s">
        <v>214</v>
      </c>
      <c r="AB109" s="7" t="s">
        <v>214</v>
      </c>
      <c r="AC109" s="7" t="s">
        <v>214</v>
      </c>
      <c r="AD109" s="7" t="s">
        <v>214</v>
      </c>
      <c r="AE109" s="7" t="s">
        <v>214</v>
      </c>
      <c r="AF109" s="7" t="s">
        <v>214</v>
      </c>
      <c r="AG109" s="7" t="s">
        <v>214</v>
      </c>
      <c r="AH109" s="7" t="s">
        <v>214</v>
      </c>
      <c r="AI109" s="7" t="s">
        <v>214</v>
      </c>
      <c r="AJ109" s="7" t="s">
        <v>214</v>
      </c>
      <c r="AK109" s="7" t="s">
        <v>214</v>
      </c>
      <c r="AL109" s="7" t="s">
        <v>214</v>
      </c>
      <c r="AM109" s="7" t="s">
        <v>214</v>
      </c>
      <c r="AN109" s="7" t="s">
        <v>214</v>
      </c>
      <c r="AO109" s="7" t="s">
        <v>214</v>
      </c>
      <c r="AP109" s="7" t="s">
        <v>214</v>
      </c>
      <c r="AQ109" s="7" t="s">
        <v>214</v>
      </c>
      <c r="AR109" s="7" t="s">
        <v>214</v>
      </c>
      <c r="AS109" s="7" t="s">
        <v>214</v>
      </c>
      <c r="AT109" s="7" t="s">
        <v>214</v>
      </c>
      <c r="AU109" s="7" t="s">
        <v>214</v>
      </c>
      <c r="AV109" s="7" t="s">
        <v>214</v>
      </c>
      <c r="AW109" s="7" t="s">
        <v>214</v>
      </c>
      <c r="AX109" s="7" t="s">
        <v>214</v>
      </c>
      <c r="AY109" s="7" t="s">
        <v>214</v>
      </c>
      <c r="AZ109" s="7" t="s">
        <v>214</v>
      </c>
      <c r="BA109" s="7" t="s">
        <v>214</v>
      </c>
      <c r="BB109" s="7" t="s">
        <v>214</v>
      </c>
      <c r="BC109" s="7" t="s">
        <v>214</v>
      </c>
      <c r="BD109" s="7" t="s">
        <v>214</v>
      </c>
      <c r="BE109" s="7" t="s">
        <v>214</v>
      </c>
      <c r="BF109" s="7" t="s">
        <v>214</v>
      </c>
      <c r="BG109" s="7" t="s">
        <v>214</v>
      </c>
      <c r="BH109" s="7" t="s">
        <v>214</v>
      </c>
      <c r="BI109" s="7" t="s">
        <v>214</v>
      </c>
      <c r="BJ109" s="7" t="s">
        <v>218</v>
      </c>
      <c r="BK109" s="7" t="s">
        <v>214</v>
      </c>
      <c r="BL109" s="7" t="s">
        <v>214</v>
      </c>
      <c r="BM109" s="7" t="s">
        <v>214</v>
      </c>
      <c r="BN109" s="7" t="s">
        <v>214</v>
      </c>
      <c r="BO109" s="7" t="s">
        <v>214</v>
      </c>
      <c r="BP109" s="7" t="s">
        <v>214</v>
      </c>
      <c r="BQ109" s="7" t="s">
        <v>214</v>
      </c>
      <c r="BR109" s="7" t="s">
        <v>214</v>
      </c>
      <c r="BS109" s="7" t="s">
        <v>218</v>
      </c>
      <c r="BT109" s="7" t="s">
        <v>218</v>
      </c>
      <c r="BU109" s="7" t="s">
        <v>218</v>
      </c>
      <c r="BV109" s="7" t="s">
        <v>218</v>
      </c>
      <c r="BW109" s="7" t="s">
        <v>214</v>
      </c>
      <c r="BX109" s="7" t="s">
        <v>214</v>
      </c>
      <c r="BY109" s="7" t="s">
        <v>214</v>
      </c>
      <c r="BZ109" s="7" t="s">
        <v>214</v>
      </c>
      <c r="CA109" s="7" t="s">
        <v>214</v>
      </c>
      <c r="CB109" s="7" t="s">
        <v>214</v>
      </c>
      <c r="CC109" s="7" t="s">
        <v>214</v>
      </c>
      <c r="CD109" s="7" t="s">
        <v>214</v>
      </c>
      <c r="CE109" s="7" t="s">
        <v>214</v>
      </c>
      <c r="CF109" s="7" t="s">
        <v>214</v>
      </c>
      <c r="CG109" s="7" t="s">
        <v>214</v>
      </c>
      <c r="CH109" s="7" t="s">
        <v>214</v>
      </c>
      <c r="CI109" s="7" t="s">
        <v>214</v>
      </c>
      <c r="CJ109" s="7" t="s">
        <v>218</v>
      </c>
      <c r="CK109" s="7" t="s">
        <v>218</v>
      </c>
      <c r="CL109" s="7" t="s">
        <v>214</v>
      </c>
      <c r="CM109" s="7" t="s">
        <v>214</v>
      </c>
      <c r="CN109" s="7" t="s">
        <v>214</v>
      </c>
      <c r="CO109" s="7" t="s">
        <v>214</v>
      </c>
      <c r="CP109" s="7" t="s">
        <v>214</v>
      </c>
      <c r="CQ109" s="7" t="s">
        <v>214</v>
      </c>
      <c r="CR109" s="7" t="s">
        <v>214</v>
      </c>
      <c r="CS109" s="7" t="s">
        <v>214</v>
      </c>
      <c r="CT109" s="7" t="s">
        <v>214</v>
      </c>
      <c r="CU109" s="7" t="s">
        <v>214</v>
      </c>
      <c r="CV109" s="7" t="s">
        <v>214</v>
      </c>
      <c r="CW109" s="7" t="s">
        <v>214</v>
      </c>
      <c r="CX109" s="7" t="s">
        <v>214</v>
      </c>
      <c r="CY109" s="7" t="s">
        <v>214</v>
      </c>
      <c r="CZ109" s="7" t="s">
        <v>214</v>
      </c>
      <c r="DA109" s="7" t="s">
        <v>214</v>
      </c>
      <c r="DB109" s="7" t="s">
        <v>218</v>
      </c>
      <c r="DC109" s="7" t="s">
        <v>214</v>
      </c>
      <c r="DD109" s="7" t="s">
        <v>214</v>
      </c>
      <c r="DE109" s="7" t="s">
        <v>214</v>
      </c>
      <c r="DF109" s="7" t="s">
        <v>218</v>
      </c>
      <c r="DG109" s="7" t="s">
        <v>214</v>
      </c>
      <c r="DH109" s="7" t="s">
        <v>214</v>
      </c>
      <c r="DI109" s="7" t="s">
        <v>218</v>
      </c>
      <c r="DJ109" s="7" t="s">
        <v>218</v>
      </c>
      <c r="DK109" s="7" t="s">
        <v>214</v>
      </c>
      <c r="DL109" s="7" t="s">
        <v>218</v>
      </c>
      <c r="DM109" s="7" t="s">
        <v>214</v>
      </c>
      <c r="DN109" s="7" t="s">
        <v>214</v>
      </c>
      <c r="DO109" s="7" t="s">
        <v>214</v>
      </c>
      <c r="DP109" s="7" t="s">
        <v>218</v>
      </c>
      <c r="DQ109" s="7" t="s">
        <v>214</v>
      </c>
      <c r="DR109" s="7" t="s">
        <v>214</v>
      </c>
      <c r="DS109" s="7" t="s">
        <v>214</v>
      </c>
      <c r="DT109" s="7" t="s">
        <v>214</v>
      </c>
      <c r="DU109" s="7" t="s">
        <v>217</v>
      </c>
      <c r="DV109" s="7" t="s">
        <v>214</v>
      </c>
      <c r="DW109" s="7" t="s">
        <v>214</v>
      </c>
      <c r="DX109" s="7" t="s">
        <v>214</v>
      </c>
      <c r="DY109" s="7" t="s">
        <v>214</v>
      </c>
      <c r="DZ109" s="7" t="s">
        <v>214</v>
      </c>
      <c r="EA109" s="7" t="s">
        <v>214</v>
      </c>
      <c r="EB109" s="7" t="s">
        <v>214</v>
      </c>
      <c r="EC109" s="7" t="s">
        <v>214</v>
      </c>
      <c r="ED109" s="7" t="s">
        <v>214</v>
      </c>
      <c r="EE109" s="7" t="s">
        <v>214</v>
      </c>
      <c r="EF109" s="7" t="s">
        <v>214</v>
      </c>
      <c r="EG109" s="7" t="s">
        <v>214</v>
      </c>
      <c r="EH109" s="7" t="s">
        <v>214</v>
      </c>
      <c r="EI109" s="7" t="s">
        <v>214</v>
      </c>
      <c r="EJ109" s="7" t="s">
        <v>214</v>
      </c>
      <c r="EK109" s="7" t="s">
        <v>214</v>
      </c>
      <c r="EL109" s="7" t="s">
        <v>214</v>
      </c>
      <c r="EM109" s="7" t="s">
        <v>214</v>
      </c>
      <c r="EN109" s="7" t="s">
        <v>214</v>
      </c>
      <c r="EO109" s="7" t="s">
        <v>214</v>
      </c>
      <c r="EP109" s="7" t="s">
        <v>214</v>
      </c>
      <c r="EQ109" s="7" t="s">
        <v>218</v>
      </c>
      <c r="ER109" s="7" t="s">
        <v>214</v>
      </c>
      <c r="ES109" s="7" t="s">
        <v>214</v>
      </c>
      <c r="ET109" s="7" t="s">
        <v>214</v>
      </c>
      <c r="EU109" s="7" t="s">
        <v>214</v>
      </c>
      <c r="EV109" s="7" t="s">
        <v>214</v>
      </c>
      <c r="EW109" s="7" t="s">
        <v>214</v>
      </c>
      <c r="EX109" s="7" t="s">
        <v>214</v>
      </c>
      <c r="EY109" s="7" t="s">
        <v>214</v>
      </c>
      <c r="EZ109" s="7" t="s">
        <v>214</v>
      </c>
      <c r="FA109" s="7" t="s">
        <v>214</v>
      </c>
      <c r="FB109" s="7" t="s">
        <v>214</v>
      </c>
      <c r="FC109" s="7" t="s">
        <v>214</v>
      </c>
      <c r="FD109" s="7" t="s">
        <v>214</v>
      </c>
      <c r="FE109" s="7" t="s">
        <v>214</v>
      </c>
      <c r="FF109" s="7" t="s">
        <v>218</v>
      </c>
      <c r="FG109" s="7" t="s">
        <v>218</v>
      </c>
      <c r="FH109" s="7" t="s">
        <v>214</v>
      </c>
      <c r="FI109" s="7" t="s">
        <v>214</v>
      </c>
      <c r="FJ109" s="7" t="s">
        <v>214</v>
      </c>
      <c r="FK109" s="7" t="s">
        <v>218</v>
      </c>
      <c r="FL109" s="7" t="s">
        <v>214</v>
      </c>
    </row>
    <row r="110" spans="1:168" ht="15" x14ac:dyDescent="0.25">
      <c r="A110" s="5" t="s">
        <v>200</v>
      </c>
      <c r="B110" s="5" t="s">
        <v>9</v>
      </c>
      <c r="C110" s="8" t="s">
        <v>217</v>
      </c>
      <c r="D110" s="8" t="s">
        <v>217</v>
      </c>
      <c r="E110" s="8" t="s">
        <v>214</v>
      </c>
      <c r="F110" s="8" t="s">
        <v>214</v>
      </c>
      <c r="G110" s="8" t="s">
        <v>214</v>
      </c>
      <c r="H110" s="8" t="s">
        <v>214</v>
      </c>
      <c r="I110" s="8" t="s">
        <v>214</v>
      </c>
      <c r="J110" s="8" t="s">
        <v>214</v>
      </c>
      <c r="K110" s="8" t="s">
        <v>214</v>
      </c>
      <c r="L110" s="8" t="s">
        <v>214</v>
      </c>
      <c r="M110" s="8" t="s">
        <v>214</v>
      </c>
      <c r="N110" s="8" t="s">
        <v>214</v>
      </c>
      <c r="O110" s="8" t="s">
        <v>214</v>
      </c>
      <c r="P110" s="8" t="s">
        <v>214</v>
      </c>
      <c r="Q110" s="8" t="s">
        <v>214</v>
      </c>
      <c r="R110" s="8" t="s">
        <v>214</v>
      </c>
      <c r="S110" s="8" t="s">
        <v>214</v>
      </c>
      <c r="T110" s="8" t="s">
        <v>214</v>
      </c>
      <c r="U110" s="8" t="s">
        <v>214</v>
      </c>
      <c r="V110" s="8" t="s">
        <v>214</v>
      </c>
      <c r="W110" s="8" t="s">
        <v>214</v>
      </c>
      <c r="X110" s="8" t="s">
        <v>214</v>
      </c>
      <c r="Y110" s="8" t="s">
        <v>214</v>
      </c>
      <c r="Z110" s="8" t="s">
        <v>214</v>
      </c>
      <c r="AA110" s="8" t="s">
        <v>214</v>
      </c>
      <c r="AB110" s="8" t="s">
        <v>214</v>
      </c>
      <c r="AC110" s="8" t="s">
        <v>214</v>
      </c>
      <c r="AD110" s="8" t="s">
        <v>214</v>
      </c>
      <c r="AE110" s="8" t="s">
        <v>214</v>
      </c>
      <c r="AF110" s="8" t="s">
        <v>214</v>
      </c>
      <c r="AG110" s="8" t="s">
        <v>214</v>
      </c>
      <c r="AH110" s="8" t="s">
        <v>214</v>
      </c>
      <c r="AI110" s="8" t="s">
        <v>214</v>
      </c>
      <c r="AJ110" s="8" t="s">
        <v>214</v>
      </c>
      <c r="AK110" s="8" t="s">
        <v>214</v>
      </c>
      <c r="AL110" s="8" t="s">
        <v>214</v>
      </c>
      <c r="AM110" s="8" t="s">
        <v>214</v>
      </c>
      <c r="AN110" s="8" t="s">
        <v>214</v>
      </c>
      <c r="AO110" s="8" t="s">
        <v>214</v>
      </c>
      <c r="AP110" s="8" t="s">
        <v>214</v>
      </c>
      <c r="AQ110" s="8" t="s">
        <v>214</v>
      </c>
      <c r="AR110" s="8" t="s">
        <v>214</v>
      </c>
      <c r="AS110" s="8" t="s">
        <v>214</v>
      </c>
      <c r="AT110" s="8" t="s">
        <v>214</v>
      </c>
      <c r="AU110" s="8" t="s">
        <v>214</v>
      </c>
      <c r="AV110" s="8" t="s">
        <v>214</v>
      </c>
      <c r="AW110" s="8" t="s">
        <v>214</v>
      </c>
      <c r="AX110" s="8" t="s">
        <v>214</v>
      </c>
      <c r="AY110" s="8" t="s">
        <v>214</v>
      </c>
      <c r="AZ110" s="8" t="s">
        <v>214</v>
      </c>
      <c r="BA110" s="8" t="s">
        <v>214</v>
      </c>
      <c r="BB110" s="8" t="s">
        <v>214</v>
      </c>
      <c r="BC110" s="8" t="s">
        <v>214</v>
      </c>
      <c r="BD110" s="8" t="s">
        <v>214</v>
      </c>
      <c r="BE110" s="8" t="s">
        <v>214</v>
      </c>
      <c r="BF110" s="8" t="s">
        <v>214</v>
      </c>
      <c r="BG110" s="8" t="s">
        <v>214</v>
      </c>
      <c r="BH110" s="8" t="s">
        <v>214</v>
      </c>
      <c r="BI110" s="8" t="s">
        <v>214</v>
      </c>
      <c r="BJ110" s="8" t="s">
        <v>218</v>
      </c>
      <c r="BK110" s="8" t="s">
        <v>214</v>
      </c>
      <c r="BL110" s="8" t="s">
        <v>214</v>
      </c>
      <c r="BM110" s="8" t="s">
        <v>214</v>
      </c>
      <c r="BN110" s="8" t="s">
        <v>214</v>
      </c>
      <c r="BO110" s="8" t="s">
        <v>214</v>
      </c>
      <c r="BP110" s="8" t="s">
        <v>214</v>
      </c>
      <c r="BQ110" s="8" t="s">
        <v>214</v>
      </c>
      <c r="BR110" s="8" t="s">
        <v>214</v>
      </c>
      <c r="BS110" s="8" t="s">
        <v>218</v>
      </c>
      <c r="BT110" s="8" t="s">
        <v>218</v>
      </c>
      <c r="BU110" s="8" t="s">
        <v>218</v>
      </c>
      <c r="BV110" s="8" t="s">
        <v>218</v>
      </c>
      <c r="BW110" s="8" t="s">
        <v>214</v>
      </c>
      <c r="BX110" s="8" t="s">
        <v>214</v>
      </c>
      <c r="BY110" s="8" t="s">
        <v>214</v>
      </c>
      <c r="BZ110" s="8" t="s">
        <v>214</v>
      </c>
      <c r="CA110" s="8" t="s">
        <v>214</v>
      </c>
      <c r="CB110" s="8" t="s">
        <v>214</v>
      </c>
      <c r="CC110" s="8" t="s">
        <v>214</v>
      </c>
      <c r="CD110" s="8" t="s">
        <v>214</v>
      </c>
      <c r="CE110" s="8" t="s">
        <v>214</v>
      </c>
      <c r="CF110" s="8" t="s">
        <v>214</v>
      </c>
      <c r="CG110" s="8" t="s">
        <v>214</v>
      </c>
      <c r="CH110" s="8" t="s">
        <v>214</v>
      </c>
      <c r="CI110" s="8" t="s">
        <v>214</v>
      </c>
      <c r="CJ110" s="8" t="s">
        <v>214</v>
      </c>
      <c r="CK110" s="8" t="s">
        <v>218</v>
      </c>
      <c r="CL110" s="8" t="s">
        <v>214</v>
      </c>
      <c r="CM110" s="8" t="s">
        <v>214</v>
      </c>
      <c r="CN110" s="8" t="s">
        <v>214</v>
      </c>
      <c r="CO110" s="8" t="s">
        <v>214</v>
      </c>
      <c r="CP110" s="8" t="s">
        <v>214</v>
      </c>
      <c r="CQ110" s="8" t="s">
        <v>214</v>
      </c>
      <c r="CR110" s="8" t="s">
        <v>214</v>
      </c>
      <c r="CS110" s="8" t="s">
        <v>214</v>
      </c>
      <c r="CT110" s="8" t="s">
        <v>214</v>
      </c>
      <c r="CU110" s="8" t="s">
        <v>214</v>
      </c>
      <c r="CV110" s="8" t="s">
        <v>214</v>
      </c>
      <c r="CW110" s="8" t="s">
        <v>214</v>
      </c>
      <c r="CX110" s="8" t="s">
        <v>214</v>
      </c>
      <c r="CY110" s="8" t="s">
        <v>214</v>
      </c>
      <c r="CZ110" s="8" t="s">
        <v>214</v>
      </c>
      <c r="DA110" s="8" t="s">
        <v>214</v>
      </c>
      <c r="DB110" s="8" t="s">
        <v>214</v>
      </c>
      <c r="DC110" s="8" t="s">
        <v>214</v>
      </c>
      <c r="DD110" s="8" t="s">
        <v>214</v>
      </c>
      <c r="DE110" s="8" t="s">
        <v>214</v>
      </c>
      <c r="DF110" s="8" t="s">
        <v>218</v>
      </c>
      <c r="DG110" s="8" t="s">
        <v>214</v>
      </c>
      <c r="DH110" s="8" t="s">
        <v>214</v>
      </c>
      <c r="DI110" s="8" t="s">
        <v>218</v>
      </c>
      <c r="DJ110" s="8" t="s">
        <v>218</v>
      </c>
      <c r="DK110" s="8" t="s">
        <v>214</v>
      </c>
      <c r="DL110" s="8" t="s">
        <v>218</v>
      </c>
      <c r="DM110" s="8" t="s">
        <v>214</v>
      </c>
      <c r="DN110" s="8" t="s">
        <v>214</v>
      </c>
      <c r="DO110" s="8" t="s">
        <v>214</v>
      </c>
      <c r="DP110" s="8" t="s">
        <v>218</v>
      </c>
      <c r="DQ110" s="8" t="s">
        <v>214</v>
      </c>
      <c r="DR110" s="8" t="s">
        <v>214</v>
      </c>
      <c r="DS110" s="8" t="s">
        <v>214</v>
      </c>
      <c r="DT110" s="8" t="s">
        <v>214</v>
      </c>
      <c r="DU110" s="8" t="s">
        <v>217</v>
      </c>
      <c r="DV110" s="8" t="s">
        <v>214</v>
      </c>
      <c r="DW110" s="8" t="s">
        <v>214</v>
      </c>
      <c r="DX110" s="8" t="s">
        <v>214</v>
      </c>
      <c r="DY110" s="8" t="s">
        <v>214</v>
      </c>
      <c r="DZ110" s="8" t="s">
        <v>214</v>
      </c>
      <c r="EA110" s="8" t="s">
        <v>214</v>
      </c>
      <c r="EB110" s="8" t="s">
        <v>214</v>
      </c>
      <c r="EC110" s="8" t="s">
        <v>214</v>
      </c>
      <c r="ED110" s="8" t="s">
        <v>214</v>
      </c>
      <c r="EE110" s="8" t="s">
        <v>214</v>
      </c>
      <c r="EF110" s="8" t="s">
        <v>214</v>
      </c>
      <c r="EG110" s="8" t="s">
        <v>214</v>
      </c>
      <c r="EH110" s="8" t="s">
        <v>214</v>
      </c>
      <c r="EI110" s="8" t="s">
        <v>214</v>
      </c>
      <c r="EJ110" s="8" t="s">
        <v>214</v>
      </c>
      <c r="EK110" s="8" t="s">
        <v>214</v>
      </c>
      <c r="EL110" s="8" t="s">
        <v>214</v>
      </c>
      <c r="EM110" s="8" t="s">
        <v>214</v>
      </c>
      <c r="EN110" s="8" t="s">
        <v>214</v>
      </c>
      <c r="EO110" s="8" t="s">
        <v>214</v>
      </c>
      <c r="EP110" s="8" t="s">
        <v>214</v>
      </c>
      <c r="EQ110" s="8" t="s">
        <v>218</v>
      </c>
      <c r="ER110" s="8" t="s">
        <v>214</v>
      </c>
      <c r="ES110" s="8" t="s">
        <v>214</v>
      </c>
      <c r="ET110" s="8" t="s">
        <v>214</v>
      </c>
      <c r="EU110" s="8" t="s">
        <v>214</v>
      </c>
      <c r="EV110" s="8" t="s">
        <v>214</v>
      </c>
      <c r="EW110" s="8" t="s">
        <v>214</v>
      </c>
      <c r="EX110" s="8" t="s">
        <v>214</v>
      </c>
      <c r="EY110" s="8" t="s">
        <v>214</v>
      </c>
      <c r="EZ110" s="8" t="s">
        <v>214</v>
      </c>
      <c r="FA110" s="8" t="s">
        <v>214</v>
      </c>
      <c r="FB110" s="8" t="s">
        <v>214</v>
      </c>
      <c r="FC110" s="8" t="s">
        <v>214</v>
      </c>
      <c r="FD110" s="8" t="s">
        <v>214</v>
      </c>
      <c r="FE110" s="8" t="s">
        <v>214</v>
      </c>
      <c r="FF110" s="8" t="s">
        <v>218</v>
      </c>
      <c r="FG110" s="8" t="s">
        <v>218</v>
      </c>
      <c r="FH110" s="8" t="s">
        <v>214</v>
      </c>
      <c r="FI110" s="8" t="s">
        <v>214</v>
      </c>
      <c r="FJ110" s="8" t="s">
        <v>214</v>
      </c>
      <c r="FK110" s="8" t="s">
        <v>218</v>
      </c>
      <c r="FL110" s="8" t="s">
        <v>214</v>
      </c>
    </row>
    <row r="111" spans="1:168" ht="15" x14ac:dyDescent="0.25">
      <c r="A111" s="5" t="s">
        <v>201</v>
      </c>
      <c r="B111" s="5" t="s">
        <v>6</v>
      </c>
      <c r="C111" s="7" t="s">
        <v>214</v>
      </c>
      <c r="D111" s="7" t="s">
        <v>214</v>
      </c>
      <c r="E111" s="7" t="s">
        <v>214</v>
      </c>
      <c r="F111" s="7" t="s">
        <v>214</v>
      </c>
      <c r="G111" s="7" t="s">
        <v>214</v>
      </c>
      <c r="H111" s="7" t="s">
        <v>214</v>
      </c>
      <c r="I111" s="7" t="s">
        <v>214</v>
      </c>
      <c r="J111" s="7" t="s">
        <v>214</v>
      </c>
      <c r="K111" s="7" t="s">
        <v>214</v>
      </c>
      <c r="L111" s="7" t="s">
        <v>214</v>
      </c>
      <c r="M111" s="7" t="s">
        <v>214</v>
      </c>
      <c r="N111" s="7" t="s">
        <v>214</v>
      </c>
      <c r="O111" s="7" t="s">
        <v>214</v>
      </c>
      <c r="P111" s="7" t="s">
        <v>214</v>
      </c>
      <c r="Q111" s="7" t="s">
        <v>214</v>
      </c>
      <c r="R111" s="7" t="s">
        <v>214</v>
      </c>
      <c r="S111" s="7" t="s">
        <v>214</v>
      </c>
      <c r="T111" s="7" t="s">
        <v>214</v>
      </c>
      <c r="U111" s="7" t="s">
        <v>214</v>
      </c>
      <c r="V111" s="7" t="s">
        <v>214</v>
      </c>
      <c r="W111" s="7" t="s">
        <v>214</v>
      </c>
      <c r="X111" s="7" t="s">
        <v>214</v>
      </c>
      <c r="Y111" s="7" t="s">
        <v>214</v>
      </c>
      <c r="Z111" s="7" t="s">
        <v>214</v>
      </c>
      <c r="AA111" s="7" t="s">
        <v>214</v>
      </c>
      <c r="AB111" s="7" t="s">
        <v>214</v>
      </c>
      <c r="AC111" s="7" t="s">
        <v>214</v>
      </c>
      <c r="AD111" s="7" t="s">
        <v>214</v>
      </c>
      <c r="AE111" s="7" t="s">
        <v>214</v>
      </c>
      <c r="AF111" s="7" t="s">
        <v>214</v>
      </c>
      <c r="AG111" s="7" t="s">
        <v>214</v>
      </c>
      <c r="AH111" s="7" t="s">
        <v>214</v>
      </c>
      <c r="AI111" s="7" t="s">
        <v>214</v>
      </c>
      <c r="AJ111" s="7" t="s">
        <v>214</v>
      </c>
      <c r="AK111" s="7" t="s">
        <v>214</v>
      </c>
      <c r="AL111" s="7" t="s">
        <v>214</v>
      </c>
      <c r="AM111" s="7" t="s">
        <v>214</v>
      </c>
      <c r="AN111" s="7" t="s">
        <v>214</v>
      </c>
      <c r="AO111" s="7" t="s">
        <v>214</v>
      </c>
      <c r="AP111" s="7" t="s">
        <v>214</v>
      </c>
      <c r="AQ111" s="7" t="s">
        <v>214</v>
      </c>
      <c r="AR111" s="7" t="s">
        <v>214</v>
      </c>
      <c r="AS111" s="7" t="s">
        <v>214</v>
      </c>
      <c r="AT111" s="7" t="s">
        <v>214</v>
      </c>
      <c r="AU111" s="7" t="s">
        <v>214</v>
      </c>
      <c r="AV111" s="7" t="s">
        <v>214</v>
      </c>
      <c r="AW111" s="7" t="s">
        <v>214</v>
      </c>
      <c r="AX111" s="7" t="s">
        <v>214</v>
      </c>
      <c r="AY111" s="7" t="s">
        <v>214</v>
      </c>
      <c r="AZ111" s="7" t="s">
        <v>214</v>
      </c>
      <c r="BA111" s="7" t="s">
        <v>214</v>
      </c>
      <c r="BB111" s="7" t="s">
        <v>214</v>
      </c>
      <c r="BC111" s="7" t="s">
        <v>214</v>
      </c>
      <c r="BD111" s="7" t="s">
        <v>214</v>
      </c>
      <c r="BE111" s="7" t="s">
        <v>214</v>
      </c>
      <c r="BF111" s="7" t="s">
        <v>214</v>
      </c>
      <c r="BG111" s="7" t="s">
        <v>214</v>
      </c>
      <c r="BH111" s="7" t="s">
        <v>214</v>
      </c>
      <c r="BI111" s="7" t="s">
        <v>214</v>
      </c>
      <c r="BJ111" s="7" t="s">
        <v>214</v>
      </c>
      <c r="BK111" s="7" t="s">
        <v>214</v>
      </c>
      <c r="BL111" s="7" t="s">
        <v>214</v>
      </c>
      <c r="BM111" s="7" t="s">
        <v>214</v>
      </c>
      <c r="BN111" s="7" t="s">
        <v>214</v>
      </c>
      <c r="BO111" s="7" t="s">
        <v>214</v>
      </c>
      <c r="BP111" s="7" t="s">
        <v>214</v>
      </c>
      <c r="BQ111" s="7" t="s">
        <v>214</v>
      </c>
      <c r="BR111" s="7" t="s">
        <v>214</v>
      </c>
      <c r="BS111" s="7" t="s">
        <v>214</v>
      </c>
      <c r="BT111" s="7" t="s">
        <v>214</v>
      </c>
      <c r="BU111" s="7" t="s">
        <v>214</v>
      </c>
      <c r="BV111" s="7" t="s">
        <v>214</v>
      </c>
      <c r="BW111" s="7" t="s">
        <v>214</v>
      </c>
      <c r="BX111" s="7" t="s">
        <v>214</v>
      </c>
      <c r="BY111" s="7" t="s">
        <v>214</v>
      </c>
      <c r="BZ111" s="7" t="s">
        <v>214</v>
      </c>
      <c r="CA111" s="7" t="s">
        <v>214</v>
      </c>
      <c r="CB111" s="7" t="s">
        <v>214</v>
      </c>
      <c r="CC111" s="7" t="s">
        <v>214</v>
      </c>
      <c r="CD111" s="7" t="s">
        <v>214</v>
      </c>
      <c r="CE111" s="7" t="s">
        <v>214</v>
      </c>
      <c r="CF111" s="7" t="s">
        <v>214</v>
      </c>
      <c r="CG111" s="7" t="s">
        <v>214</v>
      </c>
      <c r="CH111" s="7" t="s">
        <v>214</v>
      </c>
      <c r="CI111" s="7" t="s">
        <v>214</v>
      </c>
      <c r="CJ111" s="7" t="s">
        <v>214</v>
      </c>
      <c r="CK111" s="7" t="s">
        <v>214</v>
      </c>
      <c r="CL111" s="7" t="s">
        <v>214</v>
      </c>
      <c r="CM111" s="7" t="s">
        <v>214</v>
      </c>
      <c r="CN111" s="7" t="s">
        <v>214</v>
      </c>
      <c r="CO111" s="7" t="s">
        <v>214</v>
      </c>
      <c r="CP111" s="7" t="s">
        <v>214</v>
      </c>
      <c r="CQ111" s="7" t="s">
        <v>214</v>
      </c>
      <c r="CR111" s="7" t="s">
        <v>214</v>
      </c>
      <c r="CS111" s="7" t="s">
        <v>214</v>
      </c>
      <c r="CT111" s="7" t="s">
        <v>214</v>
      </c>
      <c r="CU111" s="7" t="s">
        <v>214</v>
      </c>
      <c r="CV111" s="7" t="s">
        <v>214</v>
      </c>
      <c r="CW111" s="7" t="s">
        <v>214</v>
      </c>
      <c r="CX111" s="7" t="s">
        <v>214</v>
      </c>
      <c r="CY111" s="7" t="s">
        <v>214</v>
      </c>
      <c r="CZ111" s="7" t="s">
        <v>214</v>
      </c>
      <c r="DA111" s="7" t="s">
        <v>214</v>
      </c>
      <c r="DB111" s="7" t="s">
        <v>214</v>
      </c>
      <c r="DC111" s="7" t="s">
        <v>214</v>
      </c>
      <c r="DD111" s="7" t="s">
        <v>214</v>
      </c>
      <c r="DE111" s="7" t="s">
        <v>214</v>
      </c>
      <c r="DF111" s="7" t="s">
        <v>214</v>
      </c>
      <c r="DG111" s="7" t="s">
        <v>214</v>
      </c>
      <c r="DH111" s="7" t="s">
        <v>214</v>
      </c>
      <c r="DI111" s="7" t="s">
        <v>214</v>
      </c>
      <c r="DJ111" s="7" t="s">
        <v>214</v>
      </c>
      <c r="DK111" s="7" t="s">
        <v>214</v>
      </c>
      <c r="DL111" s="7" t="s">
        <v>214</v>
      </c>
      <c r="DM111" s="7" t="s">
        <v>214</v>
      </c>
      <c r="DN111" s="7" t="s">
        <v>214</v>
      </c>
      <c r="DO111" s="7" t="s">
        <v>214</v>
      </c>
      <c r="DP111" s="7" t="s">
        <v>218</v>
      </c>
      <c r="DQ111" s="7" t="s">
        <v>214</v>
      </c>
      <c r="DR111" s="7" t="s">
        <v>214</v>
      </c>
      <c r="DS111" s="7" t="s">
        <v>214</v>
      </c>
      <c r="DT111" s="7" t="s">
        <v>214</v>
      </c>
      <c r="DU111" s="7" t="s">
        <v>214</v>
      </c>
      <c r="DV111" s="7" t="s">
        <v>214</v>
      </c>
      <c r="DW111" s="7" t="s">
        <v>214</v>
      </c>
      <c r="DX111" s="7" t="s">
        <v>214</v>
      </c>
      <c r="DY111" s="7" t="s">
        <v>214</v>
      </c>
      <c r="DZ111" s="7" t="s">
        <v>214</v>
      </c>
      <c r="EA111" s="7" t="s">
        <v>214</v>
      </c>
      <c r="EB111" s="7" t="s">
        <v>214</v>
      </c>
      <c r="EC111" s="7" t="s">
        <v>214</v>
      </c>
      <c r="ED111" s="7" t="s">
        <v>214</v>
      </c>
      <c r="EE111" s="7" t="s">
        <v>214</v>
      </c>
      <c r="EF111" s="7" t="s">
        <v>214</v>
      </c>
      <c r="EG111" s="7" t="s">
        <v>214</v>
      </c>
      <c r="EH111" s="7" t="s">
        <v>214</v>
      </c>
      <c r="EI111" s="7" t="s">
        <v>214</v>
      </c>
      <c r="EJ111" s="7" t="s">
        <v>214</v>
      </c>
      <c r="EK111" s="7" t="s">
        <v>214</v>
      </c>
      <c r="EL111" s="7" t="s">
        <v>214</v>
      </c>
      <c r="EM111" s="7" t="s">
        <v>214</v>
      </c>
      <c r="EN111" s="7" t="s">
        <v>214</v>
      </c>
      <c r="EO111" s="7" t="s">
        <v>214</v>
      </c>
      <c r="EP111" s="7" t="s">
        <v>214</v>
      </c>
      <c r="EQ111" s="7" t="s">
        <v>214</v>
      </c>
      <c r="ER111" s="7" t="s">
        <v>214</v>
      </c>
      <c r="ES111" s="7" t="s">
        <v>214</v>
      </c>
      <c r="ET111" s="7" t="s">
        <v>214</v>
      </c>
      <c r="EU111" s="7" t="s">
        <v>214</v>
      </c>
      <c r="EV111" s="7" t="s">
        <v>214</v>
      </c>
      <c r="EW111" s="7" t="s">
        <v>214</v>
      </c>
      <c r="EX111" s="7" t="s">
        <v>214</v>
      </c>
      <c r="EY111" s="7" t="s">
        <v>214</v>
      </c>
      <c r="EZ111" s="7" t="s">
        <v>214</v>
      </c>
      <c r="FA111" s="7" t="s">
        <v>214</v>
      </c>
      <c r="FB111" s="7" t="s">
        <v>214</v>
      </c>
      <c r="FC111" s="7" t="s">
        <v>214</v>
      </c>
      <c r="FD111" s="7" t="s">
        <v>214</v>
      </c>
      <c r="FE111" s="7" t="s">
        <v>214</v>
      </c>
      <c r="FF111" s="7" t="s">
        <v>214</v>
      </c>
      <c r="FG111" s="7" t="s">
        <v>214</v>
      </c>
      <c r="FH111" s="7" t="s">
        <v>214</v>
      </c>
      <c r="FI111" s="7" t="s">
        <v>214</v>
      </c>
      <c r="FJ111" s="7" t="s">
        <v>214</v>
      </c>
      <c r="FK111" s="7" t="s">
        <v>214</v>
      </c>
      <c r="FL111" s="7" t="s">
        <v>214</v>
      </c>
    </row>
    <row r="112" spans="1:168" ht="15" x14ac:dyDescent="0.25">
      <c r="A112" s="5" t="s">
        <v>201</v>
      </c>
      <c r="B112" s="5" t="s">
        <v>7</v>
      </c>
      <c r="C112" s="8" t="s">
        <v>217</v>
      </c>
      <c r="D112" s="8" t="s">
        <v>217</v>
      </c>
      <c r="E112" s="8" t="s">
        <v>214</v>
      </c>
      <c r="F112" s="8" t="s">
        <v>214</v>
      </c>
      <c r="G112" s="8" t="s">
        <v>214</v>
      </c>
      <c r="H112" s="8" t="s">
        <v>214</v>
      </c>
      <c r="I112" s="8" t="s">
        <v>214</v>
      </c>
      <c r="J112" s="8" t="s">
        <v>214</v>
      </c>
      <c r="K112" s="8" t="s">
        <v>214</v>
      </c>
      <c r="L112" s="8" t="s">
        <v>214</v>
      </c>
      <c r="M112" s="8" t="s">
        <v>214</v>
      </c>
      <c r="N112" s="8" t="s">
        <v>214</v>
      </c>
      <c r="O112" s="8" t="s">
        <v>214</v>
      </c>
      <c r="P112" s="8" t="s">
        <v>214</v>
      </c>
      <c r="Q112" s="8" t="s">
        <v>214</v>
      </c>
      <c r="R112" s="8" t="s">
        <v>214</v>
      </c>
      <c r="S112" s="8" t="s">
        <v>214</v>
      </c>
      <c r="T112" s="8" t="s">
        <v>214</v>
      </c>
      <c r="U112" s="8" t="s">
        <v>214</v>
      </c>
      <c r="V112" s="8" t="s">
        <v>214</v>
      </c>
      <c r="W112" s="8" t="s">
        <v>214</v>
      </c>
      <c r="X112" s="8" t="s">
        <v>214</v>
      </c>
      <c r="Y112" s="8" t="s">
        <v>214</v>
      </c>
      <c r="Z112" s="8" t="s">
        <v>217</v>
      </c>
      <c r="AA112" s="8" t="s">
        <v>214</v>
      </c>
      <c r="AB112" s="8" t="s">
        <v>214</v>
      </c>
      <c r="AC112" s="8" t="s">
        <v>214</v>
      </c>
      <c r="AD112" s="8" t="s">
        <v>214</v>
      </c>
      <c r="AE112" s="8" t="s">
        <v>214</v>
      </c>
      <c r="AF112" s="8" t="s">
        <v>214</v>
      </c>
      <c r="AG112" s="8" t="s">
        <v>214</v>
      </c>
      <c r="AH112" s="8" t="s">
        <v>214</v>
      </c>
      <c r="AI112" s="8" t="s">
        <v>214</v>
      </c>
      <c r="AJ112" s="8" t="s">
        <v>214</v>
      </c>
      <c r="AK112" s="8" t="s">
        <v>214</v>
      </c>
      <c r="AL112" s="8" t="s">
        <v>214</v>
      </c>
      <c r="AM112" s="8" t="s">
        <v>214</v>
      </c>
      <c r="AN112" s="8" t="s">
        <v>214</v>
      </c>
      <c r="AO112" s="8" t="s">
        <v>214</v>
      </c>
      <c r="AP112" s="8" t="s">
        <v>214</v>
      </c>
      <c r="AQ112" s="8" t="s">
        <v>214</v>
      </c>
      <c r="AR112" s="8" t="s">
        <v>214</v>
      </c>
      <c r="AS112" s="8" t="s">
        <v>214</v>
      </c>
      <c r="AT112" s="8" t="s">
        <v>214</v>
      </c>
      <c r="AU112" s="8" t="s">
        <v>214</v>
      </c>
      <c r="AV112" s="8" t="s">
        <v>214</v>
      </c>
      <c r="AW112" s="8" t="s">
        <v>214</v>
      </c>
      <c r="AX112" s="8" t="s">
        <v>214</v>
      </c>
      <c r="AY112" s="8" t="s">
        <v>214</v>
      </c>
      <c r="AZ112" s="8" t="s">
        <v>214</v>
      </c>
      <c r="BA112" s="8" t="s">
        <v>214</v>
      </c>
      <c r="BB112" s="8" t="s">
        <v>214</v>
      </c>
      <c r="BC112" s="8" t="s">
        <v>214</v>
      </c>
      <c r="BD112" s="8" t="s">
        <v>214</v>
      </c>
      <c r="BE112" s="8" t="s">
        <v>214</v>
      </c>
      <c r="BF112" s="8" t="s">
        <v>214</v>
      </c>
      <c r="BG112" s="8" t="s">
        <v>214</v>
      </c>
      <c r="BH112" s="8" t="s">
        <v>214</v>
      </c>
      <c r="BI112" s="8" t="s">
        <v>214</v>
      </c>
      <c r="BJ112" s="8" t="s">
        <v>214</v>
      </c>
      <c r="BK112" s="8" t="s">
        <v>214</v>
      </c>
      <c r="BL112" s="8" t="s">
        <v>214</v>
      </c>
      <c r="BM112" s="8" t="s">
        <v>214</v>
      </c>
      <c r="BN112" s="8" t="s">
        <v>214</v>
      </c>
      <c r="BO112" s="8" t="s">
        <v>214</v>
      </c>
      <c r="BP112" s="8" t="s">
        <v>214</v>
      </c>
      <c r="BQ112" s="8" t="s">
        <v>214</v>
      </c>
      <c r="BR112" s="8" t="s">
        <v>214</v>
      </c>
      <c r="BS112" s="8" t="s">
        <v>214</v>
      </c>
      <c r="BT112" s="8" t="s">
        <v>214</v>
      </c>
      <c r="BU112" s="8" t="s">
        <v>214</v>
      </c>
      <c r="BV112" s="8" t="s">
        <v>214</v>
      </c>
      <c r="BW112" s="8" t="s">
        <v>214</v>
      </c>
      <c r="BX112" s="8" t="s">
        <v>214</v>
      </c>
      <c r="BY112" s="8" t="s">
        <v>214</v>
      </c>
      <c r="BZ112" s="8" t="s">
        <v>214</v>
      </c>
      <c r="CA112" s="8" t="s">
        <v>214</v>
      </c>
      <c r="CB112" s="8" t="s">
        <v>214</v>
      </c>
      <c r="CC112" s="8" t="s">
        <v>214</v>
      </c>
      <c r="CD112" s="8" t="s">
        <v>214</v>
      </c>
      <c r="CE112" s="8" t="s">
        <v>214</v>
      </c>
      <c r="CF112" s="8" t="s">
        <v>214</v>
      </c>
      <c r="CG112" s="8" t="s">
        <v>214</v>
      </c>
      <c r="CH112" s="8" t="s">
        <v>214</v>
      </c>
      <c r="CI112" s="8" t="s">
        <v>214</v>
      </c>
      <c r="CJ112" s="8" t="s">
        <v>214</v>
      </c>
      <c r="CK112" s="8" t="s">
        <v>214</v>
      </c>
      <c r="CL112" s="8" t="s">
        <v>214</v>
      </c>
      <c r="CM112" s="8" t="s">
        <v>214</v>
      </c>
      <c r="CN112" s="8" t="s">
        <v>214</v>
      </c>
      <c r="CO112" s="8" t="s">
        <v>214</v>
      </c>
      <c r="CP112" s="8" t="s">
        <v>214</v>
      </c>
      <c r="CQ112" s="8" t="s">
        <v>214</v>
      </c>
      <c r="CR112" s="8" t="s">
        <v>214</v>
      </c>
      <c r="CS112" s="8" t="s">
        <v>214</v>
      </c>
      <c r="CT112" s="8" t="s">
        <v>214</v>
      </c>
      <c r="CU112" s="8" t="s">
        <v>214</v>
      </c>
      <c r="CV112" s="8" t="s">
        <v>214</v>
      </c>
      <c r="CW112" s="8" t="s">
        <v>214</v>
      </c>
      <c r="CX112" s="8" t="s">
        <v>214</v>
      </c>
      <c r="CY112" s="8" t="s">
        <v>214</v>
      </c>
      <c r="CZ112" s="8" t="s">
        <v>214</v>
      </c>
      <c r="DA112" s="8" t="s">
        <v>214</v>
      </c>
      <c r="DB112" s="8" t="s">
        <v>214</v>
      </c>
      <c r="DC112" s="8" t="s">
        <v>214</v>
      </c>
      <c r="DD112" s="8" t="s">
        <v>214</v>
      </c>
      <c r="DE112" s="8" t="s">
        <v>214</v>
      </c>
      <c r="DF112" s="8" t="s">
        <v>214</v>
      </c>
      <c r="DG112" s="8" t="s">
        <v>214</v>
      </c>
      <c r="DH112" s="8" t="s">
        <v>214</v>
      </c>
      <c r="DI112" s="8" t="s">
        <v>214</v>
      </c>
      <c r="DJ112" s="8" t="s">
        <v>214</v>
      </c>
      <c r="DK112" s="8" t="s">
        <v>214</v>
      </c>
      <c r="DL112" s="8" t="s">
        <v>214</v>
      </c>
      <c r="DM112" s="8" t="s">
        <v>214</v>
      </c>
      <c r="DN112" s="8" t="s">
        <v>214</v>
      </c>
      <c r="DO112" s="8" t="s">
        <v>214</v>
      </c>
      <c r="DP112" s="8" t="s">
        <v>218</v>
      </c>
      <c r="DQ112" s="8" t="s">
        <v>214</v>
      </c>
      <c r="DR112" s="8" t="s">
        <v>214</v>
      </c>
      <c r="DS112" s="8" t="s">
        <v>214</v>
      </c>
      <c r="DT112" s="8" t="s">
        <v>214</v>
      </c>
      <c r="DU112" s="8" t="s">
        <v>214</v>
      </c>
      <c r="DV112" s="8" t="s">
        <v>214</v>
      </c>
      <c r="DW112" s="8" t="s">
        <v>214</v>
      </c>
      <c r="DX112" s="8" t="s">
        <v>214</v>
      </c>
      <c r="DY112" s="8" t="s">
        <v>214</v>
      </c>
      <c r="DZ112" s="8" t="s">
        <v>214</v>
      </c>
      <c r="EA112" s="8" t="s">
        <v>214</v>
      </c>
      <c r="EB112" s="8" t="s">
        <v>214</v>
      </c>
      <c r="EC112" s="8" t="s">
        <v>214</v>
      </c>
      <c r="ED112" s="8" t="s">
        <v>214</v>
      </c>
      <c r="EE112" s="8" t="s">
        <v>214</v>
      </c>
      <c r="EF112" s="8" t="s">
        <v>214</v>
      </c>
      <c r="EG112" s="8" t="s">
        <v>214</v>
      </c>
      <c r="EH112" s="8" t="s">
        <v>214</v>
      </c>
      <c r="EI112" s="8" t="s">
        <v>214</v>
      </c>
      <c r="EJ112" s="8" t="s">
        <v>214</v>
      </c>
      <c r="EK112" s="8" t="s">
        <v>214</v>
      </c>
      <c r="EL112" s="8" t="s">
        <v>214</v>
      </c>
      <c r="EM112" s="8" t="s">
        <v>214</v>
      </c>
      <c r="EN112" s="8" t="s">
        <v>214</v>
      </c>
      <c r="EO112" s="8" t="s">
        <v>214</v>
      </c>
      <c r="EP112" s="8" t="s">
        <v>214</v>
      </c>
      <c r="EQ112" s="8" t="s">
        <v>214</v>
      </c>
      <c r="ER112" s="8" t="s">
        <v>214</v>
      </c>
      <c r="ES112" s="8" t="s">
        <v>214</v>
      </c>
      <c r="ET112" s="8" t="s">
        <v>214</v>
      </c>
      <c r="EU112" s="8" t="s">
        <v>214</v>
      </c>
      <c r="EV112" s="8" t="s">
        <v>214</v>
      </c>
      <c r="EW112" s="8" t="s">
        <v>214</v>
      </c>
      <c r="EX112" s="8" t="s">
        <v>214</v>
      </c>
      <c r="EY112" s="8" t="s">
        <v>214</v>
      </c>
      <c r="EZ112" s="8" t="s">
        <v>214</v>
      </c>
      <c r="FA112" s="8" t="s">
        <v>214</v>
      </c>
      <c r="FB112" s="8" t="s">
        <v>214</v>
      </c>
      <c r="FC112" s="8" t="s">
        <v>214</v>
      </c>
      <c r="FD112" s="8" t="s">
        <v>214</v>
      </c>
      <c r="FE112" s="8" t="s">
        <v>214</v>
      </c>
      <c r="FF112" s="8" t="s">
        <v>214</v>
      </c>
      <c r="FG112" s="8" t="s">
        <v>214</v>
      </c>
      <c r="FH112" s="8" t="s">
        <v>214</v>
      </c>
      <c r="FI112" s="8" t="s">
        <v>214</v>
      </c>
      <c r="FJ112" s="8" t="s">
        <v>214</v>
      </c>
      <c r="FK112" s="8" t="s">
        <v>214</v>
      </c>
      <c r="FL112" s="8" t="s">
        <v>214</v>
      </c>
    </row>
    <row r="113" spans="1:168" ht="15" x14ac:dyDescent="0.25">
      <c r="A113" s="5" t="s">
        <v>201</v>
      </c>
      <c r="B113" s="5" t="s">
        <v>8</v>
      </c>
      <c r="C113" s="7" t="s">
        <v>217</v>
      </c>
      <c r="D113" s="7" t="s">
        <v>217</v>
      </c>
      <c r="E113" s="7" t="s">
        <v>214</v>
      </c>
      <c r="F113" s="7" t="s">
        <v>214</v>
      </c>
      <c r="G113" s="7" t="s">
        <v>214</v>
      </c>
      <c r="H113" s="7" t="s">
        <v>214</v>
      </c>
      <c r="I113" s="7" t="s">
        <v>214</v>
      </c>
      <c r="J113" s="7" t="s">
        <v>214</v>
      </c>
      <c r="K113" s="7" t="s">
        <v>214</v>
      </c>
      <c r="L113" s="7" t="s">
        <v>214</v>
      </c>
      <c r="M113" s="7" t="s">
        <v>214</v>
      </c>
      <c r="N113" s="7" t="s">
        <v>214</v>
      </c>
      <c r="O113" s="7" t="s">
        <v>214</v>
      </c>
      <c r="P113" s="7" t="s">
        <v>214</v>
      </c>
      <c r="Q113" s="7" t="s">
        <v>214</v>
      </c>
      <c r="R113" s="7" t="s">
        <v>214</v>
      </c>
      <c r="S113" s="7" t="s">
        <v>214</v>
      </c>
      <c r="T113" s="7" t="s">
        <v>214</v>
      </c>
      <c r="U113" s="7" t="s">
        <v>214</v>
      </c>
      <c r="V113" s="7" t="s">
        <v>214</v>
      </c>
      <c r="W113" s="7" t="s">
        <v>214</v>
      </c>
      <c r="X113" s="7" t="s">
        <v>214</v>
      </c>
      <c r="Y113" s="7" t="s">
        <v>214</v>
      </c>
      <c r="Z113" s="7" t="s">
        <v>214</v>
      </c>
      <c r="AA113" s="7" t="s">
        <v>214</v>
      </c>
      <c r="AB113" s="7" t="s">
        <v>214</v>
      </c>
      <c r="AC113" s="7" t="s">
        <v>214</v>
      </c>
      <c r="AD113" s="7" t="s">
        <v>214</v>
      </c>
      <c r="AE113" s="7" t="s">
        <v>214</v>
      </c>
      <c r="AF113" s="7" t="s">
        <v>214</v>
      </c>
      <c r="AG113" s="7" t="s">
        <v>214</v>
      </c>
      <c r="AH113" s="7" t="s">
        <v>214</v>
      </c>
      <c r="AI113" s="7" t="s">
        <v>214</v>
      </c>
      <c r="AJ113" s="7" t="s">
        <v>214</v>
      </c>
      <c r="AK113" s="7" t="s">
        <v>214</v>
      </c>
      <c r="AL113" s="7" t="s">
        <v>214</v>
      </c>
      <c r="AM113" s="7" t="s">
        <v>214</v>
      </c>
      <c r="AN113" s="7" t="s">
        <v>214</v>
      </c>
      <c r="AO113" s="7" t="s">
        <v>214</v>
      </c>
      <c r="AP113" s="7" t="s">
        <v>214</v>
      </c>
      <c r="AQ113" s="7" t="s">
        <v>214</v>
      </c>
      <c r="AR113" s="7" t="s">
        <v>214</v>
      </c>
      <c r="AS113" s="7" t="s">
        <v>214</v>
      </c>
      <c r="AT113" s="7" t="s">
        <v>214</v>
      </c>
      <c r="AU113" s="7" t="s">
        <v>214</v>
      </c>
      <c r="AV113" s="7" t="s">
        <v>214</v>
      </c>
      <c r="AW113" s="7" t="s">
        <v>214</v>
      </c>
      <c r="AX113" s="7" t="s">
        <v>214</v>
      </c>
      <c r="AY113" s="7" t="s">
        <v>214</v>
      </c>
      <c r="AZ113" s="7" t="s">
        <v>214</v>
      </c>
      <c r="BA113" s="7" t="s">
        <v>214</v>
      </c>
      <c r="BB113" s="7" t="s">
        <v>214</v>
      </c>
      <c r="BC113" s="7" t="s">
        <v>214</v>
      </c>
      <c r="BD113" s="7" t="s">
        <v>214</v>
      </c>
      <c r="BE113" s="7" t="s">
        <v>214</v>
      </c>
      <c r="BF113" s="7" t="s">
        <v>214</v>
      </c>
      <c r="BG113" s="7" t="s">
        <v>214</v>
      </c>
      <c r="BH113" s="7" t="s">
        <v>214</v>
      </c>
      <c r="BI113" s="7" t="s">
        <v>214</v>
      </c>
      <c r="BJ113" s="7" t="s">
        <v>214</v>
      </c>
      <c r="BK113" s="7" t="s">
        <v>214</v>
      </c>
      <c r="BL113" s="7" t="s">
        <v>214</v>
      </c>
      <c r="BM113" s="7" t="s">
        <v>214</v>
      </c>
      <c r="BN113" s="7" t="s">
        <v>214</v>
      </c>
      <c r="BO113" s="7" t="s">
        <v>214</v>
      </c>
      <c r="BP113" s="7" t="s">
        <v>214</v>
      </c>
      <c r="BQ113" s="7" t="s">
        <v>214</v>
      </c>
      <c r="BR113" s="7" t="s">
        <v>214</v>
      </c>
      <c r="BS113" s="7" t="s">
        <v>214</v>
      </c>
      <c r="BT113" s="7" t="s">
        <v>214</v>
      </c>
      <c r="BU113" s="7" t="s">
        <v>214</v>
      </c>
      <c r="BV113" s="7" t="s">
        <v>214</v>
      </c>
      <c r="BW113" s="7" t="s">
        <v>214</v>
      </c>
      <c r="BX113" s="7" t="s">
        <v>214</v>
      </c>
      <c r="BY113" s="7" t="s">
        <v>214</v>
      </c>
      <c r="BZ113" s="7" t="s">
        <v>214</v>
      </c>
      <c r="CA113" s="7" t="s">
        <v>214</v>
      </c>
      <c r="CB113" s="7" t="s">
        <v>214</v>
      </c>
      <c r="CC113" s="7" t="s">
        <v>214</v>
      </c>
      <c r="CD113" s="7" t="s">
        <v>214</v>
      </c>
      <c r="CE113" s="7" t="s">
        <v>214</v>
      </c>
      <c r="CF113" s="7" t="s">
        <v>214</v>
      </c>
      <c r="CG113" s="7" t="s">
        <v>214</v>
      </c>
      <c r="CH113" s="7" t="s">
        <v>214</v>
      </c>
      <c r="CI113" s="7" t="s">
        <v>214</v>
      </c>
      <c r="CJ113" s="7" t="s">
        <v>214</v>
      </c>
      <c r="CK113" s="7" t="s">
        <v>218</v>
      </c>
      <c r="CL113" s="7" t="s">
        <v>214</v>
      </c>
      <c r="CM113" s="7" t="s">
        <v>214</v>
      </c>
      <c r="CN113" s="7" t="s">
        <v>214</v>
      </c>
      <c r="CO113" s="7" t="s">
        <v>214</v>
      </c>
      <c r="CP113" s="7" t="s">
        <v>214</v>
      </c>
      <c r="CQ113" s="7" t="s">
        <v>214</v>
      </c>
      <c r="CR113" s="7" t="s">
        <v>214</v>
      </c>
      <c r="CS113" s="7" t="s">
        <v>214</v>
      </c>
      <c r="CT113" s="7" t="s">
        <v>214</v>
      </c>
      <c r="CU113" s="7" t="s">
        <v>214</v>
      </c>
      <c r="CV113" s="7" t="s">
        <v>214</v>
      </c>
      <c r="CW113" s="7" t="s">
        <v>214</v>
      </c>
      <c r="CX113" s="7" t="s">
        <v>214</v>
      </c>
      <c r="CY113" s="7" t="s">
        <v>214</v>
      </c>
      <c r="CZ113" s="7" t="s">
        <v>214</v>
      </c>
      <c r="DA113" s="7" t="s">
        <v>214</v>
      </c>
      <c r="DB113" s="7" t="s">
        <v>214</v>
      </c>
      <c r="DC113" s="7" t="s">
        <v>214</v>
      </c>
      <c r="DD113" s="7" t="s">
        <v>214</v>
      </c>
      <c r="DE113" s="7" t="s">
        <v>214</v>
      </c>
      <c r="DF113" s="7" t="s">
        <v>214</v>
      </c>
      <c r="DG113" s="7" t="s">
        <v>214</v>
      </c>
      <c r="DH113" s="7" t="s">
        <v>214</v>
      </c>
      <c r="DI113" s="7" t="s">
        <v>218</v>
      </c>
      <c r="DJ113" s="7" t="s">
        <v>218</v>
      </c>
      <c r="DK113" s="7" t="s">
        <v>214</v>
      </c>
      <c r="DL113" s="7" t="s">
        <v>218</v>
      </c>
      <c r="DM113" s="7" t="s">
        <v>214</v>
      </c>
      <c r="DN113" s="7" t="s">
        <v>214</v>
      </c>
      <c r="DO113" s="7" t="s">
        <v>214</v>
      </c>
      <c r="DP113" s="7" t="s">
        <v>218</v>
      </c>
      <c r="DQ113" s="7" t="s">
        <v>214</v>
      </c>
      <c r="DR113" s="7" t="s">
        <v>214</v>
      </c>
      <c r="DS113" s="7" t="s">
        <v>214</v>
      </c>
      <c r="DT113" s="7" t="s">
        <v>214</v>
      </c>
      <c r="DU113" s="7" t="s">
        <v>214</v>
      </c>
      <c r="DV113" s="7" t="s">
        <v>214</v>
      </c>
      <c r="DW113" s="7" t="s">
        <v>214</v>
      </c>
      <c r="DX113" s="7" t="s">
        <v>214</v>
      </c>
      <c r="DY113" s="7" t="s">
        <v>214</v>
      </c>
      <c r="DZ113" s="7" t="s">
        <v>214</v>
      </c>
      <c r="EA113" s="7" t="s">
        <v>214</v>
      </c>
      <c r="EB113" s="7" t="s">
        <v>214</v>
      </c>
      <c r="EC113" s="7" t="s">
        <v>214</v>
      </c>
      <c r="ED113" s="7" t="s">
        <v>214</v>
      </c>
      <c r="EE113" s="7" t="s">
        <v>214</v>
      </c>
      <c r="EF113" s="7" t="s">
        <v>214</v>
      </c>
      <c r="EG113" s="7" t="s">
        <v>214</v>
      </c>
      <c r="EH113" s="7" t="s">
        <v>214</v>
      </c>
      <c r="EI113" s="7" t="s">
        <v>214</v>
      </c>
      <c r="EJ113" s="7" t="s">
        <v>214</v>
      </c>
      <c r="EK113" s="7" t="s">
        <v>214</v>
      </c>
      <c r="EL113" s="7" t="s">
        <v>214</v>
      </c>
      <c r="EM113" s="7" t="s">
        <v>214</v>
      </c>
      <c r="EN113" s="7" t="s">
        <v>214</v>
      </c>
      <c r="EO113" s="7" t="s">
        <v>214</v>
      </c>
      <c r="EP113" s="7" t="s">
        <v>214</v>
      </c>
      <c r="EQ113" s="7" t="s">
        <v>214</v>
      </c>
      <c r="ER113" s="7" t="s">
        <v>214</v>
      </c>
      <c r="ES113" s="7" t="s">
        <v>214</v>
      </c>
      <c r="ET113" s="7" t="s">
        <v>214</v>
      </c>
      <c r="EU113" s="7" t="s">
        <v>214</v>
      </c>
      <c r="EV113" s="7" t="s">
        <v>214</v>
      </c>
      <c r="EW113" s="7" t="s">
        <v>214</v>
      </c>
      <c r="EX113" s="7" t="s">
        <v>214</v>
      </c>
      <c r="EY113" s="7" t="s">
        <v>214</v>
      </c>
      <c r="EZ113" s="7" t="s">
        <v>214</v>
      </c>
      <c r="FA113" s="7" t="s">
        <v>214</v>
      </c>
      <c r="FB113" s="7" t="s">
        <v>214</v>
      </c>
      <c r="FC113" s="7" t="s">
        <v>214</v>
      </c>
      <c r="FD113" s="7" t="s">
        <v>214</v>
      </c>
      <c r="FE113" s="7" t="s">
        <v>214</v>
      </c>
      <c r="FF113" s="7" t="s">
        <v>214</v>
      </c>
      <c r="FG113" s="7" t="s">
        <v>214</v>
      </c>
      <c r="FH113" s="7" t="s">
        <v>214</v>
      </c>
      <c r="FI113" s="7" t="s">
        <v>214</v>
      </c>
      <c r="FJ113" s="7" t="s">
        <v>214</v>
      </c>
      <c r="FK113" s="7" t="s">
        <v>214</v>
      </c>
      <c r="FL113" s="7" t="s">
        <v>214</v>
      </c>
    </row>
    <row r="114" spans="1:168" ht="15" x14ac:dyDescent="0.25">
      <c r="A114" s="5" t="s">
        <v>201</v>
      </c>
      <c r="B114" s="5" t="s">
        <v>9</v>
      </c>
      <c r="C114" s="8" t="s">
        <v>217</v>
      </c>
      <c r="D114" s="8" t="s">
        <v>217</v>
      </c>
      <c r="E114" s="8" t="s">
        <v>214</v>
      </c>
      <c r="F114" s="8" t="s">
        <v>214</v>
      </c>
      <c r="G114" s="8" t="s">
        <v>214</v>
      </c>
      <c r="H114" s="8" t="s">
        <v>214</v>
      </c>
      <c r="I114" s="8" t="s">
        <v>214</v>
      </c>
      <c r="J114" s="8" t="s">
        <v>214</v>
      </c>
      <c r="K114" s="8" t="s">
        <v>214</v>
      </c>
      <c r="L114" s="8" t="s">
        <v>214</v>
      </c>
      <c r="M114" s="8" t="s">
        <v>214</v>
      </c>
      <c r="N114" s="8" t="s">
        <v>214</v>
      </c>
      <c r="O114" s="8" t="s">
        <v>214</v>
      </c>
      <c r="P114" s="8" t="s">
        <v>214</v>
      </c>
      <c r="Q114" s="8" t="s">
        <v>214</v>
      </c>
      <c r="R114" s="8" t="s">
        <v>214</v>
      </c>
      <c r="S114" s="8" t="s">
        <v>214</v>
      </c>
      <c r="T114" s="8" t="s">
        <v>214</v>
      </c>
      <c r="U114" s="8" t="s">
        <v>214</v>
      </c>
      <c r="V114" s="8" t="s">
        <v>214</v>
      </c>
      <c r="W114" s="8" t="s">
        <v>214</v>
      </c>
      <c r="X114" s="8" t="s">
        <v>214</v>
      </c>
      <c r="Y114" s="8" t="s">
        <v>214</v>
      </c>
      <c r="Z114" s="8" t="s">
        <v>214</v>
      </c>
      <c r="AA114" s="8" t="s">
        <v>214</v>
      </c>
      <c r="AB114" s="8" t="s">
        <v>214</v>
      </c>
      <c r="AC114" s="8" t="s">
        <v>214</v>
      </c>
      <c r="AD114" s="8" t="s">
        <v>214</v>
      </c>
      <c r="AE114" s="8" t="s">
        <v>214</v>
      </c>
      <c r="AF114" s="8" t="s">
        <v>214</v>
      </c>
      <c r="AG114" s="8" t="s">
        <v>214</v>
      </c>
      <c r="AH114" s="8" t="s">
        <v>214</v>
      </c>
      <c r="AI114" s="8" t="s">
        <v>214</v>
      </c>
      <c r="AJ114" s="8" t="s">
        <v>214</v>
      </c>
      <c r="AK114" s="8" t="s">
        <v>214</v>
      </c>
      <c r="AL114" s="8" t="s">
        <v>214</v>
      </c>
      <c r="AM114" s="8" t="s">
        <v>214</v>
      </c>
      <c r="AN114" s="8" t="s">
        <v>214</v>
      </c>
      <c r="AO114" s="8" t="s">
        <v>214</v>
      </c>
      <c r="AP114" s="8" t="s">
        <v>214</v>
      </c>
      <c r="AQ114" s="8" t="s">
        <v>214</v>
      </c>
      <c r="AR114" s="8" t="s">
        <v>214</v>
      </c>
      <c r="AS114" s="8" t="s">
        <v>214</v>
      </c>
      <c r="AT114" s="8" t="s">
        <v>214</v>
      </c>
      <c r="AU114" s="8" t="s">
        <v>214</v>
      </c>
      <c r="AV114" s="8" t="s">
        <v>214</v>
      </c>
      <c r="AW114" s="8" t="s">
        <v>214</v>
      </c>
      <c r="AX114" s="8" t="s">
        <v>214</v>
      </c>
      <c r="AY114" s="8" t="s">
        <v>214</v>
      </c>
      <c r="AZ114" s="8" t="s">
        <v>214</v>
      </c>
      <c r="BA114" s="8" t="s">
        <v>214</v>
      </c>
      <c r="BB114" s="8" t="s">
        <v>214</v>
      </c>
      <c r="BC114" s="8" t="s">
        <v>214</v>
      </c>
      <c r="BD114" s="8" t="s">
        <v>214</v>
      </c>
      <c r="BE114" s="8" t="s">
        <v>214</v>
      </c>
      <c r="BF114" s="8" t="s">
        <v>214</v>
      </c>
      <c r="BG114" s="8" t="s">
        <v>214</v>
      </c>
      <c r="BH114" s="8" t="s">
        <v>214</v>
      </c>
      <c r="BI114" s="8" t="s">
        <v>214</v>
      </c>
      <c r="BJ114" s="8" t="s">
        <v>214</v>
      </c>
      <c r="BK114" s="8" t="s">
        <v>214</v>
      </c>
      <c r="BL114" s="8" t="s">
        <v>214</v>
      </c>
      <c r="BM114" s="8" t="s">
        <v>214</v>
      </c>
      <c r="BN114" s="8" t="s">
        <v>214</v>
      </c>
      <c r="BO114" s="8" t="s">
        <v>214</v>
      </c>
      <c r="BP114" s="8" t="s">
        <v>214</v>
      </c>
      <c r="BQ114" s="8" t="s">
        <v>214</v>
      </c>
      <c r="BR114" s="8" t="s">
        <v>214</v>
      </c>
      <c r="BS114" s="8" t="s">
        <v>214</v>
      </c>
      <c r="BT114" s="8" t="s">
        <v>214</v>
      </c>
      <c r="BU114" s="8" t="s">
        <v>214</v>
      </c>
      <c r="BV114" s="8" t="s">
        <v>214</v>
      </c>
      <c r="BW114" s="8" t="s">
        <v>214</v>
      </c>
      <c r="BX114" s="8" t="s">
        <v>214</v>
      </c>
      <c r="BY114" s="8" t="s">
        <v>214</v>
      </c>
      <c r="BZ114" s="8" t="s">
        <v>214</v>
      </c>
      <c r="CA114" s="8" t="s">
        <v>214</v>
      </c>
      <c r="CB114" s="8" t="s">
        <v>214</v>
      </c>
      <c r="CC114" s="8" t="s">
        <v>214</v>
      </c>
      <c r="CD114" s="8" t="s">
        <v>214</v>
      </c>
      <c r="CE114" s="8" t="s">
        <v>214</v>
      </c>
      <c r="CF114" s="8" t="s">
        <v>214</v>
      </c>
      <c r="CG114" s="8" t="s">
        <v>214</v>
      </c>
      <c r="CH114" s="8" t="s">
        <v>214</v>
      </c>
      <c r="CI114" s="8" t="s">
        <v>214</v>
      </c>
      <c r="CJ114" s="8" t="s">
        <v>214</v>
      </c>
      <c r="CK114" s="8" t="s">
        <v>218</v>
      </c>
      <c r="CL114" s="8" t="s">
        <v>214</v>
      </c>
      <c r="CM114" s="8" t="s">
        <v>214</v>
      </c>
      <c r="CN114" s="8" t="s">
        <v>214</v>
      </c>
      <c r="CO114" s="8" t="s">
        <v>214</v>
      </c>
      <c r="CP114" s="8" t="s">
        <v>214</v>
      </c>
      <c r="CQ114" s="8" t="s">
        <v>214</v>
      </c>
      <c r="CR114" s="8" t="s">
        <v>214</v>
      </c>
      <c r="CS114" s="8" t="s">
        <v>214</v>
      </c>
      <c r="CT114" s="8" t="s">
        <v>214</v>
      </c>
      <c r="CU114" s="8" t="s">
        <v>214</v>
      </c>
      <c r="CV114" s="8" t="s">
        <v>214</v>
      </c>
      <c r="CW114" s="8" t="s">
        <v>214</v>
      </c>
      <c r="CX114" s="8" t="s">
        <v>214</v>
      </c>
      <c r="CY114" s="8" t="s">
        <v>214</v>
      </c>
      <c r="CZ114" s="8" t="s">
        <v>214</v>
      </c>
      <c r="DA114" s="8" t="s">
        <v>214</v>
      </c>
      <c r="DB114" s="8" t="s">
        <v>214</v>
      </c>
      <c r="DC114" s="8" t="s">
        <v>214</v>
      </c>
      <c r="DD114" s="8" t="s">
        <v>214</v>
      </c>
      <c r="DE114" s="8" t="s">
        <v>214</v>
      </c>
      <c r="DF114" s="8" t="s">
        <v>214</v>
      </c>
      <c r="DG114" s="8" t="s">
        <v>214</v>
      </c>
      <c r="DH114" s="8" t="s">
        <v>214</v>
      </c>
      <c r="DI114" s="8" t="s">
        <v>218</v>
      </c>
      <c r="DJ114" s="8" t="s">
        <v>218</v>
      </c>
      <c r="DK114" s="8" t="s">
        <v>214</v>
      </c>
      <c r="DL114" s="8" t="s">
        <v>218</v>
      </c>
      <c r="DM114" s="8" t="s">
        <v>214</v>
      </c>
      <c r="DN114" s="8" t="s">
        <v>214</v>
      </c>
      <c r="DO114" s="8" t="s">
        <v>214</v>
      </c>
      <c r="DP114" s="8" t="s">
        <v>218</v>
      </c>
      <c r="DQ114" s="8" t="s">
        <v>214</v>
      </c>
      <c r="DR114" s="8" t="s">
        <v>214</v>
      </c>
      <c r="DS114" s="8" t="s">
        <v>214</v>
      </c>
      <c r="DT114" s="8" t="s">
        <v>214</v>
      </c>
      <c r="DU114" s="8" t="s">
        <v>214</v>
      </c>
      <c r="DV114" s="8" t="s">
        <v>214</v>
      </c>
      <c r="DW114" s="8" t="s">
        <v>214</v>
      </c>
      <c r="DX114" s="8" t="s">
        <v>214</v>
      </c>
      <c r="DY114" s="8" t="s">
        <v>214</v>
      </c>
      <c r="DZ114" s="8" t="s">
        <v>214</v>
      </c>
      <c r="EA114" s="8" t="s">
        <v>214</v>
      </c>
      <c r="EB114" s="8" t="s">
        <v>214</v>
      </c>
      <c r="EC114" s="8" t="s">
        <v>214</v>
      </c>
      <c r="ED114" s="8" t="s">
        <v>214</v>
      </c>
      <c r="EE114" s="8" t="s">
        <v>214</v>
      </c>
      <c r="EF114" s="8" t="s">
        <v>214</v>
      </c>
      <c r="EG114" s="8" t="s">
        <v>214</v>
      </c>
      <c r="EH114" s="8" t="s">
        <v>214</v>
      </c>
      <c r="EI114" s="8" t="s">
        <v>214</v>
      </c>
      <c r="EJ114" s="8" t="s">
        <v>214</v>
      </c>
      <c r="EK114" s="8" t="s">
        <v>214</v>
      </c>
      <c r="EL114" s="8" t="s">
        <v>214</v>
      </c>
      <c r="EM114" s="8" t="s">
        <v>214</v>
      </c>
      <c r="EN114" s="8" t="s">
        <v>214</v>
      </c>
      <c r="EO114" s="8" t="s">
        <v>214</v>
      </c>
      <c r="EP114" s="8" t="s">
        <v>214</v>
      </c>
      <c r="EQ114" s="8" t="s">
        <v>214</v>
      </c>
      <c r="ER114" s="8" t="s">
        <v>214</v>
      </c>
      <c r="ES114" s="8" t="s">
        <v>214</v>
      </c>
      <c r="ET114" s="8" t="s">
        <v>214</v>
      </c>
      <c r="EU114" s="8" t="s">
        <v>214</v>
      </c>
      <c r="EV114" s="8" t="s">
        <v>214</v>
      </c>
      <c r="EW114" s="8" t="s">
        <v>214</v>
      </c>
      <c r="EX114" s="8" t="s">
        <v>214</v>
      </c>
      <c r="EY114" s="8" t="s">
        <v>218</v>
      </c>
      <c r="EZ114" s="8" t="s">
        <v>214</v>
      </c>
      <c r="FA114" s="8" t="s">
        <v>214</v>
      </c>
      <c r="FB114" s="8" t="s">
        <v>214</v>
      </c>
      <c r="FC114" s="8" t="s">
        <v>214</v>
      </c>
      <c r="FD114" s="8" t="s">
        <v>214</v>
      </c>
      <c r="FE114" s="8" t="s">
        <v>214</v>
      </c>
      <c r="FF114" s="8" t="s">
        <v>214</v>
      </c>
      <c r="FG114" s="8" t="s">
        <v>214</v>
      </c>
      <c r="FH114" s="8" t="s">
        <v>214</v>
      </c>
      <c r="FI114" s="8" t="s">
        <v>214</v>
      </c>
      <c r="FJ114" s="8" t="s">
        <v>214</v>
      </c>
      <c r="FK114" s="8" t="s">
        <v>214</v>
      </c>
      <c r="FL114" s="8" t="s">
        <v>214</v>
      </c>
    </row>
    <row r="115" spans="1:168" ht="15" x14ac:dyDescent="0.25">
      <c r="A115" s="5" t="s">
        <v>202</v>
      </c>
      <c r="B115" s="5" t="s">
        <v>6</v>
      </c>
      <c r="C115" s="7" t="s">
        <v>214</v>
      </c>
      <c r="D115" s="7" t="s">
        <v>214</v>
      </c>
      <c r="E115" s="7" t="s">
        <v>214</v>
      </c>
      <c r="F115" s="7" t="s">
        <v>214</v>
      </c>
      <c r="G115" s="7" t="s">
        <v>214</v>
      </c>
      <c r="H115" s="7" t="s">
        <v>214</v>
      </c>
      <c r="I115" s="7" t="s">
        <v>214</v>
      </c>
      <c r="J115" s="7" t="s">
        <v>214</v>
      </c>
      <c r="K115" s="7" t="s">
        <v>214</v>
      </c>
      <c r="L115" s="7" t="s">
        <v>214</v>
      </c>
      <c r="M115" s="7" t="s">
        <v>214</v>
      </c>
      <c r="N115" s="7" t="s">
        <v>214</v>
      </c>
      <c r="O115" s="7" t="s">
        <v>214</v>
      </c>
      <c r="P115" s="7" t="s">
        <v>214</v>
      </c>
      <c r="Q115" s="7" t="s">
        <v>214</v>
      </c>
      <c r="R115" s="7" t="s">
        <v>214</v>
      </c>
      <c r="S115" s="7" t="s">
        <v>214</v>
      </c>
      <c r="T115" s="7" t="s">
        <v>214</v>
      </c>
      <c r="U115" s="7" t="s">
        <v>214</v>
      </c>
      <c r="V115" s="7" t="s">
        <v>214</v>
      </c>
      <c r="W115" s="7" t="s">
        <v>214</v>
      </c>
      <c r="X115" s="7" t="s">
        <v>214</v>
      </c>
      <c r="Y115" s="7" t="s">
        <v>214</v>
      </c>
      <c r="Z115" s="7" t="s">
        <v>214</v>
      </c>
      <c r="AA115" s="7" t="s">
        <v>214</v>
      </c>
      <c r="AB115" s="7" t="s">
        <v>214</v>
      </c>
      <c r="AC115" s="7" t="s">
        <v>214</v>
      </c>
      <c r="AD115" s="7" t="s">
        <v>214</v>
      </c>
      <c r="AE115" s="7" t="s">
        <v>214</v>
      </c>
      <c r="AF115" s="7" t="s">
        <v>214</v>
      </c>
      <c r="AG115" s="7" t="s">
        <v>214</v>
      </c>
      <c r="AH115" s="7" t="s">
        <v>214</v>
      </c>
      <c r="AI115" s="7" t="s">
        <v>214</v>
      </c>
      <c r="AJ115" s="7" t="s">
        <v>214</v>
      </c>
      <c r="AK115" s="7" t="s">
        <v>214</v>
      </c>
      <c r="AL115" s="7" t="s">
        <v>214</v>
      </c>
      <c r="AM115" s="7" t="s">
        <v>214</v>
      </c>
      <c r="AN115" s="7" t="s">
        <v>214</v>
      </c>
      <c r="AO115" s="7" t="s">
        <v>214</v>
      </c>
      <c r="AP115" s="7" t="s">
        <v>214</v>
      </c>
      <c r="AQ115" s="7" t="s">
        <v>214</v>
      </c>
      <c r="AR115" s="7" t="s">
        <v>214</v>
      </c>
      <c r="AS115" s="7" t="s">
        <v>214</v>
      </c>
      <c r="AT115" s="7" t="s">
        <v>214</v>
      </c>
      <c r="AU115" s="7" t="s">
        <v>214</v>
      </c>
      <c r="AV115" s="7" t="s">
        <v>214</v>
      </c>
      <c r="AW115" s="7" t="s">
        <v>214</v>
      </c>
      <c r="AX115" s="7" t="s">
        <v>214</v>
      </c>
      <c r="AY115" s="7" t="s">
        <v>214</v>
      </c>
      <c r="AZ115" s="7" t="s">
        <v>214</v>
      </c>
      <c r="BA115" s="7" t="s">
        <v>214</v>
      </c>
      <c r="BB115" s="7" t="s">
        <v>214</v>
      </c>
      <c r="BC115" s="7" t="s">
        <v>214</v>
      </c>
      <c r="BD115" s="7" t="s">
        <v>214</v>
      </c>
      <c r="BE115" s="7" t="s">
        <v>214</v>
      </c>
      <c r="BF115" s="7" t="s">
        <v>214</v>
      </c>
      <c r="BG115" s="7" t="s">
        <v>214</v>
      </c>
      <c r="BH115" s="7" t="s">
        <v>214</v>
      </c>
      <c r="BI115" s="7" t="s">
        <v>214</v>
      </c>
      <c r="BJ115" s="7" t="s">
        <v>214</v>
      </c>
      <c r="BK115" s="7" t="s">
        <v>214</v>
      </c>
      <c r="BL115" s="7" t="s">
        <v>214</v>
      </c>
      <c r="BM115" s="7" t="s">
        <v>214</v>
      </c>
      <c r="BN115" s="7" t="s">
        <v>214</v>
      </c>
      <c r="BO115" s="7" t="s">
        <v>214</v>
      </c>
      <c r="BP115" s="7" t="s">
        <v>214</v>
      </c>
      <c r="BQ115" s="7" t="s">
        <v>214</v>
      </c>
      <c r="BR115" s="7" t="s">
        <v>214</v>
      </c>
      <c r="BS115" s="7" t="s">
        <v>214</v>
      </c>
      <c r="BT115" s="7" t="s">
        <v>214</v>
      </c>
      <c r="BU115" s="7" t="s">
        <v>214</v>
      </c>
      <c r="BV115" s="7" t="s">
        <v>214</v>
      </c>
      <c r="BW115" s="7" t="s">
        <v>217</v>
      </c>
      <c r="BX115" s="7" t="s">
        <v>214</v>
      </c>
      <c r="BY115" s="7" t="s">
        <v>214</v>
      </c>
      <c r="BZ115" s="7" t="s">
        <v>214</v>
      </c>
      <c r="CA115" s="7" t="s">
        <v>214</v>
      </c>
      <c r="CB115" s="7" t="s">
        <v>214</v>
      </c>
      <c r="CC115" s="7" t="s">
        <v>214</v>
      </c>
      <c r="CD115" s="7" t="s">
        <v>214</v>
      </c>
      <c r="CE115" s="7" t="s">
        <v>214</v>
      </c>
      <c r="CF115" s="7" t="s">
        <v>214</v>
      </c>
      <c r="CG115" s="7" t="s">
        <v>214</v>
      </c>
      <c r="CH115" s="7" t="s">
        <v>214</v>
      </c>
      <c r="CI115" s="7" t="s">
        <v>214</v>
      </c>
      <c r="CJ115" s="7" t="s">
        <v>214</v>
      </c>
      <c r="CK115" s="7" t="s">
        <v>214</v>
      </c>
      <c r="CL115" s="7" t="s">
        <v>214</v>
      </c>
      <c r="CM115" s="7" t="s">
        <v>214</v>
      </c>
      <c r="CN115" s="7" t="s">
        <v>214</v>
      </c>
      <c r="CO115" s="7" t="s">
        <v>214</v>
      </c>
      <c r="CP115" s="7" t="s">
        <v>214</v>
      </c>
      <c r="CQ115" s="7" t="s">
        <v>214</v>
      </c>
      <c r="CR115" s="7" t="s">
        <v>214</v>
      </c>
      <c r="CS115" s="7" t="s">
        <v>214</v>
      </c>
      <c r="CT115" s="7" t="s">
        <v>214</v>
      </c>
      <c r="CU115" s="7" t="s">
        <v>214</v>
      </c>
      <c r="CV115" s="7" t="s">
        <v>214</v>
      </c>
      <c r="CW115" s="7" t="s">
        <v>214</v>
      </c>
      <c r="CX115" s="7" t="s">
        <v>214</v>
      </c>
      <c r="CY115" s="7" t="s">
        <v>214</v>
      </c>
      <c r="CZ115" s="7" t="s">
        <v>214</v>
      </c>
      <c r="DA115" s="7" t="s">
        <v>214</v>
      </c>
      <c r="DB115" s="7" t="s">
        <v>214</v>
      </c>
      <c r="DC115" s="7" t="s">
        <v>214</v>
      </c>
      <c r="DD115" s="7" t="s">
        <v>214</v>
      </c>
      <c r="DE115" s="7" t="s">
        <v>214</v>
      </c>
      <c r="DF115" s="7" t="s">
        <v>218</v>
      </c>
      <c r="DG115" s="7" t="s">
        <v>214</v>
      </c>
      <c r="DH115" s="7" t="s">
        <v>214</v>
      </c>
      <c r="DI115" s="7" t="s">
        <v>214</v>
      </c>
      <c r="DJ115" s="7" t="s">
        <v>214</v>
      </c>
      <c r="DK115" s="7" t="s">
        <v>214</v>
      </c>
      <c r="DL115" s="7" t="s">
        <v>214</v>
      </c>
      <c r="DM115" s="7" t="s">
        <v>214</v>
      </c>
      <c r="DN115" s="7" t="s">
        <v>214</v>
      </c>
      <c r="DO115" s="7" t="s">
        <v>214</v>
      </c>
      <c r="DP115" s="7" t="s">
        <v>218</v>
      </c>
      <c r="DQ115" s="7" t="s">
        <v>214</v>
      </c>
      <c r="DR115" s="7" t="s">
        <v>214</v>
      </c>
      <c r="DS115" s="7" t="s">
        <v>214</v>
      </c>
      <c r="DT115" s="7" t="s">
        <v>214</v>
      </c>
      <c r="DU115" s="7" t="s">
        <v>214</v>
      </c>
      <c r="DV115" s="7" t="s">
        <v>214</v>
      </c>
      <c r="DW115" s="7" t="s">
        <v>214</v>
      </c>
      <c r="DX115" s="7" t="s">
        <v>214</v>
      </c>
      <c r="DY115" s="7" t="s">
        <v>214</v>
      </c>
      <c r="DZ115" s="7" t="s">
        <v>214</v>
      </c>
      <c r="EA115" s="7" t="s">
        <v>214</v>
      </c>
      <c r="EB115" s="7" t="s">
        <v>214</v>
      </c>
      <c r="EC115" s="7" t="s">
        <v>214</v>
      </c>
      <c r="ED115" s="7" t="s">
        <v>214</v>
      </c>
      <c r="EE115" s="7" t="s">
        <v>214</v>
      </c>
      <c r="EF115" s="7" t="s">
        <v>214</v>
      </c>
      <c r="EG115" s="7" t="s">
        <v>214</v>
      </c>
      <c r="EH115" s="7" t="s">
        <v>214</v>
      </c>
      <c r="EI115" s="7" t="s">
        <v>214</v>
      </c>
      <c r="EJ115" s="7" t="s">
        <v>214</v>
      </c>
      <c r="EK115" s="7" t="s">
        <v>214</v>
      </c>
      <c r="EL115" s="7" t="s">
        <v>214</v>
      </c>
      <c r="EM115" s="7" t="s">
        <v>214</v>
      </c>
      <c r="EN115" s="7" t="s">
        <v>214</v>
      </c>
      <c r="EO115" s="7" t="s">
        <v>214</v>
      </c>
      <c r="EP115" s="7" t="s">
        <v>214</v>
      </c>
      <c r="EQ115" s="7" t="s">
        <v>218</v>
      </c>
      <c r="ER115" s="7" t="s">
        <v>214</v>
      </c>
      <c r="ES115" s="7" t="s">
        <v>214</v>
      </c>
      <c r="ET115" s="7" t="s">
        <v>214</v>
      </c>
      <c r="EU115" s="7" t="s">
        <v>214</v>
      </c>
      <c r="EV115" s="7" t="s">
        <v>214</v>
      </c>
      <c r="EW115" s="7" t="s">
        <v>214</v>
      </c>
      <c r="EX115" s="7" t="s">
        <v>214</v>
      </c>
      <c r="EY115" s="7" t="s">
        <v>214</v>
      </c>
      <c r="EZ115" s="7" t="s">
        <v>217</v>
      </c>
      <c r="FA115" s="7" t="s">
        <v>214</v>
      </c>
      <c r="FB115" s="7" t="s">
        <v>214</v>
      </c>
      <c r="FC115" s="7" t="s">
        <v>214</v>
      </c>
      <c r="FD115" s="7" t="s">
        <v>214</v>
      </c>
      <c r="FE115" s="7" t="s">
        <v>214</v>
      </c>
      <c r="FF115" s="7" t="s">
        <v>214</v>
      </c>
      <c r="FG115" s="7" t="s">
        <v>214</v>
      </c>
      <c r="FH115" s="7" t="s">
        <v>214</v>
      </c>
      <c r="FI115" s="7" t="s">
        <v>214</v>
      </c>
      <c r="FJ115" s="7" t="s">
        <v>214</v>
      </c>
      <c r="FK115" s="7" t="s">
        <v>214</v>
      </c>
      <c r="FL115" s="7" t="s">
        <v>214</v>
      </c>
    </row>
    <row r="116" spans="1:168" ht="15" x14ac:dyDescent="0.25">
      <c r="A116" s="5" t="s">
        <v>202</v>
      </c>
      <c r="B116" s="5" t="s">
        <v>7</v>
      </c>
      <c r="C116" s="8" t="s">
        <v>217</v>
      </c>
      <c r="D116" s="8" t="s">
        <v>217</v>
      </c>
      <c r="E116" s="8" t="s">
        <v>214</v>
      </c>
      <c r="F116" s="8" t="s">
        <v>214</v>
      </c>
      <c r="G116" s="8" t="s">
        <v>214</v>
      </c>
      <c r="H116" s="8" t="s">
        <v>214</v>
      </c>
      <c r="I116" s="8" t="s">
        <v>214</v>
      </c>
      <c r="J116" s="8" t="s">
        <v>214</v>
      </c>
      <c r="K116" s="8" t="s">
        <v>214</v>
      </c>
      <c r="L116" s="8" t="s">
        <v>214</v>
      </c>
      <c r="M116" s="8" t="s">
        <v>214</v>
      </c>
      <c r="N116" s="8" t="s">
        <v>214</v>
      </c>
      <c r="O116" s="8" t="s">
        <v>214</v>
      </c>
      <c r="P116" s="8" t="s">
        <v>214</v>
      </c>
      <c r="Q116" s="8" t="s">
        <v>214</v>
      </c>
      <c r="R116" s="8" t="s">
        <v>214</v>
      </c>
      <c r="S116" s="8" t="s">
        <v>214</v>
      </c>
      <c r="T116" s="8" t="s">
        <v>214</v>
      </c>
      <c r="U116" s="8" t="s">
        <v>214</v>
      </c>
      <c r="V116" s="8" t="s">
        <v>214</v>
      </c>
      <c r="W116" s="8" t="s">
        <v>217</v>
      </c>
      <c r="X116" s="8" t="s">
        <v>217</v>
      </c>
      <c r="Y116" s="8" t="s">
        <v>217</v>
      </c>
      <c r="Z116" s="8" t="s">
        <v>218</v>
      </c>
      <c r="AA116" s="8" t="s">
        <v>214</v>
      </c>
      <c r="AB116" s="8" t="s">
        <v>214</v>
      </c>
      <c r="AC116" s="8" t="s">
        <v>217</v>
      </c>
      <c r="AD116" s="8" t="s">
        <v>214</v>
      </c>
      <c r="AE116" s="8" t="s">
        <v>214</v>
      </c>
      <c r="AF116" s="8" t="s">
        <v>214</v>
      </c>
      <c r="AG116" s="8" t="s">
        <v>214</v>
      </c>
      <c r="AH116" s="8" t="s">
        <v>214</v>
      </c>
      <c r="AI116" s="8" t="s">
        <v>214</v>
      </c>
      <c r="AJ116" s="8" t="s">
        <v>217</v>
      </c>
      <c r="AK116" s="8" t="s">
        <v>214</v>
      </c>
      <c r="AL116" s="8" t="s">
        <v>214</v>
      </c>
      <c r="AM116" s="8" t="s">
        <v>214</v>
      </c>
      <c r="AN116" s="8" t="s">
        <v>217</v>
      </c>
      <c r="AO116" s="8" t="s">
        <v>214</v>
      </c>
      <c r="AP116" s="8" t="s">
        <v>214</v>
      </c>
      <c r="AQ116" s="8" t="s">
        <v>214</v>
      </c>
      <c r="AR116" s="8" t="s">
        <v>214</v>
      </c>
      <c r="AS116" s="8" t="s">
        <v>214</v>
      </c>
      <c r="AT116" s="8" t="s">
        <v>214</v>
      </c>
      <c r="AU116" s="8" t="s">
        <v>214</v>
      </c>
      <c r="AV116" s="8" t="s">
        <v>214</v>
      </c>
      <c r="AW116" s="8" t="s">
        <v>214</v>
      </c>
      <c r="AX116" s="8" t="s">
        <v>214</v>
      </c>
      <c r="AY116" s="8" t="s">
        <v>214</v>
      </c>
      <c r="AZ116" s="8" t="s">
        <v>214</v>
      </c>
      <c r="BA116" s="8" t="s">
        <v>214</v>
      </c>
      <c r="BB116" s="8" t="s">
        <v>214</v>
      </c>
      <c r="BC116" s="8" t="s">
        <v>214</v>
      </c>
      <c r="BD116" s="8" t="s">
        <v>214</v>
      </c>
      <c r="BE116" s="8" t="s">
        <v>214</v>
      </c>
      <c r="BF116" s="8" t="s">
        <v>217</v>
      </c>
      <c r="BG116" s="8" t="s">
        <v>214</v>
      </c>
      <c r="BH116" s="8" t="s">
        <v>217</v>
      </c>
      <c r="BI116" s="8" t="s">
        <v>214</v>
      </c>
      <c r="BJ116" s="8" t="s">
        <v>214</v>
      </c>
      <c r="BK116" s="8" t="s">
        <v>214</v>
      </c>
      <c r="BL116" s="8" t="s">
        <v>214</v>
      </c>
      <c r="BM116" s="8" t="s">
        <v>214</v>
      </c>
      <c r="BN116" s="8" t="s">
        <v>214</v>
      </c>
      <c r="BO116" s="8" t="s">
        <v>214</v>
      </c>
      <c r="BP116" s="8" t="s">
        <v>214</v>
      </c>
      <c r="BQ116" s="8" t="s">
        <v>217</v>
      </c>
      <c r="BR116" s="8" t="s">
        <v>214</v>
      </c>
      <c r="BS116" s="8" t="s">
        <v>214</v>
      </c>
      <c r="BT116" s="8" t="s">
        <v>214</v>
      </c>
      <c r="BU116" s="8" t="s">
        <v>214</v>
      </c>
      <c r="BV116" s="8" t="s">
        <v>214</v>
      </c>
      <c r="BW116" s="8" t="s">
        <v>214</v>
      </c>
      <c r="BX116" s="8" t="s">
        <v>214</v>
      </c>
      <c r="BY116" s="8" t="s">
        <v>214</v>
      </c>
      <c r="BZ116" s="8" t="s">
        <v>214</v>
      </c>
      <c r="CA116" s="8" t="s">
        <v>214</v>
      </c>
      <c r="CB116" s="8" t="s">
        <v>214</v>
      </c>
      <c r="CC116" s="8" t="s">
        <v>214</v>
      </c>
      <c r="CD116" s="8" t="s">
        <v>214</v>
      </c>
      <c r="CE116" s="8" t="s">
        <v>214</v>
      </c>
      <c r="CF116" s="8" t="s">
        <v>214</v>
      </c>
      <c r="CG116" s="8" t="s">
        <v>214</v>
      </c>
      <c r="CH116" s="8" t="s">
        <v>214</v>
      </c>
      <c r="CI116" s="8" t="s">
        <v>214</v>
      </c>
      <c r="CJ116" s="8" t="s">
        <v>214</v>
      </c>
      <c r="CK116" s="8" t="s">
        <v>214</v>
      </c>
      <c r="CL116" s="8" t="s">
        <v>214</v>
      </c>
      <c r="CM116" s="8" t="s">
        <v>214</v>
      </c>
      <c r="CN116" s="8" t="s">
        <v>214</v>
      </c>
      <c r="CO116" s="8" t="s">
        <v>214</v>
      </c>
      <c r="CP116" s="8" t="s">
        <v>214</v>
      </c>
      <c r="CQ116" s="8" t="s">
        <v>214</v>
      </c>
      <c r="CR116" s="8" t="s">
        <v>214</v>
      </c>
      <c r="CS116" s="8" t="s">
        <v>214</v>
      </c>
      <c r="CT116" s="8" t="s">
        <v>214</v>
      </c>
      <c r="CU116" s="8" t="s">
        <v>214</v>
      </c>
      <c r="CV116" s="8" t="s">
        <v>214</v>
      </c>
      <c r="CW116" s="8" t="s">
        <v>214</v>
      </c>
      <c r="CX116" s="8" t="s">
        <v>214</v>
      </c>
      <c r="CY116" s="8" t="s">
        <v>214</v>
      </c>
      <c r="CZ116" s="8" t="s">
        <v>214</v>
      </c>
      <c r="DA116" s="8" t="s">
        <v>214</v>
      </c>
      <c r="DB116" s="8" t="s">
        <v>214</v>
      </c>
      <c r="DC116" s="8" t="s">
        <v>214</v>
      </c>
      <c r="DD116" s="8" t="s">
        <v>214</v>
      </c>
      <c r="DE116" s="8" t="s">
        <v>214</v>
      </c>
      <c r="DF116" s="8" t="s">
        <v>214</v>
      </c>
      <c r="DG116" s="8" t="s">
        <v>214</v>
      </c>
      <c r="DH116" s="8" t="s">
        <v>214</v>
      </c>
      <c r="DI116" s="8" t="s">
        <v>214</v>
      </c>
      <c r="DJ116" s="8" t="s">
        <v>214</v>
      </c>
      <c r="DK116" s="8" t="s">
        <v>214</v>
      </c>
      <c r="DL116" s="8" t="s">
        <v>214</v>
      </c>
      <c r="DM116" s="8" t="s">
        <v>214</v>
      </c>
      <c r="DN116" s="8" t="s">
        <v>214</v>
      </c>
      <c r="DO116" s="8" t="s">
        <v>218</v>
      </c>
      <c r="DP116" s="8" t="s">
        <v>218</v>
      </c>
      <c r="DQ116" s="8" t="s">
        <v>214</v>
      </c>
      <c r="DR116" s="8" t="s">
        <v>214</v>
      </c>
      <c r="DS116" s="8" t="s">
        <v>217</v>
      </c>
      <c r="DT116" s="8" t="s">
        <v>214</v>
      </c>
      <c r="DU116" s="8" t="s">
        <v>214</v>
      </c>
      <c r="DV116" s="8" t="s">
        <v>214</v>
      </c>
      <c r="DW116" s="8" t="s">
        <v>217</v>
      </c>
      <c r="DX116" s="8" t="s">
        <v>214</v>
      </c>
      <c r="DY116" s="8" t="s">
        <v>214</v>
      </c>
      <c r="DZ116" s="8" t="s">
        <v>214</v>
      </c>
      <c r="EA116" s="8" t="s">
        <v>217</v>
      </c>
      <c r="EB116" s="8" t="s">
        <v>214</v>
      </c>
      <c r="EC116" s="8" t="s">
        <v>214</v>
      </c>
      <c r="ED116" s="8" t="s">
        <v>214</v>
      </c>
      <c r="EE116" s="8" t="s">
        <v>217</v>
      </c>
      <c r="EF116" s="8" t="s">
        <v>214</v>
      </c>
      <c r="EG116" s="8" t="s">
        <v>214</v>
      </c>
      <c r="EH116" s="8" t="s">
        <v>214</v>
      </c>
      <c r="EI116" s="8" t="s">
        <v>214</v>
      </c>
      <c r="EJ116" s="8" t="s">
        <v>214</v>
      </c>
      <c r="EK116" s="8" t="s">
        <v>214</v>
      </c>
      <c r="EL116" s="8" t="s">
        <v>214</v>
      </c>
      <c r="EM116" s="8" t="s">
        <v>214</v>
      </c>
      <c r="EN116" s="8" t="s">
        <v>214</v>
      </c>
      <c r="EO116" s="8" t="s">
        <v>214</v>
      </c>
      <c r="EP116" s="8" t="s">
        <v>214</v>
      </c>
      <c r="EQ116" s="8" t="s">
        <v>218</v>
      </c>
      <c r="ER116" s="8" t="s">
        <v>217</v>
      </c>
      <c r="ES116" s="8" t="s">
        <v>214</v>
      </c>
      <c r="ET116" s="8" t="s">
        <v>214</v>
      </c>
      <c r="EU116" s="8" t="s">
        <v>214</v>
      </c>
      <c r="EV116" s="8" t="s">
        <v>214</v>
      </c>
      <c r="EW116" s="8" t="s">
        <v>214</v>
      </c>
      <c r="EX116" s="8" t="s">
        <v>214</v>
      </c>
      <c r="EY116" s="8" t="s">
        <v>214</v>
      </c>
      <c r="EZ116" s="8" t="s">
        <v>217</v>
      </c>
      <c r="FA116" s="8" t="s">
        <v>217</v>
      </c>
      <c r="FB116" s="8" t="s">
        <v>214</v>
      </c>
      <c r="FC116" s="8" t="s">
        <v>214</v>
      </c>
      <c r="FD116" s="8" t="s">
        <v>214</v>
      </c>
      <c r="FE116" s="8" t="s">
        <v>214</v>
      </c>
      <c r="FF116" s="8" t="s">
        <v>214</v>
      </c>
      <c r="FG116" s="8" t="s">
        <v>214</v>
      </c>
      <c r="FH116" s="8" t="s">
        <v>214</v>
      </c>
      <c r="FI116" s="8" t="s">
        <v>214</v>
      </c>
      <c r="FJ116" s="8" t="s">
        <v>214</v>
      </c>
      <c r="FK116" s="8" t="s">
        <v>214</v>
      </c>
      <c r="FL116" s="8" t="s">
        <v>214</v>
      </c>
    </row>
    <row r="117" spans="1:168" ht="15" x14ac:dyDescent="0.25">
      <c r="A117" s="5" t="s">
        <v>202</v>
      </c>
      <c r="B117" s="5" t="s">
        <v>8</v>
      </c>
      <c r="C117" s="7" t="s">
        <v>217</v>
      </c>
      <c r="D117" s="7" t="s">
        <v>217</v>
      </c>
      <c r="E117" s="7" t="s">
        <v>214</v>
      </c>
      <c r="F117" s="7" t="s">
        <v>214</v>
      </c>
      <c r="G117" s="7" t="s">
        <v>214</v>
      </c>
      <c r="H117" s="7" t="s">
        <v>214</v>
      </c>
      <c r="I117" s="7" t="s">
        <v>214</v>
      </c>
      <c r="J117" s="7" t="s">
        <v>214</v>
      </c>
      <c r="K117" s="7" t="s">
        <v>214</v>
      </c>
      <c r="L117" s="7" t="s">
        <v>214</v>
      </c>
      <c r="M117" s="7" t="s">
        <v>214</v>
      </c>
      <c r="N117" s="7" t="s">
        <v>214</v>
      </c>
      <c r="O117" s="7" t="s">
        <v>214</v>
      </c>
      <c r="P117" s="7" t="s">
        <v>214</v>
      </c>
      <c r="Q117" s="7" t="s">
        <v>214</v>
      </c>
      <c r="R117" s="7" t="s">
        <v>214</v>
      </c>
      <c r="S117" s="7" t="s">
        <v>214</v>
      </c>
      <c r="T117" s="7" t="s">
        <v>214</v>
      </c>
      <c r="U117" s="7" t="s">
        <v>214</v>
      </c>
      <c r="V117" s="7" t="s">
        <v>214</v>
      </c>
      <c r="W117" s="7" t="s">
        <v>217</v>
      </c>
      <c r="X117" s="7" t="s">
        <v>217</v>
      </c>
      <c r="Y117" s="7" t="s">
        <v>217</v>
      </c>
      <c r="Z117" s="7" t="s">
        <v>218</v>
      </c>
      <c r="AA117" s="7" t="s">
        <v>214</v>
      </c>
      <c r="AB117" s="7" t="s">
        <v>214</v>
      </c>
      <c r="AC117" s="7" t="s">
        <v>217</v>
      </c>
      <c r="AD117" s="7" t="s">
        <v>214</v>
      </c>
      <c r="AE117" s="7" t="s">
        <v>214</v>
      </c>
      <c r="AF117" s="7" t="s">
        <v>214</v>
      </c>
      <c r="AG117" s="7" t="s">
        <v>214</v>
      </c>
      <c r="AH117" s="7" t="s">
        <v>214</v>
      </c>
      <c r="AI117" s="7" t="s">
        <v>214</v>
      </c>
      <c r="AJ117" s="7" t="s">
        <v>217</v>
      </c>
      <c r="AK117" s="7" t="s">
        <v>214</v>
      </c>
      <c r="AL117" s="7" t="s">
        <v>214</v>
      </c>
      <c r="AM117" s="7" t="s">
        <v>214</v>
      </c>
      <c r="AN117" s="7" t="s">
        <v>214</v>
      </c>
      <c r="AO117" s="7" t="s">
        <v>214</v>
      </c>
      <c r="AP117" s="7" t="s">
        <v>214</v>
      </c>
      <c r="AQ117" s="7" t="s">
        <v>214</v>
      </c>
      <c r="AR117" s="7" t="s">
        <v>214</v>
      </c>
      <c r="AS117" s="7" t="s">
        <v>214</v>
      </c>
      <c r="AT117" s="7" t="s">
        <v>214</v>
      </c>
      <c r="AU117" s="7" t="s">
        <v>214</v>
      </c>
      <c r="AV117" s="7" t="s">
        <v>214</v>
      </c>
      <c r="AW117" s="7" t="s">
        <v>214</v>
      </c>
      <c r="AX117" s="7" t="s">
        <v>214</v>
      </c>
      <c r="AY117" s="7" t="s">
        <v>214</v>
      </c>
      <c r="AZ117" s="7" t="s">
        <v>214</v>
      </c>
      <c r="BA117" s="7" t="s">
        <v>214</v>
      </c>
      <c r="BB117" s="7" t="s">
        <v>214</v>
      </c>
      <c r="BC117" s="7" t="s">
        <v>214</v>
      </c>
      <c r="BD117" s="7" t="s">
        <v>214</v>
      </c>
      <c r="BE117" s="7" t="s">
        <v>214</v>
      </c>
      <c r="BF117" s="7" t="s">
        <v>214</v>
      </c>
      <c r="BG117" s="7" t="s">
        <v>214</v>
      </c>
      <c r="BH117" s="7" t="s">
        <v>214</v>
      </c>
      <c r="BI117" s="7" t="s">
        <v>214</v>
      </c>
      <c r="BJ117" s="7" t="s">
        <v>214</v>
      </c>
      <c r="BK117" s="7" t="s">
        <v>214</v>
      </c>
      <c r="BL117" s="7" t="s">
        <v>214</v>
      </c>
      <c r="BM117" s="7" t="s">
        <v>214</v>
      </c>
      <c r="BN117" s="7" t="s">
        <v>214</v>
      </c>
      <c r="BO117" s="7" t="s">
        <v>214</v>
      </c>
      <c r="BP117" s="7" t="s">
        <v>214</v>
      </c>
      <c r="BQ117" s="7" t="s">
        <v>214</v>
      </c>
      <c r="BR117" s="7" t="s">
        <v>214</v>
      </c>
      <c r="BS117" s="7" t="s">
        <v>214</v>
      </c>
      <c r="BT117" s="7" t="s">
        <v>214</v>
      </c>
      <c r="BU117" s="7" t="s">
        <v>214</v>
      </c>
      <c r="BV117" s="7" t="s">
        <v>214</v>
      </c>
      <c r="BW117" s="7" t="s">
        <v>214</v>
      </c>
      <c r="BX117" s="7" t="s">
        <v>214</v>
      </c>
      <c r="BY117" s="7" t="s">
        <v>214</v>
      </c>
      <c r="BZ117" s="7" t="s">
        <v>214</v>
      </c>
      <c r="CA117" s="7" t="s">
        <v>214</v>
      </c>
      <c r="CB117" s="7" t="s">
        <v>214</v>
      </c>
      <c r="CC117" s="7" t="s">
        <v>214</v>
      </c>
      <c r="CD117" s="7" t="s">
        <v>214</v>
      </c>
      <c r="CE117" s="7" t="s">
        <v>214</v>
      </c>
      <c r="CF117" s="7" t="s">
        <v>214</v>
      </c>
      <c r="CG117" s="7" t="s">
        <v>214</v>
      </c>
      <c r="CH117" s="7" t="s">
        <v>214</v>
      </c>
      <c r="CI117" s="7" t="s">
        <v>214</v>
      </c>
      <c r="CJ117" s="7" t="s">
        <v>214</v>
      </c>
      <c r="CK117" s="7" t="s">
        <v>214</v>
      </c>
      <c r="CL117" s="7" t="s">
        <v>214</v>
      </c>
      <c r="CM117" s="7" t="s">
        <v>214</v>
      </c>
      <c r="CN117" s="7" t="s">
        <v>214</v>
      </c>
      <c r="CO117" s="7" t="s">
        <v>214</v>
      </c>
      <c r="CP117" s="7" t="s">
        <v>214</v>
      </c>
      <c r="CQ117" s="7" t="s">
        <v>214</v>
      </c>
      <c r="CR117" s="7" t="s">
        <v>214</v>
      </c>
      <c r="CS117" s="7" t="s">
        <v>214</v>
      </c>
      <c r="CT117" s="7" t="s">
        <v>214</v>
      </c>
      <c r="CU117" s="7" t="s">
        <v>214</v>
      </c>
      <c r="CV117" s="7" t="s">
        <v>214</v>
      </c>
      <c r="CW117" s="7" t="s">
        <v>214</v>
      </c>
      <c r="CX117" s="7" t="s">
        <v>214</v>
      </c>
      <c r="CY117" s="7" t="s">
        <v>214</v>
      </c>
      <c r="CZ117" s="7" t="s">
        <v>214</v>
      </c>
      <c r="DA117" s="7" t="s">
        <v>214</v>
      </c>
      <c r="DB117" s="7" t="s">
        <v>214</v>
      </c>
      <c r="DC117" s="7" t="s">
        <v>214</v>
      </c>
      <c r="DD117" s="7" t="s">
        <v>214</v>
      </c>
      <c r="DE117" s="7" t="s">
        <v>214</v>
      </c>
      <c r="DF117" s="7" t="s">
        <v>218</v>
      </c>
      <c r="DG117" s="7" t="s">
        <v>214</v>
      </c>
      <c r="DH117" s="7" t="s">
        <v>214</v>
      </c>
      <c r="DI117" s="7" t="s">
        <v>218</v>
      </c>
      <c r="DJ117" s="7" t="s">
        <v>218</v>
      </c>
      <c r="DK117" s="7" t="s">
        <v>214</v>
      </c>
      <c r="DL117" s="7" t="s">
        <v>218</v>
      </c>
      <c r="DM117" s="7" t="s">
        <v>214</v>
      </c>
      <c r="DN117" s="7" t="s">
        <v>214</v>
      </c>
      <c r="DO117" s="7" t="s">
        <v>214</v>
      </c>
      <c r="DP117" s="7" t="s">
        <v>218</v>
      </c>
      <c r="DQ117" s="7" t="s">
        <v>214</v>
      </c>
      <c r="DR117" s="7" t="s">
        <v>214</v>
      </c>
      <c r="DS117" s="7" t="s">
        <v>214</v>
      </c>
      <c r="DT117" s="7" t="s">
        <v>214</v>
      </c>
      <c r="DU117" s="7" t="s">
        <v>214</v>
      </c>
      <c r="DV117" s="7" t="s">
        <v>217</v>
      </c>
      <c r="DW117" s="7" t="s">
        <v>218</v>
      </c>
      <c r="DX117" s="7" t="s">
        <v>217</v>
      </c>
      <c r="DY117" s="7" t="s">
        <v>217</v>
      </c>
      <c r="DZ117" s="7" t="s">
        <v>214</v>
      </c>
      <c r="EA117" s="7" t="s">
        <v>214</v>
      </c>
      <c r="EB117" s="7" t="s">
        <v>214</v>
      </c>
      <c r="EC117" s="7" t="s">
        <v>217</v>
      </c>
      <c r="ED117" s="7" t="s">
        <v>214</v>
      </c>
      <c r="EE117" s="7" t="s">
        <v>214</v>
      </c>
      <c r="EF117" s="7" t="s">
        <v>214</v>
      </c>
      <c r="EG117" s="7" t="s">
        <v>214</v>
      </c>
      <c r="EH117" s="7" t="s">
        <v>214</v>
      </c>
      <c r="EI117" s="7" t="s">
        <v>214</v>
      </c>
      <c r="EJ117" s="7" t="s">
        <v>214</v>
      </c>
      <c r="EK117" s="7" t="s">
        <v>214</v>
      </c>
      <c r="EL117" s="7" t="s">
        <v>214</v>
      </c>
      <c r="EM117" s="7" t="s">
        <v>214</v>
      </c>
      <c r="EN117" s="7" t="s">
        <v>214</v>
      </c>
      <c r="EO117" s="7" t="s">
        <v>214</v>
      </c>
      <c r="EP117" s="7" t="s">
        <v>214</v>
      </c>
      <c r="EQ117" s="7" t="s">
        <v>218</v>
      </c>
      <c r="ER117" s="7" t="s">
        <v>214</v>
      </c>
      <c r="ES117" s="7" t="s">
        <v>214</v>
      </c>
      <c r="ET117" s="7" t="s">
        <v>214</v>
      </c>
      <c r="EU117" s="7" t="s">
        <v>214</v>
      </c>
      <c r="EV117" s="7" t="s">
        <v>214</v>
      </c>
      <c r="EW117" s="7" t="s">
        <v>214</v>
      </c>
      <c r="EX117" s="7" t="s">
        <v>214</v>
      </c>
      <c r="EY117" s="7" t="s">
        <v>214</v>
      </c>
      <c r="EZ117" s="7" t="s">
        <v>217</v>
      </c>
      <c r="FA117" s="7" t="s">
        <v>217</v>
      </c>
      <c r="FB117" s="7" t="s">
        <v>214</v>
      </c>
      <c r="FC117" s="7" t="s">
        <v>214</v>
      </c>
      <c r="FD117" s="7" t="s">
        <v>214</v>
      </c>
      <c r="FE117" s="7" t="s">
        <v>214</v>
      </c>
      <c r="FF117" s="7" t="s">
        <v>214</v>
      </c>
      <c r="FG117" s="7" t="s">
        <v>214</v>
      </c>
      <c r="FH117" s="7" t="s">
        <v>214</v>
      </c>
      <c r="FI117" s="7" t="s">
        <v>214</v>
      </c>
      <c r="FJ117" s="7" t="s">
        <v>214</v>
      </c>
      <c r="FK117" s="7" t="s">
        <v>214</v>
      </c>
      <c r="FL117" s="7" t="s">
        <v>214</v>
      </c>
    </row>
    <row r="118" spans="1:168" ht="15" x14ac:dyDescent="0.25">
      <c r="A118" s="5" t="s">
        <v>202</v>
      </c>
      <c r="B118" s="5" t="s">
        <v>9</v>
      </c>
      <c r="C118" s="8" t="s">
        <v>217</v>
      </c>
      <c r="D118" s="8" t="s">
        <v>217</v>
      </c>
      <c r="E118" s="8" t="s">
        <v>214</v>
      </c>
      <c r="F118" s="8" t="s">
        <v>214</v>
      </c>
      <c r="G118" s="8" t="s">
        <v>214</v>
      </c>
      <c r="H118" s="8" t="s">
        <v>214</v>
      </c>
      <c r="I118" s="8" t="s">
        <v>214</v>
      </c>
      <c r="J118" s="8" t="s">
        <v>214</v>
      </c>
      <c r="K118" s="8" t="s">
        <v>214</v>
      </c>
      <c r="L118" s="8" t="s">
        <v>214</v>
      </c>
      <c r="M118" s="8" t="s">
        <v>214</v>
      </c>
      <c r="N118" s="8" t="s">
        <v>214</v>
      </c>
      <c r="O118" s="8" t="s">
        <v>214</v>
      </c>
      <c r="P118" s="8" t="s">
        <v>214</v>
      </c>
      <c r="Q118" s="8" t="s">
        <v>214</v>
      </c>
      <c r="R118" s="8" t="s">
        <v>214</v>
      </c>
      <c r="S118" s="8" t="s">
        <v>214</v>
      </c>
      <c r="T118" s="8" t="s">
        <v>214</v>
      </c>
      <c r="U118" s="8" t="s">
        <v>214</v>
      </c>
      <c r="V118" s="8" t="s">
        <v>214</v>
      </c>
      <c r="W118" s="8" t="s">
        <v>217</v>
      </c>
      <c r="X118" s="8" t="s">
        <v>217</v>
      </c>
      <c r="Y118" s="8" t="s">
        <v>217</v>
      </c>
      <c r="Z118" s="8" t="s">
        <v>218</v>
      </c>
      <c r="AA118" s="8" t="s">
        <v>214</v>
      </c>
      <c r="AB118" s="8" t="s">
        <v>214</v>
      </c>
      <c r="AC118" s="8" t="s">
        <v>217</v>
      </c>
      <c r="AD118" s="8" t="s">
        <v>214</v>
      </c>
      <c r="AE118" s="8" t="s">
        <v>214</v>
      </c>
      <c r="AF118" s="8" t="s">
        <v>214</v>
      </c>
      <c r="AG118" s="8" t="s">
        <v>214</v>
      </c>
      <c r="AH118" s="8" t="s">
        <v>214</v>
      </c>
      <c r="AI118" s="8" t="s">
        <v>214</v>
      </c>
      <c r="AJ118" s="8" t="s">
        <v>217</v>
      </c>
      <c r="AK118" s="8" t="s">
        <v>214</v>
      </c>
      <c r="AL118" s="8" t="s">
        <v>214</v>
      </c>
      <c r="AM118" s="8" t="s">
        <v>214</v>
      </c>
      <c r="AN118" s="8" t="s">
        <v>214</v>
      </c>
      <c r="AO118" s="8" t="s">
        <v>214</v>
      </c>
      <c r="AP118" s="8" t="s">
        <v>214</v>
      </c>
      <c r="AQ118" s="8" t="s">
        <v>214</v>
      </c>
      <c r="AR118" s="8" t="s">
        <v>214</v>
      </c>
      <c r="AS118" s="8" t="s">
        <v>214</v>
      </c>
      <c r="AT118" s="8" t="s">
        <v>214</v>
      </c>
      <c r="AU118" s="8" t="s">
        <v>214</v>
      </c>
      <c r="AV118" s="8" t="s">
        <v>214</v>
      </c>
      <c r="AW118" s="8" t="s">
        <v>214</v>
      </c>
      <c r="AX118" s="8" t="s">
        <v>214</v>
      </c>
      <c r="AY118" s="8" t="s">
        <v>214</v>
      </c>
      <c r="AZ118" s="8" t="s">
        <v>214</v>
      </c>
      <c r="BA118" s="8" t="s">
        <v>214</v>
      </c>
      <c r="BB118" s="8" t="s">
        <v>214</v>
      </c>
      <c r="BC118" s="8" t="s">
        <v>214</v>
      </c>
      <c r="BD118" s="8" t="s">
        <v>214</v>
      </c>
      <c r="BE118" s="8" t="s">
        <v>214</v>
      </c>
      <c r="BF118" s="8" t="s">
        <v>214</v>
      </c>
      <c r="BG118" s="8" t="s">
        <v>214</v>
      </c>
      <c r="BH118" s="8" t="s">
        <v>214</v>
      </c>
      <c r="BI118" s="8" t="s">
        <v>214</v>
      </c>
      <c r="BJ118" s="8" t="s">
        <v>214</v>
      </c>
      <c r="BK118" s="8" t="s">
        <v>214</v>
      </c>
      <c r="BL118" s="8" t="s">
        <v>214</v>
      </c>
      <c r="BM118" s="8" t="s">
        <v>214</v>
      </c>
      <c r="BN118" s="8" t="s">
        <v>214</v>
      </c>
      <c r="BO118" s="8" t="s">
        <v>214</v>
      </c>
      <c r="BP118" s="8" t="s">
        <v>214</v>
      </c>
      <c r="BQ118" s="8" t="s">
        <v>214</v>
      </c>
      <c r="BR118" s="8" t="s">
        <v>214</v>
      </c>
      <c r="BS118" s="8" t="s">
        <v>214</v>
      </c>
      <c r="BT118" s="8" t="s">
        <v>214</v>
      </c>
      <c r="BU118" s="8" t="s">
        <v>214</v>
      </c>
      <c r="BV118" s="8" t="s">
        <v>214</v>
      </c>
      <c r="BW118" s="8" t="s">
        <v>214</v>
      </c>
      <c r="BX118" s="8" t="s">
        <v>214</v>
      </c>
      <c r="BY118" s="8" t="s">
        <v>214</v>
      </c>
      <c r="BZ118" s="8" t="s">
        <v>214</v>
      </c>
      <c r="CA118" s="8" t="s">
        <v>214</v>
      </c>
      <c r="CB118" s="8" t="s">
        <v>214</v>
      </c>
      <c r="CC118" s="8" t="s">
        <v>214</v>
      </c>
      <c r="CD118" s="8" t="s">
        <v>214</v>
      </c>
      <c r="CE118" s="8" t="s">
        <v>214</v>
      </c>
      <c r="CF118" s="8" t="s">
        <v>214</v>
      </c>
      <c r="CG118" s="8" t="s">
        <v>214</v>
      </c>
      <c r="CH118" s="8" t="s">
        <v>214</v>
      </c>
      <c r="CI118" s="8" t="s">
        <v>214</v>
      </c>
      <c r="CJ118" s="8" t="s">
        <v>214</v>
      </c>
      <c r="CK118" s="8" t="s">
        <v>214</v>
      </c>
      <c r="CL118" s="8" t="s">
        <v>214</v>
      </c>
      <c r="CM118" s="8" t="s">
        <v>214</v>
      </c>
      <c r="CN118" s="8" t="s">
        <v>214</v>
      </c>
      <c r="CO118" s="8" t="s">
        <v>214</v>
      </c>
      <c r="CP118" s="8" t="s">
        <v>214</v>
      </c>
      <c r="CQ118" s="8" t="s">
        <v>214</v>
      </c>
      <c r="CR118" s="8" t="s">
        <v>214</v>
      </c>
      <c r="CS118" s="8" t="s">
        <v>214</v>
      </c>
      <c r="CT118" s="8" t="s">
        <v>214</v>
      </c>
      <c r="CU118" s="8" t="s">
        <v>214</v>
      </c>
      <c r="CV118" s="8" t="s">
        <v>214</v>
      </c>
      <c r="CW118" s="8" t="s">
        <v>214</v>
      </c>
      <c r="CX118" s="8" t="s">
        <v>214</v>
      </c>
      <c r="CY118" s="8" t="s">
        <v>214</v>
      </c>
      <c r="CZ118" s="8" t="s">
        <v>214</v>
      </c>
      <c r="DA118" s="8" t="s">
        <v>214</v>
      </c>
      <c r="DB118" s="8" t="s">
        <v>214</v>
      </c>
      <c r="DC118" s="8" t="s">
        <v>214</v>
      </c>
      <c r="DD118" s="8" t="s">
        <v>214</v>
      </c>
      <c r="DE118" s="8" t="s">
        <v>214</v>
      </c>
      <c r="DF118" s="8" t="s">
        <v>218</v>
      </c>
      <c r="DG118" s="8" t="s">
        <v>214</v>
      </c>
      <c r="DH118" s="8" t="s">
        <v>214</v>
      </c>
      <c r="DI118" s="8" t="s">
        <v>218</v>
      </c>
      <c r="DJ118" s="8" t="s">
        <v>218</v>
      </c>
      <c r="DK118" s="8" t="s">
        <v>214</v>
      </c>
      <c r="DL118" s="8" t="s">
        <v>218</v>
      </c>
      <c r="DM118" s="8" t="s">
        <v>214</v>
      </c>
      <c r="DN118" s="8" t="s">
        <v>214</v>
      </c>
      <c r="DO118" s="8" t="s">
        <v>214</v>
      </c>
      <c r="DP118" s="8" t="s">
        <v>218</v>
      </c>
      <c r="DQ118" s="8" t="s">
        <v>214</v>
      </c>
      <c r="DR118" s="8" t="s">
        <v>214</v>
      </c>
      <c r="DS118" s="8" t="s">
        <v>214</v>
      </c>
      <c r="DT118" s="8" t="s">
        <v>214</v>
      </c>
      <c r="DU118" s="8" t="s">
        <v>214</v>
      </c>
      <c r="DV118" s="8" t="s">
        <v>214</v>
      </c>
      <c r="DW118" s="8" t="s">
        <v>218</v>
      </c>
      <c r="DX118" s="8" t="s">
        <v>217</v>
      </c>
      <c r="DY118" s="8" t="s">
        <v>214</v>
      </c>
      <c r="DZ118" s="8" t="s">
        <v>214</v>
      </c>
      <c r="EA118" s="8" t="s">
        <v>218</v>
      </c>
      <c r="EB118" s="8" t="s">
        <v>214</v>
      </c>
      <c r="EC118" s="8" t="s">
        <v>214</v>
      </c>
      <c r="ED118" s="8" t="s">
        <v>214</v>
      </c>
      <c r="EE118" s="8" t="s">
        <v>214</v>
      </c>
      <c r="EF118" s="8" t="s">
        <v>214</v>
      </c>
      <c r="EG118" s="8" t="s">
        <v>214</v>
      </c>
      <c r="EH118" s="8" t="s">
        <v>214</v>
      </c>
      <c r="EI118" s="8" t="s">
        <v>214</v>
      </c>
      <c r="EJ118" s="8" t="s">
        <v>214</v>
      </c>
      <c r="EK118" s="8" t="s">
        <v>214</v>
      </c>
      <c r="EL118" s="8" t="s">
        <v>214</v>
      </c>
      <c r="EM118" s="8" t="s">
        <v>214</v>
      </c>
      <c r="EN118" s="8" t="s">
        <v>218</v>
      </c>
      <c r="EO118" s="8" t="s">
        <v>214</v>
      </c>
      <c r="EP118" s="8" t="s">
        <v>214</v>
      </c>
      <c r="EQ118" s="8" t="s">
        <v>218</v>
      </c>
      <c r="ER118" s="8" t="s">
        <v>214</v>
      </c>
      <c r="ES118" s="8" t="s">
        <v>214</v>
      </c>
      <c r="ET118" s="8" t="s">
        <v>214</v>
      </c>
      <c r="EU118" s="8" t="s">
        <v>214</v>
      </c>
      <c r="EV118" s="8" t="s">
        <v>214</v>
      </c>
      <c r="EW118" s="8" t="s">
        <v>214</v>
      </c>
      <c r="EX118" s="8" t="s">
        <v>214</v>
      </c>
      <c r="EY118" s="8" t="s">
        <v>218</v>
      </c>
      <c r="EZ118" s="8" t="s">
        <v>217</v>
      </c>
      <c r="FA118" s="8" t="s">
        <v>217</v>
      </c>
      <c r="FB118" s="8" t="s">
        <v>214</v>
      </c>
      <c r="FC118" s="8" t="s">
        <v>214</v>
      </c>
      <c r="FD118" s="8" t="s">
        <v>214</v>
      </c>
      <c r="FE118" s="8" t="s">
        <v>214</v>
      </c>
      <c r="FF118" s="8" t="s">
        <v>214</v>
      </c>
      <c r="FG118" s="8" t="s">
        <v>214</v>
      </c>
      <c r="FH118" s="8" t="s">
        <v>214</v>
      </c>
      <c r="FI118" s="8" t="s">
        <v>214</v>
      </c>
      <c r="FJ118" s="8" t="s">
        <v>214</v>
      </c>
      <c r="FK118" s="8" t="s">
        <v>214</v>
      </c>
      <c r="FL118" s="8" t="s">
        <v>214</v>
      </c>
    </row>
    <row r="119" spans="1:168" ht="15" x14ac:dyDescent="0.25">
      <c r="A119" s="5" t="s">
        <v>203</v>
      </c>
      <c r="B119" s="5" t="s">
        <v>6</v>
      </c>
      <c r="C119" s="7" t="s">
        <v>214</v>
      </c>
      <c r="D119" s="7" t="s">
        <v>214</v>
      </c>
      <c r="E119" s="7" t="s">
        <v>214</v>
      </c>
      <c r="F119" s="7" t="s">
        <v>214</v>
      </c>
      <c r="G119" s="7" t="s">
        <v>214</v>
      </c>
      <c r="H119" s="7" t="s">
        <v>214</v>
      </c>
      <c r="I119" s="7" t="s">
        <v>214</v>
      </c>
      <c r="J119" s="7" t="s">
        <v>214</v>
      </c>
      <c r="K119" s="7" t="s">
        <v>214</v>
      </c>
      <c r="L119" s="7" t="s">
        <v>214</v>
      </c>
      <c r="M119" s="7" t="s">
        <v>214</v>
      </c>
      <c r="N119" s="7" t="s">
        <v>214</v>
      </c>
      <c r="O119" s="7" t="s">
        <v>214</v>
      </c>
      <c r="P119" s="7" t="s">
        <v>214</v>
      </c>
      <c r="Q119" s="7" t="s">
        <v>214</v>
      </c>
      <c r="R119" s="7" t="s">
        <v>214</v>
      </c>
      <c r="S119" s="7" t="s">
        <v>214</v>
      </c>
      <c r="T119" s="7" t="s">
        <v>214</v>
      </c>
      <c r="U119" s="7" t="s">
        <v>214</v>
      </c>
      <c r="V119" s="7" t="s">
        <v>214</v>
      </c>
      <c r="W119" s="7" t="s">
        <v>214</v>
      </c>
      <c r="X119" s="7" t="s">
        <v>214</v>
      </c>
      <c r="Y119" s="7" t="s">
        <v>214</v>
      </c>
      <c r="Z119" s="7" t="s">
        <v>214</v>
      </c>
      <c r="AA119" s="7" t="s">
        <v>214</v>
      </c>
      <c r="AB119" s="7" t="s">
        <v>214</v>
      </c>
      <c r="AC119" s="7" t="s">
        <v>214</v>
      </c>
      <c r="AD119" s="7" t="s">
        <v>214</v>
      </c>
      <c r="AE119" s="7" t="s">
        <v>214</v>
      </c>
      <c r="AF119" s="7" t="s">
        <v>214</v>
      </c>
      <c r="AG119" s="7" t="s">
        <v>214</v>
      </c>
      <c r="AH119" s="7" t="s">
        <v>217</v>
      </c>
      <c r="AI119" s="7" t="s">
        <v>214</v>
      </c>
      <c r="AJ119" s="7" t="s">
        <v>214</v>
      </c>
      <c r="AK119" s="7" t="s">
        <v>214</v>
      </c>
      <c r="AL119" s="7" t="s">
        <v>214</v>
      </c>
      <c r="AM119" s="7" t="s">
        <v>214</v>
      </c>
      <c r="AN119" s="7" t="s">
        <v>214</v>
      </c>
      <c r="AO119" s="7" t="s">
        <v>214</v>
      </c>
      <c r="AP119" s="7" t="s">
        <v>214</v>
      </c>
      <c r="AQ119" s="7" t="s">
        <v>214</v>
      </c>
      <c r="AR119" s="7" t="s">
        <v>214</v>
      </c>
      <c r="AS119" s="7" t="s">
        <v>214</v>
      </c>
      <c r="AT119" s="7" t="s">
        <v>214</v>
      </c>
      <c r="AU119" s="7" t="s">
        <v>214</v>
      </c>
      <c r="AV119" s="7" t="s">
        <v>214</v>
      </c>
      <c r="AW119" s="7" t="s">
        <v>214</v>
      </c>
      <c r="AX119" s="7" t="s">
        <v>214</v>
      </c>
      <c r="AY119" s="7" t="s">
        <v>214</v>
      </c>
      <c r="AZ119" s="7" t="s">
        <v>214</v>
      </c>
      <c r="BA119" s="7" t="s">
        <v>214</v>
      </c>
      <c r="BB119" s="7" t="s">
        <v>214</v>
      </c>
      <c r="BC119" s="7" t="s">
        <v>214</v>
      </c>
      <c r="BD119" s="7" t="s">
        <v>214</v>
      </c>
      <c r="BE119" s="7" t="s">
        <v>214</v>
      </c>
      <c r="BF119" s="7" t="s">
        <v>214</v>
      </c>
      <c r="BG119" s="7" t="s">
        <v>214</v>
      </c>
      <c r="BH119" s="7" t="s">
        <v>214</v>
      </c>
      <c r="BI119" s="7" t="s">
        <v>214</v>
      </c>
      <c r="BJ119" s="7" t="s">
        <v>214</v>
      </c>
      <c r="BK119" s="7" t="s">
        <v>214</v>
      </c>
      <c r="BL119" s="7" t="s">
        <v>214</v>
      </c>
      <c r="BM119" s="7" t="s">
        <v>214</v>
      </c>
      <c r="BN119" s="7" t="s">
        <v>214</v>
      </c>
      <c r="BO119" s="7" t="s">
        <v>214</v>
      </c>
      <c r="BP119" s="7" t="s">
        <v>214</v>
      </c>
      <c r="BQ119" s="7" t="s">
        <v>214</v>
      </c>
      <c r="BR119" s="7" t="s">
        <v>214</v>
      </c>
      <c r="BS119" s="7" t="s">
        <v>214</v>
      </c>
      <c r="BT119" s="7" t="s">
        <v>214</v>
      </c>
      <c r="BU119" s="7" t="s">
        <v>214</v>
      </c>
      <c r="BV119" s="7" t="s">
        <v>214</v>
      </c>
      <c r="BW119" s="7" t="s">
        <v>214</v>
      </c>
      <c r="BX119" s="7" t="s">
        <v>214</v>
      </c>
      <c r="BY119" s="7" t="s">
        <v>214</v>
      </c>
      <c r="BZ119" s="7" t="s">
        <v>214</v>
      </c>
      <c r="CA119" s="7" t="s">
        <v>214</v>
      </c>
      <c r="CB119" s="7" t="s">
        <v>214</v>
      </c>
      <c r="CC119" s="7" t="s">
        <v>214</v>
      </c>
      <c r="CD119" s="7" t="s">
        <v>214</v>
      </c>
      <c r="CE119" s="7" t="s">
        <v>214</v>
      </c>
      <c r="CF119" s="7" t="s">
        <v>214</v>
      </c>
      <c r="CG119" s="7" t="s">
        <v>214</v>
      </c>
      <c r="CH119" s="7" t="s">
        <v>214</v>
      </c>
      <c r="CI119" s="7" t="s">
        <v>214</v>
      </c>
      <c r="CJ119" s="7" t="s">
        <v>214</v>
      </c>
      <c r="CK119" s="7" t="s">
        <v>214</v>
      </c>
      <c r="CL119" s="7" t="s">
        <v>214</v>
      </c>
      <c r="CM119" s="7" t="s">
        <v>214</v>
      </c>
      <c r="CN119" s="7" t="s">
        <v>214</v>
      </c>
      <c r="CO119" s="7" t="s">
        <v>214</v>
      </c>
      <c r="CP119" s="7" t="s">
        <v>214</v>
      </c>
      <c r="CQ119" s="7" t="s">
        <v>214</v>
      </c>
      <c r="CR119" s="7" t="s">
        <v>214</v>
      </c>
      <c r="CS119" s="7" t="s">
        <v>214</v>
      </c>
      <c r="CT119" s="7" t="s">
        <v>214</v>
      </c>
      <c r="CU119" s="7" t="s">
        <v>214</v>
      </c>
      <c r="CV119" s="7" t="s">
        <v>214</v>
      </c>
      <c r="CW119" s="7" t="s">
        <v>214</v>
      </c>
      <c r="CX119" s="7" t="s">
        <v>214</v>
      </c>
      <c r="CY119" s="7" t="s">
        <v>214</v>
      </c>
      <c r="CZ119" s="7" t="s">
        <v>214</v>
      </c>
      <c r="DA119" s="7" t="s">
        <v>214</v>
      </c>
      <c r="DB119" s="7" t="s">
        <v>214</v>
      </c>
      <c r="DC119" s="7" t="s">
        <v>214</v>
      </c>
      <c r="DD119" s="7" t="s">
        <v>214</v>
      </c>
      <c r="DE119" s="7" t="s">
        <v>214</v>
      </c>
      <c r="DF119" s="7" t="s">
        <v>214</v>
      </c>
      <c r="DG119" s="7" t="s">
        <v>214</v>
      </c>
      <c r="DH119" s="7" t="s">
        <v>214</v>
      </c>
      <c r="DI119" s="7" t="s">
        <v>214</v>
      </c>
      <c r="DJ119" s="7" t="s">
        <v>214</v>
      </c>
      <c r="DK119" s="7" t="s">
        <v>214</v>
      </c>
      <c r="DL119" s="7" t="s">
        <v>214</v>
      </c>
      <c r="DM119" s="7" t="s">
        <v>214</v>
      </c>
      <c r="DN119" s="7" t="s">
        <v>214</v>
      </c>
      <c r="DO119" s="7" t="s">
        <v>214</v>
      </c>
      <c r="DP119" s="7" t="s">
        <v>214</v>
      </c>
      <c r="DQ119" s="7" t="s">
        <v>214</v>
      </c>
      <c r="DR119" s="7" t="s">
        <v>214</v>
      </c>
      <c r="DS119" s="7" t="s">
        <v>214</v>
      </c>
      <c r="DT119" s="7" t="s">
        <v>214</v>
      </c>
      <c r="DU119" s="7" t="s">
        <v>214</v>
      </c>
      <c r="DV119" s="7" t="s">
        <v>214</v>
      </c>
      <c r="DW119" s="7" t="s">
        <v>214</v>
      </c>
      <c r="DX119" s="7" t="s">
        <v>214</v>
      </c>
      <c r="DY119" s="7" t="s">
        <v>214</v>
      </c>
      <c r="DZ119" s="7" t="s">
        <v>214</v>
      </c>
      <c r="EA119" s="7" t="s">
        <v>214</v>
      </c>
      <c r="EB119" s="7" t="s">
        <v>214</v>
      </c>
      <c r="EC119" s="7" t="s">
        <v>214</v>
      </c>
      <c r="ED119" s="7" t="s">
        <v>214</v>
      </c>
      <c r="EE119" s="7" t="s">
        <v>214</v>
      </c>
      <c r="EF119" s="7" t="s">
        <v>214</v>
      </c>
      <c r="EG119" s="7" t="s">
        <v>214</v>
      </c>
      <c r="EH119" s="7" t="s">
        <v>214</v>
      </c>
      <c r="EI119" s="7" t="s">
        <v>214</v>
      </c>
      <c r="EJ119" s="7" t="s">
        <v>214</v>
      </c>
      <c r="EK119" s="7" t="s">
        <v>214</v>
      </c>
      <c r="EL119" s="7" t="s">
        <v>214</v>
      </c>
      <c r="EM119" s="7" t="s">
        <v>214</v>
      </c>
      <c r="EN119" s="7" t="s">
        <v>214</v>
      </c>
      <c r="EO119" s="7" t="s">
        <v>214</v>
      </c>
      <c r="EP119" s="7" t="s">
        <v>214</v>
      </c>
      <c r="EQ119" s="7" t="s">
        <v>214</v>
      </c>
      <c r="ER119" s="7" t="s">
        <v>214</v>
      </c>
      <c r="ES119" s="7" t="s">
        <v>214</v>
      </c>
      <c r="ET119" s="7" t="s">
        <v>214</v>
      </c>
      <c r="EU119" s="7" t="s">
        <v>214</v>
      </c>
      <c r="EV119" s="7" t="s">
        <v>214</v>
      </c>
      <c r="EW119" s="7" t="s">
        <v>214</v>
      </c>
      <c r="EX119" s="7" t="s">
        <v>214</v>
      </c>
      <c r="EY119" s="7" t="s">
        <v>214</v>
      </c>
      <c r="EZ119" s="7" t="s">
        <v>214</v>
      </c>
      <c r="FA119" s="7" t="s">
        <v>214</v>
      </c>
      <c r="FB119" s="7" t="s">
        <v>214</v>
      </c>
      <c r="FC119" s="7" t="s">
        <v>214</v>
      </c>
      <c r="FD119" s="7" t="s">
        <v>214</v>
      </c>
      <c r="FE119" s="7" t="s">
        <v>214</v>
      </c>
      <c r="FF119" s="7" t="s">
        <v>214</v>
      </c>
      <c r="FG119" s="7" t="s">
        <v>214</v>
      </c>
      <c r="FH119" s="7" t="s">
        <v>214</v>
      </c>
      <c r="FI119" s="7" t="s">
        <v>214</v>
      </c>
      <c r="FJ119" s="7" t="s">
        <v>214</v>
      </c>
      <c r="FK119" s="7" t="s">
        <v>214</v>
      </c>
      <c r="FL119" s="7" t="s">
        <v>214</v>
      </c>
    </row>
    <row r="120" spans="1:168" ht="15" x14ac:dyDescent="0.25">
      <c r="A120" s="5" t="s">
        <v>203</v>
      </c>
      <c r="B120" s="5" t="s">
        <v>7</v>
      </c>
      <c r="C120" s="8" t="s">
        <v>214</v>
      </c>
      <c r="D120" s="8" t="s">
        <v>214</v>
      </c>
      <c r="E120" s="8" t="s">
        <v>214</v>
      </c>
      <c r="F120" s="8" t="s">
        <v>214</v>
      </c>
      <c r="G120" s="8" t="s">
        <v>214</v>
      </c>
      <c r="H120" s="8" t="s">
        <v>214</v>
      </c>
      <c r="I120" s="8" t="s">
        <v>214</v>
      </c>
      <c r="J120" s="8" t="s">
        <v>214</v>
      </c>
      <c r="K120" s="8" t="s">
        <v>214</v>
      </c>
      <c r="L120" s="8" t="s">
        <v>214</v>
      </c>
      <c r="M120" s="8" t="s">
        <v>214</v>
      </c>
      <c r="N120" s="8" t="s">
        <v>214</v>
      </c>
      <c r="O120" s="8" t="s">
        <v>214</v>
      </c>
      <c r="P120" s="8" t="s">
        <v>214</v>
      </c>
      <c r="Q120" s="8" t="s">
        <v>214</v>
      </c>
      <c r="R120" s="8" t="s">
        <v>214</v>
      </c>
      <c r="S120" s="8" t="s">
        <v>214</v>
      </c>
      <c r="T120" s="8" t="s">
        <v>214</v>
      </c>
      <c r="U120" s="8" t="s">
        <v>214</v>
      </c>
      <c r="V120" s="8" t="s">
        <v>214</v>
      </c>
      <c r="W120" s="8" t="s">
        <v>214</v>
      </c>
      <c r="X120" s="8" t="s">
        <v>214</v>
      </c>
      <c r="Y120" s="8" t="s">
        <v>214</v>
      </c>
      <c r="Z120" s="8" t="s">
        <v>214</v>
      </c>
      <c r="AA120" s="8" t="s">
        <v>214</v>
      </c>
      <c r="AB120" s="8" t="s">
        <v>214</v>
      </c>
      <c r="AC120" s="8" t="s">
        <v>214</v>
      </c>
      <c r="AD120" s="8" t="s">
        <v>214</v>
      </c>
      <c r="AE120" s="8" t="s">
        <v>214</v>
      </c>
      <c r="AF120" s="8" t="s">
        <v>214</v>
      </c>
      <c r="AG120" s="8" t="s">
        <v>214</v>
      </c>
      <c r="AH120" s="8" t="s">
        <v>217</v>
      </c>
      <c r="AI120" s="8" t="s">
        <v>214</v>
      </c>
      <c r="AJ120" s="8" t="s">
        <v>217</v>
      </c>
      <c r="AK120" s="8" t="s">
        <v>214</v>
      </c>
      <c r="AL120" s="8" t="s">
        <v>214</v>
      </c>
      <c r="AM120" s="8" t="s">
        <v>214</v>
      </c>
      <c r="AN120" s="8" t="s">
        <v>214</v>
      </c>
      <c r="AO120" s="8" t="s">
        <v>214</v>
      </c>
      <c r="AP120" s="8" t="s">
        <v>214</v>
      </c>
      <c r="AQ120" s="8" t="s">
        <v>214</v>
      </c>
      <c r="AR120" s="8" t="s">
        <v>214</v>
      </c>
      <c r="AS120" s="8" t="s">
        <v>214</v>
      </c>
      <c r="AT120" s="8" t="s">
        <v>214</v>
      </c>
      <c r="AU120" s="8" t="s">
        <v>214</v>
      </c>
      <c r="AV120" s="8" t="s">
        <v>214</v>
      </c>
      <c r="AW120" s="8" t="s">
        <v>214</v>
      </c>
      <c r="AX120" s="8" t="s">
        <v>214</v>
      </c>
      <c r="AY120" s="8" t="s">
        <v>214</v>
      </c>
      <c r="AZ120" s="8" t="s">
        <v>214</v>
      </c>
      <c r="BA120" s="8" t="s">
        <v>214</v>
      </c>
      <c r="BB120" s="8" t="s">
        <v>214</v>
      </c>
      <c r="BC120" s="8" t="s">
        <v>214</v>
      </c>
      <c r="BD120" s="8" t="s">
        <v>214</v>
      </c>
      <c r="BE120" s="8" t="s">
        <v>214</v>
      </c>
      <c r="BF120" s="8" t="s">
        <v>214</v>
      </c>
      <c r="BG120" s="8" t="s">
        <v>214</v>
      </c>
      <c r="BH120" s="8" t="s">
        <v>217</v>
      </c>
      <c r="BI120" s="8" t="s">
        <v>214</v>
      </c>
      <c r="BJ120" s="8" t="s">
        <v>214</v>
      </c>
      <c r="BK120" s="8" t="s">
        <v>214</v>
      </c>
      <c r="BL120" s="8" t="s">
        <v>214</v>
      </c>
      <c r="BM120" s="8" t="s">
        <v>219</v>
      </c>
      <c r="BN120" s="8" t="s">
        <v>214</v>
      </c>
      <c r="BO120" s="8" t="s">
        <v>214</v>
      </c>
      <c r="BP120" s="8" t="s">
        <v>217</v>
      </c>
      <c r="BQ120" s="8" t="s">
        <v>217</v>
      </c>
      <c r="BR120" s="8" t="s">
        <v>214</v>
      </c>
      <c r="BS120" s="8" t="s">
        <v>214</v>
      </c>
      <c r="BT120" s="8" t="s">
        <v>214</v>
      </c>
      <c r="BU120" s="8" t="s">
        <v>214</v>
      </c>
      <c r="BV120" s="8" t="s">
        <v>214</v>
      </c>
      <c r="BW120" s="8" t="s">
        <v>214</v>
      </c>
      <c r="BX120" s="8" t="s">
        <v>214</v>
      </c>
      <c r="BY120" s="8" t="s">
        <v>214</v>
      </c>
      <c r="BZ120" s="8" t="s">
        <v>214</v>
      </c>
      <c r="CA120" s="8" t="s">
        <v>214</v>
      </c>
      <c r="CB120" s="8" t="s">
        <v>214</v>
      </c>
      <c r="CC120" s="8" t="s">
        <v>214</v>
      </c>
      <c r="CD120" s="8" t="s">
        <v>214</v>
      </c>
      <c r="CE120" s="8" t="s">
        <v>214</v>
      </c>
      <c r="CF120" s="8" t="s">
        <v>214</v>
      </c>
      <c r="CG120" s="8" t="s">
        <v>214</v>
      </c>
      <c r="CH120" s="8" t="s">
        <v>214</v>
      </c>
      <c r="CI120" s="8" t="s">
        <v>214</v>
      </c>
      <c r="CJ120" s="8" t="s">
        <v>214</v>
      </c>
      <c r="CK120" s="8" t="s">
        <v>214</v>
      </c>
      <c r="CL120" s="8" t="s">
        <v>214</v>
      </c>
      <c r="CM120" s="8" t="s">
        <v>214</v>
      </c>
      <c r="CN120" s="8" t="s">
        <v>214</v>
      </c>
      <c r="CO120" s="8" t="s">
        <v>214</v>
      </c>
      <c r="CP120" s="8" t="s">
        <v>214</v>
      </c>
      <c r="CQ120" s="8" t="s">
        <v>214</v>
      </c>
      <c r="CR120" s="8" t="s">
        <v>214</v>
      </c>
      <c r="CS120" s="8" t="s">
        <v>214</v>
      </c>
      <c r="CT120" s="8" t="s">
        <v>214</v>
      </c>
      <c r="CU120" s="8" t="s">
        <v>214</v>
      </c>
      <c r="CV120" s="8" t="s">
        <v>214</v>
      </c>
      <c r="CW120" s="8" t="s">
        <v>214</v>
      </c>
      <c r="CX120" s="8" t="s">
        <v>214</v>
      </c>
      <c r="CY120" s="8" t="s">
        <v>214</v>
      </c>
      <c r="CZ120" s="8" t="s">
        <v>214</v>
      </c>
      <c r="DA120" s="8" t="s">
        <v>214</v>
      </c>
      <c r="DB120" s="8" t="s">
        <v>214</v>
      </c>
      <c r="DC120" s="8" t="s">
        <v>214</v>
      </c>
      <c r="DD120" s="8" t="s">
        <v>214</v>
      </c>
      <c r="DE120" s="8" t="s">
        <v>214</v>
      </c>
      <c r="DF120" s="8" t="s">
        <v>214</v>
      </c>
      <c r="DG120" s="8" t="s">
        <v>214</v>
      </c>
      <c r="DH120" s="8" t="s">
        <v>214</v>
      </c>
      <c r="DI120" s="8" t="s">
        <v>214</v>
      </c>
      <c r="DJ120" s="8" t="s">
        <v>214</v>
      </c>
      <c r="DK120" s="8" t="s">
        <v>214</v>
      </c>
      <c r="DL120" s="8" t="s">
        <v>214</v>
      </c>
      <c r="DM120" s="8" t="s">
        <v>214</v>
      </c>
      <c r="DN120" s="8" t="s">
        <v>214</v>
      </c>
      <c r="DO120" s="8" t="s">
        <v>214</v>
      </c>
      <c r="DP120" s="8" t="s">
        <v>214</v>
      </c>
      <c r="DQ120" s="8" t="s">
        <v>214</v>
      </c>
      <c r="DR120" s="8" t="s">
        <v>214</v>
      </c>
      <c r="DS120" s="8" t="s">
        <v>217</v>
      </c>
      <c r="DT120" s="8" t="s">
        <v>214</v>
      </c>
      <c r="DU120" s="8" t="s">
        <v>214</v>
      </c>
      <c r="DV120" s="8" t="s">
        <v>214</v>
      </c>
      <c r="DW120" s="8" t="s">
        <v>217</v>
      </c>
      <c r="DX120" s="8" t="s">
        <v>214</v>
      </c>
      <c r="DY120" s="8" t="s">
        <v>214</v>
      </c>
      <c r="DZ120" s="8" t="s">
        <v>214</v>
      </c>
      <c r="EA120" s="8" t="s">
        <v>217</v>
      </c>
      <c r="EB120" s="8" t="s">
        <v>214</v>
      </c>
      <c r="EC120" s="8" t="s">
        <v>214</v>
      </c>
      <c r="ED120" s="8" t="s">
        <v>214</v>
      </c>
      <c r="EE120" s="8" t="s">
        <v>217</v>
      </c>
      <c r="EF120" s="8" t="s">
        <v>214</v>
      </c>
      <c r="EG120" s="8" t="s">
        <v>214</v>
      </c>
      <c r="EH120" s="8" t="s">
        <v>214</v>
      </c>
      <c r="EI120" s="8" t="s">
        <v>217</v>
      </c>
      <c r="EJ120" s="8" t="s">
        <v>214</v>
      </c>
      <c r="EK120" s="8" t="s">
        <v>214</v>
      </c>
      <c r="EL120" s="8" t="s">
        <v>214</v>
      </c>
      <c r="EM120" s="8" t="s">
        <v>214</v>
      </c>
      <c r="EN120" s="8" t="s">
        <v>214</v>
      </c>
      <c r="EO120" s="8" t="s">
        <v>214</v>
      </c>
      <c r="EP120" s="8" t="s">
        <v>214</v>
      </c>
      <c r="EQ120" s="8" t="s">
        <v>214</v>
      </c>
      <c r="ER120" s="8" t="s">
        <v>214</v>
      </c>
      <c r="ES120" s="8" t="s">
        <v>214</v>
      </c>
      <c r="ET120" s="8" t="s">
        <v>214</v>
      </c>
      <c r="EU120" s="8" t="s">
        <v>214</v>
      </c>
      <c r="EV120" s="8" t="s">
        <v>214</v>
      </c>
      <c r="EW120" s="8" t="s">
        <v>214</v>
      </c>
      <c r="EX120" s="8" t="s">
        <v>214</v>
      </c>
      <c r="EY120" s="8" t="s">
        <v>214</v>
      </c>
      <c r="EZ120" s="8" t="s">
        <v>214</v>
      </c>
      <c r="FA120" s="8" t="s">
        <v>214</v>
      </c>
      <c r="FB120" s="8" t="s">
        <v>214</v>
      </c>
      <c r="FC120" s="8" t="s">
        <v>214</v>
      </c>
      <c r="FD120" s="8" t="s">
        <v>214</v>
      </c>
      <c r="FE120" s="8" t="s">
        <v>214</v>
      </c>
      <c r="FF120" s="8" t="s">
        <v>214</v>
      </c>
      <c r="FG120" s="8" t="s">
        <v>214</v>
      </c>
      <c r="FH120" s="8" t="s">
        <v>214</v>
      </c>
      <c r="FI120" s="8" t="s">
        <v>214</v>
      </c>
      <c r="FJ120" s="8" t="s">
        <v>214</v>
      </c>
      <c r="FK120" s="8" t="s">
        <v>214</v>
      </c>
      <c r="FL120" s="8" t="s">
        <v>214</v>
      </c>
    </row>
    <row r="121" spans="1:168" ht="15" x14ac:dyDescent="0.25">
      <c r="A121" s="5" t="s">
        <v>203</v>
      </c>
      <c r="B121" s="5" t="s">
        <v>8</v>
      </c>
      <c r="C121" s="7" t="s">
        <v>214</v>
      </c>
      <c r="D121" s="7" t="s">
        <v>214</v>
      </c>
      <c r="E121" s="7" t="s">
        <v>214</v>
      </c>
      <c r="F121" s="7" t="s">
        <v>214</v>
      </c>
      <c r="G121" s="7" t="s">
        <v>214</v>
      </c>
      <c r="H121" s="7" t="s">
        <v>214</v>
      </c>
      <c r="I121" s="7" t="s">
        <v>214</v>
      </c>
      <c r="J121" s="7" t="s">
        <v>214</v>
      </c>
      <c r="K121" s="7" t="s">
        <v>214</v>
      </c>
      <c r="L121" s="7" t="s">
        <v>214</v>
      </c>
      <c r="M121" s="7" t="s">
        <v>214</v>
      </c>
      <c r="N121" s="7" t="s">
        <v>214</v>
      </c>
      <c r="O121" s="7" t="s">
        <v>214</v>
      </c>
      <c r="P121" s="7" t="s">
        <v>214</v>
      </c>
      <c r="Q121" s="7" t="s">
        <v>214</v>
      </c>
      <c r="R121" s="7" t="s">
        <v>214</v>
      </c>
      <c r="S121" s="7" t="s">
        <v>214</v>
      </c>
      <c r="T121" s="7" t="s">
        <v>214</v>
      </c>
      <c r="U121" s="7" t="s">
        <v>214</v>
      </c>
      <c r="V121" s="7" t="s">
        <v>214</v>
      </c>
      <c r="W121" s="7" t="s">
        <v>214</v>
      </c>
      <c r="X121" s="7" t="s">
        <v>214</v>
      </c>
      <c r="Y121" s="7" t="s">
        <v>214</v>
      </c>
      <c r="Z121" s="7" t="s">
        <v>214</v>
      </c>
      <c r="AA121" s="7" t="s">
        <v>214</v>
      </c>
      <c r="AB121" s="7" t="s">
        <v>214</v>
      </c>
      <c r="AC121" s="7" t="s">
        <v>214</v>
      </c>
      <c r="AD121" s="7" t="s">
        <v>214</v>
      </c>
      <c r="AE121" s="7" t="s">
        <v>214</v>
      </c>
      <c r="AF121" s="7" t="s">
        <v>214</v>
      </c>
      <c r="AG121" s="7" t="s">
        <v>214</v>
      </c>
      <c r="AH121" s="7" t="s">
        <v>217</v>
      </c>
      <c r="AI121" s="7" t="s">
        <v>214</v>
      </c>
      <c r="AJ121" s="7" t="s">
        <v>217</v>
      </c>
      <c r="AK121" s="7" t="s">
        <v>214</v>
      </c>
      <c r="AL121" s="7" t="s">
        <v>214</v>
      </c>
      <c r="AM121" s="7" t="s">
        <v>214</v>
      </c>
      <c r="AN121" s="7" t="s">
        <v>214</v>
      </c>
      <c r="AO121" s="7" t="s">
        <v>214</v>
      </c>
      <c r="AP121" s="7" t="s">
        <v>214</v>
      </c>
      <c r="AQ121" s="7" t="s">
        <v>214</v>
      </c>
      <c r="AR121" s="7" t="s">
        <v>214</v>
      </c>
      <c r="AS121" s="7" t="s">
        <v>214</v>
      </c>
      <c r="AT121" s="7" t="s">
        <v>214</v>
      </c>
      <c r="AU121" s="7" t="s">
        <v>214</v>
      </c>
      <c r="AV121" s="7" t="s">
        <v>214</v>
      </c>
      <c r="AW121" s="7" t="s">
        <v>214</v>
      </c>
      <c r="AX121" s="7" t="s">
        <v>214</v>
      </c>
      <c r="AY121" s="7" t="s">
        <v>214</v>
      </c>
      <c r="AZ121" s="7" t="s">
        <v>214</v>
      </c>
      <c r="BA121" s="7" t="s">
        <v>214</v>
      </c>
      <c r="BB121" s="7" t="s">
        <v>214</v>
      </c>
      <c r="BC121" s="7" t="s">
        <v>214</v>
      </c>
      <c r="BD121" s="7" t="s">
        <v>214</v>
      </c>
      <c r="BE121" s="7" t="s">
        <v>214</v>
      </c>
      <c r="BF121" s="7" t="s">
        <v>214</v>
      </c>
      <c r="BG121" s="7" t="s">
        <v>214</v>
      </c>
      <c r="BH121" s="7" t="s">
        <v>217</v>
      </c>
      <c r="BI121" s="7" t="s">
        <v>214</v>
      </c>
      <c r="BJ121" s="7" t="s">
        <v>214</v>
      </c>
      <c r="BK121" s="7" t="s">
        <v>214</v>
      </c>
      <c r="BL121" s="7" t="s">
        <v>214</v>
      </c>
      <c r="BM121" s="7" t="s">
        <v>218</v>
      </c>
      <c r="BN121" s="7" t="s">
        <v>214</v>
      </c>
      <c r="BO121" s="7" t="s">
        <v>214</v>
      </c>
      <c r="BP121" s="7" t="s">
        <v>214</v>
      </c>
      <c r="BQ121" s="7" t="s">
        <v>214</v>
      </c>
      <c r="BR121" s="7" t="s">
        <v>214</v>
      </c>
      <c r="BS121" s="7" t="s">
        <v>218</v>
      </c>
      <c r="BT121" s="7" t="s">
        <v>218</v>
      </c>
      <c r="BU121" s="7" t="s">
        <v>218</v>
      </c>
      <c r="BV121" s="7" t="s">
        <v>218</v>
      </c>
      <c r="BW121" s="7" t="s">
        <v>214</v>
      </c>
      <c r="BX121" s="7" t="s">
        <v>214</v>
      </c>
      <c r="BY121" s="7" t="s">
        <v>214</v>
      </c>
      <c r="BZ121" s="7" t="s">
        <v>214</v>
      </c>
      <c r="CA121" s="7" t="s">
        <v>214</v>
      </c>
      <c r="CB121" s="7" t="s">
        <v>214</v>
      </c>
      <c r="CC121" s="7" t="s">
        <v>214</v>
      </c>
      <c r="CD121" s="7" t="s">
        <v>214</v>
      </c>
      <c r="CE121" s="7" t="s">
        <v>214</v>
      </c>
      <c r="CF121" s="7" t="s">
        <v>214</v>
      </c>
      <c r="CG121" s="7" t="s">
        <v>214</v>
      </c>
      <c r="CH121" s="7" t="s">
        <v>214</v>
      </c>
      <c r="CI121" s="7" t="s">
        <v>214</v>
      </c>
      <c r="CJ121" s="7" t="s">
        <v>218</v>
      </c>
      <c r="CK121" s="7" t="s">
        <v>214</v>
      </c>
      <c r="CL121" s="7" t="s">
        <v>214</v>
      </c>
      <c r="CM121" s="7" t="s">
        <v>214</v>
      </c>
      <c r="CN121" s="7" t="s">
        <v>214</v>
      </c>
      <c r="CO121" s="7" t="s">
        <v>214</v>
      </c>
      <c r="CP121" s="7" t="s">
        <v>214</v>
      </c>
      <c r="CQ121" s="7" t="s">
        <v>214</v>
      </c>
      <c r="CR121" s="7" t="s">
        <v>214</v>
      </c>
      <c r="CS121" s="7" t="s">
        <v>214</v>
      </c>
      <c r="CT121" s="7" t="s">
        <v>214</v>
      </c>
      <c r="CU121" s="7" t="s">
        <v>214</v>
      </c>
      <c r="CV121" s="7" t="s">
        <v>214</v>
      </c>
      <c r="CW121" s="7" t="s">
        <v>214</v>
      </c>
      <c r="CX121" s="7" t="s">
        <v>214</v>
      </c>
      <c r="CY121" s="7" t="s">
        <v>214</v>
      </c>
      <c r="CZ121" s="7" t="s">
        <v>214</v>
      </c>
      <c r="DA121" s="7" t="s">
        <v>214</v>
      </c>
      <c r="DB121" s="7" t="s">
        <v>214</v>
      </c>
      <c r="DC121" s="7" t="s">
        <v>214</v>
      </c>
      <c r="DD121" s="7" t="s">
        <v>214</v>
      </c>
      <c r="DE121" s="7" t="s">
        <v>214</v>
      </c>
      <c r="DF121" s="7" t="s">
        <v>214</v>
      </c>
      <c r="DG121" s="7" t="s">
        <v>214</v>
      </c>
      <c r="DH121" s="7" t="s">
        <v>214</v>
      </c>
      <c r="DI121" s="7" t="s">
        <v>214</v>
      </c>
      <c r="DJ121" s="7" t="s">
        <v>214</v>
      </c>
      <c r="DK121" s="7" t="s">
        <v>214</v>
      </c>
      <c r="DL121" s="7" t="s">
        <v>214</v>
      </c>
      <c r="DM121" s="7" t="s">
        <v>214</v>
      </c>
      <c r="DN121" s="7" t="s">
        <v>214</v>
      </c>
      <c r="DO121" s="7" t="s">
        <v>214</v>
      </c>
      <c r="DP121" s="7" t="s">
        <v>214</v>
      </c>
      <c r="DQ121" s="7" t="s">
        <v>214</v>
      </c>
      <c r="DR121" s="7" t="s">
        <v>214</v>
      </c>
      <c r="DS121" s="7" t="s">
        <v>214</v>
      </c>
      <c r="DT121" s="7" t="s">
        <v>214</v>
      </c>
      <c r="DU121" s="7" t="s">
        <v>217</v>
      </c>
      <c r="DV121" s="7" t="s">
        <v>214</v>
      </c>
      <c r="DW121" s="7" t="s">
        <v>214</v>
      </c>
      <c r="DX121" s="7" t="s">
        <v>214</v>
      </c>
      <c r="DY121" s="7" t="s">
        <v>217</v>
      </c>
      <c r="DZ121" s="7" t="s">
        <v>214</v>
      </c>
      <c r="EA121" s="7" t="s">
        <v>214</v>
      </c>
      <c r="EB121" s="7" t="s">
        <v>214</v>
      </c>
      <c r="EC121" s="7" t="s">
        <v>217</v>
      </c>
      <c r="ED121" s="7" t="s">
        <v>214</v>
      </c>
      <c r="EE121" s="7" t="s">
        <v>214</v>
      </c>
      <c r="EF121" s="7" t="s">
        <v>214</v>
      </c>
      <c r="EG121" s="7" t="s">
        <v>214</v>
      </c>
      <c r="EH121" s="7" t="s">
        <v>217</v>
      </c>
      <c r="EI121" s="7" t="s">
        <v>217</v>
      </c>
      <c r="EJ121" s="7" t="s">
        <v>217</v>
      </c>
      <c r="EK121" s="7" t="s">
        <v>214</v>
      </c>
      <c r="EL121" s="7" t="s">
        <v>214</v>
      </c>
      <c r="EM121" s="7" t="s">
        <v>214</v>
      </c>
      <c r="EN121" s="7" t="s">
        <v>214</v>
      </c>
      <c r="EO121" s="7" t="s">
        <v>214</v>
      </c>
      <c r="EP121" s="7" t="s">
        <v>214</v>
      </c>
      <c r="EQ121" s="7" t="s">
        <v>214</v>
      </c>
      <c r="ER121" s="7" t="s">
        <v>214</v>
      </c>
      <c r="ES121" s="7" t="s">
        <v>214</v>
      </c>
      <c r="ET121" s="7" t="s">
        <v>214</v>
      </c>
      <c r="EU121" s="7" t="s">
        <v>214</v>
      </c>
      <c r="EV121" s="7" t="s">
        <v>214</v>
      </c>
      <c r="EW121" s="7" t="s">
        <v>214</v>
      </c>
      <c r="EX121" s="7" t="s">
        <v>214</v>
      </c>
      <c r="EY121" s="7" t="s">
        <v>214</v>
      </c>
      <c r="EZ121" s="7" t="s">
        <v>214</v>
      </c>
      <c r="FA121" s="7" t="s">
        <v>214</v>
      </c>
      <c r="FB121" s="7" t="s">
        <v>214</v>
      </c>
      <c r="FC121" s="7" t="s">
        <v>214</v>
      </c>
      <c r="FD121" s="7" t="s">
        <v>214</v>
      </c>
      <c r="FE121" s="7" t="s">
        <v>214</v>
      </c>
      <c r="FF121" s="7" t="s">
        <v>214</v>
      </c>
      <c r="FG121" s="7" t="s">
        <v>214</v>
      </c>
      <c r="FH121" s="7" t="s">
        <v>214</v>
      </c>
      <c r="FI121" s="7" t="s">
        <v>214</v>
      </c>
      <c r="FJ121" s="7" t="s">
        <v>214</v>
      </c>
      <c r="FK121" s="7" t="s">
        <v>214</v>
      </c>
      <c r="FL121" s="7" t="s">
        <v>214</v>
      </c>
    </row>
    <row r="122" spans="1:168" ht="15" x14ac:dyDescent="0.25">
      <c r="A122" s="5" t="s">
        <v>203</v>
      </c>
      <c r="B122" s="5" t="s">
        <v>9</v>
      </c>
      <c r="C122" s="8" t="s">
        <v>214</v>
      </c>
      <c r="D122" s="8" t="s">
        <v>214</v>
      </c>
      <c r="E122" s="8" t="s">
        <v>214</v>
      </c>
      <c r="F122" s="8" t="s">
        <v>214</v>
      </c>
      <c r="G122" s="8" t="s">
        <v>214</v>
      </c>
      <c r="H122" s="8" t="s">
        <v>214</v>
      </c>
      <c r="I122" s="8" t="s">
        <v>214</v>
      </c>
      <c r="J122" s="8" t="s">
        <v>214</v>
      </c>
      <c r="K122" s="8" t="s">
        <v>214</v>
      </c>
      <c r="L122" s="8" t="s">
        <v>214</v>
      </c>
      <c r="M122" s="8" t="s">
        <v>214</v>
      </c>
      <c r="N122" s="8" t="s">
        <v>214</v>
      </c>
      <c r="O122" s="8" t="s">
        <v>214</v>
      </c>
      <c r="P122" s="8" t="s">
        <v>214</v>
      </c>
      <c r="Q122" s="8" t="s">
        <v>214</v>
      </c>
      <c r="R122" s="8" t="s">
        <v>214</v>
      </c>
      <c r="S122" s="8" t="s">
        <v>214</v>
      </c>
      <c r="T122" s="8" t="s">
        <v>214</v>
      </c>
      <c r="U122" s="8" t="s">
        <v>214</v>
      </c>
      <c r="V122" s="8" t="s">
        <v>214</v>
      </c>
      <c r="W122" s="8" t="s">
        <v>214</v>
      </c>
      <c r="X122" s="8" t="s">
        <v>214</v>
      </c>
      <c r="Y122" s="8" t="s">
        <v>214</v>
      </c>
      <c r="Z122" s="8" t="s">
        <v>214</v>
      </c>
      <c r="AA122" s="8" t="s">
        <v>214</v>
      </c>
      <c r="AB122" s="8" t="s">
        <v>214</v>
      </c>
      <c r="AC122" s="8" t="s">
        <v>214</v>
      </c>
      <c r="AD122" s="8" t="s">
        <v>214</v>
      </c>
      <c r="AE122" s="8" t="s">
        <v>214</v>
      </c>
      <c r="AF122" s="8" t="s">
        <v>214</v>
      </c>
      <c r="AG122" s="8" t="s">
        <v>214</v>
      </c>
      <c r="AH122" s="8" t="s">
        <v>217</v>
      </c>
      <c r="AI122" s="8" t="s">
        <v>214</v>
      </c>
      <c r="AJ122" s="8" t="s">
        <v>217</v>
      </c>
      <c r="AK122" s="8" t="s">
        <v>214</v>
      </c>
      <c r="AL122" s="8" t="s">
        <v>214</v>
      </c>
      <c r="AM122" s="8" t="s">
        <v>214</v>
      </c>
      <c r="AN122" s="8" t="s">
        <v>214</v>
      </c>
      <c r="AO122" s="8" t="s">
        <v>214</v>
      </c>
      <c r="AP122" s="8" t="s">
        <v>214</v>
      </c>
      <c r="AQ122" s="8" t="s">
        <v>214</v>
      </c>
      <c r="AR122" s="8" t="s">
        <v>214</v>
      </c>
      <c r="AS122" s="8" t="s">
        <v>214</v>
      </c>
      <c r="AT122" s="8" t="s">
        <v>214</v>
      </c>
      <c r="AU122" s="8" t="s">
        <v>214</v>
      </c>
      <c r="AV122" s="8" t="s">
        <v>214</v>
      </c>
      <c r="AW122" s="8" t="s">
        <v>214</v>
      </c>
      <c r="AX122" s="8" t="s">
        <v>214</v>
      </c>
      <c r="AY122" s="8" t="s">
        <v>214</v>
      </c>
      <c r="AZ122" s="8" t="s">
        <v>214</v>
      </c>
      <c r="BA122" s="8" t="s">
        <v>214</v>
      </c>
      <c r="BB122" s="8" t="s">
        <v>214</v>
      </c>
      <c r="BC122" s="8" t="s">
        <v>214</v>
      </c>
      <c r="BD122" s="8" t="s">
        <v>214</v>
      </c>
      <c r="BE122" s="8" t="s">
        <v>214</v>
      </c>
      <c r="BF122" s="8" t="s">
        <v>214</v>
      </c>
      <c r="BG122" s="8" t="s">
        <v>214</v>
      </c>
      <c r="BH122" s="8" t="s">
        <v>214</v>
      </c>
      <c r="BI122" s="8" t="s">
        <v>214</v>
      </c>
      <c r="BJ122" s="8" t="s">
        <v>214</v>
      </c>
      <c r="BK122" s="8" t="s">
        <v>218</v>
      </c>
      <c r="BL122" s="8" t="s">
        <v>214</v>
      </c>
      <c r="BM122" s="8" t="s">
        <v>214</v>
      </c>
      <c r="BN122" s="8" t="s">
        <v>214</v>
      </c>
      <c r="BO122" s="8" t="s">
        <v>214</v>
      </c>
      <c r="BP122" s="8" t="s">
        <v>214</v>
      </c>
      <c r="BQ122" s="8" t="s">
        <v>214</v>
      </c>
      <c r="BR122" s="8" t="s">
        <v>218</v>
      </c>
      <c r="BS122" s="8" t="s">
        <v>218</v>
      </c>
      <c r="BT122" s="8" t="s">
        <v>218</v>
      </c>
      <c r="BU122" s="8" t="s">
        <v>218</v>
      </c>
      <c r="BV122" s="8" t="s">
        <v>218</v>
      </c>
      <c r="BW122" s="8" t="s">
        <v>214</v>
      </c>
      <c r="BX122" s="8" t="s">
        <v>214</v>
      </c>
      <c r="BY122" s="8" t="s">
        <v>214</v>
      </c>
      <c r="BZ122" s="8" t="s">
        <v>214</v>
      </c>
      <c r="CA122" s="8" t="s">
        <v>214</v>
      </c>
      <c r="CB122" s="8" t="s">
        <v>214</v>
      </c>
      <c r="CC122" s="8" t="s">
        <v>214</v>
      </c>
      <c r="CD122" s="8" t="s">
        <v>214</v>
      </c>
      <c r="CE122" s="8" t="s">
        <v>214</v>
      </c>
      <c r="CF122" s="8" t="s">
        <v>214</v>
      </c>
      <c r="CG122" s="8" t="s">
        <v>214</v>
      </c>
      <c r="CH122" s="8" t="s">
        <v>214</v>
      </c>
      <c r="CI122" s="8" t="s">
        <v>214</v>
      </c>
      <c r="CJ122" s="8" t="s">
        <v>214</v>
      </c>
      <c r="CK122" s="8" t="s">
        <v>214</v>
      </c>
      <c r="CL122" s="8" t="s">
        <v>214</v>
      </c>
      <c r="CM122" s="8" t="s">
        <v>214</v>
      </c>
      <c r="CN122" s="8" t="s">
        <v>214</v>
      </c>
      <c r="CO122" s="8" t="s">
        <v>214</v>
      </c>
      <c r="CP122" s="8" t="s">
        <v>214</v>
      </c>
      <c r="CQ122" s="8" t="s">
        <v>214</v>
      </c>
      <c r="CR122" s="8" t="s">
        <v>214</v>
      </c>
      <c r="CS122" s="8" t="s">
        <v>214</v>
      </c>
      <c r="CT122" s="8" t="s">
        <v>214</v>
      </c>
      <c r="CU122" s="8" t="s">
        <v>214</v>
      </c>
      <c r="CV122" s="8" t="s">
        <v>214</v>
      </c>
      <c r="CW122" s="8" t="s">
        <v>214</v>
      </c>
      <c r="CX122" s="8" t="s">
        <v>214</v>
      </c>
      <c r="CY122" s="8" t="s">
        <v>214</v>
      </c>
      <c r="CZ122" s="8" t="s">
        <v>214</v>
      </c>
      <c r="DA122" s="8" t="s">
        <v>214</v>
      </c>
      <c r="DB122" s="8" t="s">
        <v>214</v>
      </c>
      <c r="DC122" s="8" t="s">
        <v>214</v>
      </c>
      <c r="DD122" s="8" t="s">
        <v>214</v>
      </c>
      <c r="DE122" s="8" t="s">
        <v>214</v>
      </c>
      <c r="DF122" s="8" t="s">
        <v>214</v>
      </c>
      <c r="DG122" s="8" t="s">
        <v>214</v>
      </c>
      <c r="DH122" s="8" t="s">
        <v>214</v>
      </c>
      <c r="DI122" s="8" t="s">
        <v>214</v>
      </c>
      <c r="DJ122" s="8" t="s">
        <v>214</v>
      </c>
      <c r="DK122" s="8" t="s">
        <v>214</v>
      </c>
      <c r="DL122" s="8" t="s">
        <v>214</v>
      </c>
      <c r="DM122" s="8" t="s">
        <v>214</v>
      </c>
      <c r="DN122" s="8" t="s">
        <v>214</v>
      </c>
      <c r="DO122" s="8" t="s">
        <v>214</v>
      </c>
      <c r="DP122" s="8" t="s">
        <v>214</v>
      </c>
      <c r="DQ122" s="8" t="s">
        <v>214</v>
      </c>
      <c r="DR122" s="8" t="s">
        <v>214</v>
      </c>
      <c r="DS122" s="8" t="s">
        <v>214</v>
      </c>
      <c r="DT122" s="8" t="s">
        <v>214</v>
      </c>
      <c r="DU122" s="8" t="s">
        <v>214</v>
      </c>
      <c r="DV122" s="8" t="s">
        <v>217</v>
      </c>
      <c r="DW122" s="8" t="s">
        <v>214</v>
      </c>
      <c r="DX122" s="8" t="s">
        <v>217</v>
      </c>
      <c r="DY122" s="8" t="s">
        <v>217</v>
      </c>
      <c r="DZ122" s="8" t="s">
        <v>214</v>
      </c>
      <c r="EA122" s="8" t="s">
        <v>214</v>
      </c>
      <c r="EB122" s="8" t="s">
        <v>214</v>
      </c>
      <c r="EC122" s="8" t="s">
        <v>217</v>
      </c>
      <c r="ED122" s="8" t="s">
        <v>214</v>
      </c>
      <c r="EE122" s="8" t="s">
        <v>214</v>
      </c>
      <c r="EF122" s="8" t="s">
        <v>214</v>
      </c>
      <c r="EG122" s="8" t="s">
        <v>214</v>
      </c>
      <c r="EH122" s="8" t="s">
        <v>214</v>
      </c>
      <c r="EI122" s="8" t="s">
        <v>217</v>
      </c>
      <c r="EJ122" s="8" t="s">
        <v>217</v>
      </c>
      <c r="EK122" s="8" t="s">
        <v>214</v>
      </c>
      <c r="EL122" s="8" t="s">
        <v>214</v>
      </c>
      <c r="EM122" s="8" t="s">
        <v>214</v>
      </c>
      <c r="EN122" s="8" t="s">
        <v>214</v>
      </c>
      <c r="EO122" s="8" t="s">
        <v>214</v>
      </c>
      <c r="EP122" s="8" t="s">
        <v>214</v>
      </c>
      <c r="EQ122" s="8" t="s">
        <v>214</v>
      </c>
      <c r="ER122" s="8" t="s">
        <v>214</v>
      </c>
      <c r="ES122" s="8" t="s">
        <v>214</v>
      </c>
      <c r="ET122" s="8" t="s">
        <v>214</v>
      </c>
      <c r="EU122" s="8" t="s">
        <v>214</v>
      </c>
      <c r="EV122" s="8" t="s">
        <v>214</v>
      </c>
      <c r="EW122" s="8" t="s">
        <v>214</v>
      </c>
      <c r="EX122" s="8" t="s">
        <v>214</v>
      </c>
      <c r="EY122" s="8" t="s">
        <v>218</v>
      </c>
      <c r="EZ122" s="8" t="s">
        <v>214</v>
      </c>
      <c r="FA122" s="8" t="s">
        <v>214</v>
      </c>
      <c r="FB122" s="8" t="s">
        <v>214</v>
      </c>
      <c r="FC122" s="8" t="s">
        <v>214</v>
      </c>
      <c r="FD122" s="8" t="s">
        <v>214</v>
      </c>
      <c r="FE122" s="8" t="s">
        <v>214</v>
      </c>
      <c r="FF122" s="8" t="s">
        <v>214</v>
      </c>
      <c r="FG122" s="8" t="s">
        <v>214</v>
      </c>
      <c r="FH122" s="8" t="s">
        <v>214</v>
      </c>
      <c r="FI122" s="8" t="s">
        <v>214</v>
      </c>
      <c r="FJ122" s="8" t="s">
        <v>214</v>
      </c>
      <c r="FK122" s="8" t="s">
        <v>214</v>
      </c>
      <c r="FL122" s="8" t="s">
        <v>214</v>
      </c>
    </row>
    <row r="123" spans="1:168" ht="15" x14ac:dyDescent="0.25">
      <c r="A123" s="5" t="s">
        <v>204</v>
      </c>
      <c r="B123" s="5" t="s">
        <v>6</v>
      </c>
      <c r="C123" s="7" t="s">
        <v>214</v>
      </c>
      <c r="D123" s="7" t="s">
        <v>214</v>
      </c>
      <c r="E123" s="7" t="s">
        <v>214</v>
      </c>
      <c r="F123" s="7" t="s">
        <v>214</v>
      </c>
      <c r="G123" s="7" t="s">
        <v>214</v>
      </c>
      <c r="H123" s="7" t="s">
        <v>214</v>
      </c>
      <c r="I123" s="7" t="s">
        <v>214</v>
      </c>
      <c r="J123" s="7" t="s">
        <v>214</v>
      </c>
      <c r="K123" s="7" t="s">
        <v>214</v>
      </c>
      <c r="L123" s="7" t="s">
        <v>214</v>
      </c>
      <c r="M123" s="7" t="s">
        <v>214</v>
      </c>
      <c r="N123" s="7" t="s">
        <v>214</v>
      </c>
      <c r="O123" s="7" t="s">
        <v>214</v>
      </c>
      <c r="P123" s="7" t="s">
        <v>214</v>
      </c>
      <c r="Q123" s="7" t="s">
        <v>214</v>
      </c>
      <c r="R123" s="7" t="s">
        <v>214</v>
      </c>
      <c r="S123" s="7" t="s">
        <v>214</v>
      </c>
      <c r="T123" s="7" t="s">
        <v>214</v>
      </c>
      <c r="U123" s="7" t="s">
        <v>214</v>
      </c>
      <c r="V123" s="7" t="s">
        <v>214</v>
      </c>
      <c r="W123" s="7" t="s">
        <v>214</v>
      </c>
      <c r="X123" s="7" t="s">
        <v>214</v>
      </c>
      <c r="Y123" s="7" t="s">
        <v>214</v>
      </c>
      <c r="Z123" s="7" t="s">
        <v>214</v>
      </c>
      <c r="AA123" s="7" t="s">
        <v>214</v>
      </c>
      <c r="AB123" s="7" t="s">
        <v>214</v>
      </c>
      <c r="AC123" s="7" t="s">
        <v>214</v>
      </c>
      <c r="AD123" s="7" t="s">
        <v>214</v>
      </c>
      <c r="AE123" s="7" t="s">
        <v>214</v>
      </c>
      <c r="AF123" s="7" t="s">
        <v>214</v>
      </c>
      <c r="AG123" s="7" t="s">
        <v>214</v>
      </c>
      <c r="AH123" s="7" t="s">
        <v>214</v>
      </c>
      <c r="AI123" s="7" t="s">
        <v>214</v>
      </c>
      <c r="AJ123" s="7" t="s">
        <v>214</v>
      </c>
      <c r="AK123" s="7" t="s">
        <v>214</v>
      </c>
      <c r="AL123" s="7" t="s">
        <v>214</v>
      </c>
      <c r="AM123" s="7" t="s">
        <v>214</v>
      </c>
      <c r="AN123" s="7" t="s">
        <v>214</v>
      </c>
      <c r="AO123" s="7" t="s">
        <v>214</v>
      </c>
      <c r="AP123" s="7" t="s">
        <v>214</v>
      </c>
      <c r="AQ123" s="7" t="s">
        <v>214</v>
      </c>
      <c r="AR123" s="7" t="s">
        <v>214</v>
      </c>
      <c r="AS123" s="7" t="s">
        <v>214</v>
      </c>
      <c r="AT123" s="7" t="s">
        <v>214</v>
      </c>
      <c r="AU123" s="7" t="s">
        <v>214</v>
      </c>
      <c r="AV123" s="7" t="s">
        <v>214</v>
      </c>
      <c r="AW123" s="7" t="s">
        <v>214</v>
      </c>
      <c r="AX123" s="7" t="s">
        <v>214</v>
      </c>
      <c r="AY123" s="7" t="s">
        <v>214</v>
      </c>
      <c r="AZ123" s="7" t="s">
        <v>214</v>
      </c>
      <c r="BA123" s="7" t="s">
        <v>214</v>
      </c>
      <c r="BB123" s="7" t="s">
        <v>214</v>
      </c>
      <c r="BC123" s="7" t="s">
        <v>214</v>
      </c>
      <c r="BD123" s="7" t="s">
        <v>214</v>
      </c>
      <c r="BE123" s="7" t="s">
        <v>214</v>
      </c>
      <c r="BF123" s="7" t="s">
        <v>214</v>
      </c>
      <c r="BG123" s="7" t="s">
        <v>214</v>
      </c>
      <c r="BH123" s="7" t="s">
        <v>214</v>
      </c>
      <c r="BI123" s="7" t="s">
        <v>214</v>
      </c>
      <c r="BJ123" s="7" t="s">
        <v>214</v>
      </c>
      <c r="BK123" s="7" t="s">
        <v>214</v>
      </c>
      <c r="BL123" s="7" t="s">
        <v>214</v>
      </c>
      <c r="BM123" s="7" t="s">
        <v>214</v>
      </c>
      <c r="BN123" s="7" t="s">
        <v>214</v>
      </c>
      <c r="BO123" s="7" t="s">
        <v>214</v>
      </c>
      <c r="BP123" s="7" t="s">
        <v>214</v>
      </c>
      <c r="BQ123" s="7" t="s">
        <v>214</v>
      </c>
      <c r="BR123" s="7" t="s">
        <v>214</v>
      </c>
      <c r="BS123" s="7" t="s">
        <v>214</v>
      </c>
      <c r="BT123" s="7" t="s">
        <v>214</v>
      </c>
      <c r="BU123" s="7" t="s">
        <v>214</v>
      </c>
      <c r="BV123" s="7" t="s">
        <v>214</v>
      </c>
      <c r="BW123" s="7" t="s">
        <v>214</v>
      </c>
      <c r="BX123" s="7" t="s">
        <v>214</v>
      </c>
      <c r="BY123" s="7" t="s">
        <v>214</v>
      </c>
      <c r="BZ123" s="7" t="s">
        <v>214</v>
      </c>
      <c r="CA123" s="7" t="s">
        <v>214</v>
      </c>
      <c r="CB123" s="7" t="s">
        <v>214</v>
      </c>
      <c r="CC123" s="7" t="s">
        <v>214</v>
      </c>
      <c r="CD123" s="7" t="s">
        <v>214</v>
      </c>
      <c r="CE123" s="7" t="s">
        <v>214</v>
      </c>
      <c r="CF123" s="7" t="s">
        <v>214</v>
      </c>
      <c r="CG123" s="7" t="s">
        <v>214</v>
      </c>
      <c r="CH123" s="7" t="s">
        <v>214</v>
      </c>
      <c r="CI123" s="7" t="s">
        <v>214</v>
      </c>
      <c r="CJ123" s="7" t="s">
        <v>214</v>
      </c>
      <c r="CK123" s="7" t="s">
        <v>214</v>
      </c>
      <c r="CL123" s="7" t="s">
        <v>214</v>
      </c>
      <c r="CM123" s="7" t="s">
        <v>214</v>
      </c>
      <c r="CN123" s="7" t="s">
        <v>214</v>
      </c>
      <c r="CO123" s="7" t="s">
        <v>214</v>
      </c>
      <c r="CP123" s="7" t="s">
        <v>214</v>
      </c>
      <c r="CQ123" s="7" t="s">
        <v>214</v>
      </c>
      <c r="CR123" s="7" t="s">
        <v>214</v>
      </c>
      <c r="CS123" s="7" t="s">
        <v>214</v>
      </c>
      <c r="CT123" s="7" t="s">
        <v>214</v>
      </c>
      <c r="CU123" s="7" t="s">
        <v>214</v>
      </c>
      <c r="CV123" s="7" t="s">
        <v>214</v>
      </c>
      <c r="CW123" s="7" t="s">
        <v>214</v>
      </c>
      <c r="CX123" s="7" t="s">
        <v>214</v>
      </c>
      <c r="CY123" s="7" t="s">
        <v>214</v>
      </c>
      <c r="CZ123" s="7" t="s">
        <v>214</v>
      </c>
      <c r="DA123" s="7" t="s">
        <v>214</v>
      </c>
      <c r="DB123" s="7" t="s">
        <v>214</v>
      </c>
      <c r="DC123" s="7" t="s">
        <v>214</v>
      </c>
      <c r="DD123" s="7" t="s">
        <v>214</v>
      </c>
      <c r="DE123" s="7" t="s">
        <v>214</v>
      </c>
      <c r="DF123" s="7" t="s">
        <v>214</v>
      </c>
      <c r="DG123" s="7" t="s">
        <v>214</v>
      </c>
      <c r="DH123" s="7" t="s">
        <v>214</v>
      </c>
      <c r="DI123" s="7" t="s">
        <v>214</v>
      </c>
      <c r="DJ123" s="7" t="s">
        <v>214</v>
      </c>
      <c r="DK123" s="7" t="s">
        <v>214</v>
      </c>
      <c r="DL123" s="7" t="s">
        <v>214</v>
      </c>
      <c r="DM123" s="7" t="s">
        <v>214</v>
      </c>
      <c r="DN123" s="7" t="s">
        <v>214</v>
      </c>
      <c r="DO123" s="7" t="s">
        <v>214</v>
      </c>
      <c r="DP123" s="7" t="s">
        <v>214</v>
      </c>
      <c r="DQ123" s="7" t="s">
        <v>214</v>
      </c>
      <c r="DR123" s="7" t="s">
        <v>214</v>
      </c>
      <c r="DS123" s="7" t="s">
        <v>214</v>
      </c>
      <c r="DT123" s="7" t="s">
        <v>214</v>
      </c>
      <c r="DU123" s="7" t="s">
        <v>214</v>
      </c>
      <c r="DV123" s="7" t="s">
        <v>214</v>
      </c>
      <c r="DW123" s="7" t="s">
        <v>214</v>
      </c>
      <c r="DX123" s="7" t="s">
        <v>214</v>
      </c>
      <c r="DY123" s="7" t="s">
        <v>214</v>
      </c>
      <c r="DZ123" s="7" t="s">
        <v>214</v>
      </c>
      <c r="EA123" s="7" t="s">
        <v>214</v>
      </c>
      <c r="EB123" s="7" t="s">
        <v>214</v>
      </c>
      <c r="EC123" s="7" t="s">
        <v>214</v>
      </c>
      <c r="ED123" s="7" t="s">
        <v>214</v>
      </c>
      <c r="EE123" s="7" t="s">
        <v>214</v>
      </c>
      <c r="EF123" s="7" t="s">
        <v>214</v>
      </c>
      <c r="EG123" s="7" t="s">
        <v>214</v>
      </c>
      <c r="EH123" s="7" t="s">
        <v>214</v>
      </c>
      <c r="EI123" s="7" t="s">
        <v>214</v>
      </c>
      <c r="EJ123" s="7" t="s">
        <v>214</v>
      </c>
      <c r="EK123" s="7" t="s">
        <v>214</v>
      </c>
      <c r="EL123" s="7" t="s">
        <v>214</v>
      </c>
      <c r="EM123" s="7" t="s">
        <v>214</v>
      </c>
      <c r="EN123" s="7" t="s">
        <v>214</v>
      </c>
      <c r="EO123" s="7" t="s">
        <v>214</v>
      </c>
      <c r="EP123" s="7" t="s">
        <v>214</v>
      </c>
      <c r="EQ123" s="7" t="s">
        <v>218</v>
      </c>
      <c r="ER123" s="7" t="s">
        <v>214</v>
      </c>
      <c r="ES123" s="7" t="s">
        <v>214</v>
      </c>
      <c r="ET123" s="7" t="s">
        <v>214</v>
      </c>
      <c r="EU123" s="7" t="s">
        <v>214</v>
      </c>
      <c r="EV123" s="7" t="s">
        <v>214</v>
      </c>
      <c r="EW123" s="7" t="s">
        <v>214</v>
      </c>
      <c r="EX123" s="7" t="s">
        <v>214</v>
      </c>
      <c r="EY123" s="7" t="s">
        <v>214</v>
      </c>
      <c r="EZ123" s="7" t="s">
        <v>214</v>
      </c>
      <c r="FA123" s="7" t="s">
        <v>214</v>
      </c>
      <c r="FB123" s="7" t="s">
        <v>214</v>
      </c>
      <c r="FC123" s="7" t="s">
        <v>214</v>
      </c>
      <c r="FD123" s="7" t="s">
        <v>214</v>
      </c>
      <c r="FE123" s="7" t="s">
        <v>214</v>
      </c>
      <c r="FF123" s="7" t="s">
        <v>214</v>
      </c>
      <c r="FG123" s="7" t="s">
        <v>214</v>
      </c>
      <c r="FH123" s="7" t="s">
        <v>214</v>
      </c>
      <c r="FI123" s="7" t="s">
        <v>214</v>
      </c>
      <c r="FJ123" s="7" t="s">
        <v>214</v>
      </c>
      <c r="FK123" s="7" t="s">
        <v>214</v>
      </c>
      <c r="FL123" s="7" t="s">
        <v>214</v>
      </c>
    </row>
    <row r="124" spans="1:168" ht="15" x14ac:dyDescent="0.25">
      <c r="A124" s="5" t="s">
        <v>204</v>
      </c>
      <c r="B124" s="5" t="s">
        <v>7</v>
      </c>
      <c r="C124" s="8" t="s">
        <v>217</v>
      </c>
      <c r="D124" s="8" t="s">
        <v>214</v>
      </c>
      <c r="E124" s="8" t="s">
        <v>214</v>
      </c>
      <c r="F124" s="8" t="s">
        <v>214</v>
      </c>
      <c r="G124" s="8" t="s">
        <v>214</v>
      </c>
      <c r="H124" s="8" t="s">
        <v>214</v>
      </c>
      <c r="I124" s="8" t="s">
        <v>214</v>
      </c>
      <c r="J124" s="8" t="s">
        <v>214</v>
      </c>
      <c r="K124" s="8" t="s">
        <v>214</v>
      </c>
      <c r="L124" s="8" t="s">
        <v>214</v>
      </c>
      <c r="M124" s="8" t="s">
        <v>214</v>
      </c>
      <c r="N124" s="8" t="s">
        <v>214</v>
      </c>
      <c r="O124" s="8" t="s">
        <v>214</v>
      </c>
      <c r="P124" s="8" t="s">
        <v>214</v>
      </c>
      <c r="Q124" s="8" t="s">
        <v>214</v>
      </c>
      <c r="R124" s="8" t="s">
        <v>214</v>
      </c>
      <c r="S124" s="8" t="s">
        <v>214</v>
      </c>
      <c r="T124" s="8" t="s">
        <v>214</v>
      </c>
      <c r="U124" s="8" t="s">
        <v>214</v>
      </c>
      <c r="V124" s="8" t="s">
        <v>214</v>
      </c>
      <c r="W124" s="8" t="s">
        <v>214</v>
      </c>
      <c r="X124" s="8" t="s">
        <v>214</v>
      </c>
      <c r="Y124" s="8" t="s">
        <v>214</v>
      </c>
      <c r="Z124" s="8" t="s">
        <v>214</v>
      </c>
      <c r="AA124" s="8" t="s">
        <v>214</v>
      </c>
      <c r="AB124" s="8" t="s">
        <v>214</v>
      </c>
      <c r="AC124" s="8" t="s">
        <v>214</v>
      </c>
      <c r="AD124" s="8" t="s">
        <v>214</v>
      </c>
      <c r="AE124" s="8" t="s">
        <v>214</v>
      </c>
      <c r="AF124" s="8" t="s">
        <v>214</v>
      </c>
      <c r="AG124" s="8" t="s">
        <v>214</v>
      </c>
      <c r="AH124" s="8" t="s">
        <v>214</v>
      </c>
      <c r="AI124" s="8" t="s">
        <v>214</v>
      </c>
      <c r="AJ124" s="8" t="s">
        <v>214</v>
      </c>
      <c r="AK124" s="8" t="s">
        <v>214</v>
      </c>
      <c r="AL124" s="8" t="s">
        <v>214</v>
      </c>
      <c r="AM124" s="8" t="s">
        <v>214</v>
      </c>
      <c r="AN124" s="8" t="s">
        <v>214</v>
      </c>
      <c r="AO124" s="8" t="s">
        <v>214</v>
      </c>
      <c r="AP124" s="8" t="s">
        <v>214</v>
      </c>
      <c r="AQ124" s="8" t="s">
        <v>214</v>
      </c>
      <c r="AR124" s="8" t="s">
        <v>214</v>
      </c>
      <c r="AS124" s="8" t="s">
        <v>214</v>
      </c>
      <c r="AT124" s="8" t="s">
        <v>214</v>
      </c>
      <c r="AU124" s="8" t="s">
        <v>214</v>
      </c>
      <c r="AV124" s="8" t="s">
        <v>214</v>
      </c>
      <c r="AW124" s="8" t="s">
        <v>214</v>
      </c>
      <c r="AX124" s="8" t="s">
        <v>214</v>
      </c>
      <c r="AY124" s="8" t="s">
        <v>214</v>
      </c>
      <c r="AZ124" s="8" t="s">
        <v>214</v>
      </c>
      <c r="BA124" s="8" t="s">
        <v>214</v>
      </c>
      <c r="BB124" s="8" t="s">
        <v>214</v>
      </c>
      <c r="BC124" s="8" t="s">
        <v>214</v>
      </c>
      <c r="BD124" s="8" t="s">
        <v>214</v>
      </c>
      <c r="BE124" s="8" t="s">
        <v>214</v>
      </c>
      <c r="BF124" s="8" t="s">
        <v>214</v>
      </c>
      <c r="BG124" s="8" t="s">
        <v>214</v>
      </c>
      <c r="BH124" s="8" t="s">
        <v>214</v>
      </c>
      <c r="BI124" s="8" t="s">
        <v>214</v>
      </c>
      <c r="BJ124" s="8" t="s">
        <v>214</v>
      </c>
      <c r="BK124" s="8" t="s">
        <v>214</v>
      </c>
      <c r="BL124" s="8" t="s">
        <v>214</v>
      </c>
      <c r="BM124" s="8" t="s">
        <v>214</v>
      </c>
      <c r="BN124" s="8" t="s">
        <v>214</v>
      </c>
      <c r="BO124" s="8" t="s">
        <v>214</v>
      </c>
      <c r="BP124" s="8" t="s">
        <v>214</v>
      </c>
      <c r="BQ124" s="8" t="s">
        <v>214</v>
      </c>
      <c r="BR124" s="8" t="s">
        <v>214</v>
      </c>
      <c r="BS124" s="8" t="s">
        <v>214</v>
      </c>
      <c r="BT124" s="8" t="s">
        <v>214</v>
      </c>
      <c r="BU124" s="8" t="s">
        <v>214</v>
      </c>
      <c r="BV124" s="8" t="s">
        <v>214</v>
      </c>
      <c r="BW124" s="8" t="s">
        <v>214</v>
      </c>
      <c r="BX124" s="8" t="s">
        <v>214</v>
      </c>
      <c r="BY124" s="8" t="s">
        <v>214</v>
      </c>
      <c r="BZ124" s="8" t="s">
        <v>214</v>
      </c>
      <c r="CA124" s="8" t="s">
        <v>214</v>
      </c>
      <c r="CB124" s="8" t="s">
        <v>214</v>
      </c>
      <c r="CC124" s="8" t="s">
        <v>214</v>
      </c>
      <c r="CD124" s="8" t="s">
        <v>214</v>
      </c>
      <c r="CE124" s="8" t="s">
        <v>214</v>
      </c>
      <c r="CF124" s="8" t="s">
        <v>214</v>
      </c>
      <c r="CG124" s="8" t="s">
        <v>214</v>
      </c>
      <c r="CH124" s="8" t="s">
        <v>214</v>
      </c>
      <c r="CI124" s="8" t="s">
        <v>214</v>
      </c>
      <c r="CJ124" s="8" t="s">
        <v>214</v>
      </c>
      <c r="CK124" s="8" t="s">
        <v>218</v>
      </c>
      <c r="CL124" s="8" t="s">
        <v>214</v>
      </c>
      <c r="CM124" s="8" t="s">
        <v>214</v>
      </c>
      <c r="CN124" s="8" t="s">
        <v>214</v>
      </c>
      <c r="CO124" s="8" t="s">
        <v>214</v>
      </c>
      <c r="CP124" s="8" t="s">
        <v>214</v>
      </c>
      <c r="CQ124" s="8" t="s">
        <v>214</v>
      </c>
      <c r="CR124" s="8" t="s">
        <v>214</v>
      </c>
      <c r="CS124" s="8" t="s">
        <v>214</v>
      </c>
      <c r="CT124" s="8" t="s">
        <v>214</v>
      </c>
      <c r="CU124" s="8" t="s">
        <v>214</v>
      </c>
      <c r="CV124" s="8" t="s">
        <v>214</v>
      </c>
      <c r="CW124" s="8" t="s">
        <v>214</v>
      </c>
      <c r="CX124" s="8" t="s">
        <v>214</v>
      </c>
      <c r="CY124" s="8" t="s">
        <v>214</v>
      </c>
      <c r="CZ124" s="8" t="s">
        <v>214</v>
      </c>
      <c r="DA124" s="8" t="s">
        <v>214</v>
      </c>
      <c r="DB124" s="8" t="s">
        <v>214</v>
      </c>
      <c r="DC124" s="8" t="s">
        <v>214</v>
      </c>
      <c r="DD124" s="8" t="s">
        <v>214</v>
      </c>
      <c r="DE124" s="8" t="s">
        <v>214</v>
      </c>
      <c r="DF124" s="8" t="s">
        <v>214</v>
      </c>
      <c r="DG124" s="8" t="s">
        <v>214</v>
      </c>
      <c r="DH124" s="8" t="s">
        <v>214</v>
      </c>
      <c r="DI124" s="8" t="s">
        <v>214</v>
      </c>
      <c r="DJ124" s="8" t="s">
        <v>214</v>
      </c>
      <c r="DK124" s="8" t="s">
        <v>214</v>
      </c>
      <c r="DL124" s="8" t="s">
        <v>214</v>
      </c>
      <c r="DM124" s="8" t="s">
        <v>214</v>
      </c>
      <c r="DN124" s="8" t="s">
        <v>214</v>
      </c>
      <c r="DO124" s="8" t="s">
        <v>214</v>
      </c>
      <c r="DP124" s="8" t="s">
        <v>214</v>
      </c>
      <c r="DQ124" s="8" t="s">
        <v>214</v>
      </c>
      <c r="DR124" s="8" t="s">
        <v>214</v>
      </c>
      <c r="DS124" s="8" t="s">
        <v>214</v>
      </c>
      <c r="DT124" s="8" t="s">
        <v>214</v>
      </c>
      <c r="DU124" s="8" t="s">
        <v>214</v>
      </c>
      <c r="DV124" s="8" t="s">
        <v>214</v>
      </c>
      <c r="DW124" s="8" t="s">
        <v>214</v>
      </c>
      <c r="DX124" s="8" t="s">
        <v>214</v>
      </c>
      <c r="DY124" s="8" t="s">
        <v>214</v>
      </c>
      <c r="DZ124" s="8" t="s">
        <v>214</v>
      </c>
      <c r="EA124" s="8" t="s">
        <v>214</v>
      </c>
      <c r="EB124" s="8" t="s">
        <v>214</v>
      </c>
      <c r="EC124" s="8" t="s">
        <v>214</v>
      </c>
      <c r="ED124" s="8" t="s">
        <v>214</v>
      </c>
      <c r="EE124" s="8" t="s">
        <v>214</v>
      </c>
      <c r="EF124" s="8" t="s">
        <v>214</v>
      </c>
      <c r="EG124" s="8" t="s">
        <v>214</v>
      </c>
      <c r="EH124" s="8" t="s">
        <v>214</v>
      </c>
      <c r="EI124" s="8" t="s">
        <v>218</v>
      </c>
      <c r="EJ124" s="8" t="s">
        <v>217</v>
      </c>
      <c r="EK124" s="8" t="s">
        <v>214</v>
      </c>
      <c r="EL124" s="8" t="s">
        <v>214</v>
      </c>
      <c r="EM124" s="8" t="s">
        <v>214</v>
      </c>
      <c r="EN124" s="8" t="s">
        <v>214</v>
      </c>
      <c r="EO124" s="8" t="s">
        <v>218</v>
      </c>
      <c r="EP124" s="8" t="s">
        <v>214</v>
      </c>
      <c r="EQ124" s="8" t="s">
        <v>218</v>
      </c>
      <c r="ER124" s="8" t="s">
        <v>214</v>
      </c>
      <c r="ES124" s="8" t="s">
        <v>214</v>
      </c>
      <c r="ET124" s="8" t="s">
        <v>214</v>
      </c>
      <c r="EU124" s="8" t="s">
        <v>214</v>
      </c>
      <c r="EV124" s="8" t="s">
        <v>214</v>
      </c>
      <c r="EW124" s="8" t="s">
        <v>214</v>
      </c>
      <c r="EX124" s="8" t="s">
        <v>214</v>
      </c>
      <c r="EY124" s="8" t="s">
        <v>214</v>
      </c>
      <c r="EZ124" s="8" t="s">
        <v>214</v>
      </c>
      <c r="FA124" s="8" t="s">
        <v>214</v>
      </c>
      <c r="FB124" s="8" t="s">
        <v>214</v>
      </c>
      <c r="FC124" s="8" t="s">
        <v>214</v>
      </c>
      <c r="FD124" s="8" t="s">
        <v>214</v>
      </c>
      <c r="FE124" s="8" t="s">
        <v>214</v>
      </c>
      <c r="FF124" s="8" t="s">
        <v>214</v>
      </c>
      <c r="FG124" s="8" t="s">
        <v>214</v>
      </c>
      <c r="FH124" s="8" t="s">
        <v>214</v>
      </c>
      <c r="FI124" s="8" t="s">
        <v>214</v>
      </c>
      <c r="FJ124" s="8" t="s">
        <v>214</v>
      </c>
      <c r="FK124" s="8" t="s">
        <v>214</v>
      </c>
      <c r="FL124" s="8" t="s">
        <v>214</v>
      </c>
    </row>
    <row r="125" spans="1:168" ht="15" x14ac:dyDescent="0.25">
      <c r="A125" s="5" t="s">
        <v>204</v>
      </c>
      <c r="B125" s="5" t="s">
        <v>8</v>
      </c>
      <c r="C125" s="7" t="s">
        <v>217</v>
      </c>
      <c r="D125" s="7" t="s">
        <v>217</v>
      </c>
      <c r="E125" s="7" t="s">
        <v>214</v>
      </c>
      <c r="F125" s="7" t="s">
        <v>214</v>
      </c>
      <c r="G125" s="7" t="s">
        <v>214</v>
      </c>
      <c r="H125" s="7" t="s">
        <v>214</v>
      </c>
      <c r="I125" s="7" t="s">
        <v>214</v>
      </c>
      <c r="J125" s="7" t="s">
        <v>214</v>
      </c>
      <c r="K125" s="7" t="s">
        <v>214</v>
      </c>
      <c r="L125" s="7" t="s">
        <v>214</v>
      </c>
      <c r="M125" s="7" t="s">
        <v>214</v>
      </c>
      <c r="N125" s="7" t="s">
        <v>214</v>
      </c>
      <c r="O125" s="7" t="s">
        <v>214</v>
      </c>
      <c r="P125" s="7" t="s">
        <v>214</v>
      </c>
      <c r="Q125" s="7" t="s">
        <v>214</v>
      </c>
      <c r="R125" s="7" t="s">
        <v>214</v>
      </c>
      <c r="S125" s="7" t="s">
        <v>214</v>
      </c>
      <c r="T125" s="7" t="s">
        <v>214</v>
      </c>
      <c r="U125" s="7" t="s">
        <v>214</v>
      </c>
      <c r="V125" s="7" t="s">
        <v>214</v>
      </c>
      <c r="W125" s="7" t="s">
        <v>214</v>
      </c>
      <c r="X125" s="7" t="s">
        <v>214</v>
      </c>
      <c r="Y125" s="7" t="s">
        <v>214</v>
      </c>
      <c r="Z125" s="7" t="s">
        <v>214</v>
      </c>
      <c r="AA125" s="7" t="s">
        <v>214</v>
      </c>
      <c r="AB125" s="7" t="s">
        <v>214</v>
      </c>
      <c r="AC125" s="7" t="s">
        <v>214</v>
      </c>
      <c r="AD125" s="7" t="s">
        <v>214</v>
      </c>
      <c r="AE125" s="7" t="s">
        <v>214</v>
      </c>
      <c r="AF125" s="7" t="s">
        <v>214</v>
      </c>
      <c r="AG125" s="7" t="s">
        <v>214</v>
      </c>
      <c r="AH125" s="7" t="s">
        <v>214</v>
      </c>
      <c r="AI125" s="7" t="s">
        <v>214</v>
      </c>
      <c r="AJ125" s="7" t="s">
        <v>214</v>
      </c>
      <c r="AK125" s="7" t="s">
        <v>214</v>
      </c>
      <c r="AL125" s="7" t="s">
        <v>214</v>
      </c>
      <c r="AM125" s="7" t="s">
        <v>214</v>
      </c>
      <c r="AN125" s="7" t="s">
        <v>214</v>
      </c>
      <c r="AO125" s="7" t="s">
        <v>214</v>
      </c>
      <c r="AP125" s="7" t="s">
        <v>214</v>
      </c>
      <c r="AQ125" s="7" t="s">
        <v>214</v>
      </c>
      <c r="AR125" s="7" t="s">
        <v>214</v>
      </c>
      <c r="AS125" s="7" t="s">
        <v>214</v>
      </c>
      <c r="AT125" s="7" t="s">
        <v>214</v>
      </c>
      <c r="AU125" s="7" t="s">
        <v>214</v>
      </c>
      <c r="AV125" s="7" t="s">
        <v>214</v>
      </c>
      <c r="AW125" s="7" t="s">
        <v>214</v>
      </c>
      <c r="AX125" s="7" t="s">
        <v>214</v>
      </c>
      <c r="AY125" s="7" t="s">
        <v>214</v>
      </c>
      <c r="AZ125" s="7" t="s">
        <v>214</v>
      </c>
      <c r="BA125" s="7" t="s">
        <v>214</v>
      </c>
      <c r="BB125" s="7" t="s">
        <v>214</v>
      </c>
      <c r="BC125" s="7" t="s">
        <v>214</v>
      </c>
      <c r="BD125" s="7" t="s">
        <v>214</v>
      </c>
      <c r="BE125" s="7" t="s">
        <v>214</v>
      </c>
      <c r="BF125" s="7" t="s">
        <v>214</v>
      </c>
      <c r="BG125" s="7" t="s">
        <v>214</v>
      </c>
      <c r="BH125" s="7" t="s">
        <v>214</v>
      </c>
      <c r="BI125" s="7" t="s">
        <v>214</v>
      </c>
      <c r="BJ125" s="7" t="s">
        <v>214</v>
      </c>
      <c r="BK125" s="7" t="s">
        <v>214</v>
      </c>
      <c r="BL125" s="7" t="s">
        <v>214</v>
      </c>
      <c r="BM125" s="7" t="s">
        <v>214</v>
      </c>
      <c r="BN125" s="7" t="s">
        <v>214</v>
      </c>
      <c r="BO125" s="7" t="s">
        <v>214</v>
      </c>
      <c r="BP125" s="7" t="s">
        <v>214</v>
      </c>
      <c r="BQ125" s="7" t="s">
        <v>214</v>
      </c>
      <c r="BR125" s="7" t="s">
        <v>214</v>
      </c>
      <c r="BS125" s="7" t="s">
        <v>214</v>
      </c>
      <c r="BT125" s="7" t="s">
        <v>218</v>
      </c>
      <c r="BU125" s="7" t="s">
        <v>218</v>
      </c>
      <c r="BV125" s="7" t="s">
        <v>214</v>
      </c>
      <c r="BW125" s="7" t="s">
        <v>214</v>
      </c>
      <c r="BX125" s="7" t="s">
        <v>214</v>
      </c>
      <c r="BY125" s="7" t="s">
        <v>214</v>
      </c>
      <c r="BZ125" s="7" t="s">
        <v>214</v>
      </c>
      <c r="CA125" s="7" t="s">
        <v>214</v>
      </c>
      <c r="CB125" s="7" t="s">
        <v>214</v>
      </c>
      <c r="CC125" s="7" t="s">
        <v>214</v>
      </c>
      <c r="CD125" s="7" t="s">
        <v>214</v>
      </c>
      <c r="CE125" s="7" t="s">
        <v>214</v>
      </c>
      <c r="CF125" s="7" t="s">
        <v>214</v>
      </c>
      <c r="CG125" s="7" t="s">
        <v>214</v>
      </c>
      <c r="CH125" s="7" t="s">
        <v>214</v>
      </c>
      <c r="CI125" s="7" t="s">
        <v>214</v>
      </c>
      <c r="CJ125" s="7" t="s">
        <v>214</v>
      </c>
      <c r="CK125" s="7" t="s">
        <v>218</v>
      </c>
      <c r="CL125" s="7" t="s">
        <v>214</v>
      </c>
      <c r="CM125" s="7" t="s">
        <v>214</v>
      </c>
      <c r="CN125" s="7" t="s">
        <v>214</v>
      </c>
      <c r="CO125" s="7" t="s">
        <v>214</v>
      </c>
      <c r="CP125" s="7" t="s">
        <v>214</v>
      </c>
      <c r="CQ125" s="7" t="s">
        <v>214</v>
      </c>
      <c r="CR125" s="7" t="s">
        <v>214</v>
      </c>
      <c r="CS125" s="7" t="s">
        <v>214</v>
      </c>
      <c r="CT125" s="7" t="s">
        <v>214</v>
      </c>
      <c r="CU125" s="7" t="s">
        <v>214</v>
      </c>
      <c r="CV125" s="7" t="s">
        <v>214</v>
      </c>
      <c r="CW125" s="7" t="s">
        <v>214</v>
      </c>
      <c r="CX125" s="7" t="s">
        <v>214</v>
      </c>
      <c r="CY125" s="7" t="s">
        <v>214</v>
      </c>
      <c r="CZ125" s="7" t="s">
        <v>214</v>
      </c>
      <c r="DA125" s="7" t="s">
        <v>214</v>
      </c>
      <c r="DB125" s="7" t="s">
        <v>214</v>
      </c>
      <c r="DC125" s="7" t="s">
        <v>218</v>
      </c>
      <c r="DD125" s="7" t="s">
        <v>214</v>
      </c>
      <c r="DE125" s="7" t="s">
        <v>214</v>
      </c>
      <c r="DF125" s="7" t="s">
        <v>214</v>
      </c>
      <c r="DG125" s="7" t="s">
        <v>214</v>
      </c>
      <c r="DH125" s="7" t="s">
        <v>214</v>
      </c>
      <c r="DI125" s="7" t="s">
        <v>214</v>
      </c>
      <c r="DJ125" s="7" t="s">
        <v>214</v>
      </c>
      <c r="DK125" s="7" t="s">
        <v>214</v>
      </c>
      <c r="DL125" s="7" t="s">
        <v>214</v>
      </c>
      <c r="DM125" s="7" t="s">
        <v>214</v>
      </c>
      <c r="DN125" s="7" t="s">
        <v>214</v>
      </c>
      <c r="DO125" s="7" t="s">
        <v>214</v>
      </c>
      <c r="DP125" s="7" t="s">
        <v>214</v>
      </c>
      <c r="DQ125" s="7" t="s">
        <v>214</v>
      </c>
      <c r="DR125" s="7" t="s">
        <v>214</v>
      </c>
      <c r="DS125" s="7" t="s">
        <v>214</v>
      </c>
      <c r="DT125" s="7" t="s">
        <v>214</v>
      </c>
      <c r="DU125" s="7" t="s">
        <v>214</v>
      </c>
      <c r="DV125" s="7" t="s">
        <v>214</v>
      </c>
      <c r="DW125" s="7" t="s">
        <v>214</v>
      </c>
      <c r="DX125" s="7" t="s">
        <v>214</v>
      </c>
      <c r="DY125" s="7" t="s">
        <v>214</v>
      </c>
      <c r="DZ125" s="7" t="s">
        <v>214</v>
      </c>
      <c r="EA125" s="7" t="s">
        <v>214</v>
      </c>
      <c r="EB125" s="7" t="s">
        <v>214</v>
      </c>
      <c r="EC125" s="7" t="s">
        <v>214</v>
      </c>
      <c r="ED125" s="7" t="s">
        <v>214</v>
      </c>
      <c r="EE125" s="7" t="s">
        <v>214</v>
      </c>
      <c r="EF125" s="7" t="s">
        <v>214</v>
      </c>
      <c r="EG125" s="7" t="s">
        <v>214</v>
      </c>
      <c r="EH125" s="7" t="s">
        <v>218</v>
      </c>
      <c r="EI125" s="7" t="s">
        <v>218</v>
      </c>
      <c r="EJ125" s="7" t="s">
        <v>218</v>
      </c>
      <c r="EK125" s="7" t="s">
        <v>218</v>
      </c>
      <c r="EL125" s="7" t="s">
        <v>218</v>
      </c>
      <c r="EM125" s="7" t="s">
        <v>218</v>
      </c>
      <c r="EN125" s="7" t="s">
        <v>214</v>
      </c>
      <c r="EO125" s="7" t="s">
        <v>218</v>
      </c>
      <c r="EP125" s="7" t="s">
        <v>214</v>
      </c>
      <c r="EQ125" s="7" t="s">
        <v>218</v>
      </c>
      <c r="ER125" s="7" t="s">
        <v>214</v>
      </c>
      <c r="ES125" s="7" t="s">
        <v>214</v>
      </c>
      <c r="ET125" s="7" t="s">
        <v>214</v>
      </c>
      <c r="EU125" s="7" t="s">
        <v>214</v>
      </c>
      <c r="EV125" s="7" t="s">
        <v>214</v>
      </c>
      <c r="EW125" s="7" t="s">
        <v>214</v>
      </c>
      <c r="EX125" s="7" t="s">
        <v>214</v>
      </c>
      <c r="EY125" s="7" t="s">
        <v>214</v>
      </c>
      <c r="EZ125" s="7" t="s">
        <v>214</v>
      </c>
      <c r="FA125" s="7" t="s">
        <v>214</v>
      </c>
      <c r="FB125" s="7" t="s">
        <v>214</v>
      </c>
      <c r="FC125" s="7" t="s">
        <v>214</v>
      </c>
      <c r="FD125" s="7" t="s">
        <v>214</v>
      </c>
      <c r="FE125" s="7" t="s">
        <v>214</v>
      </c>
      <c r="FF125" s="7" t="s">
        <v>214</v>
      </c>
      <c r="FG125" s="7" t="s">
        <v>214</v>
      </c>
      <c r="FH125" s="7" t="s">
        <v>214</v>
      </c>
      <c r="FI125" s="7" t="s">
        <v>214</v>
      </c>
      <c r="FJ125" s="7" t="s">
        <v>214</v>
      </c>
      <c r="FK125" s="7" t="s">
        <v>214</v>
      </c>
      <c r="FL125" s="7" t="s">
        <v>214</v>
      </c>
    </row>
    <row r="126" spans="1:168" ht="15" x14ac:dyDescent="0.25">
      <c r="A126" s="5" t="s">
        <v>204</v>
      </c>
      <c r="B126" s="5" t="s">
        <v>9</v>
      </c>
      <c r="C126" s="8" t="s">
        <v>217</v>
      </c>
      <c r="D126" s="8" t="s">
        <v>217</v>
      </c>
      <c r="E126" s="8" t="s">
        <v>214</v>
      </c>
      <c r="F126" s="8" t="s">
        <v>214</v>
      </c>
      <c r="G126" s="8" t="s">
        <v>214</v>
      </c>
      <c r="H126" s="8" t="s">
        <v>214</v>
      </c>
      <c r="I126" s="8" t="s">
        <v>214</v>
      </c>
      <c r="J126" s="8" t="s">
        <v>214</v>
      </c>
      <c r="K126" s="8" t="s">
        <v>214</v>
      </c>
      <c r="L126" s="8" t="s">
        <v>214</v>
      </c>
      <c r="M126" s="8" t="s">
        <v>214</v>
      </c>
      <c r="N126" s="8" t="s">
        <v>214</v>
      </c>
      <c r="O126" s="8" t="s">
        <v>214</v>
      </c>
      <c r="P126" s="8" t="s">
        <v>214</v>
      </c>
      <c r="Q126" s="8" t="s">
        <v>214</v>
      </c>
      <c r="R126" s="8" t="s">
        <v>214</v>
      </c>
      <c r="S126" s="8" t="s">
        <v>214</v>
      </c>
      <c r="T126" s="8" t="s">
        <v>214</v>
      </c>
      <c r="U126" s="8" t="s">
        <v>214</v>
      </c>
      <c r="V126" s="8" t="s">
        <v>214</v>
      </c>
      <c r="W126" s="8" t="s">
        <v>214</v>
      </c>
      <c r="X126" s="8" t="s">
        <v>214</v>
      </c>
      <c r="Y126" s="8" t="s">
        <v>214</v>
      </c>
      <c r="Z126" s="8" t="s">
        <v>214</v>
      </c>
      <c r="AA126" s="8" t="s">
        <v>214</v>
      </c>
      <c r="AB126" s="8" t="s">
        <v>214</v>
      </c>
      <c r="AC126" s="8" t="s">
        <v>214</v>
      </c>
      <c r="AD126" s="8" t="s">
        <v>214</v>
      </c>
      <c r="AE126" s="8" t="s">
        <v>214</v>
      </c>
      <c r="AF126" s="8" t="s">
        <v>214</v>
      </c>
      <c r="AG126" s="8" t="s">
        <v>214</v>
      </c>
      <c r="AH126" s="8" t="s">
        <v>214</v>
      </c>
      <c r="AI126" s="8" t="s">
        <v>214</v>
      </c>
      <c r="AJ126" s="8" t="s">
        <v>214</v>
      </c>
      <c r="AK126" s="8" t="s">
        <v>214</v>
      </c>
      <c r="AL126" s="8" t="s">
        <v>214</v>
      </c>
      <c r="AM126" s="8" t="s">
        <v>214</v>
      </c>
      <c r="AN126" s="8" t="s">
        <v>214</v>
      </c>
      <c r="AO126" s="8" t="s">
        <v>214</v>
      </c>
      <c r="AP126" s="8" t="s">
        <v>214</v>
      </c>
      <c r="AQ126" s="8" t="s">
        <v>214</v>
      </c>
      <c r="AR126" s="8" t="s">
        <v>214</v>
      </c>
      <c r="AS126" s="8" t="s">
        <v>214</v>
      </c>
      <c r="AT126" s="8" t="s">
        <v>214</v>
      </c>
      <c r="AU126" s="8" t="s">
        <v>214</v>
      </c>
      <c r="AV126" s="8" t="s">
        <v>214</v>
      </c>
      <c r="AW126" s="8" t="s">
        <v>214</v>
      </c>
      <c r="AX126" s="8" t="s">
        <v>214</v>
      </c>
      <c r="AY126" s="8" t="s">
        <v>214</v>
      </c>
      <c r="AZ126" s="8" t="s">
        <v>214</v>
      </c>
      <c r="BA126" s="8" t="s">
        <v>214</v>
      </c>
      <c r="BB126" s="8" t="s">
        <v>214</v>
      </c>
      <c r="BC126" s="8" t="s">
        <v>214</v>
      </c>
      <c r="BD126" s="8" t="s">
        <v>214</v>
      </c>
      <c r="BE126" s="8" t="s">
        <v>214</v>
      </c>
      <c r="BF126" s="8" t="s">
        <v>214</v>
      </c>
      <c r="BG126" s="8" t="s">
        <v>214</v>
      </c>
      <c r="BH126" s="8" t="s">
        <v>214</v>
      </c>
      <c r="BI126" s="8" t="s">
        <v>214</v>
      </c>
      <c r="BJ126" s="8" t="s">
        <v>214</v>
      </c>
      <c r="BK126" s="8" t="s">
        <v>214</v>
      </c>
      <c r="BL126" s="8" t="s">
        <v>214</v>
      </c>
      <c r="BM126" s="8" t="s">
        <v>214</v>
      </c>
      <c r="BN126" s="8" t="s">
        <v>214</v>
      </c>
      <c r="BO126" s="8" t="s">
        <v>214</v>
      </c>
      <c r="BP126" s="8" t="s">
        <v>214</v>
      </c>
      <c r="BQ126" s="8" t="s">
        <v>214</v>
      </c>
      <c r="BR126" s="8" t="s">
        <v>214</v>
      </c>
      <c r="BS126" s="8" t="s">
        <v>214</v>
      </c>
      <c r="BT126" s="8" t="s">
        <v>218</v>
      </c>
      <c r="BU126" s="8" t="s">
        <v>218</v>
      </c>
      <c r="BV126" s="8" t="s">
        <v>214</v>
      </c>
      <c r="BW126" s="8" t="s">
        <v>214</v>
      </c>
      <c r="BX126" s="8" t="s">
        <v>214</v>
      </c>
      <c r="BY126" s="8" t="s">
        <v>214</v>
      </c>
      <c r="BZ126" s="8" t="s">
        <v>214</v>
      </c>
      <c r="CA126" s="8" t="s">
        <v>214</v>
      </c>
      <c r="CB126" s="8" t="s">
        <v>214</v>
      </c>
      <c r="CC126" s="8" t="s">
        <v>214</v>
      </c>
      <c r="CD126" s="8" t="s">
        <v>214</v>
      </c>
      <c r="CE126" s="8" t="s">
        <v>214</v>
      </c>
      <c r="CF126" s="8" t="s">
        <v>214</v>
      </c>
      <c r="CG126" s="8" t="s">
        <v>214</v>
      </c>
      <c r="CH126" s="8" t="s">
        <v>214</v>
      </c>
      <c r="CI126" s="8" t="s">
        <v>214</v>
      </c>
      <c r="CJ126" s="8" t="s">
        <v>214</v>
      </c>
      <c r="CK126" s="8" t="s">
        <v>218</v>
      </c>
      <c r="CL126" s="8" t="s">
        <v>214</v>
      </c>
      <c r="CM126" s="8" t="s">
        <v>214</v>
      </c>
      <c r="CN126" s="8" t="s">
        <v>214</v>
      </c>
      <c r="CO126" s="8" t="s">
        <v>214</v>
      </c>
      <c r="CP126" s="8" t="s">
        <v>214</v>
      </c>
      <c r="CQ126" s="8" t="s">
        <v>214</v>
      </c>
      <c r="CR126" s="8" t="s">
        <v>214</v>
      </c>
      <c r="CS126" s="8" t="s">
        <v>214</v>
      </c>
      <c r="CT126" s="8" t="s">
        <v>214</v>
      </c>
      <c r="CU126" s="8" t="s">
        <v>214</v>
      </c>
      <c r="CV126" s="8" t="s">
        <v>214</v>
      </c>
      <c r="CW126" s="8" t="s">
        <v>214</v>
      </c>
      <c r="CX126" s="8" t="s">
        <v>214</v>
      </c>
      <c r="CY126" s="8" t="s">
        <v>214</v>
      </c>
      <c r="CZ126" s="8" t="s">
        <v>214</v>
      </c>
      <c r="DA126" s="8" t="s">
        <v>214</v>
      </c>
      <c r="DB126" s="8" t="s">
        <v>214</v>
      </c>
      <c r="DC126" s="8" t="s">
        <v>214</v>
      </c>
      <c r="DD126" s="8" t="s">
        <v>214</v>
      </c>
      <c r="DE126" s="8" t="s">
        <v>214</v>
      </c>
      <c r="DF126" s="8" t="s">
        <v>214</v>
      </c>
      <c r="DG126" s="8" t="s">
        <v>214</v>
      </c>
      <c r="DH126" s="8" t="s">
        <v>214</v>
      </c>
      <c r="DI126" s="8" t="s">
        <v>214</v>
      </c>
      <c r="DJ126" s="8" t="s">
        <v>214</v>
      </c>
      <c r="DK126" s="8" t="s">
        <v>214</v>
      </c>
      <c r="DL126" s="8" t="s">
        <v>214</v>
      </c>
      <c r="DM126" s="8" t="s">
        <v>214</v>
      </c>
      <c r="DN126" s="8" t="s">
        <v>214</v>
      </c>
      <c r="DO126" s="8" t="s">
        <v>214</v>
      </c>
      <c r="DP126" s="8" t="s">
        <v>214</v>
      </c>
      <c r="DQ126" s="8" t="s">
        <v>214</v>
      </c>
      <c r="DR126" s="8" t="s">
        <v>214</v>
      </c>
      <c r="DS126" s="8" t="s">
        <v>214</v>
      </c>
      <c r="DT126" s="8" t="s">
        <v>214</v>
      </c>
      <c r="DU126" s="8" t="s">
        <v>214</v>
      </c>
      <c r="DV126" s="8" t="s">
        <v>214</v>
      </c>
      <c r="DW126" s="8" t="s">
        <v>217</v>
      </c>
      <c r="DX126" s="8" t="s">
        <v>218</v>
      </c>
      <c r="DY126" s="8" t="s">
        <v>214</v>
      </c>
      <c r="DZ126" s="8" t="s">
        <v>217</v>
      </c>
      <c r="EA126" s="8" t="s">
        <v>217</v>
      </c>
      <c r="EB126" s="8" t="s">
        <v>214</v>
      </c>
      <c r="EC126" s="8" t="s">
        <v>217</v>
      </c>
      <c r="ED126" s="8" t="s">
        <v>214</v>
      </c>
      <c r="EE126" s="8" t="s">
        <v>214</v>
      </c>
      <c r="EF126" s="8" t="s">
        <v>214</v>
      </c>
      <c r="EG126" s="8" t="s">
        <v>214</v>
      </c>
      <c r="EH126" s="8" t="s">
        <v>214</v>
      </c>
      <c r="EI126" s="8" t="s">
        <v>218</v>
      </c>
      <c r="EJ126" s="8" t="s">
        <v>217</v>
      </c>
      <c r="EK126" s="8" t="s">
        <v>214</v>
      </c>
      <c r="EL126" s="8" t="s">
        <v>218</v>
      </c>
      <c r="EM126" s="8" t="s">
        <v>218</v>
      </c>
      <c r="EN126" s="8" t="s">
        <v>218</v>
      </c>
      <c r="EO126" s="8" t="s">
        <v>218</v>
      </c>
      <c r="EP126" s="8" t="s">
        <v>214</v>
      </c>
      <c r="EQ126" s="8" t="s">
        <v>218</v>
      </c>
      <c r="ER126" s="8" t="s">
        <v>214</v>
      </c>
      <c r="ES126" s="8" t="s">
        <v>214</v>
      </c>
      <c r="ET126" s="8" t="s">
        <v>214</v>
      </c>
      <c r="EU126" s="8" t="s">
        <v>214</v>
      </c>
      <c r="EV126" s="8" t="s">
        <v>214</v>
      </c>
      <c r="EW126" s="8" t="s">
        <v>214</v>
      </c>
      <c r="EX126" s="8" t="s">
        <v>214</v>
      </c>
      <c r="EY126" s="8" t="s">
        <v>214</v>
      </c>
      <c r="EZ126" s="8" t="s">
        <v>214</v>
      </c>
      <c r="FA126" s="8" t="s">
        <v>214</v>
      </c>
      <c r="FB126" s="8" t="s">
        <v>214</v>
      </c>
      <c r="FC126" s="8" t="s">
        <v>214</v>
      </c>
      <c r="FD126" s="8" t="s">
        <v>214</v>
      </c>
      <c r="FE126" s="8" t="s">
        <v>217</v>
      </c>
      <c r="FF126" s="8" t="s">
        <v>214</v>
      </c>
      <c r="FG126" s="8" t="s">
        <v>214</v>
      </c>
      <c r="FH126" s="8" t="s">
        <v>214</v>
      </c>
      <c r="FI126" s="8" t="s">
        <v>214</v>
      </c>
      <c r="FJ126" s="8" t="s">
        <v>214</v>
      </c>
      <c r="FK126" s="8" t="s">
        <v>214</v>
      </c>
      <c r="FL126" s="8" t="s">
        <v>214</v>
      </c>
    </row>
    <row r="127" spans="1:168" ht="15" x14ac:dyDescent="0.25">
      <c r="A127" s="5" t="s">
        <v>205</v>
      </c>
      <c r="B127" s="5" t="s">
        <v>6</v>
      </c>
      <c r="C127" s="7" t="s">
        <v>214</v>
      </c>
      <c r="D127" s="7" t="s">
        <v>214</v>
      </c>
      <c r="E127" s="7" t="s">
        <v>214</v>
      </c>
      <c r="F127" s="7" t="s">
        <v>214</v>
      </c>
      <c r="G127" s="7" t="s">
        <v>214</v>
      </c>
      <c r="H127" s="7" t="s">
        <v>214</v>
      </c>
      <c r="I127" s="7" t="s">
        <v>214</v>
      </c>
      <c r="J127" s="7" t="s">
        <v>214</v>
      </c>
      <c r="K127" s="7" t="s">
        <v>214</v>
      </c>
      <c r="L127" s="7" t="s">
        <v>214</v>
      </c>
      <c r="M127" s="7" t="s">
        <v>214</v>
      </c>
      <c r="N127" s="7" t="s">
        <v>214</v>
      </c>
      <c r="O127" s="7" t="s">
        <v>214</v>
      </c>
      <c r="P127" s="7" t="s">
        <v>214</v>
      </c>
      <c r="Q127" s="7" t="s">
        <v>214</v>
      </c>
      <c r="R127" s="7" t="s">
        <v>214</v>
      </c>
      <c r="S127" s="7" t="s">
        <v>214</v>
      </c>
      <c r="T127" s="7" t="s">
        <v>214</v>
      </c>
      <c r="U127" s="7" t="s">
        <v>214</v>
      </c>
      <c r="V127" s="7" t="s">
        <v>214</v>
      </c>
      <c r="W127" s="7" t="s">
        <v>214</v>
      </c>
      <c r="X127" s="7" t="s">
        <v>214</v>
      </c>
      <c r="Y127" s="7" t="s">
        <v>214</v>
      </c>
      <c r="Z127" s="7" t="s">
        <v>214</v>
      </c>
      <c r="AA127" s="7" t="s">
        <v>214</v>
      </c>
      <c r="AB127" s="7" t="s">
        <v>214</v>
      </c>
      <c r="AC127" s="7" t="s">
        <v>214</v>
      </c>
      <c r="AD127" s="7" t="s">
        <v>214</v>
      </c>
      <c r="AE127" s="7" t="s">
        <v>214</v>
      </c>
      <c r="AF127" s="7" t="s">
        <v>214</v>
      </c>
      <c r="AG127" s="7" t="s">
        <v>214</v>
      </c>
      <c r="AH127" s="7" t="s">
        <v>214</v>
      </c>
      <c r="AI127" s="7" t="s">
        <v>214</v>
      </c>
      <c r="AJ127" s="7" t="s">
        <v>214</v>
      </c>
      <c r="AK127" s="7" t="s">
        <v>214</v>
      </c>
      <c r="AL127" s="7" t="s">
        <v>214</v>
      </c>
      <c r="AM127" s="7" t="s">
        <v>214</v>
      </c>
      <c r="AN127" s="7" t="s">
        <v>214</v>
      </c>
      <c r="AO127" s="7" t="s">
        <v>214</v>
      </c>
      <c r="AP127" s="7" t="s">
        <v>214</v>
      </c>
      <c r="AQ127" s="7" t="s">
        <v>214</v>
      </c>
      <c r="AR127" s="7" t="s">
        <v>214</v>
      </c>
      <c r="AS127" s="7" t="s">
        <v>214</v>
      </c>
      <c r="AT127" s="7" t="s">
        <v>214</v>
      </c>
      <c r="AU127" s="7" t="s">
        <v>214</v>
      </c>
      <c r="AV127" s="7" t="s">
        <v>214</v>
      </c>
      <c r="AW127" s="7" t="s">
        <v>214</v>
      </c>
      <c r="AX127" s="7" t="s">
        <v>214</v>
      </c>
      <c r="AY127" s="7" t="s">
        <v>214</v>
      </c>
      <c r="AZ127" s="7" t="s">
        <v>214</v>
      </c>
      <c r="BA127" s="7" t="s">
        <v>214</v>
      </c>
      <c r="BB127" s="7" t="s">
        <v>214</v>
      </c>
      <c r="BC127" s="7" t="s">
        <v>214</v>
      </c>
      <c r="BD127" s="7" t="s">
        <v>214</v>
      </c>
      <c r="BE127" s="7" t="s">
        <v>214</v>
      </c>
      <c r="BF127" s="7" t="s">
        <v>214</v>
      </c>
      <c r="BG127" s="7" t="s">
        <v>214</v>
      </c>
      <c r="BH127" s="7" t="s">
        <v>214</v>
      </c>
      <c r="BI127" s="7" t="s">
        <v>214</v>
      </c>
      <c r="BJ127" s="7" t="s">
        <v>214</v>
      </c>
      <c r="BK127" s="7" t="s">
        <v>214</v>
      </c>
      <c r="BL127" s="7" t="s">
        <v>214</v>
      </c>
      <c r="BM127" s="7" t="s">
        <v>214</v>
      </c>
      <c r="BN127" s="7" t="s">
        <v>214</v>
      </c>
      <c r="BO127" s="7" t="s">
        <v>214</v>
      </c>
      <c r="BP127" s="7" t="s">
        <v>214</v>
      </c>
      <c r="BQ127" s="7" t="s">
        <v>214</v>
      </c>
      <c r="BR127" s="7" t="s">
        <v>214</v>
      </c>
      <c r="BS127" s="7" t="s">
        <v>214</v>
      </c>
      <c r="BT127" s="7" t="s">
        <v>214</v>
      </c>
      <c r="BU127" s="7" t="s">
        <v>214</v>
      </c>
      <c r="BV127" s="7" t="s">
        <v>214</v>
      </c>
      <c r="BW127" s="7" t="s">
        <v>217</v>
      </c>
      <c r="BX127" s="7" t="s">
        <v>214</v>
      </c>
      <c r="BY127" s="7" t="s">
        <v>214</v>
      </c>
      <c r="BZ127" s="7" t="s">
        <v>214</v>
      </c>
      <c r="CA127" s="7" t="s">
        <v>214</v>
      </c>
      <c r="CB127" s="7" t="s">
        <v>214</v>
      </c>
      <c r="CC127" s="7" t="s">
        <v>214</v>
      </c>
      <c r="CD127" s="7" t="s">
        <v>214</v>
      </c>
      <c r="CE127" s="7" t="s">
        <v>214</v>
      </c>
      <c r="CF127" s="7" t="s">
        <v>214</v>
      </c>
      <c r="CG127" s="7" t="s">
        <v>214</v>
      </c>
      <c r="CH127" s="7" t="s">
        <v>214</v>
      </c>
      <c r="CI127" s="7" t="s">
        <v>214</v>
      </c>
      <c r="CJ127" s="7" t="s">
        <v>214</v>
      </c>
      <c r="CK127" s="7" t="s">
        <v>214</v>
      </c>
      <c r="CL127" s="7" t="s">
        <v>214</v>
      </c>
      <c r="CM127" s="7" t="s">
        <v>214</v>
      </c>
      <c r="CN127" s="7" t="s">
        <v>214</v>
      </c>
      <c r="CO127" s="7" t="s">
        <v>214</v>
      </c>
      <c r="CP127" s="7" t="s">
        <v>214</v>
      </c>
      <c r="CQ127" s="7" t="s">
        <v>214</v>
      </c>
      <c r="CR127" s="7" t="s">
        <v>214</v>
      </c>
      <c r="CS127" s="7" t="s">
        <v>214</v>
      </c>
      <c r="CT127" s="7" t="s">
        <v>214</v>
      </c>
      <c r="CU127" s="7" t="s">
        <v>214</v>
      </c>
      <c r="CV127" s="7" t="s">
        <v>214</v>
      </c>
      <c r="CW127" s="7" t="s">
        <v>214</v>
      </c>
      <c r="CX127" s="7" t="s">
        <v>214</v>
      </c>
      <c r="CY127" s="7" t="s">
        <v>214</v>
      </c>
      <c r="CZ127" s="7" t="s">
        <v>214</v>
      </c>
      <c r="DA127" s="7" t="s">
        <v>214</v>
      </c>
      <c r="DB127" s="7" t="s">
        <v>214</v>
      </c>
      <c r="DC127" s="7" t="s">
        <v>214</v>
      </c>
      <c r="DD127" s="7" t="s">
        <v>214</v>
      </c>
      <c r="DE127" s="7" t="s">
        <v>214</v>
      </c>
      <c r="DF127" s="7" t="s">
        <v>214</v>
      </c>
      <c r="DG127" s="7" t="s">
        <v>214</v>
      </c>
      <c r="DH127" s="7" t="s">
        <v>214</v>
      </c>
      <c r="DI127" s="7" t="s">
        <v>214</v>
      </c>
      <c r="DJ127" s="7" t="s">
        <v>214</v>
      </c>
      <c r="DK127" s="7" t="s">
        <v>214</v>
      </c>
      <c r="DL127" s="7" t="s">
        <v>214</v>
      </c>
      <c r="DM127" s="7" t="s">
        <v>214</v>
      </c>
      <c r="DN127" s="7" t="s">
        <v>214</v>
      </c>
      <c r="DO127" s="7" t="s">
        <v>214</v>
      </c>
      <c r="DP127" s="7" t="s">
        <v>214</v>
      </c>
      <c r="DQ127" s="7" t="s">
        <v>214</v>
      </c>
      <c r="DR127" s="7" t="s">
        <v>214</v>
      </c>
      <c r="DS127" s="7" t="s">
        <v>214</v>
      </c>
      <c r="DT127" s="7" t="s">
        <v>214</v>
      </c>
      <c r="DU127" s="7" t="s">
        <v>214</v>
      </c>
      <c r="DV127" s="7" t="s">
        <v>214</v>
      </c>
      <c r="DW127" s="7" t="s">
        <v>214</v>
      </c>
      <c r="DX127" s="7" t="s">
        <v>214</v>
      </c>
      <c r="DY127" s="7" t="s">
        <v>214</v>
      </c>
      <c r="DZ127" s="7" t="s">
        <v>214</v>
      </c>
      <c r="EA127" s="7" t="s">
        <v>214</v>
      </c>
      <c r="EB127" s="7" t="s">
        <v>214</v>
      </c>
      <c r="EC127" s="7" t="s">
        <v>214</v>
      </c>
      <c r="ED127" s="7" t="s">
        <v>214</v>
      </c>
      <c r="EE127" s="7" t="s">
        <v>214</v>
      </c>
      <c r="EF127" s="7" t="s">
        <v>214</v>
      </c>
      <c r="EG127" s="7" t="s">
        <v>214</v>
      </c>
      <c r="EH127" s="7" t="s">
        <v>214</v>
      </c>
      <c r="EI127" s="7" t="s">
        <v>214</v>
      </c>
      <c r="EJ127" s="7" t="s">
        <v>214</v>
      </c>
      <c r="EK127" s="7" t="s">
        <v>214</v>
      </c>
      <c r="EL127" s="7" t="s">
        <v>214</v>
      </c>
      <c r="EM127" s="7" t="s">
        <v>214</v>
      </c>
      <c r="EN127" s="7" t="s">
        <v>214</v>
      </c>
      <c r="EO127" s="7" t="s">
        <v>214</v>
      </c>
      <c r="EP127" s="7" t="s">
        <v>214</v>
      </c>
      <c r="EQ127" s="7" t="s">
        <v>218</v>
      </c>
      <c r="ER127" s="7" t="s">
        <v>214</v>
      </c>
      <c r="ES127" s="7" t="s">
        <v>214</v>
      </c>
      <c r="ET127" s="7" t="s">
        <v>214</v>
      </c>
      <c r="EU127" s="7" t="s">
        <v>214</v>
      </c>
      <c r="EV127" s="7" t="s">
        <v>214</v>
      </c>
      <c r="EW127" s="7" t="s">
        <v>214</v>
      </c>
      <c r="EX127" s="7" t="s">
        <v>214</v>
      </c>
      <c r="EY127" s="7" t="s">
        <v>214</v>
      </c>
      <c r="EZ127" s="7" t="s">
        <v>214</v>
      </c>
      <c r="FA127" s="7" t="s">
        <v>214</v>
      </c>
      <c r="FB127" s="7" t="s">
        <v>214</v>
      </c>
      <c r="FC127" s="7" t="s">
        <v>214</v>
      </c>
      <c r="FD127" s="7" t="s">
        <v>214</v>
      </c>
      <c r="FE127" s="7" t="s">
        <v>214</v>
      </c>
      <c r="FF127" s="7" t="s">
        <v>214</v>
      </c>
      <c r="FG127" s="7" t="s">
        <v>214</v>
      </c>
      <c r="FH127" s="7" t="s">
        <v>214</v>
      </c>
      <c r="FI127" s="7" t="s">
        <v>214</v>
      </c>
      <c r="FJ127" s="7" t="s">
        <v>214</v>
      </c>
      <c r="FK127" s="7" t="s">
        <v>214</v>
      </c>
      <c r="FL127" s="7" t="s">
        <v>214</v>
      </c>
    </row>
    <row r="128" spans="1:168" ht="15" x14ac:dyDescent="0.25">
      <c r="A128" s="5" t="s">
        <v>205</v>
      </c>
      <c r="B128" s="5" t="s">
        <v>7</v>
      </c>
      <c r="C128" s="8" t="s">
        <v>217</v>
      </c>
      <c r="D128" s="8" t="s">
        <v>217</v>
      </c>
      <c r="E128" s="8" t="s">
        <v>214</v>
      </c>
      <c r="F128" s="8" t="s">
        <v>214</v>
      </c>
      <c r="G128" s="8" t="s">
        <v>214</v>
      </c>
      <c r="H128" s="8" t="s">
        <v>214</v>
      </c>
      <c r="I128" s="8" t="s">
        <v>214</v>
      </c>
      <c r="J128" s="8" t="s">
        <v>214</v>
      </c>
      <c r="K128" s="8" t="s">
        <v>214</v>
      </c>
      <c r="L128" s="8" t="s">
        <v>214</v>
      </c>
      <c r="M128" s="8" t="s">
        <v>214</v>
      </c>
      <c r="N128" s="8" t="s">
        <v>214</v>
      </c>
      <c r="O128" s="8" t="s">
        <v>214</v>
      </c>
      <c r="P128" s="8" t="s">
        <v>214</v>
      </c>
      <c r="Q128" s="8" t="s">
        <v>214</v>
      </c>
      <c r="R128" s="8" t="s">
        <v>214</v>
      </c>
      <c r="S128" s="8" t="s">
        <v>214</v>
      </c>
      <c r="T128" s="8" t="s">
        <v>214</v>
      </c>
      <c r="U128" s="8" t="s">
        <v>214</v>
      </c>
      <c r="V128" s="8" t="s">
        <v>214</v>
      </c>
      <c r="W128" s="8" t="s">
        <v>214</v>
      </c>
      <c r="X128" s="8" t="s">
        <v>214</v>
      </c>
      <c r="Y128" s="8" t="s">
        <v>214</v>
      </c>
      <c r="Z128" s="8" t="s">
        <v>214</v>
      </c>
      <c r="AA128" s="8" t="s">
        <v>214</v>
      </c>
      <c r="AB128" s="8" t="s">
        <v>214</v>
      </c>
      <c r="AC128" s="8" t="s">
        <v>217</v>
      </c>
      <c r="AD128" s="8" t="s">
        <v>214</v>
      </c>
      <c r="AE128" s="8" t="s">
        <v>214</v>
      </c>
      <c r="AF128" s="8" t="s">
        <v>214</v>
      </c>
      <c r="AG128" s="8" t="s">
        <v>214</v>
      </c>
      <c r="AH128" s="8" t="s">
        <v>214</v>
      </c>
      <c r="AI128" s="8" t="s">
        <v>214</v>
      </c>
      <c r="AJ128" s="8" t="s">
        <v>214</v>
      </c>
      <c r="AK128" s="8" t="s">
        <v>214</v>
      </c>
      <c r="AL128" s="8" t="s">
        <v>214</v>
      </c>
      <c r="AM128" s="8" t="s">
        <v>214</v>
      </c>
      <c r="AN128" s="8" t="s">
        <v>214</v>
      </c>
      <c r="AO128" s="8" t="s">
        <v>214</v>
      </c>
      <c r="AP128" s="8" t="s">
        <v>214</v>
      </c>
      <c r="AQ128" s="8" t="s">
        <v>214</v>
      </c>
      <c r="AR128" s="8" t="s">
        <v>214</v>
      </c>
      <c r="AS128" s="8" t="s">
        <v>214</v>
      </c>
      <c r="AT128" s="8" t="s">
        <v>214</v>
      </c>
      <c r="AU128" s="8" t="s">
        <v>214</v>
      </c>
      <c r="AV128" s="8" t="s">
        <v>214</v>
      </c>
      <c r="AW128" s="8" t="s">
        <v>214</v>
      </c>
      <c r="AX128" s="8" t="s">
        <v>214</v>
      </c>
      <c r="AY128" s="8" t="s">
        <v>214</v>
      </c>
      <c r="AZ128" s="8" t="s">
        <v>214</v>
      </c>
      <c r="BA128" s="8" t="s">
        <v>214</v>
      </c>
      <c r="BB128" s="8" t="s">
        <v>214</v>
      </c>
      <c r="BC128" s="8" t="s">
        <v>214</v>
      </c>
      <c r="BD128" s="8" t="s">
        <v>214</v>
      </c>
      <c r="BE128" s="8" t="s">
        <v>214</v>
      </c>
      <c r="BF128" s="8" t="s">
        <v>214</v>
      </c>
      <c r="BG128" s="8" t="s">
        <v>214</v>
      </c>
      <c r="BH128" s="8" t="s">
        <v>214</v>
      </c>
      <c r="BI128" s="8" t="s">
        <v>214</v>
      </c>
      <c r="BJ128" s="8" t="s">
        <v>214</v>
      </c>
      <c r="BK128" s="8" t="s">
        <v>214</v>
      </c>
      <c r="BL128" s="8" t="s">
        <v>214</v>
      </c>
      <c r="BM128" s="8" t="s">
        <v>214</v>
      </c>
      <c r="BN128" s="8" t="s">
        <v>214</v>
      </c>
      <c r="BO128" s="8" t="s">
        <v>214</v>
      </c>
      <c r="BP128" s="8" t="s">
        <v>214</v>
      </c>
      <c r="BQ128" s="8" t="s">
        <v>214</v>
      </c>
      <c r="BR128" s="8" t="s">
        <v>214</v>
      </c>
      <c r="BS128" s="8" t="s">
        <v>214</v>
      </c>
      <c r="BT128" s="8" t="s">
        <v>214</v>
      </c>
      <c r="BU128" s="8" t="s">
        <v>214</v>
      </c>
      <c r="BV128" s="8" t="s">
        <v>214</v>
      </c>
      <c r="BW128" s="8" t="s">
        <v>214</v>
      </c>
      <c r="BX128" s="8" t="s">
        <v>214</v>
      </c>
      <c r="BY128" s="8" t="s">
        <v>214</v>
      </c>
      <c r="BZ128" s="8" t="s">
        <v>214</v>
      </c>
      <c r="CA128" s="8" t="s">
        <v>214</v>
      </c>
      <c r="CB128" s="8" t="s">
        <v>214</v>
      </c>
      <c r="CC128" s="8" t="s">
        <v>214</v>
      </c>
      <c r="CD128" s="8" t="s">
        <v>214</v>
      </c>
      <c r="CE128" s="8" t="s">
        <v>214</v>
      </c>
      <c r="CF128" s="8" t="s">
        <v>214</v>
      </c>
      <c r="CG128" s="8" t="s">
        <v>214</v>
      </c>
      <c r="CH128" s="8" t="s">
        <v>214</v>
      </c>
      <c r="CI128" s="8" t="s">
        <v>214</v>
      </c>
      <c r="CJ128" s="8" t="s">
        <v>214</v>
      </c>
      <c r="CK128" s="8" t="s">
        <v>214</v>
      </c>
      <c r="CL128" s="8" t="s">
        <v>214</v>
      </c>
      <c r="CM128" s="8" t="s">
        <v>214</v>
      </c>
      <c r="CN128" s="8" t="s">
        <v>214</v>
      </c>
      <c r="CO128" s="8" t="s">
        <v>214</v>
      </c>
      <c r="CP128" s="8" t="s">
        <v>214</v>
      </c>
      <c r="CQ128" s="8" t="s">
        <v>214</v>
      </c>
      <c r="CR128" s="8" t="s">
        <v>214</v>
      </c>
      <c r="CS128" s="8" t="s">
        <v>214</v>
      </c>
      <c r="CT128" s="8" t="s">
        <v>214</v>
      </c>
      <c r="CU128" s="8" t="s">
        <v>214</v>
      </c>
      <c r="CV128" s="8" t="s">
        <v>214</v>
      </c>
      <c r="CW128" s="8" t="s">
        <v>214</v>
      </c>
      <c r="CX128" s="8" t="s">
        <v>214</v>
      </c>
      <c r="CY128" s="8" t="s">
        <v>214</v>
      </c>
      <c r="CZ128" s="8" t="s">
        <v>214</v>
      </c>
      <c r="DA128" s="8" t="s">
        <v>214</v>
      </c>
      <c r="DB128" s="8" t="s">
        <v>214</v>
      </c>
      <c r="DC128" s="8" t="s">
        <v>214</v>
      </c>
      <c r="DD128" s="8" t="s">
        <v>214</v>
      </c>
      <c r="DE128" s="8" t="s">
        <v>214</v>
      </c>
      <c r="DF128" s="8" t="s">
        <v>214</v>
      </c>
      <c r="DG128" s="8" t="s">
        <v>214</v>
      </c>
      <c r="DH128" s="8" t="s">
        <v>214</v>
      </c>
      <c r="DI128" s="8" t="s">
        <v>214</v>
      </c>
      <c r="DJ128" s="8" t="s">
        <v>214</v>
      </c>
      <c r="DK128" s="8" t="s">
        <v>214</v>
      </c>
      <c r="DL128" s="8" t="s">
        <v>214</v>
      </c>
      <c r="DM128" s="8" t="s">
        <v>214</v>
      </c>
      <c r="DN128" s="8" t="s">
        <v>214</v>
      </c>
      <c r="DO128" s="8" t="s">
        <v>214</v>
      </c>
      <c r="DP128" s="8" t="s">
        <v>214</v>
      </c>
      <c r="DQ128" s="8" t="s">
        <v>214</v>
      </c>
      <c r="DR128" s="8" t="s">
        <v>214</v>
      </c>
      <c r="DS128" s="8" t="s">
        <v>217</v>
      </c>
      <c r="DT128" s="8" t="s">
        <v>214</v>
      </c>
      <c r="DU128" s="8" t="s">
        <v>214</v>
      </c>
      <c r="DV128" s="8" t="s">
        <v>214</v>
      </c>
      <c r="DW128" s="8" t="s">
        <v>217</v>
      </c>
      <c r="DX128" s="8" t="s">
        <v>214</v>
      </c>
      <c r="DY128" s="8" t="s">
        <v>214</v>
      </c>
      <c r="DZ128" s="8" t="s">
        <v>214</v>
      </c>
      <c r="EA128" s="8" t="s">
        <v>217</v>
      </c>
      <c r="EB128" s="8" t="s">
        <v>214</v>
      </c>
      <c r="EC128" s="8" t="s">
        <v>214</v>
      </c>
      <c r="ED128" s="8" t="s">
        <v>214</v>
      </c>
      <c r="EE128" s="8" t="s">
        <v>217</v>
      </c>
      <c r="EF128" s="8" t="s">
        <v>214</v>
      </c>
      <c r="EG128" s="8" t="s">
        <v>214</v>
      </c>
      <c r="EH128" s="8" t="s">
        <v>214</v>
      </c>
      <c r="EI128" s="8" t="s">
        <v>214</v>
      </c>
      <c r="EJ128" s="8" t="s">
        <v>214</v>
      </c>
      <c r="EK128" s="8" t="s">
        <v>214</v>
      </c>
      <c r="EL128" s="8" t="s">
        <v>214</v>
      </c>
      <c r="EM128" s="8" t="s">
        <v>214</v>
      </c>
      <c r="EN128" s="8" t="s">
        <v>214</v>
      </c>
      <c r="EO128" s="8" t="s">
        <v>214</v>
      </c>
      <c r="EP128" s="8" t="s">
        <v>214</v>
      </c>
      <c r="EQ128" s="8" t="s">
        <v>218</v>
      </c>
      <c r="ER128" s="8" t="s">
        <v>214</v>
      </c>
      <c r="ES128" s="8" t="s">
        <v>214</v>
      </c>
      <c r="ET128" s="8" t="s">
        <v>214</v>
      </c>
      <c r="EU128" s="8" t="s">
        <v>214</v>
      </c>
      <c r="EV128" s="8" t="s">
        <v>214</v>
      </c>
      <c r="EW128" s="8" t="s">
        <v>214</v>
      </c>
      <c r="EX128" s="8" t="s">
        <v>214</v>
      </c>
      <c r="EY128" s="8" t="s">
        <v>214</v>
      </c>
      <c r="EZ128" s="8" t="s">
        <v>214</v>
      </c>
      <c r="FA128" s="8" t="s">
        <v>214</v>
      </c>
      <c r="FB128" s="8" t="s">
        <v>214</v>
      </c>
      <c r="FC128" s="8" t="s">
        <v>214</v>
      </c>
      <c r="FD128" s="8" t="s">
        <v>214</v>
      </c>
      <c r="FE128" s="8" t="s">
        <v>214</v>
      </c>
      <c r="FF128" s="8" t="s">
        <v>214</v>
      </c>
      <c r="FG128" s="8" t="s">
        <v>214</v>
      </c>
      <c r="FH128" s="8" t="s">
        <v>214</v>
      </c>
      <c r="FI128" s="8" t="s">
        <v>214</v>
      </c>
      <c r="FJ128" s="8" t="s">
        <v>214</v>
      </c>
      <c r="FK128" s="8" t="s">
        <v>214</v>
      </c>
      <c r="FL128" s="8" t="s">
        <v>214</v>
      </c>
    </row>
    <row r="129" spans="1:168" ht="15" x14ac:dyDescent="0.25">
      <c r="A129" s="5" t="s">
        <v>205</v>
      </c>
      <c r="B129" s="5" t="s">
        <v>8</v>
      </c>
      <c r="C129" s="7" t="s">
        <v>217</v>
      </c>
      <c r="D129" s="7" t="s">
        <v>217</v>
      </c>
      <c r="E129" s="7" t="s">
        <v>214</v>
      </c>
      <c r="F129" s="7" t="s">
        <v>214</v>
      </c>
      <c r="G129" s="7" t="s">
        <v>214</v>
      </c>
      <c r="H129" s="7" t="s">
        <v>214</v>
      </c>
      <c r="I129" s="7" t="s">
        <v>214</v>
      </c>
      <c r="J129" s="7" t="s">
        <v>214</v>
      </c>
      <c r="K129" s="7" t="s">
        <v>214</v>
      </c>
      <c r="L129" s="7" t="s">
        <v>214</v>
      </c>
      <c r="M129" s="7" t="s">
        <v>214</v>
      </c>
      <c r="N129" s="7" t="s">
        <v>214</v>
      </c>
      <c r="O129" s="7" t="s">
        <v>214</v>
      </c>
      <c r="P129" s="7" t="s">
        <v>214</v>
      </c>
      <c r="Q129" s="7" t="s">
        <v>214</v>
      </c>
      <c r="R129" s="7" t="s">
        <v>214</v>
      </c>
      <c r="S129" s="7" t="s">
        <v>214</v>
      </c>
      <c r="T129" s="7" t="s">
        <v>214</v>
      </c>
      <c r="U129" s="7" t="s">
        <v>214</v>
      </c>
      <c r="V129" s="7" t="s">
        <v>214</v>
      </c>
      <c r="W129" s="7" t="s">
        <v>214</v>
      </c>
      <c r="X129" s="7" t="s">
        <v>214</v>
      </c>
      <c r="Y129" s="7" t="s">
        <v>214</v>
      </c>
      <c r="Z129" s="7" t="s">
        <v>214</v>
      </c>
      <c r="AA129" s="7" t="s">
        <v>214</v>
      </c>
      <c r="AB129" s="7" t="s">
        <v>214</v>
      </c>
      <c r="AC129" s="7" t="s">
        <v>217</v>
      </c>
      <c r="AD129" s="7" t="s">
        <v>214</v>
      </c>
      <c r="AE129" s="7" t="s">
        <v>214</v>
      </c>
      <c r="AF129" s="7" t="s">
        <v>214</v>
      </c>
      <c r="AG129" s="7" t="s">
        <v>214</v>
      </c>
      <c r="AH129" s="7" t="s">
        <v>214</v>
      </c>
      <c r="AI129" s="7" t="s">
        <v>214</v>
      </c>
      <c r="AJ129" s="7" t="s">
        <v>214</v>
      </c>
      <c r="AK129" s="7" t="s">
        <v>214</v>
      </c>
      <c r="AL129" s="7" t="s">
        <v>214</v>
      </c>
      <c r="AM129" s="7" t="s">
        <v>214</v>
      </c>
      <c r="AN129" s="7" t="s">
        <v>214</v>
      </c>
      <c r="AO129" s="7" t="s">
        <v>214</v>
      </c>
      <c r="AP129" s="7" t="s">
        <v>214</v>
      </c>
      <c r="AQ129" s="7" t="s">
        <v>214</v>
      </c>
      <c r="AR129" s="7" t="s">
        <v>214</v>
      </c>
      <c r="AS129" s="7" t="s">
        <v>214</v>
      </c>
      <c r="AT129" s="7" t="s">
        <v>214</v>
      </c>
      <c r="AU129" s="7" t="s">
        <v>214</v>
      </c>
      <c r="AV129" s="7" t="s">
        <v>214</v>
      </c>
      <c r="AW129" s="7" t="s">
        <v>214</v>
      </c>
      <c r="AX129" s="7" t="s">
        <v>214</v>
      </c>
      <c r="AY129" s="7" t="s">
        <v>214</v>
      </c>
      <c r="AZ129" s="7" t="s">
        <v>214</v>
      </c>
      <c r="BA129" s="7" t="s">
        <v>218</v>
      </c>
      <c r="BB129" s="7" t="s">
        <v>214</v>
      </c>
      <c r="BC129" s="7" t="s">
        <v>214</v>
      </c>
      <c r="BD129" s="7" t="s">
        <v>214</v>
      </c>
      <c r="BE129" s="7" t="s">
        <v>214</v>
      </c>
      <c r="BF129" s="7" t="s">
        <v>214</v>
      </c>
      <c r="BG129" s="7" t="s">
        <v>214</v>
      </c>
      <c r="BH129" s="7" t="s">
        <v>214</v>
      </c>
      <c r="BI129" s="7" t="s">
        <v>214</v>
      </c>
      <c r="BJ129" s="7" t="s">
        <v>214</v>
      </c>
      <c r="BK129" s="7" t="s">
        <v>214</v>
      </c>
      <c r="BL129" s="7" t="s">
        <v>214</v>
      </c>
      <c r="BM129" s="7" t="s">
        <v>214</v>
      </c>
      <c r="BN129" s="7" t="s">
        <v>214</v>
      </c>
      <c r="BO129" s="7" t="s">
        <v>214</v>
      </c>
      <c r="BP129" s="7" t="s">
        <v>214</v>
      </c>
      <c r="BQ129" s="7" t="s">
        <v>214</v>
      </c>
      <c r="BR129" s="7" t="s">
        <v>218</v>
      </c>
      <c r="BS129" s="7" t="s">
        <v>218</v>
      </c>
      <c r="BT129" s="7" t="s">
        <v>218</v>
      </c>
      <c r="BU129" s="7" t="s">
        <v>218</v>
      </c>
      <c r="BV129" s="7" t="s">
        <v>218</v>
      </c>
      <c r="BW129" s="7" t="s">
        <v>214</v>
      </c>
      <c r="BX129" s="7" t="s">
        <v>214</v>
      </c>
      <c r="BY129" s="7" t="s">
        <v>214</v>
      </c>
      <c r="BZ129" s="7" t="s">
        <v>214</v>
      </c>
      <c r="CA129" s="7" t="s">
        <v>214</v>
      </c>
      <c r="CB129" s="7" t="s">
        <v>214</v>
      </c>
      <c r="CC129" s="7" t="s">
        <v>214</v>
      </c>
      <c r="CD129" s="7" t="s">
        <v>214</v>
      </c>
      <c r="CE129" s="7" t="s">
        <v>214</v>
      </c>
      <c r="CF129" s="7" t="s">
        <v>214</v>
      </c>
      <c r="CG129" s="7" t="s">
        <v>214</v>
      </c>
      <c r="CH129" s="7" t="s">
        <v>214</v>
      </c>
      <c r="CI129" s="7" t="s">
        <v>214</v>
      </c>
      <c r="CJ129" s="7" t="s">
        <v>214</v>
      </c>
      <c r="CK129" s="7" t="s">
        <v>218</v>
      </c>
      <c r="CL129" s="7" t="s">
        <v>214</v>
      </c>
      <c r="CM129" s="7" t="s">
        <v>214</v>
      </c>
      <c r="CN129" s="7" t="s">
        <v>214</v>
      </c>
      <c r="CO129" s="7" t="s">
        <v>214</v>
      </c>
      <c r="CP129" s="7" t="s">
        <v>214</v>
      </c>
      <c r="CQ129" s="7" t="s">
        <v>214</v>
      </c>
      <c r="CR129" s="7" t="s">
        <v>214</v>
      </c>
      <c r="CS129" s="7" t="s">
        <v>214</v>
      </c>
      <c r="CT129" s="7" t="s">
        <v>214</v>
      </c>
      <c r="CU129" s="7" t="s">
        <v>214</v>
      </c>
      <c r="CV129" s="7" t="s">
        <v>214</v>
      </c>
      <c r="CW129" s="7" t="s">
        <v>214</v>
      </c>
      <c r="CX129" s="7" t="s">
        <v>214</v>
      </c>
      <c r="CY129" s="7" t="s">
        <v>214</v>
      </c>
      <c r="CZ129" s="7" t="s">
        <v>214</v>
      </c>
      <c r="DA129" s="7" t="s">
        <v>214</v>
      </c>
      <c r="DB129" s="7" t="s">
        <v>214</v>
      </c>
      <c r="DC129" s="7" t="s">
        <v>214</v>
      </c>
      <c r="DD129" s="7" t="s">
        <v>214</v>
      </c>
      <c r="DE129" s="7" t="s">
        <v>214</v>
      </c>
      <c r="DF129" s="7" t="s">
        <v>214</v>
      </c>
      <c r="DG129" s="7" t="s">
        <v>214</v>
      </c>
      <c r="DH129" s="7" t="s">
        <v>214</v>
      </c>
      <c r="DI129" s="7" t="s">
        <v>214</v>
      </c>
      <c r="DJ129" s="7" t="s">
        <v>214</v>
      </c>
      <c r="DK129" s="7" t="s">
        <v>214</v>
      </c>
      <c r="DL129" s="7" t="s">
        <v>214</v>
      </c>
      <c r="DM129" s="7" t="s">
        <v>214</v>
      </c>
      <c r="DN129" s="7" t="s">
        <v>214</v>
      </c>
      <c r="DO129" s="7" t="s">
        <v>214</v>
      </c>
      <c r="DP129" s="7" t="s">
        <v>214</v>
      </c>
      <c r="DQ129" s="7" t="s">
        <v>214</v>
      </c>
      <c r="DR129" s="7" t="s">
        <v>214</v>
      </c>
      <c r="DS129" s="7" t="s">
        <v>214</v>
      </c>
      <c r="DT129" s="7" t="s">
        <v>214</v>
      </c>
      <c r="DU129" s="7" t="s">
        <v>214</v>
      </c>
      <c r="DV129" s="7" t="s">
        <v>214</v>
      </c>
      <c r="DW129" s="7" t="s">
        <v>214</v>
      </c>
      <c r="DX129" s="7" t="s">
        <v>214</v>
      </c>
      <c r="DY129" s="7" t="s">
        <v>214</v>
      </c>
      <c r="DZ129" s="7" t="s">
        <v>214</v>
      </c>
      <c r="EA129" s="7" t="s">
        <v>214</v>
      </c>
      <c r="EB129" s="7" t="s">
        <v>214</v>
      </c>
      <c r="EC129" s="7" t="s">
        <v>214</v>
      </c>
      <c r="ED129" s="7" t="s">
        <v>214</v>
      </c>
      <c r="EE129" s="7" t="s">
        <v>214</v>
      </c>
      <c r="EF129" s="7" t="s">
        <v>214</v>
      </c>
      <c r="EG129" s="7" t="s">
        <v>214</v>
      </c>
      <c r="EH129" s="7" t="s">
        <v>214</v>
      </c>
      <c r="EI129" s="7" t="s">
        <v>214</v>
      </c>
      <c r="EJ129" s="7" t="s">
        <v>214</v>
      </c>
      <c r="EK129" s="7" t="s">
        <v>214</v>
      </c>
      <c r="EL129" s="7" t="s">
        <v>214</v>
      </c>
      <c r="EM129" s="7" t="s">
        <v>214</v>
      </c>
      <c r="EN129" s="7" t="s">
        <v>214</v>
      </c>
      <c r="EO129" s="7" t="s">
        <v>214</v>
      </c>
      <c r="EP129" s="7" t="s">
        <v>214</v>
      </c>
      <c r="EQ129" s="7" t="s">
        <v>218</v>
      </c>
      <c r="ER129" s="7" t="s">
        <v>214</v>
      </c>
      <c r="ES129" s="7" t="s">
        <v>214</v>
      </c>
      <c r="ET129" s="7" t="s">
        <v>214</v>
      </c>
      <c r="EU129" s="7" t="s">
        <v>214</v>
      </c>
      <c r="EV129" s="7" t="s">
        <v>214</v>
      </c>
      <c r="EW129" s="7" t="s">
        <v>214</v>
      </c>
      <c r="EX129" s="7" t="s">
        <v>214</v>
      </c>
      <c r="EY129" s="7" t="s">
        <v>214</v>
      </c>
      <c r="EZ129" s="7" t="s">
        <v>214</v>
      </c>
      <c r="FA129" s="7" t="s">
        <v>214</v>
      </c>
      <c r="FB129" s="7" t="s">
        <v>214</v>
      </c>
      <c r="FC129" s="7" t="s">
        <v>214</v>
      </c>
      <c r="FD129" s="7" t="s">
        <v>214</v>
      </c>
      <c r="FE129" s="7" t="s">
        <v>214</v>
      </c>
      <c r="FF129" s="7" t="s">
        <v>214</v>
      </c>
      <c r="FG129" s="7" t="s">
        <v>214</v>
      </c>
      <c r="FH129" s="7" t="s">
        <v>214</v>
      </c>
      <c r="FI129" s="7" t="s">
        <v>214</v>
      </c>
      <c r="FJ129" s="7" t="s">
        <v>214</v>
      </c>
      <c r="FK129" s="7" t="s">
        <v>214</v>
      </c>
      <c r="FL129" s="7" t="s">
        <v>214</v>
      </c>
    </row>
    <row r="130" spans="1:168" ht="15" x14ac:dyDescent="0.25">
      <c r="A130" s="5" t="s">
        <v>205</v>
      </c>
      <c r="B130" s="5" t="s">
        <v>9</v>
      </c>
      <c r="C130" s="8" t="s">
        <v>217</v>
      </c>
      <c r="D130" s="8" t="s">
        <v>217</v>
      </c>
      <c r="E130" s="8" t="s">
        <v>214</v>
      </c>
      <c r="F130" s="8" t="s">
        <v>214</v>
      </c>
      <c r="G130" s="8" t="s">
        <v>214</v>
      </c>
      <c r="H130" s="8" t="s">
        <v>214</v>
      </c>
      <c r="I130" s="8" t="s">
        <v>214</v>
      </c>
      <c r="J130" s="8" t="s">
        <v>214</v>
      </c>
      <c r="K130" s="8" t="s">
        <v>214</v>
      </c>
      <c r="L130" s="8" t="s">
        <v>214</v>
      </c>
      <c r="M130" s="8" t="s">
        <v>214</v>
      </c>
      <c r="N130" s="8" t="s">
        <v>214</v>
      </c>
      <c r="O130" s="8" t="s">
        <v>214</v>
      </c>
      <c r="P130" s="8" t="s">
        <v>214</v>
      </c>
      <c r="Q130" s="8" t="s">
        <v>214</v>
      </c>
      <c r="R130" s="8" t="s">
        <v>214</v>
      </c>
      <c r="S130" s="8" t="s">
        <v>214</v>
      </c>
      <c r="T130" s="8" t="s">
        <v>214</v>
      </c>
      <c r="U130" s="8" t="s">
        <v>214</v>
      </c>
      <c r="V130" s="8" t="s">
        <v>214</v>
      </c>
      <c r="W130" s="8" t="s">
        <v>214</v>
      </c>
      <c r="X130" s="8" t="s">
        <v>214</v>
      </c>
      <c r="Y130" s="8" t="s">
        <v>214</v>
      </c>
      <c r="Z130" s="8" t="s">
        <v>214</v>
      </c>
      <c r="AA130" s="8" t="s">
        <v>214</v>
      </c>
      <c r="AB130" s="8" t="s">
        <v>214</v>
      </c>
      <c r="AC130" s="8" t="s">
        <v>217</v>
      </c>
      <c r="AD130" s="8" t="s">
        <v>214</v>
      </c>
      <c r="AE130" s="8" t="s">
        <v>214</v>
      </c>
      <c r="AF130" s="8" t="s">
        <v>214</v>
      </c>
      <c r="AG130" s="8" t="s">
        <v>214</v>
      </c>
      <c r="AH130" s="8" t="s">
        <v>214</v>
      </c>
      <c r="AI130" s="8" t="s">
        <v>214</v>
      </c>
      <c r="AJ130" s="8" t="s">
        <v>214</v>
      </c>
      <c r="AK130" s="8" t="s">
        <v>214</v>
      </c>
      <c r="AL130" s="8" t="s">
        <v>214</v>
      </c>
      <c r="AM130" s="8" t="s">
        <v>214</v>
      </c>
      <c r="AN130" s="8" t="s">
        <v>214</v>
      </c>
      <c r="AO130" s="8" t="s">
        <v>214</v>
      </c>
      <c r="AP130" s="8" t="s">
        <v>214</v>
      </c>
      <c r="AQ130" s="8" t="s">
        <v>214</v>
      </c>
      <c r="AR130" s="8" t="s">
        <v>214</v>
      </c>
      <c r="AS130" s="8" t="s">
        <v>214</v>
      </c>
      <c r="AT130" s="8" t="s">
        <v>214</v>
      </c>
      <c r="AU130" s="8" t="s">
        <v>214</v>
      </c>
      <c r="AV130" s="8" t="s">
        <v>214</v>
      </c>
      <c r="AW130" s="8" t="s">
        <v>214</v>
      </c>
      <c r="AX130" s="8" t="s">
        <v>214</v>
      </c>
      <c r="AY130" s="8" t="s">
        <v>214</v>
      </c>
      <c r="AZ130" s="8" t="s">
        <v>214</v>
      </c>
      <c r="BA130" s="8" t="s">
        <v>218</v>
      </c>
      <c r="BB130" s="8" t="s">
        <v>214</v>
      </c>
      <c r="BC130" s="8" t="s">
        <v>214</v>
      </c>
      <c r="BD130" s="8" t="s">
        <v>214</v>
      </c>
      <c r="BE130" s="8" t="s">
        <v>214</v>
      </c>
      <c r="BF130" s="8" t="s">
        <v>214</v>
      </c>
      <c r="BG130" s="8" t="s">
        <v>214</v>
      </c>
      <c r="BH130" s="8" t="s">
        <v>214</v>
      </c>
      <c r="BI130" s="8" t="s">
        <v>214</v>
      </c>
      <c r="BJ130" s="8" t="s">
        <v>214</v>
      </c>
      <c r="BK130" s="8" t="s">
        <v>214</v>
      </c>
      <c r="BL130" s="8" t="s">
        <v>214</v>
      </c>
      <c r="BM130" s="8" t="s">
        <v>214</v>
      </c>
      <c r="BN130" s="8" t="s">
        <v>214</v>
      </c>
      <c r="BO130" s="8" t="s">
        <v>214</v>
      </c>
      <c r="BP130" s="8" t="s">
        <v>214</v>
      </c>
      <c r="BQ130" s="8" t="s">
        <v>214</v>
      </c>
      <c r="BR130" s="8" t="s">
        <v>214</v>
      </c>
      <c r="BS130" s="8" t="s">
        <v>218</v>
      </c>
      <c r="BT130" s="8" t="s">
        <v>218</v>
      </c>
      <c r="BU130" s="8" t="s">
        <v>218</v>
      </c>
      <c r="BV130" s="8" t="s">
        <v>218</v>
      </c>
      <c r="BW130" s="8" t="s">
        <v>214</v>
      </c>
      <c r="BX130" s="8" t="s">
        <v>214</v>
      </c>
      <c r="BY130" s="8" t="s">
        <v>214</v>
      </c>
      <c r="BZ130" s="8" t="s">
        <v>214</v>
      </c>
      <c r="CA130" s="8" t="s">
        <v>214</v>
      </c>
      <c r="CB130" s="8" t="s">
        <v>214</v>
      </c>
      <c r="CC130" s="8" t="s">
        <v>214</v>
      </c>
      <c r="CD130" s="8" t="s">
        <v>214</v>
      </c>
      <c r="CE130" s="8" t="s">
        <v>214</v>
      </c>
      <c r="CF130" s="8" t="s">
        <v>214</v>
      </c>
      <c r="CG130" s="8" t="s">
        <v>214</v>
      </c>
      <c r="CH130" s="8" t="s">
        <v>214</v>
      </c>
      <c r="CI130" s="8" t="s">
        <v>214</v>
      </c>
      <c r="CJ130" s="8" t="s">
        <v>214</v>
      </c>
      <c r="CK130" s="8" t="s">
        <v>218</v>
      </c>
      <c r="CL130" s="8" t="s">
        <v>214</v>
      </c>
      <c r="CM130" s="8" t="s">
        <v>214</v>
      </c>
      <c r="CN130" s="8" t="s">
        <v>214</v>
      </c>
      <c r="CO130" s="8" t="s">
        <v>214</v>
      </c>
      <c r="CP130" s="8" t="s">
        <v>214</v>
      </c>
      <c r="CQ130" s="8" t="s">
        <v>214</v>
      </c>
      <c r="CR130" s="8" t="s">
        <v>214</v>
      </c>
      <c r="CS130" s="8" t="s">
        <v>214</v>
      </c>
      <c r="CT130" s="8" t="s">
        <v>214</v>
      </c>
      <c r="CU130" s="8" t="s">
        <v>214</v>
      </c>
      <c r="CV130" s="8" t="s">
        <v>214</v>
      </c>
      <c r="CW130" s="8" t="s">
        <v>214</v>
      </c>
      <c r="CX130" s="8" t="s">
        <v>214</v>
      </c>
      <c r="CY130" s="8" t="s">
        <v>214</v>
      </c>
      <c r="CZ130" s="8" t="s">
        <v>214</v>
      </c>
      <c r="DA130" s="8" t="s">
        <v>214</v>
      </c>
      <c r="DB130" s="8" t="s">
        <v>214</v>
      </c>
      <c r="DC130" s="8" t="s">
        <v>214</v>
      </c>
      <c r="DD130" s="8" t="s">
        <v>214</v>
      </c>
      <c r="DE130" s="8" t="s">
        <v>214</v>
      </c>
      <c r="DF130" s="8" t="s">
        <v>214</v>
      </c>
      <c r="DG130" s="8" t="s">
        <v>214</v>
      </c>
      <c r="DH130" s="8" t="s">
        <v>214</v>
      </c>
      <c r="DI130" s="8" t="s">
        <v>214</v>
      </c>
      <c r="DJ130" s="8" t="s">
        <v>214</v>
      </c>
      <c r="DK130" s="8" t="s">
        <v>214</v>
      </c>
      <c r="DL130" s="8" t="s">
        <v>214</v>
      </c>
      <c r="DM130" s="8" t="s">
        <v>214</v>
      </c>
      <c r="DN130" s="8" t="s">
        <v>214</v>
      </c>
      <c r="DO130" s="8" t="s">
        <v>214</v>
      </c>
      <c r="DP130" s="8" t="s">
        <v>214</v>
      </c>
      <c r="DQ130" s="8" t="s">
        <v>214</v>
      </c>
      <c r="DR130" s="8" t="s">
        <v>214</v>
      </c>
      <c r="DS130" s="8" t="s">
        <v>214</v>
      </c>
      <c r="DT130" s="8" t="s">
        <v>214</v>
      </c>
      <c r="DU130" s="8" t="s">
        <v>214</v>
      </c>
      <c r="DV130" s="8" t="s">
        <v>214</v>
      </c>
      <c r="DW130" s="8" t="s">
        <v>217</v>
      </c>
      <c r="DX130" s="8" t="s">
        <v>217</v>
      </c>
      <c r="DY130" s="8" t="s">
        <v>214</v>
      </c>
      <c r="DZ130" s="8" t="s">
        <v>214</v>
      </c>
      <c r="EA130" s="8" t="s">
        <v>217</v>
      </c>
      <c r="EB130" s="8" t="s">
        <v>214</v>
      </c>
      <c r="EC130" s="8" t="s">
        <v>217</v>
      </c>
      <c r="ED130" s="8" t="s">
        <v>214</v>
      </c>
      <c r="EE130" s="8" t="s">
        <v>214</v>
      </c>
      <c r="EF130" s="8" t="s">
        <v>214</v>
      </c>
      <c r="EG130" s="8" t="s">
        <v>214</v>
      </c>
      <c r="EH130" s="8" t="s">
        <v>214</v>
      </c>
      <c r="EI130" s="8" t="s">
        <v>214</v>
      </c>
      <c r="EJ130" s="8" t="s">
        <v>214</v>
      </c>
      <c r="EK130" s="8" t="s">
        <v>214</v>
      </c>
      <c r="EL130" s="8" t="s">
        <v>214</v>
      </c>
      <c r="EM130" s="8" t="s">
        <v>214</v>
      </c>
      <c r="EN130" s="8" t="s">
        <v>214</v>
      </c>
      <c r="EO130" s="8" t="s">
        <v>214</v>
      </c>
      <c r="EP130" s="8" t="s">
        <v>214</v>
      </c>
      <c r="EQ130" s="8" t="s">
        <v>218</v>
      </c>
      <c r="ER130" s="8" t="s">
        <v>214</v>
      </c>
      <c r="ES130" s="8" t="s">
        <v>214</v>
      </c>
      <c r="ET130" s="8" t="s">
        <v>214</v>
      </c>
      <c r="EU130" s="8" t="s">
        <v>214</v>
      </c>
      <c r="EV130" s="8" t="s">
        <v>214</v>
      </c>
      <c r="EW130" s="8" t="s">
        <v>214</v>
      </c>
      <c r="EX130" s="8" t="s">
        <v>214</v>
      </c>
      <c r="EY130" s="8" t="s">
        <v>214</v>
      </c>
      <c r="EZ130" s="8" t="s">
        <v>214</v>
      </c>
      <c r="FA130" s="8" t="s">
        <v>214</v>
      </c>
      <c r="FB130" s="8" t="s">
        <v>214</v>
      </c>
      <c r="FC130" s="8" t="s">
        <v>214</v>
      </c>
      <c r="FD130" s="8" t="s">
        <v>214</v>
      </c>
      <c r="FE130" s="8" t="s">
        <v>214</v>
      </c>
      <c r="FF130" s="8" t="s">
        <v>214</v>
      </c>
      <c r="FG130" s="8" t="s">
        <v>214</v>
      </c>
      <c r="FH130" s="8" t="s">
        <v>214</v>
      </c>
      <c r="FI130" s="8" t="s">
        <v>214</v>
      </c>
      <c r="FJ130" s="8" t="s">
        <v>214</v>
      </c>
      <c r="FK130" s="8" t="s">
        <v>214</v>
      </c>
      <c r="FL130" s="8" t="s">
        <v>214</v>
      </c>
    </row>
    <row r="132" spans="1:168" ht="15" x14ac:dyDescent="0.25"/>
    <row r="133" spans="1:168" ht="15" x14ac:dyDescent="0.25">
      <c r="A133" s="1" t="s">
        <v>220</v>
      </c>
    </row>
    <row r="134" spans="1:168" ht="15" x14ac:dyDescent="0.25">
      <c r="A134" s="1" t="s">
        <v>217</v>
      </c>
      <c r="B134" s="2" t="s">
        <v>221</v>
      </c>
    </row>
    <row r="135" spans="1:168" ht="15" x14ac:dyDescent="0.25">
      <c r="A135" s="1" t="s">
        <v>218</v>
      </c>
      <c r="B135" s="2" t="s">
        <v>222</v>
      </c>
    </row>
    <row r="136" spans="1:168" ht="15" x14ac:dyDescent="0.25">
      <c r="A136" s="1" t="s">
        <v>223</v>
      </c>
    </row>
    <row r="137" spans="1:168" ht="15" x14ac:dyDescent="0.25">
      <c r="A137" s="1" t="s">
        <v>219</v>
      </c>
      <c r="B137" s="2" t="s">
        <v>224</v>
      </c>
    </row>
  </sheetData>
  <mergeCells count="3">
    <mergeCell ref="A8:B8"/>
    <mergeCell ref="A9:B9"/>
    <mergeCell ref="C8:F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GHG data from Eurostat</vt:lpstr>
      <vt:lpstr>GHG_by country_by emission</vt:lpstr>
      <vt:lpstr>EAR_Model_Input</vt:lpstr>
      <vt:lpstr>EXOE_Model_Input</vt:lpstr>
      <vt:lpstr>Landcover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Sridharan, Vignesh</cp:lastModifiedBy>
  <dcterms:created xsi:type="dcterms:W3CDTF">2025-09-23T12:52:10Z</dcterms:created>
  <dcterms:modified xsi:type="dcterms:W3CDTF">2025-11-25T18:45:12Z</dcterms:modified>
</cp:coreProperties>
</file>